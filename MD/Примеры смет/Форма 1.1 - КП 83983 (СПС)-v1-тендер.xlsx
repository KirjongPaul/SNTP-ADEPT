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_ТЕНДЕРЫ_М.Степаненко\2026-08_ГПП_Автомобильные дороги_Уразалиев_СПС\"/>
    </mc:Choice>
  </mc:AlternateContent>
  <bookViews>
    <workbookView xWindow="240" yWindow="15" windowWidth="16095" windowHeight="9660" tabRatio="900"/>
  </bookViews>
  <sheets>
    <sheet name="КП" sheetId="30" r:id="rId1"/>
    <sheet name="Форма 1.1" sheetId="31" r:id="rId2"/>
    <sheet name="СВОД" sheetId="1" r:id="rId3"/>
    <sheet name="Смета_№1.1_Подъездная автодоро" sheetId="2" r:id="rId4"/>
    <sheet name="Смета_№1.2_Подъездная автодоро" sheetId="3" r:id="rId5"/>
    <sheet name="Смета_№1.3_Подъездная автодоро" sheetId="4" r:id="rId6"/>
    <sheet name="Смета_№1.4_Подъездная автодоро" sheetId="5" r:id="rId7"/>
    <sheet name="Смета_№1.5_Подъездная автодоро" sheetId="6" r:id="rId8"/>
    <sheet name="Смета_№1.6_Подъездная автодоро" sheetId="7" r:id="rId9"/>
    <sheet name="Смета_№1.7_Подъездная автодоро" sheetId="8" r:id="rId10"/>
    <sheet name="Смета_№1.8_Подъездная автодоро" sheetId="9" r:id="rId11"/>
    <sheet name="Смета_№2.1_Подъездная автодоро" sheetId="10" r:id="rId12"/>
    <sheet name="Смета_№2.2_Подъездная автодоро" sheetId="11" r:id="rId13"/>
    <sheet name="Смета_№2.3_Подъездная автодоро" sheetId="12" r:id="rId14"/>
    <sheet name="Смета_№2.4_Подъездная автодоро" sheetId="13" r:id="rId15"/>
    <sheet name="Смета_№2.5_Подъездная автодоро" sheetId="14" r:id="rId16"/>
    <sheet name="Смета_№2.6_Подъездная автодоро" sheetId="15" r:id="rId17"/>
    <sheet name="Смета_№2.7_Подъездная автодоро" sheetId="16" r:id="rId18"/>
    <sheet name="Смета_№2.8_Подъездная автодоро" sheetId="17" r:id="rId19"/>
    <sheet name="Смета_№2.9_Подъездная автодоро" sheetId="18" r:id="rId20"/>
    <sheet name="Смета_№2.10_Подъездная автодор" sheetId="19" r:id="rId21"/>
    <sheet name="Смета_№2.11_Подъездная автодор" sheetId="20" r:id="rId22"/>
    <sheet name="Смета_№2.12_Подъездная автодор" sheetId="21" r:id="rId23"/>
    <sheet name="Смета_№2.13_Подъездная автодор" sheetId="22" r:id="rId24"/>
    <sheet name="Смета_№2.14_Подъездная автодор" sheetId="23" r:id="rId25"/>
    <sheet name="Смета_№2.15_Подъездная автодор" sheetId="24" r:id="rId26"/>
    <sheet name="Смета_№2.16_Подъездная автодор" sheetId="25" r:id="rId27"/>
    <sheet name="Смета_№3.1_Подъездная автодоро" sheetId="26" r:id="rId28"/>
    <sheet name="Смета_№3.2_Подъездная автодоро" sheetId="27" r:id="rId29"/>
    <sheet name="Смета_№3.3_Подъездная автодоро" sheetId="28" r:id="rId30"/>
    <sheet name="Смета_№3.4_Подъездная автодоро" sheetId="29" r:id="rId31"/>
  </sheets>
  <definedNames>
    <definedName name="_xlnm.Print_Area" localSheetId="0">КП!$A$1:$I$18</definedName>
    <definedName name="_xlnm.Print_Area" localSheetId="2">СВОД!$A$1:$J$54</definedName>
    <definedName name="_xlnm.Print_Area" localSheetId="1">'Форма 1.1'!$A$1:$H$62</definedName>
  </definedNames>
  <calcPr calcId="152511"/>
</workbook>
</file>

<file path=xl/calcChain.xml><?xml version="1.0" encoding="utf-8"?>
<calcChain xmlns="http://schemas.openxmlformats.org/spreadsheetml/2006/main">
  <c r="M13" i="30" l="1"/>
  <c r="L13" i="30"/>
  <c r="K11" i="30"/>
  <c r="K12" i="30"/>
  <c r="K13" i="30"/>
  <c r="K10" i="30"/>
  <c r="G13" i="30"/>
  <c r="F13" i="30"/>
  <c r="E13" i="30"/>
  <c r="G12" i="30"/>
  <c r="F12" i="30"/>
  <c r="E12" i="30"/>
  <c r="G11" i="30"/>
  <c r="F11" i="30"/>
  <c r="E11" i="30"/>
  <c r="G10" i="30"/>
  <c r="F10" i="30"/>
  <c r="E10" i="30"/>
  <c r="K45" i="31"/>
  <c r="L45" i="31" s="1"/>
  <c r="K40" i="31"/>
  <c r="L40" i="31" s="1"/>
  <c r="L23" i="31"/>
  <c r="K23" i="31"/>
  <c r="L14" i="31"/>
  <c r="K14" i="31"/>
  <c r="E45" i="31"/>
  <c r="F45" i="31" s="1"/>
  <c r="D45" i="31"/>
  <c r="D44" i="31"/>
  <c r="E44" i="31" s="1"/>
  <c r="F44" i="31" s="1"/>
  <c r="D43" i="31"/>
  <c r="E43" i="31" s="1"/>
  <c r="F43" i="31" s="1"/>
  <c r="D42" i="31"/>
  <c r="E42" i="31" s="1"/>
  <c r="F42" i="31" s="1"/>
  <c r="D41" i="31"/>
  <c r="D39" i="31"/>
  <c r="E39" i="31" s="1"/>
  <c r="F39" i="31" s="1"/>
  <c r="D38" i="31"/>
  <c r="E38" i="31" s="1"/>
  <c r="F38" i="31" s="1"/>
  <c r="D37" i="31"/>
  <c r="D36" i="31"/>
  <c r="E36" i="31" s="1"/>
  <c r="F36" i="31" s="1"/>
  <c r="D35" i="31"/>
  <c r="E35" i="31" s="1"/>
  <c r="F35" i="31" s="1"/>
  <c r="D34" i="31"/>
  <c r="E34" i="31" s="1"/>
  <c r="F34" i="31" s="1"/>
  <c r="D33" i="31"/>
  <c r="E33" i="31" s="1"/>
  <c r="F33" i="31" s="1"/>
  <c r="D32" i="31"/>
  <c r="E32" i="31" s="1"/>
  <c r="F32" i="31" s="1"/>
  <c r="D31" i="31"/>
  <c r="E31" i="31" s="1"/>
  <c r="F31" i="31" s="1"/>
  <c r="D30" i="31"/>
  <c r="E30" i="31" s="1"/>
  <c r="F30" i="31" s="1"/>
  <c r="D29" i="31"/>
  <c r="E29" i="31" s="1"/>
  <c r="F29" i="31" s="1"/>
  <c r="D28" i="31"/>
  <c r="E28" i="31" s="1"/>
  <c r="F28" i="31" s="1"/>
  <c r="D27" i="31"/>
  <c r="E27" i="31" s="1"/>
  <c r="F27" i="31" s="1"/>
  <c r="D26" i="31"/>
  <c r="E26" i="31" s="1"/>
  <c r="F26" i="31" s="1"/>
  <c r="D25" i="31"/>
  <c r="E25" i="31" s="1"/>
  <c r="F25" i="31" s="1"/>
  <c r="D24" i="31"/>
  <c r="E24" i="31" s="1"/>
  <c r="F24" i="31" s="1"/>
  <c r="E37" i="31"/>
  <c r="F37" i="31" s="1"/>
  <c r="E22" i="31"/>
  <c r="F22" i="31" s="1"/>
  <c r="E21" i="31"/>
  <c r="F21" i="31" s="1"/>
  <c r="E20" i="31"/>
  <c r="F20" i="31" s="1"/>
  <c r="E19" i="31"/>
  <c r="F19" i="31" s="1"/>
  <c r="E18" i="31"/>
  <c r="F18" i="31" s="1"/>
  <c r="E17" i="31"/>
  <c r="F17" i="31" s="1"/>
  <c r="E16" i="31"/>
  <c r="F16" i="31" s="1"/>
  <c r="E15" i="31"/>
  <c r="F15" i="31" s="1"/>
  <c r="F14" i="31"/>
  <c r="E14" i="31"/>
  <c r="D14" i="31"/>
  <c r="D22" i="31"/>
  <c r="D21" i="31"/>
  <c r="D20" i="31"/>
  <c r="D19" i="31"/>
  <c r="D18" i="31"/>
  <c r="D17" i="31"/>
  <c r="D16" i="31"/>
  <c r="D15" i="31"/>
  <c r="D40" i="31" l="1"/>
  <c r="E40" i="31" s="1"/>
  <c r="F40" i="31" s="1"/>
  <c r="E41" i="31"/>
  <c r="F41" i="31" s="1"/>
  <c r="D23" i="31"/>
  <c r="E23" i="31" s="1"/>
  <c r="F23" i="31" s="1"/>
  <c r="J15" i="31" l="1"/>
  <c r="J16" i="31"/>
  <c r="J17" i="3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33" i="31"/>
  <c r="J34" i="31"/>
  <c r="J35" i="31"/>
  <c r="J36" i="31"/>
  <c r="J37" i="31"/>
  <c r="J38" i="31"/>
  <c r="J39" i="31"/>
  <c r="J40" i="31"/>
  <c r="J41" i="31"/>
  <c r="J42" i="31"/>
  <c r="J43" i="31"/>
  <c r="J44" i="31"/>
  <c r="J45" i="31"/>
  <c r="J14" i="31"/>
  <c r="H45" i="31"/>
  <c r="G45" i="31"/>
  <c r="G40" i="31"/>
  <c r="G23" i="31"/>
  <c r="H23" i="31" s="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2" i="31"/>
  <c r="H21" i="31"/>
  <c r="H20" i="31"/>
  <c r="H19" i="31"/>
  <c r="H18" i="31"/>
  <c r="H17" i="31"/>
  <c r="H16" i="31"/>
  <c r="H15" i="31"/>
  <c r="G14" i="31"/>
  <c r="H14" i="31" s="1"/>
  <c r="H13" i="30"/>
  <c r="I12" i="30"/>
  <c r="I11" i="30"/>
  <c r="I13" i="30" s="1"/>
  <c r="I10" i="30"/>
  <c r="O18" i="29"/>
  <c r="O14" i="29"/>
  <c r="O22" i="29" s="1"/>
  <c r="O23" i="29" s="1"/>
  <c r="O24" i="29" s="1"/>
  <c r="O18" i="28"/>
  <c r="O14" i="28"/>
  <c r="O22" i="28" s="1"/>
  <c r="O23" i="28" s="1"/>
  <c r="O24" i="28" s="1"/>
  <c r="O24" i="27"/>
  <c r="O25" i="27" s="1"/>
  <c r="O23" i="27"/>
  <c r="O19" i="27"/>
  <c r="O14" i="27"/>
  <c r="O19" i="26"/>
  <c r="O14" i="26"/>
  <c r="O23" i="26" s="1"/>
  <c r="O24" i="26" s="1"/>
  <c r="O25" i="26" s="1"/>
  <c r="O22" i="25"/>
  <c r="O23" i="25" s="1"/>
  <c r="O24" i="25" s="1"/>
  <c r="O18" i="25"/>
  <c r="O14" i="25"/>
  <c r="O22" i="24"/>
  <c r="O23" i="24" s="1"/>
  <c r="O24" i="24" s="1"/>
  <c r="O18" i="24"/>
  <c r="O14" i="24"/>
  <c r="O19" i="23"/>
  <c r="O14" i="23"/>
  <c r="O23" i="23" s="1"/>
  <c r="O24" i="23" s="1"/>
  <c r="O25" i="23" s="1"/>
  <c r="O18" i="22"/>
  <c r="O14" i="22"/>
  <c r="O22" i="22" s="1"/>
  <c r="O23" i="22" s="1"/>
  <c r="O24" i="22" s="1"/>
  <c r="O19" i="21"/>
  <c r="O14" i="21"/>
  <c r="O23" i="21" s="1"/>
  <c r="O24" i="21" s="1"/>
  <c r="O25" i="21" s="1"/>
  <c r="O19" i="20"/>
  <c r="O14" i="20"/>
  <c r="O23" i="20" s="1"/>
  <c r="O24" i="20" s="1"/>
  <c r="O25" i="20" s="1"/>
  <c r="O24" i="19"/>
  <c r="O25" i="19" s="1"/>
  <c r="O23" i="19"/>
  <c r="O19" i="19"/>
  <c r="O14" i="19"/>
  <c r="O24" i="18"/>
  <c r="O19" i="18"/>
  <c r="O14" i="18"/>
  <c r="O28" i="18" s="1"/>
  <c r="O29" i="18" s="1"/>
  <c r="O30" i="18" s="1"/>
  <c r="O19" i="17"/>
  <c r="O14" i="17"/>
  <c r="O23" i="17" s="1"/>
  <c r="O24" i="17" s="1"/>
  <c r="O25" i="17" s="1"/>
  <c r="O23" i="16"/>
  <c r="O24" i="16" s="1"/>
  <c r="O25" i="16" s="1"/>
  <c r="O19" i="16"/>
  <c r="O14" i="16"/>
  <c r="O18" i="15"/>
  <c r="O14" i="15"/>
  <c r="O22" i="15" s="1"/>
  <c r="O23" i="15" s="1"/>
  <c r="O24" i="15" s="1"/>
  <c r="O23" i="14"/>
  <c r="O24" i="14" s="1"/>
  <c r="O25" i="14" s="1"/>
  <c r="O19" i="14"/>
  <c r="O14" i="14"/>
  <c r="O19" i="13"/>
  <c r="O23" i="13" s="1"/>
  <c r="O24" i="13" s="1"/>
  <c r="O25" i="13" s="1"/>
  <c r="O14" i="13"/>
  <c r="O19" i="12"/>
  <c r="O14" i="12"/>
  <c r="O23" i="12" s="1"/>
  <c r="O24" i="12" s="1"/>
  <c r="O25" i="12" s="1"/>
  <c r="O19" i="11"/>
  <c r="O14" i="11"/>
  <c r="O23" i="11" s="1"/>
  <c r="O24" i="11" s="1"/>
  <c r="O25" i="11" s="1"/>
  <c r="O19" i="10"/>
  <c r="O14" i="10"/>
  <c r="O23" i="10" s="1"/>
  <c r="O24" i="10" s="1"/>
  <c r="O25" i="10" s="1"/>
  <c r="O33" i="9"/>
  <c r="O27" i="9"/>
  <c r="O21" i="9"/>
  <c r="O14" i="9"/>
  <c r="O39" i="9" s="1"/>
  <c r="O40" i="9" s="1"/>
  <c r="O41" i="9" s="1"/>
  <c r="O27" i="8"/>
  <c r="O28" i="8" s="1"/>
  <c r="O29" i="8" s="1"/>
  <c r="O20" i="8"/>
  <c r="O14" i="8"/>
  <c r="O39" i="7"/>
  <c r="O44" i="7" s="1"/>
  <c r="O45" i="7" s="1"/>
  <c r="O46" i="7" s="1"/>
  <c r="O33" i="7"/>
  <c r="O27" i="7"/>
  <c r="O21" i="7"/>
  <c r="O14" i="7"/>
  <c r="O20" i="6"/>
  <c r="O27" i="6" s="1"/>
  <c r="O28" i="6" s="1"/>
  <c r="O29" i="6" s="1"/>
  <c r="O14" i="6"/>
  <c r="O20" i="5"/>
  <c r="O14" i="5"/>
  <c r="O27" i="5" s="1"/>
  <c r="O28" i="5" s="1"/>
  <c r="O29" i="5" s="1"/>
  <c r="O20" i="4"/>
  <c r="O14" i="4"/>
  <c r="O27" i="4" s="1"/>
  <c r="O28" i="4" s="1"/>
  <c r="O29" i="4" s="1"/>
  <c r="O20" i="3"/>
  <c r="O14" i="3"/>
  <c r="O26" i="3" s="1"/>
  <c r="O27" i="3" s="1"/>
  <c r="O28" i="3" s="1"/>
  <c r="O33" i="2"/>
  <c r="O27" i="2"/>
  <c r="O21" i="2"/>
  <c r="O14" i="2"/>
  <c r="O39" i="2" s="1"/>
  <c r="O40" i="2" s="1"/>
  <c r="O41" i="2" s="1"/>
  <c r="J50" i="1"/>
  <c r="J51" i="1" s="1"/>
  <c r="I50" i="1"/>
  <c r="I51" i="1" s="1"/>
  <c r="H50" i="1"/>
  <c r="H51" i="1" s="1"/>
  <c r="J43" i="1"/>
  <c r="J44" i="1" s="1"/>
  <c r="I43" i="1"/>
  <c r="I44" i="1" s="1"/>
  <c r="H43" i="1"/>
  <c r="H44" i="1" s="1"/>
  <c r="J24" i="1"/>
  <c r="J25" i="1" s="1"/>
  <c r="J52" i="1" s="1"/>
  <c r="I24" i="1"/>
  <c r="I25" i="1" s="1"/>
  <c r="H24" i="1"/>
  <c r="H25" i="1" s="1"/>
  <c r="I52" i="1" l="1"/>
  <c r="H52" i="1"/>
  <c r="J53" i="1"/>
  <c r="I53" i="1" l="1"/>
  <c r="I54" i="1" s="1"/>
  <c r="H53" i="1"/>
  <c r="H54" i="1" s="1"/>
  <c r="J54" i="1"/>
</calcChain>
</file>

<file path=xl/sharedStrings.xml><?xml version="1.0" encoding="utf-8"?>
<sst xmlns="http://schemas.openxmlformats.org/spreadsheetml/2006/main" count="2031" uniqueCount="304">
  <si>
    <t>Адепт: Проект v 2026.4.0 © ООО"Адепт"</t>
  </si>
  <si>
    <t>СВОДНАЯ СМЕТА №1</t>
  </si>
  <si>
    <t>на проектные работы и инженерные изыскания</t>
  </si>
  <si>
    <t>Наименование строительства и стадии проектирования</t>
  </si>
  <si>
    <t/>
  </si>
  <si>
    <t>ООО "Спецпроектстрой"</t>
  </si>
  <si>
    <t>Наименование организации заказчика</t>
  </si>
  <si>
    <t>ООО "Газпром проектирование"</t>
  </si>
  <si>
    <t>№пп</t>
  </si>
  <si>
    <t>Перечень выполняемых работ</t>
  </si>
  <si>
    <t>Характеристика проектируемого объекта</t>
  </si>
  <si>
    <t>Ссылка на № смет по формам 2П, 3П</t>
  </si>
  <si>
    <t>Полная стоимость работ, руб.</t>
  </si>
  <si>
    <t>изыскательских</t>
  </si>
  <si>
    <t>проектных</t>
  </si>
  <si>
    <t>Всего</t>
  </si>
  <si>
    <t>1</t>
  </si>
  <si>
    <t>Этап 1.2. Линейная часть. Участок УП ГРС Костомукша - УП ГРС Кемь. Автомобильные дороги</t>
  </si>
  <si>
    <t>1.1</t>
  </si>
  <si>
    <t>Подъездная автодорога км 598</t>
  </si>
  <si>
    <t>Проектная документация</t>
  </si>
  <si>
    <t>1.2</t>
  </si>
  <si>
    <t>Подъездная автодорога к УРС Беломорская (км 599,2)</t>
  </si>
  <si>
    <t>1.3</t>
  </si>
  <si>
    <t>Подъездная автодорога к ПРС Ноттоворакка (км 622,1)</t>
  </si>
  <si>
    <t>1.4</t>
  </si>
  <si>
    <t>Подъездная автодорога км 627,6</t>
  </si>
  <si>
    <t>1.5</t>
  </si>
  <si>
    <t>Подъездная автодорога к УРС Половина (км 658,8)</t>
  </si>
  <si>
    <t>1.6</t>
  </si>
  <si>
    <t>Подъездная автодорога км 681,4</t>
  </si>
  <si>
    <t>1.7</t>
  </si>
  <si>
    <t>Подъездная автодорога км 683,2</t>
  </si>
  <si>
    <t>1.8</t>
  </si>
  <si>
    <t>Подъездная автодорога км 686,8</t>
  </si>
  <si>
    <t>1.9</t>
  </si>
  <si>
    <t>Итого Этап 1.2. Линейная часть. Участок УП ГРС Костомукша - УП ГРС Кемь. Автомобильные дороги:</t>
  </si>
  <si>
    <t>1.10</t>
  </si>
  <si>
    <t>Всего Этап 1.2. Линейная часть. Участок УП ГРС Костомукша - УП ГРС Кемь. Автомобильные дороги:</t>
  </si>
  <si>
    <t>Сумма от п.1.9</t>
  </si>
  <si>
    <t>2</t>
  </si>
  <si>
    <t>Этап 1.3. Линейная часть. Участок УП ГРС Кемь - УП ГРС Лоухи. Автомобильные дороги</t>
  </si>
  <si>
    <t>2.1</t>
  </si>
  <si>
    <t>Подъездная автодорога к УП КС Кемская км 689,8</t>
  </si>
  <si>
    <t>2.2</t>
  </si>
  <si>
    <t>Подъездная автодорога к площадке артсквжин</t>
  </si>
  <si>
    <t>2.3</t>
  </si>
  <si>
    <t>Подъездная автодорога к УРС КС Кемская, км 690,9</t>
  </si>
  <si>
    <t>2.4</t>
  </si>
  <si>
    <t>Подъездная автодорога к к площадке кранового узла и площадке БТМА, км 691,7</t>
  </si>
  <si>
    <t>2.5</t>
  </si>
  <si>
    <t>Подъездная автодорога к ПРС Егутварака, км 715,6</t>
  </si>
  <si>
    <t>2.6</t>
  </si>
  <si>
    <t>Подъездная автодорога к ПРС Кумозеро, км 750,9</t>
  </si>
  <si>
    <t>2.7</t>
  </si>
  <si>
    <t>Подъездная автодорога к площадке кранового узла и площадке БТМА, км 751,0</t>
  </si>
  <si>
    <t>2.8</t>
  </si>
  <si>
    <t>Подъездная автодорога к площадке кранового узла и площадке БТМА, 752,1</t>
  </si>
  <si>
    <t>2.9</t>
  </si>
  <si>
    <t>Подъездная автодорога к площадке кранового узла и площадке БТМА, км 765,4</t>
  </si>
  <si>
    <t>2.10</t>
  </si>
  <si>
    <t>Подъездная автодорога к площадке кранового узла и площадке БТМА, 766,8</t>
  </si>
  <si>
    <t>2.11</t>
  </si>
  <si>
    <t>Подъездная автодорога к площадке кранового узла и площадке БТМА, 784,5</t>
  </si>
  <si>
    <t>2.12</t>
  </si>
  <si>
    <t>Подъездная автодорога к площадке кранового узла и площадке БТМА, 785,2</t>
  </si>
  <si>
    <t>2.13</t>
  </si>
  <si>
    <t>Подъездная автодорога к ПРС Энгозеро, км 790,1</t>
  </si>
  <si>
    <t>2.14</t>
  </si>
  <si>
    <t>Подъездная автодорога к площадке кранового узла и площадке БТМА, км 825,1</t>
  </si>
  <si>
    <t>2.15</t>
  </si>
  <si>
    <t>Подъездная автодорога к площадке кранового узла и площадке БТМА, км 827,1</t>
  </si>
  <si>
    <t>2.16</t>
  </si>
  <si>
    <t>Подъездная автодорога к ПРС Лоухи, км 829,1</t>
  </si>
  <si>
    <t>2.17</t>
  </si>
  <si>
    <t>Итого Этап 1.3. Линейная часть. Участок УП ГРС Кемь - УП ГРС Лоухи. Автомобильные дороги:</t>
  </si>
  <si>
    <t>2.18</t>
  </si>
  <si>
    <t>Всего Этап 1.3. Линейная часть. Участок УП ГРС Кемь - УП ГРС Лоухи. Автомобильные дороги:</t>
  </si>
  <si>
    <t>Сумма от п.2.17</t>
  </si>
  <si>
    <t>3</t>
  </si>
  <si>
    <t>Этап 1.9. Линейная часть. Участок УП ГРС Оленегорск - УП ГРС Мурманск. Автомобильные дороги</t>
  </si>
  <si>
    <t>3.1</t>
  </si>
  <si>
    <t>Подъездная автодорога к УРС Кица, км 1226,4</t>
  </si>
  <si>
    <t>3.2</t>
  </si>
  <si>
    <t>Подъездная автодорога к площадке кранового узла и площадке БТМА, км 1245,5</t>
  </si>
  <si>
    <t>3.3</t>
  </si>
  <si>
    <t>Подъездная автодорога к УП КС Мурманская, км 1246,7</t>
  </si>
  <si>
    <t>3.4</t>
  </si>
  <si>
    <t>Подъездная автодорога к ОРС КС Мурманская, км 1247,5</t>
  </si>
  <si>
    <t>3.5</t>
  </si>
  <si>
    <t>Итого Этап 1.9. Линейная часть. Участок УП ГРС Оленегорск - УП ГРС Мурманск. Автомобильные дороги:</t>
  </si>
  <si>
    <t>3.6</t>
  </si>
  <si>
    <t>Всего Этап 1.9. Линейная часть. Участок УП ГРС Оленегорск - УП ГРС Мурманск. Автомобильные дороги:</t>
  </si>
  <si>
    <t>Сумма от п.3.5</t>
  </si>
  <si>
    <t>4</t>
  </si>
  <si>
    <t>Итого по сводной смете:</t>
  </si>
  <si>
    <t>5</t>
  </si>
  <si>
    <t>НДС</t>
  </si>
  <si>
    <t>5% от п.4</t>
  </si>
  <si>
    <t>6</t>
  </si>
  <si>
    <t>Всего по сводной смете:</t>
  </si>
  <si>
    <t>Сумма от п.4-5</t>
  </si>
  <si>
    <t xml:space="preserve">форма 2П
</t>
  </si>
  <si>
    <t>Смета №1.1</t>
  </si>
  <si>
    <t>на проектные (изыскательские) работы</t>
  </si>
  <si>
    <t>Наименование предприятия, здания, сооружения, стадии проектирования, этапа, вида проектных или изыскательских работ</t>
  </si>
  <si>
    <t>Наименование проектной (изыскательской) организации</t>
  </si>
  <si>
    <t>№ пп</t>
  </si>
  <si>
    <t>Характеристика предприятия, здания, сооружения или виды работ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</si>
  <si>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</si>
  <si>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>Расчет стоимости: (a+bx)*Ki, или (объем строительно-монтажных работ) * проц./100 или количество x цена</t>
  </si>
  <si>
    <t>Стоимость, руб.</t>
  </si>
  <si>
    <t xml:space="preserve">Примыкание автомобильных дорог в одном уровне с устройством переходно-скоростных полос движения, островков безопасности. Категория сложности проектирования: 2. 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</si>
  <si>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3.7. Развязки, п.2.2
A = 1 440.8 тыс.руб; 
Количество = 2 (объект)</t>
  </si>
  <si>
    <t>A * Количество * Ктек * Кст * K1
1 440 800 руб. * 2 * 1.38 * 0.4 * 0.47 * 1.1155</t>
  </si>
  <si>
    <t>Коэффициенты</t>
  </si>
  <si>
    <t>Стадия: Проектная документация</t>
  </si>
  <si>
    <t>Кст = 0.4</t>
  </si>
  <si>
    <t xml:space="preserve">инд.2кв.2026г.к 01.01.2023 на пр.раб. </t>
  </si>
  <si>
    <t>Ктек = 1.38
Письмо Минстроя России от 08.04.2026 №20212-ИФ/09</t>
  </si>
  <si>
    <t xml:space="preserve">Пересечение (примыкание) автомобильных дорог в одном уровне определяется с корректирующим коэффициентом для примыканий без устройства переходно-скоростных полос </t>
  </si>
  <si>
    <t>K1 = 0.47
Табл.4, п.9 (Ценообразующий)</t>
  </si>
  <si>
    <t xml:space="preserve">Коэффициент, учитывающий природные факторы, усложняющие проектирование: опасные гидрологические и геологические явления (заболоченная территория). Коэффициент применяется к стоимости проектирования следующих разделов П+Р: ПЗУ (ППО в части вертикальной планировки и организации рельефа, транспорта); в полном объеме АР и КР (ТКР, ИЛО); в части монтажных элементов ИОС; доля СМ на выполняемый объем </t>
  </si>
  <si>
    <t xml:space="preserve">K2 = 1.15 (РПД 2,3.1-3.5,7)
Методика, 707/пр. Приложение 5, табл.5.1, п.1.1 (Усложняющий) </t>
  </si>
  <si>
    <t xml:space="preserve">Разделы документации </t>
  </si>
  <si>
    <t>(2% + 8% * (1 + 0.15) + 4% * (1 + 0.15) + 26% * (1 + 0.15) + 4% * (1 + 0.15) + 8% * (1 + 0.15) + 14% * (1 + 0.15) + 11% + 9% + 1% + 13% * (1 + 0.15)) = 111.55%</t>
  </si>
  <si>
    <t>Автомобильные дороги технической категории IV. Категория сложности проектирования: 2. Протяженность от 2 до 5 километров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</si>
  <si>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п.5.2
A = 545.5 тыс.руб; B = 522.975 тыс.руб;
Протяженность дороги L = 2.485 км;
Количество = 1;</t>
  </si>
  <si>
    <t>(A + B * L) * Количество * Ктек * Кст
(545 500 руб. + 522 975 руб. * 2.485) * 1 * 1.38 * 0.4 * 1.1245</t>
  </si>
  <si>
    <t xml:space="preserve">K1 = 1.15 (РПД 2,3.1-3.5,7)
Методика, 707/пр. Приложение 5, табл.5.1, п.1.1 (Усложняющий) </t>
  </si>
  <si>
    <t>(2% + 7% * (1 + 0.15) + 7% * (1 + 0.15) + 29% * (1 + 0.15) + 8% * (1 + 0.15) + 8% * (1 + 0.15) + 13% * (1 + 0.15) + 9% + 5% + 1% + 11% * (1 + 0.15)) = 112.45%</t>
  </si>
  <si>
    <t xml:space="preserve">Водопропускные трубы на автомобильных дорогах протяженностью, м. Круглые и прямоугольные железобетонные трубы отверстием до 2000 мм. </t>
  </si>
  <si>
    <t>Искусственные сооружения. 2015 г. Таблица 2. Водопропускные трубы на железных и автомобильных дорогах, п.2.4
A = 5.61 тыс.руб; B = 0.24 тыс.руб;
Xзад = 18 (м);
Количество = 2</t>
  </si>
  <si>
    <t>(A + B * Xзад) * Количество * Ктек * Кст * (1 + дроб. ч. K1)
(5 610 руб. + 240 руб. * 18) * 2 * 7.1 * 0.34 * (1 + 0.15)</t>
  </si>
  <si>
    <t>Кст = 0.34</t>
  </si>
  <si>
    <t xml:space="preserve">инд.2кв.2026г.к 01.01.2001 на пр.раб. </t>
  </si>
  <si>
    <t>Ктек = 7.1
Письмо Минстроя России от 08.04.2026 №20212-ИФ/09</t>
  </si>
  <si>
    <t xml:space="preserve">Разработка проектной документации на строительство предприятий, зданий и сооружений в сложных условиях:расположение площадки строительства в подтапливаемых зонах и др. </t>
  </si>
  <si>
    <t xml:space="preserve">K1 = 1.15
МУ 2009 г. Часть III п.3.7 (Усложняющий) </t>
  </si>
  <si>
    <t>(63% + 26% + 11%) = 100%</t>
  </si>
  <si>
    <t xml:space="preserve">Водопропускные трубы на автомобильных дорогах протяженностью, м. Круглые и прямоугольные железобетонные трубы отверстием до 2000 мм трехочковые. </t>
  </si>
  <si>
    <t>Искусственные сооружения. 2015 г. Таблица 2. Водопропускные трубы на железных и автомобильных дорогах, п.2.6
A = 7.59 тыс.руб; B = 0.33 тыс.руб;
Xзад = 12 (м);
Количество = 1</t>
  </si>
  <si>
    <t>(A + B * Xзад) * Количество * Ктек * Кст * (1 + дроб. ч. K1)
(7 590 руб. + 330 руб. * 12) * 1 * 7.1 * 0.34 * (1 + 0.15)</t>
  </si>
  <si>
    <t>Итого по смете:</t>
  </si>
  <si>
    <t>Новое начисление</t>
  </si>
  <si>
    <t>К1 = 0.8 Коэффициент оптимизации ПАО "Газпром"  («Порядок формирования стоимости проектно-изыскательских работ для строительства и реконструкции объектов ПАО «Газпром» от 28.12.2017г. п.5.41) (Ценообразующий)</t>
  </si>
  <si>
    <t>Коэф-т 1 от п.5 * 0.8</t>
  </si>
  <si>
    <t>7</t>
  </si>
  <si>
    <t>Всего по смете:</t>
  </si>
  <si>
    <t>Смета №1.2</t>
  </si>
  <si>
    <t>Автомобильные дороги технической категории IV. Категория сложности проектирования: 2. Протяженность от 0.2 до 0.5 километра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</si>
  <si>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п.2.2
A = 151.1 тыс.руб; B = 1 030.273 тыс.руб;
Протяженность дороги L = 0.333 км;
Количество = 1;</t>
  </si>
  <si>
    <t>(A + B * L) * Количество * Ктек * Кст
(151 100 руб. + 1 030 273 руб. * 0.333) * 1 * 1.38 * 0.4 * 1.114</t>
  </si>
  <si>
    <t xml:space="preserve">K1 = 1.15 (РПД 2,3.2-3.5,7)
Методика, 707/пр. Приложение 5, табл.5.1, п.1.1 (Усложняющий) </t>
  </si>
  <si>
    <t>(2% + 7% * (1 + 0.15) + 7% + 29% * (1 + 0.15) + 8% * (1 + 0.15) + 8% * (1 + 0.15) + 13% * (1 + 0.15) + 9% + 5% + 1% + 11% * (1 + 0.15)) = 111.4%</t>
  </si>
  <si>
    <t>Коэф-т 1 от п.3 * 0.8</t>
  </si>
  <si>
    <t>Смета №1.3</t>
  </si>
  <si>
    <t>Автомобильные дороги технической категории IV. Категория сложности проектирования: 2. Протяженность от 0.5 до 1 километра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</si>
  <si>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п.3.2
A = 357.8 тыс.руб; B = 616.816 тыс.руб;
Протяженность дороги L = 1 км;
Количество = 1;</t>
  </si>
  <si>
    <t>(A + B * L) * Количество * Ктек * Кст
(357 800 руб. + 616 816 руб. * 1) * 1 * 1.38 * 0.4 * 1.1245</t>
  </si>
  <si>
    <t>Искусственные сооружения. 2015 г. Таблица 2. Водопропускные трубы на железных и автомобильных дорогах, п.2.4
A = 5.61 тыс.руб; B = 0.24 тыс.руб;
Xзад = 22 (м);
Количество = 2</t>
  </si>
  <si>
    <t>(A + B * Xзад) * Количество * Ктек * Кст * (1 + дроб. ч. K1 + дроб. ч. K2)
(5 610 руб. + 240 руб. * 22) * 2 * 7.1 * 0.34 * (1 + 0.15 + 0.15)</t>
  </si>
  <si>
    <t xml:space="preserve">Коэффициент. учитывающий природные факторы. усложняющие проектирование: опасные гидрологические и геологические явления (заболоченная территория). Коэффициент применяется к стоимости проектирования следующих разделов П+Р: ПЗУ (ППО в части вертикальной планировки и организации рельефа. транспорта); в полном объеме АР и КР (ТКР. ИЛО); в части монтажных элементов ИОС; доля СМ на выполняемый объем </t>
  </si>
  <si>
    <t xml:space="preserve">K2 = 1.15
Методика, 707/пр. Приложение 5, табл.5.1, п.1.1 (Усложняющий) </t>
  </si>
  <si>
    <t>Смета №1.4</t>
  </si>
  <si>
    <t>Смета №1.5</t>
  </si>
  <si>
    <t>Смета №1.6</t>
  </si>
  <si>
    <t>Автомобильные дороги технической категории IV. Категория сложности проектирования: 2. Протяженность от 10 до 20 километров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</si>
  <si>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п.7.2
A = 2 032.7 тыс.руб; B = 308.352 тыс.руб;
Протяженность дороги L = 16.5 км;
Количество = 1;</t>
  </si>
  <si>
    <t>(A + B * L) * Количество * Ктек * Кст
(2 032 700 руб. + 308 352 руб. * 16.5) * 1 * 1.38 * 0.4 * 1.1245</t>
  </si>
  <si>
    <t>Искусственные сооружения. 2015 г. Таблица 2. Водопропускные трубы на железных и автомобильных дорогах, п.2.6
A = 7.59 тыс.руб; B = 0.33 тыс.руб;
Xзад = 12 (м);
Количество = 12</t>
  </si>
  <si>
    <t>(A + B * Xзад) * Количество * Ктек * Кст * (1 + дроб. ч. K1)
(7 590 руб. + 330 руб. * 12) * 12 * 7.1 * 0.34 * (1 + 0.15)</t>
  </si>
  <si>
    <t xml:space="preserve">Заглубленные сооружения и конструкции, водопонижение, противооползневые сооружения и мероприятия. Строительное водопонижение в сложных инженерно-геологических и гидрогеологических условиях. Периметр водопонизительного контура от 100 до 300 м. </t>
  </si>
  <si>
    <t>Заглубленные сооружения и конструкции, водопонижение, противооползневые сооружения и мероприятия. 2015 г. Таблица 1. Заглубленные сооружения и конструкции, водопонижение, противооползневые сооружения и мероприятия, п.13
A = 69.48 тыс.руб; B = 49.123 тыс.руб;
Xзад = 2.55 (100 м);
Количество = 1</t>
  </si>
  <si>
    <t>(A + B * Xзад) * Количество * Ктек * Кст
(69 480 руб. + 49 123 руб. * 2.55) * 1 * 7.1 * 0.3</t>
  </si>
  <si>
    <t>Кст = 0.3</t>
  </si>
  <si>
    <t>(2% + 4% + 7% + 7% + 49% + 12% + 4% + 8% + 2% + 5%) = 100%</t>
  </si>
  <si>
    <t>Коэф-т 1 от п.6 * 0.8</t>
  </si>
  <si>
    <t>8</t>
  </si>
  <si>
    <t>Смета №1.7</t>
  </si>
  <si>
    <t>Смета №1.8</t>
  </si>
  <si>
    <t>Автомобильные дороги технической категории IV. Категория сложности проектирования: 2. Протяженность от 1 до 2 километров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</si>
  <si>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п.4.2
A = 544 тыс.руб; B = 523.714 тыс.руб;
Протяженность дороги L = 1.85 км;
Количество = 1;</t>
  </si>
  <si>
    <t>(A + B * L) * Количество * Ктек * Кст
(544 000 руб. + 523 714 руб. * 1.85) * 1 * 1.38 * 0.4 * 1.1245</t>
  </si>
  <si>
    <t>Смета №2.1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</si>
  <si>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п.4.2
A = 544 тыс.руб; B = 523.714 тыс.руб;
Протяженность дороги L = 1.694 км;
Количество = 1;</t>
  </si>
  <si>
    <t>(A + B * L) * Количество * Ктек * Кст * K1
(544 000 руб. + 523 714 руб. * 1.694) * 1 * 1.38 * 0.4 * 0.75</t>
  </si>
  <si>
    <t>Коэффициент на объём работ</t>
  </si>
  <si>
    <t>K1 = 0.75
 (Ценообразующий)</t>
  </si>
  <si>
    <t>Искусственные сооружения. 2015 г. Таблица 2. Водопропускные трубы на железных и автомобильных дорогах, п.2.4
A = 5.61 тыс.руб; B = 0.24 тыс.руб;
Xзад = 12 (м);
Количество = 1</t>
  </si>
  <si>
    <t>(A + B * Xзад) * Количество * Ктек * Кст
(5 610 руб. + 240 руб. * 12) * 1 * 7.1 * 0.34</t>
  </si>
  <si>
    <t>Смета №2.2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</si>
  <si>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п.4.2
A = 544 тыс.руб; B = 523.714 тыс.руб;
Протяженность дороги L = 1.81 км;
Количество = 1;</t>
  </si>
  <si>
    <t>(A + B * L) * Количество * Ктек * Кст * K1
(544 000 руб. + 523 714 руб. * 1.81) * 1 * 1.38 * 0.4 * 0.74</t>
  </si>
  <si>
    <t>K1 = 0.74
 (Ценообразующий)</t>
  </si>
  <si>
    <t>Искусственные сооружения. 2015 г. Таблица 2. Водопропускные трубы на железных и автомобильных дорогах, п.2.4
A = 5.61 тыс.руб; B = 0.24 тыс.руб;
Xзад = 12 (м);
Количество = 2</t>
  </si>
  <si>
    <t>(A + B * Xзад) * Количество * Ктек * Кст
(5 610 руб. + 240 руб. * 12) * 2 * 7.1 * 0.34</t>
  </si>
  <si>
    <t>Смета №2.3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</si>
  <si>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п.3.2
A = 357.8 тыс.руб; B = 616.816 тыс.руб;
Протяженность дороги L = 0.6 км;
Количество = 1;</t>
  </si>
  <si>
    <t>(A + B * L) * Количество * Ктек * Кст * K1
(357 800 руб. + 616 816 руб. * 0.6) * 1 * 1.38 * 0.4 * 0.71</t>
  </si>
  <si>
    <t>K1 = 0.71
 (Ценообразующий)</t>
  </si>
  <si>
    <t>Смета №2.4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</si>
  <si>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п.3.2
A = 357.8 тыс.руб; B = 616.816 тыс.руб;
Протяженность дороги L = 0.94 км;
Количество = 1;</t>
  </si>
  <si>
    <t>(A + B * L) * Количество * Ктек * Кст * K1
(357 800 руб. + 616 816 руб. * 0.94) * 1 * 1.38 * 0.4 * 0.73</t>
  </si>
  <si>
    <t>K1 = 0.73
 (Ценообразующий)</t>
  </si>
  <si>
    <t>Смета №2.5</t>
  </si>
  <si>
    <t>Автомобильные дороги технической категории IV. Категория сложности проектирования: 2. Протяженность до 0.2 километра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</si>
  <si>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п.1.2
A = 357.1 тыс.руб;
Протяженность дороги L = 0.16 км;
Количество = 1(объект, до 0.2 километра включительно)</t>
  </si>
  <si>
    <t>A * Количество * Ктек * Кст * K1
357 100 руб. * 1 * 1.38 * 0.4 * 0.96</t>
  </si>
  <si>
    <t>K1 = 0.96
 (Ценообразующий)</t>
  </si>
  <si>
    <t>Смета №2.6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</si>
  <si>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п.2.2
A = 151.1 тыс.руб; B = 1 030.273 тыс.руб;
Протяженность дороги L = 0.276 км;
Количество = 1;</t>
  </si>
  <si>
    <t>(A + B * L) * Количество * Ктек * Кст
(151 100 руб. + 1 030 273 руб. * 0.276) * 1 * 1.38 * 0.4</t>
  </si>
  <si>
    <t>Смета №2.7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</si>
  <si>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п.4.2
A = 544 тыс.руб; B = 523.714 тыс.руб;
Протяженность дороги L = 1.67 км;
Количество = 1;</t>
  </si>
  <si>
    <t>(A + B * L) * Количество * Ктек * Кст * K1
(544 000 руб. + 523 714 руб. * 1.67) * 1 * 1.38 * 0.4 * 0.75</t>
  </si>
  <si>
    <t>Смета №2.8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</si>
  <si>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п.4.2
A = 544 тыс.руб; B = 523.714 тыс.руб;
Протяженность дороги L = 1.87 км;
Количество = 1;</t>
  </si>
  <si>
    <t>(A + B * L) * Количество * Ктек * Кст * K1
(544 000 руб. + 523 714 руб. * 1.87) * 1 * 1.38 * 0.4 * 0.75</t>
  </si>
  <si>
    <t>Смета №2.9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</si>
  <si>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3.7. Развязки, п.2.2
A = 1 440.8 тыс.руб; 
Количество = 1 (объект)</t>
  </si>
  <si>
    <t>A * Количество * Ктек * Кст * K1
1 440 800 руб. * 1 * 1.38 * 0.4 * 0.47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</si>
  <si>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п.5.2
A = 545.5 тыс.руб; B = 522.975 тыс.руб;
Протяженность дороги L = 2.877 км;
Количество = 1;</t>
  </si>
  <si>
    <t>(A + B * L) * Количество * Ктек * Кст * K1
(545 500 руб. + 522 975 руб. * 2.877) * 1 * 1.38 * 0.4 * 0.65</t>
  </si>
  <si>
    <t>K1 = 0.65
 (Ценообразующий)</t>
  </si>
  <si>
    <t>Коэф-т 1 от п.4 * 0.8</t>
  </si>
  <si>
    <t>Смета №2.10</t>
  </si>
  <si>
    <t>Смета №2.11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</si>
  <si>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п.4.2
A = 544 тыс.руб; B = 523.714 тыс.руб;
Протяженность дороги L = 1.32 км;
Количество = 1;</t>
  </si>
  <si>
    <t>(A + B * L) * Количество * Ктек * Кст * K1
(544 000 руб. + 523 714 руб. * 1.32) * 1 * 1.38 * 0.4 * 0.74</t>
  </si>
  <si>
    <t>Смета №2.12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</si>
  <si>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п.5.2
A = 545.5 тыс.руб; B = 522.975 тыс.руб;
Протяженность дороги L = 2.677 км;
Количество = 1;</t>
  </si>
  <si>
    <t>(A + B * L) * Количество * Ктек * Кст * K1
(545 500 руб. + 522 975 руб. * 2.677) * 1 * 1.38 * 0.4 * 0.75</t>
  </si>
  <si>
    <t>Смета №2.13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</si>
  <si>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п.2.2
A = 151.1 тыс.руб; B = 1 030.273 тыс.руб;
Протяженность дороги L = 0.32 км;
Количество = 1;</t>
  </si>
  <si>
    <t>(A + B * L) * Количество * Ктек * Кст
(151 100 руб. + 1 030 273 руб. * 0.32) * 1 * 1.38 * 0.4</t>
  </si>
  <si>
    <t>Смета №2.14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</si>
  <si>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п.3.2
A = 357.8 тыс.руб; B = 616.816 тыс.руб;
Протяженность дороги L = 0.87 км;
Количество = 1;</t>
  </si>
  <si>
    <t>(A + B * L) * Количество * Ктек * Кст * K1
(357 800 руб. + 616 816 руб. * 0.87) * 1 * 1.38 * 0.4 * 0.75</t>
  </si>
  <si>
    <t>Смета №2.15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</si>
  <si>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п.2.2
A = 151.1 тыс.руб; B = 1 030.273 тыс.руб;
Протяженность дороги L = 0.43 км;
Количество = 1;</t>
  </si>
  <si>
    <t>(A + B * L) * Количество * Ктек * Кст
(151 100 руб. + 1 030 273 руб. * 0.43) * 1 * 1.38 * 0.4</t>
  </si>
  <si>
    <t>Смета №2.16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</si>
  <si>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п.2.2
A = 151.1 тыс.руб; B = 1 030.273 тыс.руб;
Протяженность дороги L = 0.205 км;
Количество = 1;</t>
  </si>
  <si>
    <t>(A + B * L) * Количество * Ктек * Кст
(151 100 руб. + 1 030 273 руб. * 0.205) * 1 * 1.38 * 0.4</t>
  </si>
  <si>
    <t>Смета №3.1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</si>
  <si>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п.5.2
A = 545.5 тыс.руб; B = 522.975 тыс.руб;
Протяженность дороги L = 2.604 км;
Количество = 1;</t>
  </si>
  <si>
    <t>(A + B * L) * Количество * Ктек * Кст * K1
(545 500 руб. + 522 975 руб. * 2.604) * 1 * 1.38 * 0.4 * 0.75</t>
  </si>
  <si>
    <t>Смета №3.2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</si>
  <si>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п.5.2
A = 545.5 тыс.руб; B = 522.975 тыс.руб;
Протяженность дороги L = 3.256 км;
Количество = 1;</t>
  </si>
  <si>
    <t>(A + B * L) * Количество * Ктек * Кст * K1
(545 500 руб. + 522 975 руб. * 3.256) * 1 * 1.38 * 0.4 * 0.8</t>
  </si>
  <si>
    <t>K1 = 0.8
 (Ценообразующий)</t>
  </si>
  <si>
    <t>Смета №3.3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</si>
  <si>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п.3.2
A = 357.8 тыс.руб; B = 616.816 тыс.руб;
Протяженность дороги L = 0.67 км;
Количество = 1;</t>
  </si>
  <si>
    <t>(A + B * L) * Количество * Ктек * Кст
(357 800 руб. + 616 816 руб. * 0.67) * 1 * 1.38 * 0.4</t>
  </si>
  <si>
    <t>Смета №3.4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</si>
  <si>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п.2.2
A = 151.1 тыс.руб; B = 1 030.273 тыс.руб;
Протяженность дороги L = 0.338 км;
Количество = 1;</t>
  </si>
  <si>
    <t>(A + B * L) * Количество * Ктек * Кст
(151 100 руб. + 1 030 273 руб. * 0.338) * 1 * 1.38 * 0.4</t>
  </si>
  <si>
    <t>Форма 1пс</t>
  </si>
  <si>
    <t>Разработка раздела проектной документации «Автомобильные дороги» по объекту «Магистральный газопровод «Мурманск-Волхов». Этап 1.2. Линейная часть. Участок УП ГРС Костомукша – УП ГРС КемьЭтап 1.3. Линейная часть. Участок УП ГРС Кемь – УП ГРС ЛоухиЭтап 1.9. Линейная часть. Участок УП ГРС Мончегорск – УП КС Мурманская</t>
  </si>
  <si>
    <t>Наименование участника</t>
  </si>
  <si>
    <t>КАЛЕНДАРНЫЙ ПЛАН РАБОТ</t>
  </si>
  <si>
    <t xml:space="preserve">Разработка раздела проектной документации «Автомобильные дороги» по объекту «Магистральный газопровод «Мурманск-Волхов». 
Этап 1.2. Линейная часть. Участок УП ГРС Костомукша – УП ГРС Кемь, Этап 1.3. Линейная часть. Участок УП ГРС Кемь – УП ГРС Лоухи, Этап 1.9. Линейная часть. Участок УП ГРС Мончегорск – УП КС Мурманская
</t>
  </si>
  <si>
    <t>№
этапа</t>
  </si>
  <si>
    <t>Наименование работ
(этапа работ)</t>
  </si>
  <si>
    <t>Сроки выполнения работ</t>
  </si>
  <si>
    <t>НДС** ___%, руб</t>
  </si>
  <si>
    <t>Стоимость работ с учетом НДС (руб.)</t>
  </si>
  <si>
    <t>НМЦ (лимитная стоимость) работ (руб), без НДС***</t>
  </si>
  <si>
    <t>НМЦ (лимитная стоимость) работ (руб), с НДС***</t>
  </si>
  <si>
    <t>Начало выполнения работ</t>
  </si>
  <si>
    <t>Окончание выполнения работ</t>
  </si>
  <si>
    <t>С даты заключения договора</t>
  </si>
  <si>
    <t>2 месяца с даты заключения договора</t>
  </si>
  <si>
    <t>3 месяца с даты заключения договора</t>
  </si>
  <si>
    <t>Итого:</t>
  </si>
  <si>
    <t>* при составлении сводной сметы в обязательном порядке приложить локальные сметные расчеты по видам выполняемых работ</t>
  </si>
  <si>
    <t xml:space="preserve">** участник должен указать ставку НДС в соответствии с его системой налогообложения и уровнем доходов. </t>
  </si>
  <si>
    <t>*** стоимость по каждому этапу не должна превышать начальную (максимальную) цену договора (НМЦ) по каждому этапу</t>
  </si>
  <si>
    <t>Коммерческое предложение (Форма 1.1)</t>
  </si>
  <si>
    <t>Наименование объекта проектирования:</t>
  </si>
  <si>
    <t>№№ п/п</t>
  </si>
  <si>
    <t>Наименование видов инженерных изысканий, работ и затрат</t>
  </si>
  <si>
    <t>Ссылка на 
№№ смет по формам 
2п и 3п</t>
  </si>
  <si>
    <t>Сметная стоимость проектно -изыскательских работ, руб. без НДС</t>
  </si>
  <si>
    <t>НДС** 5% , руб</t>
  </si>
  <si>
    <t>Сметная стоимость проектно -изыскательских работ, руб. с НДС</t>
  </si>
  <si>
    <t xml:space="preserve">НМЦ (лимитная стоимость) работ (руб), без НДС*** </t>
  </si>
  <si>
    <t>НДС 20%, руб</t>
  </si>
  <si>
    <t>11</t>
  </si>
  <si>
    <t>Итого</t>
  </si>
  <si>
    <t xml:space="preserve">          Руководитель Организации (Уполномоченное лицо):</t>
  </si>
  <si>
    <t xml:space="preserve">(должность) </t>
  </si>
  <si>
    <t xml:space="preserve">                                                       (ФИО)                                          (подпись) </t>
  </si>
  <si>
    <t>МП</t>
  </si>
  <si>
    <t>«30» июня 2026 г.</t>
  </si>
  <si>
    <r>
      <t xml:space="preserve">Этап 1.2. Линейная часть. Участок УП ГРС Костомукша - УП ГРС Кемь. Автомобильные дороги </t>
    </r>
    <r>
      <rPr>
        <sz val="11"/>
        <color indexed="2"/>
        <rFont val="Arial"/>
        <family val="2"/>
        <charset val="204"/>
      </rPr>
      <t>(Сметы 1.1 - 1.8 - 100%)</t>
    </r>
  </si>
  <si>
    <r>
      <t xml:space="preserve">Этап 1.3. Линейная часть. Участок УП ГРС Кемь - УП ГРС Лоухи. Автомобильные дороги </t>
    </r>
    <r>
      <rPr>
        <sz val="11"/>
        <color indexed="2"/>
        <rFont val="Arial"/>
        <family val="2"/>
        <charset val="204"/>
      </rPr>
      <t>(Сметы 2.1-2.16 - 100%)</t>
    </r>
  </si>
  <si>
    <r>
      <t xml:space="preserve">Этап 1.9. Линейная часть. Участок УП ГРС Оленегорск - УП ГРС Мурманск. Автомобильные дороги </t>
    </r>
    <r>
      <rPr>
        <sz val="11"/>
        <color indexed="2"/>
        <rFont val="Arial"/>
        <family val="2"/>
        <charset val="204"/>
      </rPr>
      <t>(Сметы 3.1-3.4 - 100%)</t>
    </r>
  </si>
  <si>
    <r>
      <t xml:space="preserve">Наименование участника: </t>
    </r>
    <r>
      <rPr>
        <u/>
        <sz val="11"/>
        <rFont val="Arial"/>
        <family val="2"/>
        <charset val="204"/>
      </rPr>
      <t>ООО "СПЕЦПРОЕКТСТРОЙ"</t>
    </r>
  </si>
  <si>
    <r>
      <t xml:space="preserve">Наименование и номер маркетинговых исследований:  </t>
    </r>
    <r>
      <rPr>
        <u/>
        <sz val="11"/>
        <rFont val="Arial"/>
        <family val="2"/>
        <charset val="204"/>
      </rPr>
      <t>Разработка раздела проектной документации «Автомобильные дороги» по объекту «Магистральный газопровод «Мурманск-Волхов». Этап 1.2. Линейная часть. Участок УП ГРС Костомукша – УП ГРС Кемь, Этап 1.3. Линейная часть. Участок УП ГРС Кемь – УП ГРС Лоухи, Этап 1.9. Линейная часть. Участок УП ГРС Мончегорск – УП КС Мурманская для нужд ООО "Газпром проектирование", №0080/26/2.3/00083983/ГППроект/ПР/ГОС/Э/29.07.2026</t>
    </r>
  </si>
  <si>
    <r>
      <rPr>
        <sz val="11"/>
        <rFont val="Arial"/>
        <family val="2"/>
        <charset val="204"/>
      </rPr>
      <t xml:space="preserve">                   </t>
    </r>
    <r>
      <rPr>
        <u/>
        <sz val="11"/>
        <rFont val="Arial"/>
        <family val="2"/>
        <charset val="204"/>
      </rPr>
      <t xml:space="preserve"> Директор ООО "Спецпроекстрой"</t>
    </r>
    <r>
      <rPr>
        <sz val="11"/>
        <rFont val="Arial"/>
        <family val="2"/>
        <charset val="204"/>
      </rPr>
      <t xml:space="preserve">   </t>
    </r>
    <r>
      <rPr>
        <u/>
        <sz val="11"/>
        <rFont val="Arial"/>
        <family val="2"/>
        <charset val="204"/>
      </rPr>
      <t>Макаров Сергей Викторович</t>
    </r>
    <r>
      <rPr>
        <sz val="11"/>
        <rFont val="Arial"/>
        <family val="2"/>
        <charset val="204"/>
      </rPr>
      <t xml:space="preserve">     </t>
    </r>
    <r>
      <rPr>
        <u/>
        <sz val="11"/>
        <rFont val="Arial"/>
        <family val="2"/>
        <charset val="204"/>
      </rPr>
      <t xml:space="preserve">                                              </t>
    </r>
  </si>
  <si>
    <t xml:space="preserve">Разработка раздела проектной документации «Автомобильные дороги» по объекту «Магистральный газопровод «Мурманск-Волхов». Этап 1.2. Линейная часть. Участок УП ГРС Костомукша – УП ГРС КемьЭтап 1.3. Линейная часть. Участок УП ГРС Кемь – УП ГРС Лоухи Этап 1.9. Линейная часть. Участок УП ГРС Мончегорск – УП КС Мурманская
</t>
  </si>
  <si>
    <t>ОБЩЕСТВО С ОГРАНИЧЕННОЙ ОТВЕТСТВЕННОСТЬЮ
 «СПЕЦИАЛЬНОЕ ПРОЕКТИРОВАНИЕ СТРОИТЕЛЬСТВА»
ООО «СПЕЦПРОЕКТСТРОЙ»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</si>
</sst>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_₽"/>
    <numFmt numFmtId="165" formatCode="#,##0.00\ [$₽-419]"/>
    <numFmt numFmtId="166" formatCode="_-* #,##0.00\ _₽_-;\-* #,##0.00\ _₽_-;_-* &quot;-&quot;??\ _₽_-;_-@_-"/>
  </numFmts>
  <fonts count="25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u/>
      <sz val="10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indexed="2"/>
      <name val="Arial"/>
      <family val="2"/>
      <charset val="204"/>
    </font>
    <font>
      <sz val="11"/>
      <color indexed="2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color indexed="2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sz val="11"/>
      <color rgb="FFC00000"/>
      <name val="Arial"/>
      <family val="2"/>
      <charset val="204"/>
    </font>
    <font>
      <u/>
      <sz val="11"/>
      <name val="Arial"/>
      <family val="2"/>
      <charset val="204"/>
    </font>
    <font>
      <b/>
      <sz val="11"/>
      <color rgb="FFC00000"/>
      <name val="Arial"/>
      <family val="2"/>
      <charset val="204"/>
    </font>
    <font>
      <u/>
      <sz val="11"/>
      <color theme="1"/>
      <name val="Arial"/>
      <family val="2"/>
      <charset val="204"/>
    </font>
    <font>
      <b/>
      <i/>
      <sz val="11"/>
      <name val="Arial"/>
      <family val="2"/>
      <charset val="204"/>
    </font>
    <font>
      <i/>
      <sz val="11"/>
      <color rgb="FF0000CC"/>
      <name val="Arial"/>
      <family val="2"/>
      <charset val="204"/>
    </font>
    <font>
      <b/>
      <i/>
      <sz val="11"/>
      <color rgb="FF0000CC"/>
      <name val="Arial"/>
      <family val="2"/>
      <charset val="204"/>
    </font>
    <font>
      <i/>
      <sz val="11"/>
      <color theme="1"/>
      <name val="Arial"/>
      <family val="2"/>
      <charset val="204"/>
    </font>
    <font>
      <i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0" fontId="1" fillId="0" borderId="0"/>
    <xf numFmtId="0" fontId="6" fillId="0" borderId="0">
      <alignment horizontal="left" vertical="center"/>
    </xf>
    <xf numFmtId="0" fontId="2" fillId="0" borderId="0"/>
    <xf numFmtId="0" fontId="1" fillId="0" borderId="0"/>
    <xf numFmtId="0" fontId="2" fillId="0" borderId="0">
      <alignment horizontal="center" vertical="center"/>
    </xf>
    <xf numFmtId="0" fontId="6" fillId="0" borderId="0">
      <alignment horizontal="left" vertical="top"/>
    </xf>
  </cellStyleXfs>
  <cellXfs count="161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center" vertical="top" wrapText="1"/>
    </xf>
    <xf numFmtId="4" fontId="4" fillId="0" borderId="2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0" borderId="0" xfId="1" applyFont="1"/>
    <xf numFmtId="165" fontId="7" fillId="0" borderId="0" xfId="1" applyNumberFormat="1" applyFont="1"/>
    <xf numFmtId="14" fontId="9" fillId="0" borderId="2" xfId="1" applyNumberFormat="1" applyFont="1" applyBorder="1" applyAlignment="1">
      <alignment horizontal="center" vertical="center" wrapText="1"/>
    </xf>
    <xf numFmtId="1" fontId="9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9" fillId="0" borderId="14" xfId="1" applyFont="1" applyBorder="1" applyAlignment="1">
      <alignment horizontal="center" vertical="center" wrapText="1"/>
    </xf>
    <xf numFmtId="1" fontId="9" fillId="0" borderId="2" xfId="1" applyNumberFormat="1" applyFont="1" applyBorder="1" applyAlignment="1">
      <alignment horizontal="center" vertical="center" wrapText="1"/>
    </xf>
    <xf numFmtId="4" fontId="9" fillId="0" borderId="2" xfId="1" applyNumberFormat="1" applyFont="1" applyBorder="1" applyAlignment="1">
      <alignment horizontal="left" vertical="center" wrapText="1"/>
    </xf>
    <xf numFmtId="0" fontId="9" fillId="0" borderId="2" xfId="1" applyFont="1" applyBorder="1" applyAlignment="1">
      <alignment horizontal="center" vertical="center" wrapText="1"/>
    </xf>
    <xf numFmtId="4" fontId="9" fillId="0" borderId="2" xfId="1" applyNumberFormat="1" applyFont="1" applyBorder="1" applyAlignment="1">
      <alignment horizontal="center" vertical="center" wrapText="1"/>
    </xf>
    <xf numFmtId="4" fontId="7" fillId="0" borderId="2" xfId="1" applyNumberFormat="1" applyFont="1" applyBorder="1" applyAlignment="1">
      <alignment horizontal="center" vertical="center"/>
    </xf>
    <xf numFmtId="4" fontId="7" fillId="0" borderId="17" xfId="1" applyNumberFormat="1" applyFont="1" applyBorder="1" applyAlignment="1">
      <alignment horizontal="center" vertical="center"/>
    </xf>
    <xf numFmtId="164" fontId="12" fillId="0" borderId="11" xfId="1" applyNumberFormat="1" applyFont="1" applyBorder="1" applyAlignment="1">
      <alignment horizontal="center" vertical="center" wrapText="1"/>
    </xf>
    <xf numFmtId="164" fontId="12" fillId="0" borderId="11" xfId="1" applyNumberFormat="1" applyFont="1" applyBorder="1" applyAlignment="1">
      <alignment horizontal="center" vertical="center"/>
    </xf>
    <xf numFmtId="164" fontId="13" fillId="0" borderId="2" xfId="1" applyNumberFormat="1" applyFont="1" applyBorder="1" applyAlignment="1">
      <alignment horizontal="center" vertical="center" wrapText="1"/>
    </xf>
    <xf numFmtId="165" fontId="12" fillId="0" borderId="11" xfId="1" applyNumberFormat="1" applyFont="1" applyBorder="1" applyAlignment="1">
      <alignment horizontal="center" vertical="center"/>
    </xf>
    <xf numFmtId="0" fontId="10" fillId="0" borderId="0" xfId="2" applyFont="1" applyAlignment="1">
      <alignment vertical="center" wrapText="1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4" fontId="10" fillId="0" borderId="0" xfId="3" applyNumberFormat="1" applyFont="1" applyAlignment="1">
      <alignment horizontal="left" vertical="center"/>
    </xf>
    <xf numFmtId="4" fontId="10" fillId="0" borderId="0" xfId="3" applyNumberFormat="1" applyFont="1" applyAlignment="1">
      <alignment vertical="center" wrapText="1"/>
    </xf>
    <xf numFmtId="0" fontId="9" fillId="0" borderId="0" xfId="4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165" fontId="7" fillId="0" borderId="0" xfId="1" applyNumberFormat="1" applyFont="1" applyFill="1" applyAlignment="1">
      <alignment horizontal="center" vertical="center"/>
    </xf>
    <xf numFmtId="0" fontId="10" fillId="2" borderId="0" xfId="5" quotePrefix="1" applyFont="1" applyFill="1" applyAlignment="1">
      <alignment horizontal="center" vertical="center" wrapText="1"/>
    </xf>
    <xf numFmtId="0" fontId="10" fillId="2" borderId="0" xfId="5" applyFont="1" applyFill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/>
    </xf>
    <xf numFmtId="0" fontId="10" fillId="0" borderId="0" xfId="4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165" fontId="9" fillId="0" borderId="0" xfId="1" applyNumberFormat="1" applyFont="1" applyFill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4" fontId="18" fillId="3" borderId="11" xfId="1" applyNumberFormat="1" applyFont="1" applyFill="1" applyBorder="1" applyAlignment="1">
      <alignment horizontal="center" vertical="center" wrapText="1"/>
    </xf>
    <xf numFmtId="49" fontId="10" fillId="3" borderId="11" xfId="1" applyNumberFormat="1" applyFont="1" applyFill="1" applyBorder="1" applyAlignment="1">
      <alignment horizontal="center" vertical="center" wrapText="1"/>
    </xf>
    <xf numFmtId="49" fontId="9" fillId="3" borderId="11" xfId="1" applyNumberFormat="1" applyFont="1" applyFill="1" applyBorder="1" applyAlignment="1">
      <alignment horizontal="center" vertical="center" wrapText="1"/>
    </xf>
    <xf numFmtId="4" fontId="16" fillId="0" borderId="0" xfId="1" applyNumberFormat="1" applyFont="1" applyAlignment="1">
      <alignment horizontal="center" vertical="center" wrapText="1"/>
    </xf>
    <xf numFmtId="165" fontId="7" fillId="0" borderId="0" xfId="1" applyNumberFormat="1" applyFont="1" applyFill="1" applyAlignment="1">
      <alignment horizontal="center" vertical="center" wrapText="1"/>
    </xf>
    <xf numFmtId="0" fontId="7" fillId="0" borderId="0" xfId="1" applyFont="1" applyFill="1" applyAlignment="1">
      <alignment vertical="center" wrapText="1"/>
    </xf>
    <xf numFmtId="4" fontId="10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166" fontId="16" fillId="0" borderId="0" xfId="1" applyNumberFormat="1" applyFont="1" applyAlignment="1">
      <alignment horizontal="center" vertical="center"/>
    </xf>
    <xf numFmtId="166" fontId="12" fillId="0" borderId="0" xfId="1" applyNumberFormat="1" applyFont="1" applyFill="1" applyAlignment="1">
      <alignment horizontal="center" vertical="center"/>
    </xf>
    <xf numFmtId="165" fontId="10" fillId="0" borderId="0" xfId="1" applyNumberFormat="1" applyFont="1" applyFill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20" fillId="0" borderId="0" xfId="1" applyFont="1" applyAlignment="1">
      <alignment horizontal="left" vertical="center"/>
    </xf>
    <xf numFmtId="4" fontId="18" fillId="0" borderId="0" xfId="3" applyNumberFormat="1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7" fillId="0" borderId="0" xfId="1" applyFont="1" applyFill="1" applyAlignment="1">
      <alignment vertical="center"/>
    </xf>
    <xf numFmtId="49" fontId="9" fillId="0" borderId="0" xfId="1" applyNumberFormat="1" applyFont="1" applyAlignment="1">
      <alignment horizontal="center" vertical="center" wrapText="1"/>
    </xf>
    <xf numFmtId="0" fontId="10" fillId="0" borderId="0" xfId="1" applyFont="1" applyFill="1" applyAlignment="1">
      <alignment vertical="center" wrapText="1"/>
    </xf>
    <xf numFmtId="0" fontId="9" fillId="0" borderId="0" xfId="1" applyFont="1" applyFill="1" applyAlignment="1">
      <alignment vertical="center" wrapText="1"/>
    </xf>
    <xf numFmtId="4" fontId="10" fillId="3" borderId="11" xfId="1" applyNumberFormat="1" applyFont="1" applyFill="1" applyBorder="1" applyAlignment="1">
      <alignment horizontal="center" vertical="center" wrapText="1"/>
    </xf>
    <xf numFmtId="0" fontId="9" fillId="0" borderId="0" xfId="2" quotePrefix="1" applyFont="1" applyAlignment="1">
      <alignment horizontal="center" vertical="center" wrapText="1"/>
    </xf>
    <xf numFmtId="0" fontId="17" fillId="0" borderId="0" xfId="2" quotePrefix="1" applyFont="1" applyAlignment="1">
      <alignment horizontal="center" vertical="center" wrapText="1"/>
    </xf>
    <xf numFmtId="49" fontId="7" fillId="0" borderId="0" xfId="1" applyNumberFormat="1" applyFont="1" applyFill="1" applyAlignment="1">
      <alignment vertical="center"/>
    </xf>
    <xf numFmtId="49" fontId="16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165" fontId="13" fillId="0" borderId="0" xfId="1" applyNumberFormat="1" applyFont="1" applyFill="1" applyAlignment="1">
      <alignment horizontal="center" vertical="center"/>
    </xf>
    <xf numFmtId="0" fontId="13" fillId="0" borderId="0" xfId="1" applyFont="1" applyFill="1" applyAlignment="1">
      <alignment vertical="center"/>
    </xf>
    <xf numFmtId="4" fontId="10" fillId="3" borderId="21" xfId="1" applyNumberFormat="1" applyFont="1" applyFill="1" applyBorder="1" applyAlignment="1">
      <alignment horizontal="center" vertical="center" wrapText="1"/>
    </xf>
    <xf numFmtId="4" fontId="18" fillId="3" borderId="11" xfId="1" applyNumberFormat="1" applyFont="1" applyFill="1" applyBorder="1" applyAlignment="1">
      <alignment horizontal="center" vertical="center"/>
    </xf>
    <xf numFmtId="4" fontId="21" fillId="0" borderId="0" xfId="1" applyNumberFormat="1" applyFont="1" applyFill="1" applyAlignment="1">
      <alignment horizontal="center" vertical="center"/>
    </xf>
    <xf numFmtId="4" fontId="7" fillId="0" borderId="0" xfId="1" applyNumberFormat="1" applyFont="1" applyFill="1" applyAlignment="1">
      <alignment horizontal="center" vertical="center"/>
    </xf>
    <xf numFmtId="4" fontId="7" fillId="0" borderId="0" xfId="1" applyNumberFormat="1" applyFont="1" applyFill="1" applyAlignment="1">
      <alignment vertical="center"/>
    </xf>
    <xf numFmtId="4" fontId="22" fillId="0" borderId="0" xfId="1" applyNumberFormat="1" applyFont="1" applyFill="1" applyAlignment="1">
      <alignment horizontal="center" vertical="center" wrapText="1"/>
    </xf>
    <xf numFmtId="4" fontId="10" fillId="0" borderId="0" xfId="1" applyNumberFormat="1" applyFont="1" applyFill="1" applyAlignment="1">
      <alignment horizontal="center" vertical="center" wrapText="1"/>
    </xf>
    <xf numFmtId="4" fontId="10" fillId="0" borderId="0" xfId="1" applyNumberFormat="1" applyFont="1" applyFill="1" applyAlignment="1">
      <alignment vertical="center" wrapText="1"/>
    </xf>
    <xf numFmtId="4" fontId="21" fillId="0" borderId="0" xfId="1" applyNumberFormat="1" applyFont="1" applyFill="1" applyAlignment="1">
      <alignment horizontal="center" vertical="center" wrapText="1"/>
    </xf>
    <xf numFmtId="4" fontId="9" fillId="0" borderId="0" xfId="1" applyNumberFormat="1" applyFont="1" applyFill="1" applyAlignment="1">
      <alignment horizontal="center" vertical="center" wrapText="1"/>
    </xf>
    <xf numFmtId="4" fontId="9" fillId="0" borderId="0" xfId="1" applyNumberFormat="1" applyFont="1" applyFill="1" applyAlignment="1">
      <alignment vertical="center" wrapText="1"/>
    </xf>
    <xf numFmtId="4" fontId="22" fillId="0" borderId="0" xfId="1" applyNumberFormat="1" applyFont="1" applyFill="1" applyAlignment="1">
      <alignment horizontal="center" vertical="center"/>
    </xf>
    <xf numFmtId="4" fontId="13" fillId="0" borderId="0" xfId="1" applyNumberFormat="1" applyFont="1" applyFill="1" applyAlignment="1">
      <alignment horizontal="center" vertical="center"/>
    </xf>
    <xf numFmtId="4" fontId="13" fillId="0" borderId="0" xfId="1" applyNumberFormat="1" applyFont="1" applyFill="1" applyAlignment="1">
      <alignment vertical="center"/>
    </xf>
    <xf numFmtId="4" fontId="7" fillId="0" borderId="0" xfId="1" applyNumberFormat="1" applyFont="1" applyFill="1" applyAlignment="1">
      <alignment horizontal="center" vertical="center" wrapText="1"/>
    </xf>
    <xf numFmtId="4" fontId="7" fillId="0" borderId="0" xfId="1" applyNumberFormat="1" applyFont="1" applyFill="1" applyAlignment="1">
      <alignment vertical="center" wrapText="1"/>
    </xf>
    <xf numFmtId="4" fontId="12" fillId="0" borderId="0" xfId="1" applyNumberFormat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165" fontId="23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165" fontId="7" fillId="0" borderId="0" xfId="1" applyNumberFormat="1" applyFont="1" applyAlignment="1">
      <alignment horizontal="right" vertical="center"/>
    </xf>
    <xf numFmtId="165" fontId="13" fillId="0" borderId="0" xfId="1" applyNumberFormat="1" applyFont="1" applyAlignment="1">
      <alignment horizontal="right" vertical="center"/>
    </xf>
    <xf numFmtId="4" fontId="13" fillId="0" borderId="0" xfId="1" applyNumberFormat="1" applyFont="1" applyFill="1" applyAlignment="1">
      <alignment horizontal="right" vertical="center"/>
    </xf>
    <xf numFmtId="4" fontId="10" fillId="0" borderId="0" xfId="1" applyNumberFormat="1" applyFont="1" applyFill="1" applyAlignment="1">
      <alignment horizontal="right" vertical="center" wrapText="1"/>
    </xf>
    <xf numFmtId="4" fontId="13" fillId="0" borderId="0" xfId="1" applyNumberFormat="1" applyFont="1" applyFill="1" applyAlignment="1">
      <alignment horizontal="right" vertical="center" wrapText="1"/>
    </xf>
    <xf numFmtId="4" fontId="23" fillId="0" borderId="0" xfId="1" applyNumberFormat="1" applyFont="1" applyFill="1" applyAlignment="1">
      <alignment horizontal="left" vertical="center"/>
    </xf>
    <xf numFmtId="4" fontId="24" fillId="0" borderId="0" xfId="1" applyNumberFormat="1" applyFont="1" applyFill="1" applyAlignment="1">
      <alignment horizontal="left" vertical="center" wrapText="1"/>
    </xf>
    <xf numFmtId="4" fontId="23" fillId="0" borderId="0" xfId="1" applyNumberFormat="1" applyFont="1" applyFill="1" applyAlignment="1">
      <alignment horizontal="left" vertical="center" wrapText="1"/>
    </xf>
    <xf numFmtId="49" fontId="9" fillId="0" borderId="11" xfId="1" applyNumberFormat="1" applyFont="1" applyFill="1" applyBorder="1" applyAlignment="1">
      <alignment horizontal="center" vertical="center" wrapText="1"/>
    </xf>
    <xf numFmtId="4" fontId="9" fillId="0" borderId="11" xfId="1" applyNumberFormat="1" applyFont="1" applyFill="1" applyBorder="1" applyAlignment="1">
      <alignment horizontal="center" vertical="center"/>
    </xf>
    <xf numFmtId="4" fontId="16" fillId="0" borderId="11" xfId="1" applyNumberFormat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10" fillId="0" borderId="17" xfId="1" applyFont="1" applyBorder="1" applyAlignment="1">
      <alignment horizontal="right" vertical="center" wrapText="1"/>
    </xf>
    <xf numFmtId="0" fontId="10" fillId="0" borderId="18" xfId="1" applyFont="1" applyBorder="1" applyAlignment="1">
      <alignment horizontal="right" vertical="center" wrapText="1"/>
    </xf>
    <xf numFmtId="0" fontId="10" fillId="0" borderId="19" xfId="1" applyFont="1" applyBorder="1" applyAlignment="1">
      <alignment horizontal="right" vertical="center" wrapText="1"/>
    </xf>
    <xf numFmtId="0" fontId="14" fillId="0" borderId="0" xfId="1" applyFont="1" applyAlignment="1">
      <alignment horizontal="left" vertical="top" wrapText="1"/>
    </xf>
    <xf numFmtId="0" fontId="10" fillId="0" borderId="0" xfId="1" applyFont="1" applyAlignment="1">
      <alignment horizontal="center" vertical="center" wrapText="1"/>
    </xf>
    <xf numFmtId="4" fontId="9" fillId="0" borderId="3" xfId="1" applyNumberFormat="1" applyFont="1" applyBorder="1" applyAlignment="1">
      <alignment horizontal="center" vertical="center" wrapText="1"/>
    </xf>
    <xf numFmtId="4" fontId="9" fillId="0" borderId="12" xfId="1" applyNumberFormat="1" applyFont="1" applyBorder="1" applyAlignment="1">
      <alignment horizontal="center" vertical="center" wrapText="1"/>
    </xf>
    <xf numFmtId="4" fontId="9" fillId="0" borderId="6" xfId="1" applyNumberFormat="1" applyFont="1" applyBorder="1" applyAlignment="1">
      <alignment horizontal="center" vertical="center" wrapText="1"/>
    </xf>
    <xf numFmtId="4" fontId="9" fillId="0" borderId="13" xfId="1" applyNumberFormat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4" fontId="9" fillId="0" borderId="9" xfId="1" applyNumberFormat="1" applyFont="1" applyBorder="1" applyAlignment="1">
      <alignment horizontal="center" vertical="center" wrapText="1"/>
    </xf>
    <xf numFmtId="4" fontId="9" fillId="0" borderId="15" xfId="1" applyNumberFormat="1" applyFont="1" applyBorder="1" applyAlignment="1">
      <alignment horizontal="center" vertical="center" wrapText="1"/>
    </xf>
    <xf numFmtId="4" fontId="9" fillId="0" borderId="10" xfId="1" applyNumberFormat="1" applyFont="1" applyBorder="1" applyAlignment="1">
      <alignment horizontal="center" vertical="center" wrapText="1"/>
    </xf>
    <xf numFmtId="4" fontId="9" fillId="0" borderId="16" xfId="1" applyNumberFormat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12" fillId="0" borderId="0" xfId="2" quotePrefix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17" fillId="0" borderId="0" xfId="1" applyFont="1" applyAlignment="1">
      <alignment horizontal="left" vertical="center" wrapText="1"/>
    </xf>
    <xf numFmtId="0" fontId="19" fillId="0" borderId="0" xfId="1" applyFont="1" applyAlignment="1">
      <alignment horizontal="left" vertical="center" wrapText="1"/>
    </xf>
    <xf numFmtId="0" fontId="8" fillId="0" borderId="0" xfId="0" applyFont="1" applyFill="1" applyBorder="1" applyAlignment="1">
      <alignment horizont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49" fontId="10" fillId="3" borderId="11" xfId="1" applyNumberFormat="1" applyFont="1" applyFill="1" applyBorder="1" applyAlignment="1">
      <alignment horizontal="center" vertical="center" wrapText="1"/>
    </xf>
    <xf numFmtId="0" fontId="10" fillId="2" borderId="0" xfId="5" quotePrefix="1" applyFont="1" applyFill="1" applyAlignment="1">
      <alignment horizontal="center" vertical="center" wrapText="1"/>
    </xf>
    <xf numFmtId="4" fontId="9" fillId="0" borderId="0" xfId="1" applyNumberFormat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49" fontId="9" fillId="0" borderId="0" xfId="1" applyNumberFormat="1" applyFont="1" applyAlignment="1">
      <alignment horizontal="left" vertical="center" wrapText="1"/>
    </xf>
    <xf numFmtId="0" fontId="10" fillId="2" borderId="0" xfId="6" quotePrefix="1" applyFont="1" applyFill="1" applyAlignment="1">
      <alignment horizontal="left" vertical="center" wrapText="1"/>
    </xf>
    <xf numFmtId="0" fontId="9" fillId="0" borderId="11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2" fillId="0" borderId="2" xfId="0" applyNumberFormat="1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4" fontId="2" fillId="0" borderId="3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</cellXfs>
  <cellStyles count="7">
    <cellStyle name="S16" xfId="2"/>
    <cellStyle name="S2" xfId="6"/>
    <cellStyle name="S5" xfId="5"/>
    <cellStyle name="Обычный" xfId="0" builtinId="0"/>
    <cellStyle name="Обычный 2" xfId="1"/>
    <cellStyle name="Обычный 2 21" xfId="4"/>
    <cellStyle name="Обычный_сводный расчет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CC00"/>
      <color rgb="FF0000CC"/>
      <color rgb="FFCC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1603420</xdr:colOff>
      <xdr:row>54</xdr:row>
      <xdr:rowOff>618</xdr:rowOff>
    </xdr:from>
    <xdr:to>
      <xdr:col>2</xdr:col>
      <xdr:colOff>717595</xdr:colOff>
      <xdr:row>61</xdr:row>
      <xdr:rowOff>123251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26445">
          <a:off x="1973214" y="26894736"/>
          <a:ext cx="1422587" cy="1388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000000">
                  <a:alpha val="0"/>
                </a:srgbClr>
              </a:solidFill>
            </a14:hiddenFill>
          </a:ext>
        </a:extLst>
      </xdr:spPr>
    </xdr:pic>
    <xdr:clientData/>
  </xdr:twoCellAnchor>
  <xdr:twoCellAnchor>
    <xdr:from>
      <xdr:col>3</xdr:col>
      <xdr:colOff>755271</xdr:colOff>
      <xdr:row>49</xdr:row>
      <xdr:rowOff>272205</xdr:rowOff>
    </xdr:from>
    <xdr:to>
      <xdr:col>4</xdr:col>
      <xdr:colOff>329734</xdr:colOff>
      <xdr:row>55</xdr:row>
      <xdr:rowOff>136072</xdr:rowOff>
    </xdr:to>
    <xdr:pic>
      <xdr:nvPicPr>
        <xdr:cNvPr id="2" name="Рисунок 6" descr="Подпись_Макаров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521" y="25635919"/>
          <a:ext cx="1071249" cy="151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987879</xdr:colOff>
      <xdr:row>0</xdr:row>
      <xdr:rowOff>83404</xdr:rowOff>
    </xdr:from>
    <xdr:to>
      <xdr:col>4</xdr:col>
      <xdr:colOff>379400</xdr:colOff>
      <xdr:row>0</xdr:row>
      <xdr:rowOff>401811</xdr:rowOff>
    </xdr:to>
    <xdr:pic>
      <xdr:nvPicPr>
        <xdr:cNvPr id="4" name="Рисунок 3" descr="ЛогоСПС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0938" y="83404"/>
          <a:ext cx="881903" cy="318407"/>
        </a:xfrm>
        <a:prstGeom prst="rect">
          <a:avLst/>
        </a:prstGeom>
        <a:noFill/>
        <a:ln w="12700">
          <a:solidFill>
            <a:srgbClr val="0000CC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00"/>
    <pageSetUpPr fitToPage="1"/>
  </sheetPr>
  <dimension ref="A5:M17"/>
  <sheetViews>
    <sheetView tabSelected="1" view="pageBreakPreview" zoomScale="85" zoomScaleSheetLayoutView="85" workbookViewId="0">
      <selection activeCell="L26" sqref="L26"/>
    </sheetView>
  </sheetViews>
  <sheetFormatPr defaultRowHeight="14.25" x14ac:dyDescent="0.2"/>
  <cols>
    <col min="1" max="1" width="9.140625" style="10"/>
    <col min="2" max="2" width="37.7109375" style="10" customWidth="1"/>
    <col min="3" max="3" width="17.140625" style="10" customWidth="1"/>
    <col min="4" max="4" width="16.7109375" style="10" customWidth="1"/>
    <col min="5" max="9" width="18.140625" style="10" customWidth="1"/>
    <col min="10" max="10" width="5.42578125" style="10" customWidth="1"/>
    <col min="11" max="11" width="11.5703125" style="93" bestFit="1" customWidth="1"/>
    <col min="12" max="12" width="21.7109375" style="95" customWidth="1"/>
    <col min="13" max="13" width="7.5703125" style="92" bestFit="1" customWidth="1"/>
    <col min="14" max="16384" width="9.140625" style="10"/>
  </cols>
  <sheetData>
    <row r="5" spans="1:13" ht="15" x14ac:dyDescent="0.2">
      <c r="A5" s="112" t="s">
        <v>261</v>
      </c>
      <c r="B5" s="112"/>
      <c r="C5" s="112"/>
      <c r="D5" s="112"/>
      <c r="E5" s="112"/>
      <c r="F5" s="112"/>
      <c r="G5" s="112"/>
      <c r="H5" s="112"/>
      <c r="I5" s="112"/>
    </row>
    <row r="6" spans="1:13" ht="72.75" customHeight="1" x14ac:dyDescent="0.2">
      <c r="A6" s="112" t="s">
        <v>262</v>
      </c>
      <c r="B6" s="112"/>
      <c r="C6" s="112"/>
      <c r="D6" s="112"/>
      <c r="E6" s="112"/>
      <c r="F6" s="112"/>
      <c r="G6" s="112"/>
      <c r="H6" s="112"/>
      <c r="I6" s="112"/>
    </row>
    <row r="7" spans="1:13" x14ac:dyDescent="0.2">
      <c r="A7" s="13"/>
      <c r="B7" s="14"/>
      <c r="C7" s="15"/>
      <c r="D7" s="15"/>
      <c r="E7" s="14"/>
      <c r="F7" s="14"/>
      <c r="G7" s="14"/>
    </row>
    <row r="8" spans="1:13" x14ac:dyDescent="0.2">
      <c r="A8" s="113" t="s">
        <v>263</v>
      </c>
      <c r="B8" s="115" t="s">
        <v>264</v>
      </c>
      <c r="C8" s="117" t="s">
        <v>265</v>
      </c>
      <c r="D8" s="118"/>
      <c r="E8" s="119" t="s">
        <v>111</v>
      </c>
      <c r="F8" s="113" t="s">
        <v>266</v>
      </c>
      <c r="G8" s="121" t="s">
        <v>267</v>
      </c>
      <c r="H8" s="123" t="s">
        <v>268</v>
      </c>
      <c r="I8" s="123" t="s">
        <v>269</v>
      </c>
    </row>
    <row r="9" spans="1:13" ht="55.5" customHeight="1" x14ac:dyDescent="0.2">
      <c r="A9" s="114"/>
      <c r="B9" s="116"/>
      <c r="C9" s="16" t="s">
        <v>270</v>
      </c>
      <c r="D9" s="16" t="s">
        <v>271</v>
      </c>
      <c r="E9" s="120"/>
      <c r="F9" s="114"/>
      <c r="G9" s="122"/>
      <c r="H9" s="123"/>
      <c r="I9" s="123"/>
    </row>
    <row r="10" spans="1:13" ht="71.25" customHeight="1" x14ac:dyDescent="0.2">
      <c r="A10" s="17">
        <v>1</v>
      </c>
      <c r="B10" s="18" t="s">
        <v>296</v>
      </c>
      <c r="C10" s="19" t="s">
        <v>272</v>
      </c>
      <c r="D10" s="19" t="s">
        <v>273</v>
      </c>
      <c r="E10" s="20">
        <f>'Форма 1.1'!D14</f>
        <v>10469982.890000001</v>
      </c>
      <c r="F10" s="21">
        <f>'Форма 1.1'!E14</f>
        <v>523499.14</v>
      </c>
      <c r="G10" s="22">
        <f>'Форма 1.1'!F14</f>
        <v>10993482.030000001</v>
      </c>
      <c r="H10" s="23">
        <v>10472704.130000001</v>
      </c>
      <c r="I10" s="23">
        <f t="shared" ref="I10:I12" si="0">ROUND(H10*1.22,2)</f>
        <v>12776699.039999999</v>
      </c>
      <c r="J10" s="11"/>
      <c r="K10" s="94">
        <f>H10-E10</f>
        <v>2721.2400000002235</v>
      </c>
      <c r="L10" s="96"/>
    </row>
    <row r="11" spans="1:13" ht="61.5" customHeight="1" x14ac:dyDescent="0.2">
      <c r="A11" s="17">
        <v>2</v>
      </c>
      <c r="B11" s="18" t="s">
        <v>297</v>
      </c>
      <c r="C11" s="19" t="s">
        <v>272</v>
      </c>
      <c r="D11" s="19" t="s">
        <v>274</v>
      </c>
      <c r="E11" s="20">
        <f>'Форма 1.1'!D23</f>
        <v>6654622.6200000001</v>
      </c>
      <c r="F11" s="21">
        <f>'Форма 1.1'!E23</f>
        <v>332731.13</v>
      </c>
      <c r="G11" s="22">
        <f>'Форма 1.1'!F23</f>
        <v>6987353.75</v>
      </c>
      <c r="H11" s="24">
        <v>6659924.9199999999</v>
      </c>
      <c r="I11" s="23">
        <f t="shared" si="0"/>
        <v>8125108.4000000004</v>
      </c>
      <c r="J11" s="11"/>
      <c r="K11" s="94">
        <f t="shared" ref="K11:K13" si="1">H11-E11</f>
        <v>5302.2999999998137</v>
      </c>
      <c r="L11" s="96"/>
    </row>
    <row r="12" spans="1:13" ht="60" customHeight="1" x14ac:dyDescent="0.2">
      <c r="A12" s="17">
        <v>3</v>
      </c>
      <c r="B12" s="18" t="s">
        <v>298</v>
      </c>
      <c r="C12" s="19" t="s">
        <v>272</v>
      </c>
      <c r="D12" s="12">
        <v>46387</v>
      </c>
      <c r="E12" s="21">
        <f>'Форма 1.1'!D40</f>
        <v>2118163.73</v>
      </c>
      <c r="F12" s="21">
        <f>'Форма 1.1'!E40</f>
        <v>105908.19</v>
      </c>
      <c r="G12" s="22">
        <f>'Форма 1.1'!F40</f>
        <v>2224071.92</v>
      </c>
      <c r="H12" s="24">
        <v>2119841.2400000002</v>
      </c>
      <c r="I12" s="23">
        <f t="shared" si="0"/>
        <v>2586206.31</v>
      </c>
      <c r="J12" s="11"/>
      <c r="K12" s="94">
        <f t="shared" si="1"/>
        <v>1677.5100000002421</v>
      </c>
      <c r="L12" s="96"/>
    </row>
    <row r="13" spans="1:13" ht="15" x14ac:dyDescent="0.2">
      <c r="A13" s="108" t="s">
        <v>275</v>
      </c>
      <c r="B13" s="109"/>
      <c r="C13" s="109"/>
      <c r="D13" s="110"/>
      <c r="E13" s="25">
        <f>E12+E11+E10</f>
        <v>19242769.240000002</v>
      </c>
      <c r="F13" s="25">
        <f>F12+F11+F10</f>
        <v>962138.46</v>
      </c>
      <c r="G13" s="25">
        <f>G12+G11+G10</f>
        <v>20204907.700000003</v>
      </c>
      <c r="H13" s="26">
        <f>SUM(H10:H12)</f>
        <v>19252470.289999999</v>
      </c>
      <c r="I13" s="26">
        <f>SUM(I10:I12)</f>
        <v>23488013.749999996</v>
      </c>
      <c r="J13" s="11"/>
      <c r="K13" s="94">
        <f t="shared" si="1"/>
        <v>9701.0499999970198</v>
      </c>
      <c r="L13" s="97">
        <f>'Форма 1.1'!F45</f>
        <v>20204907.700000003</v>
      </c>
      <c r="M13" s="94">
        <f>L13-G13</f>
        <v>0</v>
      </c>
    </row>
    <row r="14" spans="1:13" x14ac:dyDescent="0.2">
      <c r="H14" s="11"/>
      <c r="I14" s="11"/>
      <c r="J14" s="11"/>
      <c r="K14" s="94"/>
      <c r="L14" s="96"/>
    </row>
    <row r="15" spans="1:13" ht="15" customHeight="1" x14ac:dyDescent="0.2">
      <c r="A15" s="27"/>
      <c r="B15" s="111" t="s">
        <v>276</v>
      </c>
      <c r="C15" s="111"/>
      <c r="D15" s="111"/>
      <c r="E15" s="111"/>
      <c r="F15" s="111"/>
      <c r="G15" s="111"/>
      <c r="H15" s="111"/>
    </row>
    <row r="16" spans="1:13" ht="15" x14ac:dyDescent="0.2">
      <c r="B16" s="28" t="s">
        <v>277</v>
      </c>
      <c r="C16" s="29"/>
      <c r="D16" s="29"/>
      <c r="E16" s="30"/>
      <c r="F16" s="31"/>
      <c r="G16" s="31"/>
      <c r="H16" s="31"/>
    </row>
    <row r="17" spans="2:8" x14ac:dyDescent="0.2">
      <c r="B17" s="111" t="s">
        <v>278</v>
      </c>
      <c r="C17" s="111"/>
      <c r="D17" s="111"/>
      <c r="E17" s="111"/>
      <c r="F17" s="111"/>
      <c r="G17" s="111"/>
      <c r="H17" s="111"/>
    </row>
  </sheetData>
  <mergeCells count="13">
    <mergeCell ref="A13:D13"/>
    <mergeCell ref="B15:H15"/>
    <mergeCell ref="B17:H17"/>
    <mergeCell ref="A5:I5"/>
    <mergeCell ref="A6:I6"/>
    <mergeCell ref="A8:A9"/>
    <mergeCell ref="B8:B9"/>
    <mergeCell ref="C8:D8"/>
    <mergeCell ref="E8:E9"/>
    <mergeCell ref="F8:F9"/>
    <mergeCell ref="G8:G9"/>
    <mergeCell ref="H8:H9"/>
    <mergeCell ref="I8:I9"/>
  </mergeCells>
  <pageMargins left="0.23622047244094491" right="0.23622047244094491" top="0.74803149606299213" bottom="0.74803149606299213" header="0.31496062992125984" footer="0.31496062992125984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T69"/>
  <sheetViews>
    <sheetView view="pageBreakPreview" topLeftCell="A35" zoomScale="70" zoomScaleSheetLayoutView="70" workbookViewId="0">
      <selection activeCell="F45" sqref="F45"/>
    </sheetView>
  </sheetViews>
  <sheetFormatPr defaultColWidth="11.5703125" defaultRowHeight="15" x14ac:dyDescent="0.25"/>
  <cols>
    <col min="1" max="1" width="5.5703125" style="51" customWidth="1"/>
    <col min="2" max="2" width="34.5703125" style="51" customWidth="1"/>
    <col min="3" max="3" width="24.28515625" style="51" customWidth="1"/>
    <col min="4" max="4" width="22.42578125" style="52" customWidth="1"/>
    <col min="5" max="5" width="22.5703125" style="52" customWidth="1"/>
    <col min="6" max="6" width="21.5703125" style="52" customWidth="1"/>
    <col min="7" max="7" width="20.28515625" style="53" customWidth="1"/>
    <col min="8" max="8" width="20.42578125" style="33" customWidth="1"/>
    <col min="9" max="9" width="2.7109375" style="34" customWidth="1"/>
    <col min="10" max="10" width="19.140625" style="77" customWidth="1"/>
    <col min="11" max="11" width="17.140625" style="98" customWidth="1"/>
    <col min="12" max="12" width="7" style="101" customWidth="1"/>
    <col min="13" max="13" width="11.5703125" style="78"/>
    <col min="14" max="20" width="11.5703125" style="79"/>
    <col min="21" max="253" width="11.5703125" style="63"/>
    <col min="254" max="254" width="5.5703125" style="63" customWidth="1"/>
    <col min="255" max="255" width="51.5703125" style="63" customWidth="1"/>
    <col min="256" max="256" width="25.5703125" style="63" customWidth="1"/>
    <col min="257" max="257" width="7.42578125" style="63" customWidth="1"/>
    <col min="258" max="258" width="14.140625" style="63" customWidth="1"/>
    <col min="259" max="259" width="21.42578125" style="63" customWidth="1"/>
    <col min="260" max="260" width="30.140625" style="63" customWidth="1"/>
    <col min="261" max="261" width="12.5703125" style="63" bestFit="1" customWidth="1"/>
    <col min="262" max="509" width="11.5703125" style="63"/>
    <col min="510" max="510" width="5.5703125" style="63" customWidth="1"/>
    <col min="511" max="511" width="51.5703125" style="63" customWidth="1"/>
    <col min="512" max="512" width="25.5703125" style="63" customWidth="1"/>
    <col min="513" max="513" width="7.42578125" style="63" customWidth="1"/>
    <col min="514" max="514" width="14.140625" style="63" customWidth="1"/>
    <col min="515" max="515" width="21.42578125" style="63" customWidth="1"/>
    <col min="516" max="516" width="30.140625" style="63" customWidth="1"/>
    <col min="517" max="517" width="12.5703125" style="63" bestFit="1" customWidth="1"/>
    <col min="518" max="765" width="11.5703125" style="63"/>
    <col min="766" max="766" width="5.5703125" style="63" customWidth="1"/>
    <col min="767" max="767" width="51.5703125" style="63" customWidth="1"/>
    <col min="768" max="768" width="25.5703125" style="63" customWidth="1"/>
    <col min="769" max="769" width="7.42578125" style="63" customWidth="1"/>
    <col min="770" max="770" width="14.140625" style="63" customWidth="1"/>
    <col min="771" max="771" width="21.42578125" style="63" customWidth="1"/>
    <col min="772" max="772" width="30.140625" style="63" customWidth="1"/>
    <col min="773" max="773" width="12.5703125" style="63" bestFit="1" customWidth="1"/>
    <col min="774" max="1021" width="11.5703125" style="63"/>
    <col min="1022" max="1022" width="5.5703125" style="63" customWidth="1"/>
    <col min="1023" max="1023" width="51.5703125" style="63" customWidth="1"/>
    <col min="1024" max="1024" width="25.5703125" style="63" customWidth="1"/>
    <col min="1025" max="1025" width="7.42578125" style="63" customWidth="1"/>
    <col min="1026" max="1026" width="14.140625" style="63" customWidth="1"/>
    <col min="1027" max="1027" width="21.42578125" style="63" customWidth="1"/>
    <col min="1028" max="1028" width="30.140625" style="63" customWidth="1"/>
    <col min="1029" max="1029" width="12.5703125" style="63" bestFit="1" customWidth="1"/>
    <col min="1030" max="1277" width="11.5703125" style="63"/>
    <col min="1278" max="1278" width="5.5703125" style="63" customWidth="1"/>
    <col min="1279" max="1279" width="51.5703125" style="63" customWidth="1"/>
    <col min="1280" max="1280" width="25.5703125" style="63" customWidth="1"/>
    <col min="1281" max="1281" width="7.42578125" style="63" customWidth="1"/>
    <col min="1282" max="1282" width="14.140625" style="63" customWidth="1"/>
    <col min="1283" max="1283" width="21.42578125" style="63" customWidth="1"/>
    <col min="1284" max="1284" width="30.140625" style="63" customWidth="1"/>
    <col min="1285" max="1285" width="12.5703125" style="63" bestFit="1" customWidth="1"/>
    <col min="1286" max="1533" width="11.5703125" style="63"/>
    <col min="1534" max="1534" width="5.5703125" style="63" customWidth="1"/>
    <col min="1535" max="1535" width="51.5703125" style="63" customWidth="1"/>
    <col min="1536" max="1536" width="25.5703125" style="63" customWidth="1"/>
    <col min="1537" max="1537" width="7.42578125" style="63" customWidth="1"/>
    <col min="1538" max="1538" width="14.140625" style="63" customWidth="1"/>
    <col min="1539" max="1539" width="21.42578125" style="63" customWidth="1"/>
    <col min="1540" max="1540" width="30.140625" style="63" customWidth="1"/>
    <col min="1541" max="1541" width="12.5703125" style="63" bestFit="1" customWidth="1"/>
    <col min="1542" max="1789" width="11.5703125" style="63"/>
    <col min="1790" max="1790" width="5.5703125" style="63" customWidth="1"/>
    <col min="1791" max="1791" width="51.5703125" style="63" customWidth="1"/>
    <col min="1792" max="1792" width="25.5703125" style="63" customWidth="1"/>
    <col min="1793" max="1793" width="7.42578125" style="63" customWidth="1"/>
    <col min="1794" max="1794" width="14.140625" style="63" customWidth="1"/>
    <col min="1795" max="1795" width="21.42578125" style="63" customWidth="1"/>
    <col min="1796" max="1796" width="30.140625" style="63" customWidth="1"/>
    <col min="1797" max="1797" width="12.5703125" style="63" bestFit="1" customWidth="1"/>
    <col min="1798" max="2045" width="11.5703125" style="63"/>
    <col min="2046" max="2046" width="5.5703125" style="63" customWidth="1"/>
    <col min="2047" max="2047" width="51.5703125" style="63" customWidth="1"/>
    <col min="2048" max="2048" width="25.5703125" style="63" customWidth="1"/>
    <col min="2049" max="2049" width="7.42578125" style="63" customWidth="1"/>
    <col min="2050" max="2050" width="14.140625" style="63" customWidth="1"/>
    <col min="2051" max="2051" width="21.42578125" style="63" customWidth="1"/>
    <col min="2052" max="2052" width="30.140625" style="63" customWidth="1"/>
    <col min="2053" max="2053" width="12.5703125" style="63" bestFit="1" customWidth="1"/>
    <col min="2054" max="2301" width="11.5703125" style="63"/>
    <col min="2302" max="2302" width="5.5703125" style="63" customWidth="1"/>
    <col min="2303" max="2303" width="51.5703125" style="63" customWidth="1"/>
    <col min="2304" max="2304" width="25.5703125" style="63" customWidth="1"/>
    <col min="2305" max="2305" width="7.42578125" style="63" customWidth="1"/>
    <col min="2306" max="2306" width="14.140625" style="63" customWidth="1"/>
    <col min="2307" max="2307" width="21.42578125" style="63" customWidth="1"/>
    <col min="2308" max="2308" width="30.140625" style="63" customWidth="1"/>
    <col min="2309" max="2309" width="12.5703125" style="63" bestFit="1" customWidth="1"/>
    <col min="2310" max="2557" width="11.5703125" style="63"/>
    <col min="2558" max="2558" width="5.5703125" style="63" customWidth="1"/>
    <col min="2559" max="2559" width="51.5703125" style="63" customWidth="1"/>
    <col min="2560" max="2560" width="25.5703125" style="63" customWidth="1"/>
    <col min="2561" max="2561" width="7.42578125" style="63" customWidth="1"/>
    <col min="2562" max="2562" width="14.140625" style="63" customWidth="1"/>
    <col min="2563" max="2563" width="21.42578125" style="63" customWidth="1"/>
    <col min="2564" max="2564" width="30.140625" style="63" customWidth="1"/>
    <col min="2565" max="2565" width="12.5703125" style="63" bestFit="1" customWidth="1"/>
    <col min="2566" max="2813" width="11.5703125" style="63"/>
    <col min="2814" max="2814" width="5.5703125" style="63" customWidth="1"/>
    <col min="2815" max="2815" width="51.5703125" style="63" customWidth="1"/>
    <col min="2816" max="2816" width="25.5703125" style="63" customWidth="1"/>
    <col min="2817" max="2817" width="7.42578125" style="63" customWidth="1"/>
    <col min="2818" max="2818" width="14.140625" style="63" customWidth="1"/>
    <col min="2819" max="2819" width="21.42578125" style="63" customWidth="1"/>
    <col min="2820" max="2820" width="30.140625" style="63" customWidth="1"/>
    <col min="2821" max="2821" width="12.5703125" style="63" bestFit="1" customWidth="1"/>
    <col min="2822" max="3069" width="11.5703125" style="63"/>
    <col min="3070" max="3070" width="5.5703125" style="63" customWidth="1"/>
    <col min="3071" max="3071" width="51.5703125" style="63" customWidth="1"/>
    <col min="3072" max="3072" width="25.5703125" style="63" customWidth="1"/>
    <col min="3073" max="3073" width="7.42578125" style="63" customWidth="1"/>
    <col min="3074" max="3074" width="14.140625" style="63" customWidth="1"/>
    <col min="3075" max="3075" width="21.42578125" style="63" customWidth="1"/>
    <col min="3076" max="3076" width="30.140625" style="63" customWidth="1"/>
    <col min="3077" max="3077" width="12.5703125" style="63" bestFit="1" customWidth="1"/>
    <col min="3078" max="3325" width="11.5703125" style="63"/>
    <col min="3326" max="3326" width="5.5703125" style="63" customWidth="1"/>
    <col min="3327" max="3327" width="51.5703125" style="63" customWidth="1"/>
    <col min="3328" max="3328" width="25.5703125" style="63" customWidth="1"/>
    <col min="3329" max="3329" width="7.42578125" style="63" customWidth="1"/>
    <col min="3330" max="3330" width="14.140625" style="63" customWidth="1"/>
    <col min="3331" max="3331" width="21.42578125" style="63" customWidth="1"/>
    <col min="3332" max="3332" width="30.140625" style="63" customWidth="1"/>
    <col min="3333" max="3333" width="12.5703125" style="63" bestFit="1" customWidth="1"/>
    <col min="3334" max="3581" width="11.5703125" style="63"/>
    <col min="3582" max="3582" width="5.5703125" style="63" customWidth="1"/>
    <col min="3583" max="3583" width="51.5703125" style="63" customWidth="1"/>
    <col min="3584" max="3584" width="25.5703125" style="63" customWidth="1"/>
    <col min="3585" max="3585" width="7.42578125" style="63" customWidth="1"/>
    <col min="3586" max="3586" width="14.140625" style="63" customWidth="1"/>
    <col min="3587" max="3587" width="21.42578125" style="63" customWidth="1"/>
    <col min="3588" max="3588" width="30.140625" style="63" customWidth="1"/>
    <col min="3589" max="3589" width="12.5703125" style="63" bestFit="1" customWidth="1"/>
    <col min="3590" max="3837" width="11.5703125" style="63"/>
    <col min="3838" max="3838" width="5.5703125" style="63" customWidth="1"/>
    <col min="3839" max="3839" width="51.5703125" style="63" customWidth="1"/>
    <col min="3840" max="3840" width="25.5703125" style="63" customWidth="1"/>
    <col min="3841" max="3841" width="7.42578125" style="63" customWidth="1"/>
    <col min="3842" max="3842" width="14.140625" style="63" customWidth="1"/>
    <col min="3843" max="3843" width="21.42578125" style="63" customWidth="1"/>
    <col min="3844" max="3844" width="30.140625" style="63" customWidth="1"/>
    <col min="3845" max="3845" width="12.5703125" style="63" bestFit="1" customWidth="1"/>
    <col min="3846" max="4093" width="11.5703125" style="63"/>
    <col min="4094" max="4094" width="5.5703125" style="63" customWidth="1"/>
    <col min="4095" max="4095" width="51.5703125" style="63" customWidth="1"/>
    <col min="4096" max="4096" width="25.5703125" style="63" customWidth="1"/>
    <col min="4097" max="4097" width="7.42578125" style="63" customWidth="1"/>
    <col min="4098" max="4098" width="14.140625" style="63" customWidth="1"/>
    <col min="4099" max="4099" width="21.42578125" style="63" customWidth="1"/>
    <col min="4100" max="4100" width="30.140625" style="63" customWidth="1"/>
    <col min="4101" max="4101" width="12.5703125" style="63" bestFit="1" customWidth="1"/>
    <col min="4102" max="4349" width="11.5703125" style="63"/>
    <col min="4350" max="4350" width="5.5703125" style="63" customWidth="1"/>
    <col min="4351" max="4351" width="51.5703125" style="63" customWidth="1"/>
    <col min="4352" max="4352" width="25.5703125" style="63" customWidth="1"/>
    <col min="4353" max="4353" width="7.42578125" style="63" customWidth="1"/>
    <col min="4354" max="4354" width="14.140625" style="63" customWidth="1"/>
    <col min="4355" max="4355" width="21.42578125" style="63" customWidth="1"/>
    <col min="4356" max="4356" width="30.140625" style="63" customWidth="1"/>
    <col min="4357" max="4357" width="12.5703125" style="63" bestFit="1" customWidth="1"/>
    <col min="4358" max="4605" width="11.5703125" style="63"/>
    <col min="4606" max="4606" width="5.5703125" style="63" customWidth="1"/>
    <col min="4607" max="4607" width="51.5703125" style="63" customWidth="1"/>
    <col min="4608" max="4608" width="25.5703125" style="63" customWidth="1"/>
    <col min="4609" max="4609" width="7.42578125" style="63" customWidth="1"/>
    <col min="4610" max="4610" width="14.140625" style="63" customWidth="1"/>
    <col min="4611" max="4611" width="21.42578125" style="63" customWidth="1"/>
    <col min="4612" max="4612" width="30.140625" style="63" customWidth="1"/>
    <col min="4613" max="4613" width="12.5703125" style="63" bestFit="1" customWidth="1"/>
    <col min="4614" max="4861" width="11.5703125" style="63"/>
    <col min="4862" max="4862" width="5.5703125" style="63" customWidth="1"/>
    <col min="4863" max="4863" width="51.5703125" style="63" customWidth="1"/>
    <col min="4864" max="4864" width="25.5703125" style="63" customWidth="1"/>
    <col min="4865" max="4865" width="7.42578125" style="63" customWidth="1"/>
    <col min="4866" max="4866" width="14.140625" style="63" customWidth="1"/>
    <col min="4867" max="4867" width="21.42578125" style="63" customWidth="1"/>
    <col min="4868" max="4868" width="30.140625" style="63" customWidth="1"/>
    <col min="4869" max="4869" width="12.5703125" style="63" bestFit="1" customWidth="1"/>
    <col min="4870" max="5117" width="11.5703125" style="63"/>
    <col min="5118" max="5118" width="5.5703125" style="63" customWidth="1"/>
    <col min="5119" max="5119" width="51.5703125" style="63" customWidth="1"/>
    <col min="5120" max="5120" width="25.5703125" style="63" customWidth="1"/>
    <col min="5121" max="5121" width="7.42578125" style="63" customWidth="1"/>
    <col min="5122" max="5122" width="14.140625" style="63" customWidth="1"/>
    <col min="5123" max="5123" width="21.42578125" style="63" customWidth="1"/>
    <col min="5124" max="5124" width="30.140625" style="63" customWidth="1"/>
    <col min="5125" max="5125" width="12.5703125" style="63" bestFit="1" customWidth="1"/>
    <col min="5126" max="5373" width="11.5703125" style="63"/>
    <col min="5374" max="5374" width="5.5703125" style="63" customWidth="1"/>
    <col min="5375" max="5375" width="51.5703125" style="63" customWidth="1"/>
    <col min="5376" max="5376" width="25.5703125" style="63" customWidth="1"/>
    <col min="5377" max="5377" width="7.42578125" style="63" customWidth="1"/>
    <col min="5378" max="5378" width="14.140625" style="63" customWidth="1"/>
    <col min="5379" max="5379" width="21.42578125" style="63" customWidth="1"/>
    <col min="5380" max="5380" width="30.140625" style="63" customWidth="1"/>
    <col min="5381" max="5381" width="12.5703125" style="63" bestFit="1" customWidth="1"/>
    <col min="5382" max="5629" width="11.5703125" style="63"/>
    <col min="5630" max="5630" width="5.5703125" style="63" customWidth="1"/>
    <col min="5631" max="5631" width="51.5703125" style="63" customWidth="1"/>
    <col min="5632" max="5632" width="25.5703125" style="63" customWidth="1"/>
    <col min="5633" max="5633" width="7.42578125" style="63" customWidth="1"/>
    <col min="5634" max="5634" width="14.140625" style="63" customWidth="1"/>
    <col min="5635" max="5635" width="21.42578125" style="63" customWidth="1"/>
    <col min="5636" max="5636" width="30.140625" style="63" customWidth="1"/>
    <col min="5637" max="5637" width="12.5703125" style="63" bestFit="1" customWidth="1"/>
    <col min="5638" max="5885" width="11.5703125" style="63"/>
    <col min="5886" max="5886" width="5.5703125" style="63" customWidth="1"/>
    <col min="5887" max="5887" width="51.5703125" style="63" customWidth="1"/>
    <col min="5888" max="5888" width="25.5703125" style="63" customWidth="1"/>
    <col min="5889" max="5889" width="7.42578125" style="63" customWidth="1"/>
    <col min="5890" max="5890" width="14.140625" style="63" customWidth="1"/>
    <col min="5891" max="5891" width="21.42578125" style="63" customWidth="1"/>
    <col min="5892" max="5892" width="30.140625" style="63" customWidth="1"/>
    <col min="5893" max="5893" width="12.5703125" style="63" bestFit="1" customWidth="1"/>
    <col min="5894" max="6141" width="11.5703125" style="63"/>
    <col min="6142" max="6142" width="5.5703125" style="63" customWidth="1"/>
    <col min="6143" max="6143" width="51.5703125" style="63" customWidth="1"/>
    <col min="6144" max="6144" width="25.5703125" style="63" customWidth="1"/>
    <col min="6145" max="6145" width="7.42578125" style="63" customWidth="1"/>
    <col min="6146" max="6146" width="14.140625" style="63" customWidth="1"/>
    <col min="6147" max="6147" width="21.42578125" style="63" customWidth="1"/>
    <col min="6148" max="6148" width="30.140625" style="63" customWidth="1"/>
    <col min="6149" max="6149" width="12.5703125" style="63" bestFit="1" customWidth="1"/>
    <col min="6150" max="6397" width="11.5703125" style="63"/>
    <col min="6398" max="6398" width="5.5703125" style="63" customWidth="1"/>
    <col min="6399" max="6399" width="51.5703125" style="63" customWidth="1"/>
    <col min="6400" max="6400" width="25.5703125" style="63" customWidth="1"/>
    <col min="6401" max="6401" width="7.42578125" style="63" customWidth="1"/>
    <col min="6402" max="6402" width="14.140625" style="63" customWidth="1"/>
    <col min="6403" max="6403" width="21.42578125" style="63" customWidth="1"/>
    <col min="6404" max="6404" width="30.140625" style="63" customWidth="1"/>
    <col min="6405" max="6405" width="12.5703125" style="63" bestFit="1" customWidth="1"/>
    <col min="6406" max="6653" width="11.5703125" style="63"/>
    <col min="6654" max="6654" width="5.5703125" style="63" customWidth="1"/>
    <col min="6655" max="6655" width="51.5703125" style="63" customWidth="1"/>
    <col min="6656" max="6656" width="25.5703125" style="63" customWidth="1"/>
    <col min="6657" max="6657" width="7.42578125" style="63" customWidth="1"/>
    <col min="6658" max="6658" width="14.140625" style="63" customWidth="1"/>
    <col min="6659" max="6659" width="21.42578125" style="63" customWidth="1"/>
    <col min="6660" max="6660" width="30.140625" style="63" customWidth="1"/>
    <col min="6661" max="6661" width="12.5703125" style="63" bestFit="1" customWidth="1"/>
    <col min="6662" max="6909" width="11.5703125" style="63"/>
    <col min="6910" max="6910" width="5.5703125" style="63" customWidth="1"/>
    <col min="6911" max="6911" width="51.5703125" style="63" customWidth="1"/>
    <col min="6912" max="6912" width="25.5703125" style="63" customWidth="1"/>
    <col min="6913" max="6913" width="7.42578125" style="63" customWidth="1"/>
    <col min="6914" max="6914" width="14.140625" style="63" customWidth="1"/>
    <col min="6915" max="6915" width="21.42578125" style="63" customWidth="1"/>
    <col min="6916" max="6916" width="30.140625" style="63" customWidth="1"/>
    <col min="6917" max="6917" width="12.5703125" style="63" bestFit="1" customWidth="1"/>
    <col min="6918" max="7165" width="11.5703125" style="63"/>
    <col min="7166" max="7166" width="5.5703125" style="63" customWidth="1"/>
    <col min="7167" max="7167" width="51.5703125" style="63" customWidth="1"/>
    <col min="7168" max="7168" width="25.5703125" style="63" customWidth="1"/>
    <col min="7169" max="7169" width="7.42578125" style="63" customWidth="1"/>
    <col min="7170" max="7170" width="14.140625" style="63" customWidth="1"/>
    <col min="7171" max="7171" width="21.42578125" style="63" customWidth="1"/>
    <col min="7172" max="7172" width="30.140625" style="63" customWidth="1"/>
    <col min="7173" max="7173" width="12.5703125" style="63" bestFit="1" customWidth="1"/>
    <col min="7174" max="7421" width="11.5703125" style="63"/>
    <col min="7422" max="7422" width="5.5703125" style="63" customWidth="1"/>
    <col min="7423" max="7423" width="51.5703125" style="63" customWidth="1"/>
    <col min="7424" max="7424" width="25.5703125" style="63" customWidth="1"/>
    <col min="7425" max="7425" width="7.42578125" style="63" customWidth="1"/>
    <col min="7426" max="7426" width="14.140625" style="63" customWidth="1"/>
    <col min="7427" max="7427" width="21.42578125" style="63" customWidth="1"/>
    <col min="7428" max="7428" width="30.140625" style="63" customWidth="1"/>
    <col min="7429" max="7429" width="12.5703125" style="63" bestFit="1" customWidth="1"/>
    <col min="7430" max="7677" width="11.5703125" style="63"/>
    <col min="7678" max="7678" width="5.5703125" style="63" customWidth="1"/>
    <col min="7679" max="7679" width="51.5703125" style="63" customWidth="1"/>
    <col min="7680" max="7680" width="25.5703125" style="63" customWidth="1"/>
    <col min="7681" max="7681" width="7.42578125" style="63" customWidth="1"/>
    <col min="7682" max="7682" width="14.140625" style="63" customWidth="1"/>
    <col min="7683" max="7683" width="21.42578125" style="63" customWidth="1"/>
    <col min="7684" max="7684" width="30.140625" style="63" customWidth="1"/>
    <col min="7685" max="7685" width="12.5703125" style="63" bestFit="1" customWidth="1"/>
    <col min="7686" max="7933" width="11.5703125" style="63"/>
    <col min="7934" max="7934" width="5.5703125" style="63" customWidth="1"/>
    <col min="7935" max="7935" width="51.5703125" style="63" customWidth="1"/>
    <col min="7936" max="7936" width="25.5703125" style="63" customWidth="1"/>
    <col min="7937" max="7937" width="7.42578125" style="63" customWidth="1"/>
    <col min="7938" max="7938" width="14.140625" style="63" customWidth="1"/>
    <col min="7939" max="7939" width="21.42578125" style="63" customWidth="1"/>
    <col min="7940" max="7940" width="30.140625" style="63" customWidth="1"/>
    <col min="7941" max="7941" width="12.5703125" style="63" bestFit="1" customWidth="1"/>
    <col min="7942" max="8189" width="11.5703125" style="63"/>
    <col min="8190" max="8190" width="5.5703125" style="63" customWidth="1"/>
    <col min="8191" max="8191" width="51.5703125" style="63" customWidth="1"/>
    <col min="8192" max="8192" width="25.5703125" style="63" customWidth="1"/>
    <col min="8193" max="8193" width="7.42578125" style="63" customWidth="1"/>
    <col min="8194" max="8194" width="14.140625" style="63" customWidth="1"/>
    <col min="8195" max="8195" width="21.42578125" style="63" customWidth="1"/>
    <col min="8196" max="8196" width="30.140625" style="63" customWidth="1"/>
    <col min="8197" max="8197" width="12.5703125" style="63" bestFit="1" customWidth="1"/>
    <col min="8198" max="8445" width="11.5703125" style="63"/>
    <col min="8446" max="8446" width="5.5703125" style="63" customWidth="1"/>
    <col min="8447" max="8447" width="51.5703125" style="63" customWidth="1"/>
    <col min="8448" max="8448" width="25.5703125" style="63" customWidth="1"/>
    <col min="8449" max="8449" width="7.42578125" style="63" customWidth="1"/>
    <col min="8450" max="8450" width="14.140625" style="63" customWidth="1"/>
    <col min="8451" max="8451" width="21.42578125" style="63" customWidth="1"/>
    <col min="8452" max="8452" width="30.140625" style="63" customWidth="1"/>
    <col min="8453" max="8453" width="12.5703125" style="63" bestFit="1" customWidth="1"/>
    <col min="8454" max="8701" width="11.5703125" style="63"/>
    <col min="8702" max="8702" width="5.5703125" style="63" customWidth="1"/>
    <col min="8703" max="8703" width="51.5703125" style="63" customWidth="1"/>
    <col min="8704" max="8704" width="25.5703125" style="63" customWidth="1"/>
    <col min="8705" max="8705" width="7.42578125" style="63" customWidth="1"/>
    <col min="8706" max="8706" width="14.140625" style="63" customWidth="1"/>
    <col min="8707" max="8707" width="21.42578125" style="63" customWidth="1"/>
    <col min="8708" max="8708" width="30.140625" style="63" customWidth="1"/>
    <col min="8709" max="8709" width="12.5703125" style="63" bestFit="1" customWidth="1"/>
    <col min="8710" max="8957" width="11.5703125" style="63"/>
    <col min="8958" max="8958" width="5.5703125" style="63" customWidth="1"/>
    <col min="8959" max="8959" width="51.5703125" style="63" customWidth="1"/>
    <col min="8960" max="8960" width="25.5703125" style="63" customWidth="1"/>
    <col min="8961" max="8961" width="7.42578125" style="63" customWidth="1"/>
    <col min="8962" max="8962" width="14.140625" style="63" customWidth="1"/>
    <col min="8963" max="8963" width="21.42578125" style="63" customWidth="1"/>
    <col min="8964" max="8964" width="30.140625" style="63" customWidth="1"/>
    <col min="8965" max="8965" width="12.5703125" style="63" bestFit="1" customWidth="1"/>
    <col min="8966" max="9213" width="11.5703125" style="63"/>
    <col min="9214" max="9214" width="5.5703125" style="63" customWidth="1"/>
    <col min="9215" max="9215" width="51.5703125" style="63" customWidth="1"/>
    <col min="9216" max="9216" width="25.5703125" style="63" customWidth="1"/>
    <col min="9217" max="9217" width="7.42578125" style="63" customWidth="1"/>
    <col min="9218" max="9218" width="14.140625" style="63" customWidth="1"/>
    <col min="9219" max="9219" width="21.42578125" style="63" customWidth="1"/>
    <col min="9220" max="9220" width="30.140625" style="63" customWidth="1"/>
    <col min="9221" max="9221" width="12.5703125" style="63" bestFit="1" customWidth="1"/>
    <col min="9222" max="9469" width="11.5703125" style="63"/>
    <col min="9470" max="9470" width="5.5703125" style="63" customWidth="1"/>
    <col min="9471" max="9471" width="51.5703125" style="63" customWidth="1"/>
    <col min="9472" max="9472" width="25.5703125" style="63" customWidth="1"/>
    <col min="9473" max="9473" width="7.42578125" style="63" customWidth="1"/>
    <col min="9474" max="9474" width="14.140625" style="63" customWidth="1"/>
    <col min="9475" max="9475" width="21.42578125" style="63" customWidth="1"/>
    <col min="9476" max="9476" width="30.140625" style="63" customWidth="1"/>
    <col min="9477" max="9477" width="12.5703125" style="63" bestFit="1" customWidth="1"/>
    <col min="9478" max="9725" width="11.5703125" style="63"/>
    <col min="9726" max="9726" width="5.5703125" style="63" customWidth="1"/>
    <col min="9727" max="9727" width="51.5703125" style="63" customWidth="1"/>
    <col min="9728" max="9728" width="25.5703125" style="63" customWidth="1"/>
    <col min="9729" max="9729" width="7.42578125" style="63" customWidth="1"/>
    <col min="9730" max="9730" width="14.140625" style="63" customWidth="1"/>
    <col min="9731" max="9731" width="21.42578125" style="63" customWidth="1"/>
    <col min="9732" max="9732" width="30.140625" style="63" customWidth="1"/>
    <col min="9733" max="9733" width="12.5703125" style="63" bestFit="1" customWidth="1"/>
    <col min="9734" max="9981" width="11.5703125" style="63"/>
    <col min="9982" max="9982" width="5.5703125" style="63" customWidth="1"/>
    <col min="9983" max="9983" width="51.5703125" style="63" customWidth="1"/>
    <col min="9984" max="9984" width="25.5703125" style="63" customWidth="1"/>
    <col min="9985" max="9985" width="7.42578125" style="63" customWidth="1"/>
    <col min="9986" max="9986" width="14.140625" style="63" customWidth="1"/>
    <col min="9987" max="9987" width="21.42578125" style="63" customWidth="1"/>
    <col min="9988" max="9988" width="30.140625" style="63" customWidth="1"/>
    <col min="9989" max="9989" width="12.5703125" style="63" bestFit="1" customWidth="1"/>
    <col min="9990" max="10237" width="11.5703125" style="63"/>
    <col min="10238" max="10238" width="5.5703125" style="63" customWidth="1"/>
    <col min="10239" max="10239" width="51.5703125" style="63" customWidth="1"/>
    <col min="10240" max="10240" width="25.5703125" style="63" customWidth="1"/>
    <col min="10241" max="10241" width="7.42578125" style="63" customWidth="1"/>
    <col min="10242" max="10242" width="14.140625" style="63" customWidth="1"/>
    <col min="10243" max="10243" width="21.42578125" style="63" customWidth="1"/>
    <col min="10244" max="10244" width="30.140625" style="63" customWidth="1"/>
    <col min="10245" max="10245" width="12.5703125" style="63" bestFit="1" customWidth="1"/>
    <col min="10246" max="10493" width="11.5703125" style="63"/>
    <col min="10494" max="10494" width="5.5703125" style="63" customWidth="1"/>
    <col min="10495" max="10495" width="51.5703125" style="63" customWidth="1"/>
    <col min="10496" max="10496" width="25.5703125" style="63" customWidth="1"/>
    <col min="10497" max="10497" width="7.42578125" style="63" customWidth="1"/>
    <col min="10498" max="10498" width="14.140625" style="63" customWidth="1"/>
    <col min="10499" max="10499" width="21.42578125" style="63" customWidth="1"/>
    <col min="10500" max="10500" width="30.140625" style="63" customWidth="1"/>
    <col min="10501" max="10501" width="12.5703125" style="63" bestFit="1" customWidth="1"/>
    <col min="10502" max="10749" width="11.5703125" style="63"/>
    <col min="10750" max="10750" width="5.5703125" style="63" customWidth="1"/>
    <col min="10751" max="10751" width="51.5703125" style="63" customWidth="1"/>
    <col min="10752" max="10752" width="25.5703125" style="63" customWidth="1"/>
    <col min="10753" max="10753" width="7.42578125" style="63" customWidth="1"/>
    <col min="10754" max="10754" width="14.140625" style="63" customWidth="1"/>
    <col min="10755" max="10755" width="21.42578125" style="63" customWidth="1"/>
    <col min="10756" max="10756" width="30.140625" style="63" customWidth="1"/>
    <col min="10757" max="10757" width="12.5703125" style="63" bestFit="1" customWidth="1"/>
    <col min="10758" max="11005" width="11.5703125" style="63"/>
    <col min="11006" max="11006" width="5.5703125" style="63" customWidth="1"/>
    <col min="11007" max="11007" width="51.5703125" style="63" customWidth="1"/>
    <col min="11008" max="11008" width="25.5703125" style="63" customWidth="1"/>
    <col min="11009" max="11009" width="7.42578125" style="63" customWidth="1"/>
    <col min="11010" max="11010" width="14.140625" style="63" customWidth="1"/>
    <col min="11011" max="11011" width="21.42578125" style="63" customWidth="1"/>
    <col min="11012" max="11012" width="30.140625" style="63" customWidth="1"/>
    <col min="11013" max="11013" width="12.5703125" style="63" bestFit="1" customWidth="1"/>
    <col min="11014" max="11261" width="11.5703125" style="63"/>
    <col min="11262" max="11262" width="5.5703125" style="63" customWidth="1"/>
    <col min="11263" max="11263" width="51.5703125" style="63" customWidth="1"/>
    <col min="11264" max="11264" width="25.5703125" style="63" customWidth="1"/>
    <col min="11265" max="11265" width="7.42578125" style="63" customWidth="1"/>
    <col min="11266" max="11266" width="14.140625" style="63" customWidth="1"/>
    <col min="11267" max="11267" width="21.42578125" style="63" customWidth="1"/>
    <col min="11268" max="11268" width="30.140625" style="63" customWidth="1"/>
    <col min="11269" max="11269" width="12.5703125" style="63" bestFit="1" customWidth="1"/>
    <col min="11270" max="11517" width="11.5703125" style="63"/>
    <col min="11518" max="11518" width="5.5703125" style="63" customWidth="1"/>
    <col min="11519" max="11519" width="51.5703125" style="63" customWidth="1"/>
    <col min="11520" max="11520" width="25.5703125" style="63" customWidth="1"/>
    <col min="11521" max="11521" width="7.42578125" style="63" customWidth="1"/>
    <col min="11522" max="11522" width="14.140625" style="63" customWidth="1"/>
    <col min="11523" max="11523" width="21.42578125" style="63" customWidth="1"/>
    <col min="11524" max="11524" width="30.140625" style="63" customWidth="1"/>
    <col min="11525" max="11525" width="12.5703125" style="63" bestFit="1" customWidth="1"/>
    <col min="11526" max="11773" width="11.5703125" style="63"/>
    <col min="11774" max="11774" width="5.5703125" style="63" customWidth="1"/>
    <col min="11775" max="11775" width="51.5703125" style="63" customWidth="1"/>
    <col min="11776" max="11776" width="25.5703125" style="63" customWidth="1"/>
    <col min="11777" max="11777" width="7.42578125" style="63" customWidth="1"/>
    <col min="11778" max="11778" width="14.140625" style="63" customWidth="1"/>
    <col min="11779" max="11779" width="21.42578125" style="63" customWidth="1"/>
    <col min="11780" max="11780" width="30.140625" style="63" customWidth="1"/>
    <col min="11781" max="11781" width="12.5703125" style="63" bestFit="1" customWidth="1"/>
    <col min="11782" max="12029" width="11.5703125" style="63"/>
    <col min="12030" max="12030" width="5.5703125" style="63" customWidth="1"/>
    <col min="12031" max="12031" width="51.5703125" style="63" customWidth="1"/>
    <col min="12032" max="12032" width="25.5703125" style="63" customWidth="1"/>
    <col min="12033" max="12033" width="7.42578125" style="63" customWidth="1"/>
    <col min="12034" max="12034" width="14.140625" style="63" customWidth="1"/>
    <col min="12035" max="12035" width="21.42578125" style="63" customWidth="1"/>
    <col min="12036" max="12036" width="30.140625" style="63" customWidth="1"/>
    <col min="12037" max="12037" width="12.5703125" style="63" bestFit="1" customWidth="1"/>
    <col min="12038" max="12285" width="11.5703125" style="63"/>
    <col min="12286" max="12286" width="5.5703125" style="63" customWidth="1"/>
    <col min="12287" max="12287" width="51.5703125" style="63" customWidth="1"/>
    <col min="12288" max="12288" width="25.5703125" style="63" customWidth="1"/>
    <col min="12289" max="12289" width="7.42578125" style="63" customWidth="1"/>
    <col min="12290" max="12290" width="14.140625" style="63" customWidth="1"/>
    <col min="12291" max="12291" width="21.42578125" style="63" customWidth="1"/>
    <col min="12292" max="12292" width="30.140625" style="63" customWidth="1"/>
    <col min="12293" max="12293" width="12.5703125" style="63" bestFit="1" customWidth="1"/>
    <col min="12294" max="12541" width="11.5703125" style="63"/>
    <col min="12542" max="12542" width="5.5703125" style="63" customWidth="1"/>
    <col min="12543" max="12543" width="51.5703125" style="63" customWidth="1"/>
    <col min="12544" max="12544" width="25.5703125" style="63" customWidth="1"/>
    <col min="12545" max="12545" width="7.42578125" style="63" customWidth="1"/>
    <col min="12546" max="12546" width="14.140625" style="63" customWidth="1"/>
    <col min="12547" max="12547" width="21.42578125" style="63" customWidth="1"/>
    <col min="12548" max="12548" width="30.140625" style="63" customWidth="1"/>
    <col min="12549" max="12549" width="12.5703125" style="63" bestFit="1" customWidth="1"/>
    <col min="12550" max="12797" width="11.5703125" style="63"/>
    <col min="12798" max="12798" width="5.5703125" style="63" customWidth="1"/>
    <col min="12799" max="12799" width="51.5703125" style="63" customWidth="1"/>
    <col min="12800" max="12800" width="25.5703125" style="63" customWidth="1"/>
    <col min="12801" max="12801" width="7.42578125" style="63" customWidth="1"/>
    <col min="12802" max="12802" width="14.140625" style="63" customWidth="1"/>
    <col min="12803" max="12803" width="21.42578125" style="63" customWidth="1"/>
    <col min="12804" max="12804" width="30.140625" style="63" customWidth="1"/>
    <col min="12805" max="12805" width="12.5703125" style="63" bestFit="1" customWidth="1"/>
    <col min="12806" max="13053" width="11.5703125" style="63"/>
    <col min="13054" max="13054" width="5.5703125" style="63" customWidth="1"/>
    <col min="13055" max="13055" width="51.5703125" style="63" customWidth="1"/>
    <col min="13056" max="13056" width="25.5703125" style="63" customWidth="1"/>
    <col min="13057" max="13057" width="7.42578125" style="63" customWidth="1"/>
    <col min="13058" max="13058" width="14.140625" style="63" customWidth="1"/>
    <col min="13059" max="13059" width="21.42578125" style="63" customWidth="1"/>
    <col min="13060" max="13060" width="30.140625" style="63" customWidth="1"/>
    <col min="13061" max="13061" width="12.5703125" style="63" bestFit="1" customWidth="1"/>
    <col min="13062" max="13309" width="11.5703125" style="63"/>
    <col min="13310" max="13310" width="5.5703125" style="63" customWidth="1"/>
    <col min="13311" max="13311" width="51.5703125" style="63" customWidth="1"/>
    <col min="13312" max="13312" width="25.5703125" style="63" customWidth="1"/>
    <col min="13313" max="13313" width="7.42578125" style="63" customWidth="1"/>
    <col min="13314" max="13314" width="14.140625" style="63" customWidth="1"/>
    <col min="13315" max="13315" width="21.42578125" style="63" customWidth="1"/>
    <col min="13316" max="13316" width="30.140625" style="63" customWidth="1"/>
    <col min="13317" max="13317" width="12.5703125" style="63" bestFit="1" customWidth="1"/>
    <col min="13318" max="13565" width="11.5703125" style="63"/>
    <col min="13566" max="13566" width="5.5703125" style="63" customWidth="1"/>
    <col min="13567" max="13567" width="51.5703125" style="63" customWidth="1"/>
    <col min="13568" max="13568" width="25.5703125" style="63" customWidth="1"/>
    <col min="13569" max="13569" width="7.42578125" style="63" customWidth="1"/>
    <col min="13570" max="13570" width="14.140625" style="63" customWidth="1"/>
    <col min="13571" max="13571" width="21.42578125" style="63" customWidth="1"/>
    <col min="13572" max="13572" width="30.140625" style="63" customWidth="1"/>
    <col min="13573" max="13573" width="12.5703125" style="63" bestFit="1" customWidth="1"/>
    <col min="13574" max="13821" width="11.5703125" style="63"/>
    <col min="13822" max="13822" width="5.5703125" style="63" customWidth="1"/>
    <col min="13823" max="13823" width="51.5703125" style="63" customWidth="1"/>
    <col min="13824" max="13824" width="25.5703125" style="63" customWidth="1"/>
    <col min="13825" max="13825" width="7.42578125" style="63" customWidth="1"/>
    <col min="13826" max="13826" width="14.140625" style="63" customWidth="1"/>
    <col min="13827" max="13827" width="21.42578125" style="63" customWidth="1"/>
    <col min="13828" max="13828" width="30.140625" style="63" customWidth="1"/>
    <col min="13829" max="13829" width="12.5703125" style="63" bestFit="1" customWidth="1"/>
    <col min="13830" max="14077" width="11.5703125" style="63"/>
    <col min="14078" max="14078" width="5.5703125" style="63" customWidth="1"/>
    <col min="14079" max="14079" width="51.5703125" style="63" customWidth="1"/>
    <col min="14080" max="14080" width="25.5703125" style="63" customWidth="1"/>
    <col min="14081" max="14081" width="7.42578125" style="63" customWidth="1"/>
    <col min="14082" max="14082" width="14.140625" style="63" customWidth="1"/>
    <col min="14083" max="14083" width="21.42578125" style="63" customWidth="1"/>
    <col min="14084" max="14084" width="30.140625" style="63" customWidth="1"/>
    <col min="14085" max="14085" width="12.5703125" style="63" bestFit="1" customWidth="1"/>
    <col min="14086" max="14333" width="11.5703125" style="63"/>
    <col min="14334" max="14334" width="5.5703125" style="63" customWidth="1"/>
    <col min="14335" max="14335" width="51.5703125" style="63" customWidth="1"/>
    <col min="14336" max="14336" width="25.5703125" style="63" customWidth="1"/>
    <col min="14337" max="14337" width="7.42578125" style="63" customWidth="1"/>
    <col min="14338" max="14338" width="14.140625" style="63" customWidth="1"/>
    <col min="14339" max="14339" width="21.42578125" style="63" customWidth="1"/>
    <col min="14340" max="14340" width="30.140625" style="63" customWidth="1"/>
    <col min="14341" max="14341" width="12.5703125" style="63" bestFit="1" customWidth="1"/>
    <col min="14342" max="14589" width="11.5703125" style="63"/>
    <col min="14590" max="14590" width="5.5703125" style="63" customWidth="1"/>
    <col min="14591" max="14591" width="51.5703125" style="63" customWidth="1"/>
    <col min="14592" max="14592" width="25.5703125" style="63" customWidth="1"/>
    <col min="14593" max="14593" width="7.42578125" style="63" customWidth="1"/>
    <col min="14594" max="14594" width="14.140625" style="63" customWidth="1"/>
    <col min="14595" max="14595" width="21.42578125" style="63" customWidth="1"/>
    <col min="14596" max="14596" width="30.140625" style="63" customWidth="1"/>
    <col min="14597" max="14597" width="12.5703125" style="63" bestFit="1" customWidth="1"/>
    <col min="14598" max="14845" width="11.5703125" style="63"/>
    <col min="14846" max="14846" width="5.5703125" style="63" customWidth="1"/>
    <col min="14847" max="14847" width="51.5703125" style="63" customWidth="1"/>
    <col min="14848" max="14848" width="25.5703125" style="63" customWidth="1"/>
    <col min="14849" max="14849" width="7.42578125" style="63" customWidth="1"/>
    <col min="14850" max="14850" width="14.140625" style="63" customWidth="1"/>
    <col min="14851" max="14851" width="21.42578125" style="63" customWidth="1"/>
    <col min="14852" max="14852" width="30.140625" style="63" customWidth="1"/>
    <col min="14853" max="14853" width="12.5703125" style="63" bestFit="1" customWidth="1"/>
    <col min="14854" max="15101" width="11.5703125" style="63"/>
    <col min="15102" max="15102" width="5.5703125" style="63" customWidth="1"/>
    <col min="15103" max="15103" width="51.5703125" style="63" customWidth="1"/>
    <col min="15104" max="15104" width="25.5703125" style="63" customWidth="1"/>
    <col min="15105" max="15105" width="7.42578125" style="63" customWidth="1"/>
    <col min="15106" max="15106" width="14.140625" style="63" customWidth="1"/>
    <col min="15107" max="15107" width="21.42578125" style="63" customWidth="1"/>
    <col min="15108" max="15108" width="30.140625" style="63" customWidth="1"/>
    <col min="15109" max="15109" width="12.5703125" style="63" bestFit="1" customWidth="1"/>
    <col min="15110" max="15357" width="11.5703125" style="63"/>
    <col min="15358" max="15358" width="5.5703125" style="63" customWidth="1"/>
    <col min="15359" max="15359" width="51.5703125" style="63" customWidth="1"/>
    <col min="15360" max="15360" width="25.5703125" style="63" customWidth="1"/>
    <col min="15361" max="15361" width="7.42578125" style="63" customWidth="1"/>
    <col min="15362" max="15362" width="14.140625" style="63" customWidth="1"/>
    <col min="15363" max="15363" width="21.42578125" style="63" customWidth="1"/>
    <col min="15364" max="15364" width="30.140625" style="63" customWidth="1"/>
    <col min="15365" max="15365" width="12.5703125" style="63" bestFit="1" customWidth="1"/>
    <col min="15366" max="15613" width="11.5703125" style="63"/>
    <col min="15614" max="15614" width="5.5703125" style="63" customWidth="1"/>
    <col min="15615" max="15615" width="51.5703125" style="63" customWidth="1"/>
    <col min="15616" max="15616" width="25.5703125" style="63" customWidth="1"/>
    <col min="15617" max="15617" width="7.42578125" style="63" customWidth="1"/>
    <col min="15618" max="15618" width="14.140625" style="63" customWidth="1"/>
    <col min="15619" max="15619" width="21.42578125" style="63" customWidth="1"/>
    <col min="15620" max="15620" width="30.140625" style="63" customWidth="1"/>
    <col min="15621" max="15621" width="12.5703125" style="63" bestFit="1" customWidth="1"/>
    <col min="15622" max="15869" width="11.5703125" style="63"/>
    <col min="15870" max="15870" width="5.5703125" style="63" customWidth="1"/>
    <col min="15871" max="15871" width="51.5703125" style="63" customWidth="1"/>
    <col min="15872" max="15872" width="25.5703125" style="63" customWidth="1"/>
    <col min="15873" max="15873" width="7.42578125" style="63" customWidth="1"/>
    <col min="15874" max="15874" width="14.140625" style="63" customWidth="1"/>
    <col min="15875" max="15875" width="21.42578125" style="63" customWidth="1"/>
    <col min="15876" max="15876" width="30.140625" style="63" customWidth="1"/>
    <col min="15877" max="15877" width="12.5703125" style="63" bestFit="1" customWidth="1"/>
    <col min="15878" max="16125" width="11.5703125" style="63"/>
    <col min="16126" max="16126" width="5.5703125" style="63" customWidth="1"/>
    <col min="16127" max="16127" width="51.5703125" style="63" customWidth="1"/>
    <col min="16128" max="16128" width="25.5703125" style="63" customWidth="1"/>
    <col min="16129" max="16129" width="7.42578125" style="63" customWidth="1"/>
    <col min="16130" max="16130" width="14.140625" style="63" customWidth="1"/>
    <col min="16131" max="16131" width="21.42578125" style="63" customWidth="1"/>
    <col min="16132" max="16132" width="30.140625" style="63" customWidth="1"/>
    <col min="16133" max="16133" width="12.5703125" style="63" bestFit="1" customWidth="1"/>
    <col min="16134" max="16384" width="11.5703125" style="63"/>
  </cols>
  <sheetData>
    <row r="1" spans="1:20" ht="101.25" customHeight="1" x14ac:dyDescent="0.25">
      <c r="A1" s="129" t="s">
        <v>303</v>
      </c>
      <c r="B1" s="129"/>
      <c r="C1" s="129"/>
      <c r="D1" s="129"/>
      <c r="E1" s="129"/>
      <c r="F1" s="129"/>
      <c r="G1" s="129"/>
      <c r="H1" s="129"/>
    </row>
    <row r="2" spans="1:20" x14ac:dyDescent="0.25">
      <c r="A2" s="37"/>
      <c r="B2" s="37"/>
      <c r="C2" s="64"/>
      <c r="D2" s="32"/>
      <c r="E2" s="32"/>
      <c r="F2" s="32"/>
      <c r="G2" s="33"/>
    </row>
    <row r="3" spans="1:20" x14ac:dyDescent="0.25">
      <c r="A3" s="37"/>
      <c r="B3" s="37"/>
      <c r="C3" s="64"/>
      <c r="D3" s="32"/>
      <c r="E3" s="32"/>
      <c r="F3" s="32"/>
      <c r="G3" s="33"/>
    </row>
    <row r="4" spans="1:20" s="65" customFormat="1" x14ac:dyDescent="0.25">
      <c r="A4" s="136" t="s">
        <v>279</v>
      </c>
      <c r="B4" s="136"/>
      <c r="C4" s="136"/>
      <c r="D4" s="136"/>
      <c r="E4" s="136"/>
      <c r="F4" s="136"/>
      <c r="G4" s="136"/>
      <c r="H4" s="136"/>
      <c r="I4" s="55"/>
      <c r="J4" s="80"/>
      <c r="K4" s="99"/>
      <c r="L4" s="102"/>
      <c r="M4" s="81"/>
      <c r="N4" s="82"/>
      <c r="O4" s="82"/>
      <c r="P4" s="82"/>
      <c r="Q4" s="82"/>
      <c r="R4" s="82"/>
      <c r="S4" s="82"/>
      <c r="T4" s="82"/>
    </row>
    <row r="5" spans="1:20" s="65" customFormat="1" x14ac:dyDescent="0.25">
      <c r="A5" s="35"/>
      <c r="B5" s="36"/>
      <c r="C5" s="36"/>
      <c r="D5" s="36"/>
      <c r="E5" s="36"/>
      <c r="F5" s="36"/>
      <c r="G5" s="56"/>
      <c r="H5" s="56"/>
      <c r="I5" s="55"/>
      <c r="J5" s="80"/>
      <c r="K5" s="99"/>
      <c r="L5" s="102"/>
      <c r="M5" s="81"/>
      <c r="N5" s="82"/>
      <c r="O5" s="82"/>
      <c r="P5" s="82"/>
      <c r="Q5" s="82"/>
      <c r="R5" s="82"/>
      <c r="S5" s="82"/>
      <c r="T5" s="82"/>
    </row>
    <row r="6" spans="1:20" s="65" customFormat="1" ht="18.75" customHeight="1" x14ac:dyDescent="0.25">
      <c r="A6" s="35"/>
      <c r="B6" s="137" t="s">
        <v>299</v>
      </c>
      <c r="C6" s="137"/>
      <c r="D6" s="36"/>
      <c r="E6" s="36"/>
      <c r="F6" s="36"/>
      <c r="G6" s="56"/>
      <c r="H6" s="56"/>
      <c r="I6" s="55"/>
      <c r="J6" s="80"/>
      <c r="K6" s="99"/>
      <c r="L6" s="102"/>
      <c r="M6" s="81"/>
      <c r="N6" s="82"/>
      <c r="O6" s="82"/>
      <c r="P6" s="82"/>
      <c r="Q6" s="82"/>
      <c r="R6" s="82"/>
      <c r="S6" s="82"/>
      <c r="T6" s="82"/>
    </row>
    <row r="7" spans="1:20" s="65" customFormat="1" ht="58.5" customHeight="1" x14ac:dyDescent="0.25">
      <c r="A7" s="35"/>
      <c r="B7" s="137" t="s">
        <v>300</v>
      </c>
      <c r="C7" s="137"/>
      <c r="D7" s="138"/>
      <c r="E7" s="138"/>
      <c r="F7" s="138"/>
      <c r="G7" s="138"/>
      <c r="H7" s="138"/>
      <c r="I7" s="55"/>
      <c r="J7" s="80"/>
      <c r="K7" s="99"/>
      <c r="L7" s="102"/>
      <c r="M7" s="81"/>
      <c r="N7" s="82"/>
      <c r="O7" s="82"/>
      <c r="P7" s="82"/>
      <c r="Q7" s="82"/>
      <c r="R7" s="82"/>
      <c r="S7" s="82"/>
      <c r="T7" s="82"/>
    </row>
    <row r="8" spans="1:20" s="65" customFormat="1" ht="33.75" customHeight="1" x14ac:dyDescent="0.25">
      <c r="A8" s="35"/>
      <c r="B8" s="139" t="s">
        <v>280</v>
      </c>
      <c r="C8" s="139"/>
      <c r="D8" s="36"/>
      <c r="E8" s="36"/>
      <c r="F8" s="36"/>
      <c r="G8" s="56"/>
      <c r="H8" s="56"/>
      <c r="I8" s="55"/>
      <c r="J8" s="80"/>
      <c r="K8" s="99"/>
      <c r="L8" s="102"/>
      <c r="M8" s="81"/>
      <c r="N8" s="82"/>
      <c r="O8" s="82"/>
      <c r="P8" s="82"/>
      <c r="Q8" s="82"/>
      <c r="R8" s="82"/>
      <c r="S8" s="82"/>
      <c r="T8" s="82"/>
    </row>
    <row r="9" spans="1:20" s="65" customFormat="1" ht="3" customHeight="1" x14ac:dyDescent="0.25">
      <c r="A9" s="35"/>
      <c r="B9" s="36"/>
      <c r="C9" s="36"/>
      <c r="D9" s="36"/>
      <c r="E9" s="36"/>
      <c r="F9" s="36"/>
      <c r="G9" s="56"/>
      <c r="H9" s="56"/>
      <c r="I9" s="55"/>
      <c r="J9" s="80"/>
      <c r="K9" s="99"/>
      <c r="L9" s="102"/>
      <c r="M9" s="81"/>
      <c r="N9" s="82"/>
      <c r="O9" s="82"/>
      <c r="P9" s="82"/>
      <c r="Q9" s="82"/>
      <c r="R9" s="82"/>
      <c r="S9" s="82"/>
      <c r="T9" s="82"/>
    </row>
    <row r="10" spans="1:20" s="66" customFormat="1" ht="78.75" customHeight="1" x14ac:dyDescent="0.25">
      <c r="A10" s="140" t="s">
        <v>302</v>
      </c>
      <c r="B10" s="140"/>
      <c r="C10" s="140"/>
      <c r="D10" s="140"/>
      <c r="E10" s="140"/>
      <c r="F10" s="140"/>
      <c r="G10" s="140"/>
      <c r="H10" s="140"/>
      <c r="I10" s="40"/>
      <c r="J10" s="83"/>
      <c r="K10" s="99"/>
      <c r="L10" s="102"/>
      <c r="M10" s="84"/>
      <c r="N10" s="85"/>
      <c r="O10" s="85"/>
      <c r="P10" s="85"/>
      <c r="Q10" s="85"/>
      <c r="R10" s="85"/>
      <c r="S10" s="85"/>
      <c r="T10" s="85"/>
    </row>
    <row r="11" spans="1:20" s="66" customFormat="1" ht="9.75" hidden="1" customHeight="1" x14ac:dyDescent="0.25">
      <c r="A11" s="37"/>
      <c r="B11" s="37"/>
      <c r="C11" s="38"/>
      <c r="D11" s="38"/>
      <c r="E11" s="38"/>
      <c r="F11" s="38"/>
      <c r="G11" s="39"/>
      <c r="H11" s="39"/>
      <c r="I11" s="40"/>
      <c r="J11" s="83"/>
      <c r="K11" s="99"/>
      <c r="L11" s="102"/>
      <c r="M11" s="84"/>
      <c r="N11" s="85"/>
      <c r="O11" s="85"/>
      <c r="P11" s="85"/>
      <c r="Q11" s="85"/>
      <c r="R11" s="85"/>
      <c r="S11" s="85"/>
      <c r="T11" s="85"/>
    </row>
    <row r="12" spans="1:20" ht="19.5" customHeight="1" x14ac:dyDescent="0.25">
      <c r="A12" s="141" t="s">
        <v>281</v>
      </c>
      <c r="B12" s="141" t="s">
        <v>282</v>
      </c>
      <c r="C12" s="141" t="s">
        <v>283</v>
      </c>
      <c r="D12" s="141" t="s">
        <v>284</v>
      </c>
      <c r="E12" s="130" t="s">
        <v>285</v>
      </c>
      <c r="F12" s="130" t="s">
        <v>286</v>
      </c>
      <c r="G12" s="132" t="s">
        <v>287</v>
      </c>
      <c r="H12" s="132" t="s">
        <v>269</v>
      </c>
    </row>
    <row r="13" spans="1:20" ht="42" customHeight="1" x14ac:dyDescent="0.25">
      <c r="A13" s="141"/>
      <c r="B13" s="141"/>
      <c r="C13" s="141"/>
      <c r="D13" s="141"/>
      <c r="E13" s="131" t="s">
        <v>288</v>
      </c>
      <c r="F13" s="131" t="s">
        <v>286</v>
      </c>
      <c r="G13" s="133"/>
      <c r="H13" s="133"/>
    </row>
    <row r="14" spans="1:20" s="74" customFormat="1" ht="42" customHeight="1" x14ac:dyDescent="0.25">
      <c r="A14" s="41">
        <v>1</v>
      </c>
      <c r="B14" s="134" t="s">
        <v>17</v>
      </c>
      <c r="C14" s="134"/>
      <c r="D14" s="67">
        <f>ROUND(SUM(D15:D22),2)</f>
        <v>10469982.890000001</v>
      </c>
      <c r="E14" s="75">
        <f>ROUND(D14*0.05,2)</f>
        <v>523499.14</v>
      </c>
      <c r="F14" s="75">
        <f>E14+D14</f>
        <v>10993482.030000001</v>
      </c>
      <c r="G14" s="42">
        <f>SUM(G15,G16,G17,G18,G19,G20,G21,G22)</f>
        <v>10472704.129999999</v>
      </c>
      <c r="H14" s="42">
        <f t="shared" ref="H14:H44" si="0">ROUND(G14*1.22,2)</f>
        <v>12776699.039999999</v>
      </c>
      <c r="I14" s="73"/>
      <c r="J14" s="86">
        <f>G14-D14</f>
        <v>2721.2399999983609</v>
      </c>
      <c r="K14" s="98">
        <f>СВОД!I25</f>
        <v>10469982.890000001</v>
      </c>
      <c r="L14" s="101">
        <f>K14-D14</f>
        <v>0</v>
      </c>
      <c r="M14" s="87"/>
      <c r="N14" s="88"/>
      <c r="O14" s="88"/>
      <c r="P14" s="88"/>
      <c r="Q14" s="88"/>
      <c r="R14" s="88"/>
      <c r="S14" s="88"/>
      <c r="T14" s="88"/>
    </row>
    <row r="15" spans="1:20" ht="41.1" customHeight="1" x14ac:dyDescent="0.25">
      <c r="A15" s="104" t="s">
        <v>18</v>
      </c>
      <c r="B15" s="104" t="s">
        <v>19</v>
      </c>
      <c r="C15" s="104" t="s">
        <v>103</v>
      </c>
      <c r="D15" s="105">
        <f>СВОД!I16</f>
        <v>1653152.89</v>
      </c>
      <c r="E15" s="105">
        <f t="shared" ref="E15:E44" si="1">ROUND(D15*0.05,2)</f>
        <v>82657.64</v>
      </c>
      <c r="F15" s="105">
        <f t="shared" ref="F15:F22" si="2">E15+D15</f>
        <v>1735810.5299999998</v>
      </c>
      <c r="G15" s="106">
        <v>1653397.84</v>
      </c>
      <c r="H15" s="106">
        <f t="shared" si="0"/>
        <v>2017145.36</v>
      </c>
      <c r="J15" s="77">
        <f t="shared" ref="J15:J45" si="3">G15-D15</f>
        <v>244.95000000018626</v>
      </c>
    </row>
    <row r="16" spans="1:20" s="34" customFormat="1" ht="41.1" customHeight="1" x14ac:dyDescent="0.25">
      <c r="A16" s="104" t="s">
        <v>21</v>
      </c>
      <c r="B16" s="104" t="s">
        <v>22</v>
      </c>
      <c r="C16" s="104" t="s">
        <v>149</v>
      </c>
      <c r="D16" s="105">
        <f>СВОД!I17</f>
        <v>287215.21999999997</v>
      </c>
      <c r="E16" s="105">
        <f t="shared" si="1"/>
        <v>14360.76</v>
      </c>
      <c r="F16" s="105">
        <f t="shared" si="2"/>
        <v>301575.98</v>
      </c>
      <c r="G16" s="106">
        <v>287260.46999999997</v>
      </c>
      <c r="H16" s="106">
        <f t="shared" si="0"/>
        <v>350457.77</v>
      </c>
      <c r="J16" s="77">
        <f t="shared" si="3"/>
        <v>45.25</v>
      </c>
      <c r="K16" s="98"/>
      <c r="L16" s="101"/>
      <c r="M16" s="78"/>
      <c r="N16" s="78"/>
      <c r="O16" s="78"/>
      <c r="P16" s="78"/>
      <c r="Q16" s="78"/>
      <c r="R16" s="78"/>
      <c r="S16" s="78"/>
      <c r="T16" s="78"/>
    </row>
    <row r="17" spans="1:20" s="34" customFormat="1" ht="41.1" customHeight="1" x14ac:dyDescent="0.25">
      <c r="A17" s="104" t="s">
        <v>23</v>
      </c>
      <c r="B17" s="107" t="s">
        <v>24</v>
      </c>
      <c r="C17" s="104" t="s">
        <v>156</v>
      </c>
      <c r="D17" s="105">
        <f>СВОД!I18</f>
        <v>538654.03</v>
      </c>
      <c r="E17" s="105">
        <f t="shared" si="1"/>
        <v>26932.7</v>
      </c>
      <c r="F17" s="105">
        <f t="shared" si="2"/>
        <v>565586.73</v>
      </c>
      <c r="G17" s="106">
        <v>539055.67000000004</v>
      </c>
      <c r="H17" s="106">
        <f t="shared" si="0"/>
        <v>657647.92000000004</v>
      </c>
      <c r="J17" s="77">
        <f t="shared" si="3"/>
        <v>401.64000000001397</v>
      </c>
      <c r="K17" s="98"/>
      <c r="L17" s="101"/>
      <c r="M17" s="78"/>
      <c r="N17" s="78"/>
      <c r="O17" s="78"/>
      <c r="P17" s="78"/>
      <c r="Q17" s="78"/>
      <c r="R17" s="78"/>
      <c r="S17" s="78"/>
      <c r="T17" s="78"/>
    </row>
    <row r="18" spans="1:20" s="34" customFormat="1" ht="41.1" customHeight="1" x14ac:dyDescent="0.25">
      <c r="A18" s="104" t="s">
        <v>25</v>
      </c>
      <c r="B18" s="107" t="s">
        <v>26</v>
      </c>
      <c r="C18" s="104" t="s">
        <v>164</v>
      </c>
      <c r="D18" s="105">
        <f>СВОД!I19</f>
        <v>538654.03</v>
      </c>
      <c r="E18" s="105">
        <f t="shared" si="1"/>
        <v>26932.7</v>
      </c>
      <c r="F18" s="105">
        <f t="shared" si="2"/>
        <v>565586.73</v>
      </c>
      <c r="G18" s="106">
        <v>539055.67000000004</v>
      </c>
      <c r="H18" s="106">
        <f t="shared" si="0"/>
        <v>657647.92000000004</v>
      </c>
      <c r="J18" s="77">
        <f t="shared" si="3"/>
        <v>401.64000000001397</v>
      </c>
      <c r="K18" s="98"/>
      <c r="L18" s="101"/>
      <c r="M18" s="78"/>
      <c r="N18" s="78"/>
      <c r="O18" s="78"/>
      <c r="P18" s="78"/>
      <c r="Q18" s="78"/>
      <c r="R18" s="78"/>
      <c r="S18" s="78"/>
      <c r="T18" s="78"/>
    </row>
    <row r="19" spans="1:20" s="34" customFormat="1" ht="41.1" customHeight="1" x14ac:dyDescent="0.25">
      <c r="A19" s="104" t="s">
        <v>27</v>
      </c>
      <c r="B19" s="107" t="s">
        <v>28</v>
      </c>
      <c r="C19" s="104" t="s">
        <v>165</v>
      </c>
      <c r="D19" s="105">
        <f>СВОД!I20</f>
        <v>538654.03</v>
      </c>
      <c r="E19" s="105">
        <f t="shared" si="1"/>
        <v>26932.7</v>
      </c>
      <c r="F19" s="105">
        <f t="shared" si="2"/>
        <v>565586.73</v>
      </c>
      <c r="G19" s="106">
        <v>539055.67000000004</v>
      </c>
      <c r="H19" s="106">
        <f t="shared" si="0"/>
        <v>657647.92000000004</v>
      </c>
      <c r="J19" s="77">
        <f t="shared" si="3"/>
        <v>401.64000000001397</v>
      </c>
      <c r="K19" s="98"/>
      <c r="L19" s="101"/>
      <c r="M19" s="78"/>
      <c r="N19" s="78"/>
      <c r="O19" s="78"/>
      <c r="P19" s="78"/>
      <c r="Q19" s="78"/>
      <c r="R19" s="78"/>
      <c r="S19" s="78"/>
      <c r="T19" s="78"/>
    </row>
    <row r="20" spans="1:20" s="34" customFormat="1" ht="41.1" customHeight="1" x14ac:dyDescent="0.25">
      <c r="A20" s="104" t="s">
        <v>29</v>
      </c>
      <c r="B20" s="107" t="s">
        <v>30</v>
      </c>
      <c r="C20" s="104" t="s">
        <v>166</v>
      </c>
      <c r="D20" s="105">
        <f>СВОД!I21</f>
        <v>4886820.29</v>
      </c>
      <c r="E20" s="105">
        <f t="shared" si="1"/>
        <v>244341.01</v>
      </c>
      <c r="F20" s="105">
        <f t="shared" si="2"/>
        <v>5131161.3</v>
      </c>
      <c r="G20" s="106">
        <v>4887089.62</v>
      </c>
      <c r="H20" s="106">
        <f t="shared" si="0"/>
        <v>5962249.3399999999</v>
      </c>
      <c r="J20" s="77">
        <f t="shared" si="3"/>
        <v>269.33000000007451</v>
      </c>
      <c r="K20" s="98"/>
      <c r="L20" s="101"/>
      <c r="M20" s="78"/>
      <c r="N20" s="78"/>
      <c r="O20" s="78"/>
      <c r="P20" s="78"/>
      <c r="Q20" s="78"/>
      <c r="R20" s="78"/>
      <c r="S20" s="78"/>
      <c r="T20" s="78"/>
    </row>
    <row r="21" spans="1:20" s="34" customFormat="1" ht="41.1" customHeight="1" x14ac:dyDescent="0.25">
      <c r="A21" s="104" t="s">
        <v>31</v>
      </c>
      <c r="B21" s="107" t="s">
        <v>32</v>
      </c>
      <c r="C21" s="104" t="s">
        <v>179</v>
      </c>
      <c r="D21" s="105">
        <f>СВОД!I22</f>
        <v>538654.03</v>
      </c>
      <c r="E21" s="105">
        <f t="shared" si="1"/>
        <v>26932.7</v>
      </c>
      <c r="F21" s="105">
        <f t="shared" si="2"/>
        <v>565586.73</v>
      </c>
      <c r="G21" s="106">
        <v>539055.67000000004</v>
      </c>
      <c r="H21" s="106">
        <f t="shared" si="0"/>
        <v>657647.92000000004</v>
      </c>
      <c r="J21" s="77">
        <f t="shared" si="3"/>
        <v>401.64000000001397</v>
      </c>
      <c r="K21" s="98"/>
      <c r="L21" s="101"/>
      <c r="M21" s="78"/>
      <c r="N21" s="78"/>
      <c r="O21" s="78"/>
      <c r="P21" s="78"/>
      <c r="Q21" s="78"/>
      <c r="R21" s="78"/>
      <c r="S21" s="78"/>
      <c r="T21" s="78"/>
    </row>
    <row r="22" spans="1:20" s="34" customFormat="1" ht="41.1" customHeight="1" x14ac:dyDescent="0.25">
      <c r="A22" s="104" t="s">
        <v>33</v>
      </c>
      <c r="B22" s="107" t="s">
        <v>34</v>
      </c>
      <c r="C22" s="104" t="s">
        <v>180</v>
      </c>
      <c r="D22" s="105">
        <f>СВОД!I23</f>
        <v>1488178.37</v>
      </c>
      <c r="E22" s="105">
        <f t="shared" si="1"/>
        <v>74408.92</v>
      </c>
      <c r="F22" s="105">
        <f t="shared" si="2"/>
        <v>1562587.29</v>
      </c>
      <c r="G22" s="106">
        <v>1488733.52</v>
      </c>
      <c r="H22" s="106">
        <f t="shared" si="0"/>
        <v>1816254.89</v>
      </c>
      <c r="J22" s="77">
        <f t="shared" si="3"/>
        <v>555.14999999990687</v>
      </c>
      <c r="K22" s="98"/>
      <c r="L22" s="101"/>
      <c r="M22" s="78"/>
      <c r="N22" s="78"/>
      <c r="O22" s="78"/>
      <c r="P22" s="78"/>
      <c r="Q22" s="78"/>
      <c r="R22" s="78"/>
      <c r="S22" s="78"/>
      <c r="T22" s="78"/>
    </row>
    <row r="23" spans="1:20" s="34" customFormat="1" ht="41.1" customHeight="1" x14ac:dyDescent="0.25">
      <c r="A23" s="43" t="s">
        <v>40</v>
      </c>
      <c r="B23" s="135" t="s">
        <v>41</v>
      </c>
      <c r="C23" s="135"/>
      <c r="D23" s="67">
        <f>ROUND(SUM(D24:D39),2)</f>
        <v>6654622.6200000001</v>
      </c>
      <c r="E23" s="75">
        <f>ROUND(D23*0.05,2)</f>
        <v>332731.13</v>
      </c>
      <c r="F23" s="75">
        <f>E23+D23</f>
        <v>6987353.75</v>
      </c>
      <c r="G23" s="42">
        <f>SUM(G24:G39)</f>
        <v>6659924.9199999999</v>
      </c>
      <c r="H23" s="42">
        <f t="shared" si="0"/>
        <v>8125108.4000000004</v>
      </c>
      <c r="J23" s="77">
        <f t="shared" si="3"/>
        <v>5302.2999999998137</v>
      </c>
      <c r="K23" s="98">
        <f>СВОД!I43</f>
        <v>6654622.6200000001</v>
      </c>
      <c r="L23" s="101">
        <f>K23-D23</f>
        <v>0</v>
      </c>
      <c r="M23" s="78"/>
      <c r="N23" s="78"/>
      <c r="O23" s="78"/>
      <c r="P23" s="78"/>
      <c r="Q23" s="78"/>
      <c r="R23" s="78"/>
      <c r="S23" s="78"/>
      <c r="T23" s="78"/>
    </row>
    <row r="24" spans="1:20" s="34" customFormat="1" ht="51.75" customHeight="1" x14ac:dyDescent="0.25">
      <c r="A24" s="104" t="s">
        <v>42</v>
      </c>
      <c r="B24" s="107" t="s">
        <v>43</v>
      </c>
      <c r="C24" s="104" t="s">
        <v>184</v>
      </c>
      <c r="D24" s="105">
        <f>СВОД!I27</f>
        <v>490399.9</v>
      </c>
      <c r="E24" s="105">
        <f t="shared" si="1"/>
        <v>24520</v>
      </c>
      <c r="F24" s="105">
        <f t="shared" ref="F24:F39" si="4">E24+D24</f>
        <v>514919.9</v>
      </c>
      <c r="G24" s="106">
        <v>490501.95</v>
      </c>
      <c r="H24" s="106">
        <f t="shared" si="0"/>
        <v>598412.38</v>
      </c>
      <c r="J24" s="77">
        <f t="shared" si="3"/>
        <v>102.04999999998836</v>
      </c>
      <c r="K24" s="98"/>
      <c r="L24" s="101"/>
      <c r="M24" s="78"/>
      <c r="N24" s="78"/>
      <c r="O24" s="78"/>
      <c r="P24" s="78"/>
      <c r="Q24" s="78"/>
      <c r="R24" s="78"/>
      <c r="S24" s="78"/>
      <c r="T24" s="78"/>
    </row>
    <row r="25" spans="1:20" s="34" customFormat="1" ht="51.75" customHeight="1" x14ac:dyDescent="0.25">
      <c r="A25" s="104" t="s">
        <v>44</v>
      </c>
      <c r="B25" s="107" t="s">
        <v>45</v>
      </c>
      <c r="C25" s="104" t="s">
        <v>191</v>
      </c>
      <c r="D25" s="105">
        <f>СВОД!I28</f>
        <v>520328.13</v>
      </c>
      <c r="E25" s="105">
        <f t="shared" si="1"/>
        <v>26016.41</v>
      </c>
      <c r="F25" s="105">
        <f t="shared" si="4"/>
        <v>546344.54</v>
      </c>
      <c r="G25" s="106">
        <v>520336.49</v>
      </c>
      <c r="H25" s="106">
        <f t="shared" si="0"/>
        <v>634810.52</v>
      </c>
      <c r="J25" s="77">
        <f t="shared" si="3"/>
        <v>8.3599999999860302</v>
      </c>
      <c r="K25" s="98"/>
      <c r="L25" s="101"/>
      <c r="M25" s="78"/>
      <c r="N25" s="78"/>
      <c r="O25" s="78"/>
      <c r="P25" s="78"/>
      <c r="Q25" s="78"/>
      <c r="R25" s="78"/>
      <c r="S25" s="78"/>
      <c r="T25" s="78"/>
    </row>
    <row r="26" spans="1:20" s="34" customFormat="1" ht="51.75" customHeight="1" x14ac:dyDescent="0.25">
      <c r="A26" s="104" t="s">
        <v>46</v>
      </c>
      <c r="B26" s="107" t="s">
        <v>47</v>
      </c>
      <c r="C26" s="104" t="s">
        <v>197</v>
      </c>
      <c r="D26" s="105">
        <f>СВОД!I29</f>
        <v>261011.37</v>
      </c>
      <c r="E26" s="105">
        <f t="shared" si="1"/>
        <v>13050.57</v>
      </c>
      <c r="F26" s="105">
        <f t="shared" si="4"/>
        <v>274061.94</v>
      </c>
      <c r="G26" s="106">
        <v>261225.27</v>
      </c>
      <c r="H26" s="106">
        <f t="shared" si="0"/>
        <v>318694.83</v>
      </c>
      <c r="J26" s="77">
        <f t="shared" si="3"/>
        <v>213.89999999999418</v>
      </c>
      <c r="K26" s="98"/>
      <c r="L26" s="101"/>
      <c r="M26" s="78"/>
      <c r="N26" s="78"/>
      <c r="O26" s="78"/>
      <c r="P26" s="78"/>
      <c r="Q26" s="78"/>
      <c r="R26" s="78"/>
      <c r="S26" s="78"/>
      <c r="T26" s="78"/>
    </row>
    <row r="27" spans="1:20" s="34" customFormat="1" ht="51.75" customHeight="1" x14ac:dyDescent="0.25">
      <c r="A27" s="104" t="s">
        <v>48</v>
      </c>
      <c r="B27" s="107" t="s">
        <v>49</v>
      </c>
      <c r="C27" s="104" t="s">
        <v>201</v>
      </c>
      <c r="D27" s="105">
        <f>СВОД!I30</f>
        <v>335046.28000000003</v>
      </c>
      <c r="E27" s="105">
        <f t="shared" si="1"/>
        <v>16752.310000000001</v>
      </c>
      <c r="F27" s="105">
        <f t="shared" si="4"/>
        <v>351798.59</v>
      </c>
      <c r="G27" s="106">
        <v>335246.38</v>
      </c>
      <c r="H27" s="106">
        <f t="shared" si="0"/>
        <v>409000.58</v>
      </c>
      <c r="J27" s="77">
        <f t="shared" si="3"/>
        <v>200.09999999997672</v>
      </c>
      <c r="K27" s="98"/>
      <c r="L27" s="101"/>
      <c r="M27" s="78"/>
      <c r="N27" s="78"/>
      <c r="O27" s="78"/>
      <c r="P27" s="78"/>
      <c r="Q27" s="78"/>
      <c r="R27" s="78"/>
      <c r="S27" s="78"/>
      <c r="T27" s="78"/>
    </row>
    <row r="28" spans="1:20" s="34" customFormat="1" ht="51.75" customHeight="1" x14ac:dyDescent="0.25">
      <c r="A28" s="104" t="s">
        <v>50</v>
      </c>
      <c r="B28" s="107" t="s">
        <v>51</v>
      </c>
      <c r="C28" s="104" t="s">
        <v>205</v>
      </c>
      <c r="D28" s="105">
        <f>СВОД!I31</f>
        <v>184179.32</v>
      </c>
      <c r="E28" s="105">
        <f t="shared" si="1"/>
        <v>9208.9699999999993</v>
      </c>
      <c r="F28" s="105">
        <f t="shared" si="4"/>
        <v>193388.29</v>
      </c>
      <c r="G28" s="106">
        <v>184360.23</v>
      </c>
      <c r="H28" s="106">
        <f t="shared" si="0"/>
        <v>224919.48</v>
      </c>
      <c r="J28" s="77">
        <f t="shared" si="3"/>
        <v>180.91000000000349</v>
      </c>
      <c r="K28" s="98"/>
      <c r="L28" s="101"/>
      <c r="M28" s="78"/>
      <c r="N28" s="78"/>
      <c r="O28" s="78"/>
      <c r="P28" s="78"/>
      <c r="Q28" s="78"/>
      <c r="R28" s="78"/>
      <c r="S28" s="78"/>
      <c r="T28" s="78"/>
    </row>
    <row r="29" spans="1:20" s="34" customFormat="1" ht="51.75" customHeight="1" x14ac:dyDescent="0.25">
      <c r="A29" s="104" t="s">
        <v>52</v>
      </c>
      <c r="B29" s="107" t="s">
        <v>53</v>
      </c>
      <c r="C29" s="104" t="s">
        <v>210</v>
      </c>
      <c r="D29" s="105">
        <f>СВОД!I32</f>
        <v>225088.86</v>
      </c>
      <c r="E29" s="105">
        <f t="shared" si="1"/>
        <v>11254.44</v>
      </c>
      <c r="F29" s="105">
        <f t="shared" si="4"/>
        <v>236343.3</v>
      </c>
      <c r="G29" s="106">
        <v>225204.65</v>
      </c>
      <c r="H29" s="106">
        <f t="shared" si="0"/>
        <v>274749.67</v>
      </c>
      <c r="J29" s="77">
        <f t="shared" si="3"/>
        <v>115.79000000000815</v>
      </c>
      <c r="K29" s="98"/>
      <c r="L29" s="101"/>
      <c r="M29" s="78"/>
      <c r="N29" s="78"/>
      <c r="O29" s="78"/>
      <c r="P29" s="78"/>
      <c r="Q29" s="78"/>
      <c r="R29" s="78"/>
      <c r="S29" s="78"/>
      <c r="T29" s="78"/>
    </row>
    <row r="30" spans="1:20" s="34" customFormat="1" ht="51.75" customHeight="1" x14ac:dyDescent="0.25">
      <c r="A30" s="104" t="s">
        <v>54</v>
      </c>
      <c r="B30" s="107" t="s">
        <v>55</v>
      </c>
      <c r="C30" s="104" t="s">
        <v>213</v>
      </c>
      <c r="D30" s="105">
        <f>СВОД!I33</f>
        <v>502632.89</v>
      </c>
      <c r="E30" s="105">
        <f t="shared" si="1"/>
        <v>25131.64</v>
      </c>
      <c r="F30" s="105">
        <f t="shared" si="4"/>
        <v>527764.53</v>
      </c>
      <c r="G30" s="106">
        <v>502878.61</v>
      </c>
      <c r="H30" s="106">
        <f t="shared" si="0"/>
        <v>613511.9</v>
      </c>
      <c r="J30" s="77">
        <f t="shared" si="3"/>
        <v>245.71999999997206</v>
      </c>
      <c r="K30" s="98"/>
      <c r="L30" s="101"/>
      <c r="M30" s="78"/>
      <c r="N30" s="78"/>
      <c r="O30" s="78"/>
      <c r="P30" s="78"/>
      <c r="Q30" s="78"/>
      <c r="R30" s="78"/>
      <c r="S30" s="78"/>
      <c r="T30" s="78"/>
    </row>
    <row r="31" spans="1:20" s="34" customFormat="1" ht="51.75" customHeight="1" x14ac:dyDescent="0.25">
      <c r="A31" s="104" t="s">
        <v>56</v>
      </c>
      <c r="B31" s="107" t="s">
        <v>57</v>
      </c>
      <c r="C31" s="104" t="s">
        <v>216</v>
      </c>
      <c r="D31" s="105">
        <f>СВОД!I34</f>
        <v>537323.69999999995</v>
      </c>
      <c r="E31" s="105">
        <f t="shared" si="1"/>
        <v>26866.19</v>
      </c>
      <c r="F31" s="105">
        <f t="shared" si="4"/>
        <v>564189.8899999999</v>
      </c>
      <c r="G31" s="106">
        <v>537794.39</v>
      </c>
      <c r="H31" s="106">
        <f t="shared" si="0"/>
        <v>656109.16</v>
      </c>
      <c r="J31" s="77">
        <f t="shared" si="3"/>
        <v>470.69000000006054</v>
      </c>
      <c r="K31" s="98"/>
      <c r="L31" s="101"/>
      <c r="M31" s="78"/>
      <c r="N31" s="78"/>
      <c r="O31" s="78"/>
      <c r="P31" s="78"/>
      <c r="Q31" s="78"/>
      <c r="R31" s="78"/>
      <c r="S31" s="78"/>
      <c r="T31" s="78"/>
    </row>
    <row r="32" spans="1:20" ht="51.75" customHeight="1" x14ac:dyDescent="0.25">
      <c r="A32" s="104" t="s">
        <v>58</v>
      </c>
      <c r="B32" s="107" t="s">
        <v>59</v>
      </c>
      <c r="C32" s="104" t="s">
        <v>219</v>
      </c>
      <c r="D32" s="105">
        <f>СВОД!I35</f>
        <v>920293.14</v>
      </c>
      <c r="E32" s="105">
        <f t="shared" si="1"/>
        <v>46014.66</v>
      </c>
      <c r="F32" s="105">
        <f t="shared" si="4"/>
        <v>966307.8</v>
      </c>
      <c r="G32" s="106">
        <v>920460.75</v>
      </c>
      <c r="H32" s="106">
        <f t="shared" si="0"/>
        <v>1122962.1200000001</v>
      </c>
      <c r="J32" s="77">
        <f t="shared" si="3"/>
        <v>167.60999999998603</v>
      </c>
    </row>
    <row r="33" spans="1:20" ht="51.75" customHeight="1" x14ac:dyDescent="0.25">
      <c r="A33" s="104" t="s">
        <v>60</v>
      </c>
      <c r="B33" s="107" t="s">
        <v>61</v>
      </c>
      <c r="C33" s="104" t="s">
        <v>226</v>
      </c>
      <c r="D33" s="105">
        <f>СВОД!I36</f>
        <v>502632.89</v>
      </c>
      <c r="E33" s="105">
        <f t="shared" si="1"/>
        <v>25131.64</v>
      </c>
      <c r="F33" s="105">
        <f t="shared" si="4"/>
        <v>527764.53</v>
      </c>
      <c r="G33" s="106">
        <v>502878.61</v>
      </c>
      <c r="H33" s="106">
        <f t="shared" si="0"/>
        <v>613511.9</v>
      </c>
      <c r="J33" s="77">
        <f t="shared" si="3"/>
        <v>245.71999999997206</v>
      </c>
    </row>
    <row r="34" spans="1:20" ht="51.75" customHeight="1" x14ac:dyDescent="0.25">
      <c r="A34" s="104" t="s">
        <v>62</v>
      </c>
      <c r="B34" s="107" t="s">
        <v>63</v>
      </c>
      <c r="C34" s="104" t="s">
        <v>227</v>
      </c>
      <c r="D34" s="105">
        <f>СВОД!I37</f>
        <v>436468.86</v>
      </c>
      <c r="E34" s="105">
        <f t="shared" si="1"/>
        <v>21823.439999999999</v>
      </c>
      <c r="F34" s="105">
        <f t="shared" si="4"/>
        <v>458292.3</v>
      </c>
      <c r="G34" s="106">
        <v>436538.63</v>
      </c>
      <c r="H34" s="106">
        <f t="shared" si="0"/>
        <v>532577.13</v>
      </c>
      <c r="J34" s="77">
        <f t="shared" si="3"/>
        <v>69.770000000018626</v>
      </c>
    </row>
    <row r="35" spans="1:20" ht="51.75" customHeight="1" x14ac:dyDescent="0.25">
      <c r="A35" s="104" t="s">
        <v>64</v>
      </c>
      <c r="B35" s="107" t="s">
        <v>65</v>
      </c>
      <c r="C35" s="104" t="s">
        <v>230</v>
      </c>
      <c r="D35" s="105">
        <f>СВОД!I38</f>
        <v>677142.73</v>
      </c>
      <c r="E35" s="105">
        <f t="shared" si="1"/>
        <v>33857.14</v>
      </c>
      <c r="F35" s="105">
        <f t="shared" si="4"/>
        <v>710999.87</v>
      </c>
      <c r="G35" s="106">
        <v>677292.39</v>
      </c>
      <c r="H35" s="106">
        <f t="shared" si="0"/>
        <v>826296.72</v>
      </c>
      <c r="J35" s="77">
        <f t="shared" si="3"/>
        <v>149.6600000000326</v>
      </c>
    </row>
    <row r="36" spans="1:20" ht="51.75" customHeight="1" x14ac:dyDescent="0.25">
      <c r="A36" s="104" t="s">
        <v>66</v>
      </c>
      <c r="B36" s="107" t="s">
        <v>67</v>
      </c>
      <c r="C36" s="104" t="s">
        <v>233</v>
      </c>
      <c r="D36" s="105">
        <f>СВОД!I39</f>
        <v>245107.47</v>
      </c>
      <c r="E36" s="105">
        <f t="shared" si="1"/>
        <v>12255.37</v>
      </c>
      <c r="F36" s="105">
        <f t="shared" si="4"/>
        <v>257362.84</v>
      </c>
      <c r="G36" s="106">
        <v>245376.2</v>
      </c>
      <c r="H36" s="106">
        <f t="shared" si="0"/>
        <v>299358.96000000002</v>
      </c>
      <c r="J36" s="77">
        <f t="shared" si="3"/>
        <v>268.73000000001048</v>
      </c>
    </row>
    <row r="37" spans="1:20" ht="51.75" customHeight="1" x14ac:dyDescent="0.25">
      <c r="A37" s="104" t="s">
        <v>68</v>
      </c>
      <c r="B37" s="107" t="s">
        <v>69</v>
      </c>
      <c r="C37" s="104" t="s">
        <v>236</v>
      </c>
      <c r="D37" s="105">
        <f>СВОД!I40</f>
        <v>329026.96999999997</v>
      </c>
      <c r="E37" s="105">
        <f t="shared" si="1"/>
        <v>16451.349999999999</v>
      </c>
      <c r="F37" s="105">
        <f t="shared" si="4"/>
        <v>345478.31999999995</v>
      </c>
      <c r="G37" s="106">
        <v>329077.96000000002</v>
      </c>
      <c r="H37" s="106">
        <f t="shared" si="0"/>
        <v>401475.11</v>
      </c>
      <c r="J37" s="77">
        <f t="shared" si="3"/>
        <v>50.990000000048894</v>
      </c>
    </row>
    <row r="38" spans="1:20" ht="51.75" customHeight="1" x14ac:dyDescent="0.25">
      <c r="A38" s="104" t="s">
        <v>70</v>
      </c>
      <c r="B38" s="107" t="s">
        <v>71</v>
      </c>
      <c r="C38" s="104" t="s">
        <v>239</v>
      </c>
      <c r="D38" s="105">
        <f>СВОД!I41</f>
        <v>295154.02</v>
      </c>
      <c r="E38" s="105">
        <f t="shared" si="1"/>
        <v>14757.7</v>
      </c>
      <c r="F38" s="105">
        <f t="shared" si="4"/>
        <v>309911.72000000003</v>
      </c>
      <c r="G38" s="106">
        <v>295805.05</v>
      </c>
      <c r="H38" s="106">
        <f t="shared" si="0"/>
        <v>360882.16</v>
      </c>
      <c r="J38" s="77">
        <f t="shared" si="3"/>
        <v>651.02999999996973</v>
      </c>
    </row>
    <row r="39" spans="1:20" ht="51.75" customHeight="1" x14ac:dyDescent="0.25">
      <c r="A39" s="104" t="s">
        <v>72</v>
      </c>
      <c r="B39" s="107" t="s">
        <v>73</v>
      </c>
      <c r="C39" s="104" t="s">
        <v>242</v>
      </c>
      <c r="D39" s="105">
        <f>СВОД!I42</f>
        <v>192786.09</v>
      </c>
      <c r="E39" s="105">
        <f t="shared" si="1"/>
        <v>9639.2999999999993</v>
      </c>
      <c r="F39" s="105">
        <f t="shared" si="4"/>
        <v>202425.38999999998</v>
      </c>
      <c r="G39" s="106">
        <v>194947.36</v>
      </c>
      <c r="H39" s="106">
        <f t="shared" si="0"/>
        <v>237835.78</v>
      </c>
      <c r="J39" s="77">
        <f t="shared" si="3"/>
        <v>2161.2699999999895</v>
      </c>
    </row>
    <row r="40" spans="1:20" ht="51.75" customHeight="1" x14ac:dyDescent="0.25">
      <c r="A40" s="43" t="s">
        <v>79</v>
      </c>
      <c r="B40" s="135" t="s">
        <v>80</v>
      </c>
      <c r="C40" s="135"/>
      <c r="D40" s="67">
        <f>ROUND(SUM(D41:D44),2)</f>
        <v>2118163.73</v>
      </c>
      <c r="E40" s="75">
        <f>ROUND(D40*0.05,2)</f>
        <v>105908.19</v>
      </c>
      <c r="F40" s="75">
        <f>E40+D40</f>
        <v>2224071.92</v>
      </c>
      <c r="G40" s="42">
        <f>SUM(G41:G44)</f>
        <v>2119841.2400000002</v>
      </c>
      <c r="H40" s="42">
        <f t="shared" si="0"/>
        <v>2586206.31</v>
      </c>
      <c r="J40" s="77">
        <f t="shared" si="3"/>
        <v>1677.5100000002421</v>
      </c>
      <c r="K40" s="98">
        <f>СВОД!I51</f>
        <v>2118163.73</v>
      </c>
      <c r="L40" s="101">
        <f>K40-D40</f>
        <v>0</v>
      </c>
    </row>
    <row r="41" spans="1:20" ht="49.5" customHeight="1" x14ac:dyDescent="0.25">
      <c r="A41" s="104" t="s">
        <v>81</v>
      </c>
      <c r="B41" s="107" t="s">
        <v>82</v>
      </c>
      <c r="C41" s="104" t="s">
        <v>245</v>
      </c>
      <c r="D41" s="105">
        <f>СВОД!I46</f>
        <v>664498.44999999995</v>
      </c>
      <c r="E41" s="105">
        <f t="shared" si="1"/>
        <v>33224.92</v>
      </c>
      <c r="F41" s="105">
        <f t="shared" ref="F41:F44" si="5">E41+D41</f>
        <v>697723.37</v>
      </c>
      <c r="G41" s="106">
        <v>664802.37</v>
      </c>
      <c r="H41" s="106">
        <f t="shared" si="0"/>
        <v>811058.89</v>
      </c>
      <c r="J41" s="77">
        <f t="shared" si="3"/>
        <v>303.92000000004191</v>
      </c>
    </row>
    <row r="42" spans="1:20" ht="46.5" customHeight="1" x14ac:dyDescent="0.25">
      <c r="A42" s="104" t="s">
        <v>83</v>
      </c>
      <c r="B42" s="107" t="s">
        <v>84</v>
      </c>
      <c r="C42" s="104" t="s">
        <v>248</v>
      </c>
      <c r="D42" s="105">
        <f>СВОД!I47</f>
        <v>827073.53</v>
      </c>
      <c r="E42" s="105">
        <f t="shared" si="1"/>
        <v>41353.68</v>
      </c>
      <c r="F42" s="105">
        <f t="shared" si="5"/>
        <v>868427.21000000008</v>
      </c>
      <c r="G42" s="106">
        <v>827166.65</v>
      </c>
      <c r="H42" s="106">
        <f t="shared" si="0"/>
        <v>1009143.31</v>
      </c>
      <c r="J42" s="77">
        <f t="shared" si="3"/>
        <v>93.119999999995343</v>
      </c>
    </row>
    <row r="43" spans="1:20" ht="47.25" customHeight="1" x14ac:dyDescent="0.25">
      <c r="A43" s="104" t="s">
        <v>85</v>
      </c>
      <c r="B43" s="107" t="s">
        <v>86</v>
      </c>
      <c r="C43" s="104" t="s">
        <v>252</v>
      </c>
      <c r="D43" s="105">
        <f>СВОД!I48</f>
        <v>373294.84</v>
      </c>
      <c r="E43" s="105">
        <f t="shared" si="1"/>
        <v>18664.740000000002</v>
      </c>
      <c r="F43" s="105">
        <f t="shared" si="5"/>
        <v>391959.58</v>
      </c>
      <c r="G43" s="106">
        <v>373949.26</v>
      </c>
      <c r="H43" s="106">
        <f t="shared" si="0"/>
        <v>456218.1</v>
      </c>
      <c r="J43" s="77">
        <f t="shared" si="3"/>
        <v>654.4199999999837</v>
      </c>
    </row>
    <row r="44" spans="1:20" ht="47.25" customHeight="1" x14ac:dyDescent="0.25">
      <c r="A44" s="104" t="s">
        <v>87</v>
      </c>
      <c r="B44" s="107" t="s">
        <v>88</v>
      </c>
      <c r="C44" s="104" t="s">
        <v>255</v>
      </c>
      <c r="D44" s="105">
        <f>СВОД!I49</f>
        <v>253296.91</v>
      </c>
      <c r="E44" s="105">
        <f t="shared" si="1"/>
        <v>12664.85</v>
      </c>
      <c r="F44" s="105">
        <f t="shared" si="5"/>
        <v>265961.76</v>
      </c>
      <c r="G44" s="106">
        <v>253922.96</v>
      </c>
      <c r="H44" s="106">
        <f t="shared" si="0"/>
        <v>309786.01</v>
      </c>
      <c r="J44" s="77">
        <f t="shared" si="3"/>
        <v>626.04999999998836</v>
      </c>
    </row>
    <row r="45" spans="1:20" ht="50.25" customHeight="1" x14ac:dyDescent="0.25">
      <c r="A45" s="44" t="s">
        <v>289</v>
      </c>
      <c r="B45" s="43" t="s">
        <v>290</v>
      </c>
      <c r="C45" s="44" t="s">
        <v>4</v>
      </c>
      <c r="D45" s="67">
        <f>D40+D23+D14</f>
        <v>19242769.240000002</v>
      </c>
      <c r="E45" s="75">
        <f>ROUND(D45*0.05,2)</f>
        <v>962138.46</v>
      </c>
      <c r="F45" s="75">
        <f>E45+D45</f>
        <v>20204907.700000003</v>
      </c>
      <c r="G45" s="76">
        <f>G40+G23+G14</f>
        <v>19252470.289999999</v>
      </c>
      <c r="H45" s="76">
        <f>H40+H23+H14</f>
        <v>23488013.75</v>
      </c>
      <c r="J45" s="77">
        <f t="shared" si="3"/>
        <v>9701.0499999970198</v>
      </c>
      <c r="K45" s="98">
        <f>СВОД!I52</f>
        <v>19242769.239999998</v>
      </c>
      <c r="L45" s="101">
        <f>K45-D45</f>
        <v>0</v>
      </c>
    </row>
    <row r="46" spans="1:20" s="47" customFormat="1" x14ac:dyDescent="0.25">
      <c r="A46" s="68"/>
      <c r="B46" s="69"/>
      <c r="C46" s="69"/>
      <c r="D46" s="69"/>
      <c r="E46" s="69"/>
      <c r="F46" s="69"/>
      <c r="G46" s="45"/>
      <c r="H46" s="45"/>
      <c r="I46" s="34"/>
      <c r="J46" s="83"/>
      <c r="K46" s="98"/>
      <c r="L46" s="103"/>
      <c r="M46" s="89"/>
      <c r="N46" s="90"/>
      <c r="O46" s="90"/>
      <c r="P46" s="90"/>
      <c r="Q46" s="90"/>
      <c r="R46" s="90"/>
      <c r="S46" s="90"/>
      <c r="T46" s="90"/>
    </row>
    <row r="47" spans="1:20" s="47" customFormat="1" ht="15" customHeight="1" x14ac:dyDescent="0.25">
      <c r="A47" s="68"/>
      <c r="B47" s="124" t="s">
        <v>276</v>
      </c>
      <c r="C47" s="124"/>
      <c r="D47" s="124"/>
      <c r="E47" s="124"/>
      <c r="F47" s="124"/>
      <c r="G47" s="124"/>
      <c r="H47" s="124"/>
      <c r="I47" s="34"/>
      <c r="J47" s="83"/>
      <c r="K47" s="98"/>
      <c r="L47" s="103"/>
      <c r="M47" s="89"/>
      <c r="N47" s="90"/>
      <c r="O47" s="90"/>
      <c r="P47" s="90"/>
      <c r="Q47" s="90"/>
      <c r="R47" s="90"/>
      <c r="S47" s="90"/>
      <c r="T47" s="90"/>
    </row>
    <row r="48" spans="1:20" s="47" customFormat="1" x14ac:dyDescent="0.25">
      <c r="A48" s="68"/>
      <c r="B48" s="57" t="s">
        <v>277</v>
      </c>
      <c r="C48" s="29"/>
      <c r="D48" s="29"/>
      <c r="E48" s="30"/>
      <c r="F48" s="31"/>
      <c r="G48" s="58"/>
      <c r="H48" s="58"/>
      <c r="I48" s="34"/>
      <c r="J48" s="83"/>
      <c r="K48" s="98"/>
      <c r="L48" s="103"/>
      <c r="M48" s="89"/>
      <c r="N48" s="90"/>
      <c r="O48" s="90"/>
      <c r="P48" s="90"/>
      <c r="Q48" s="90"/>
      <c r="R48" s="90"/>
      <c r="S48" s="90"/>
      <c r="T48" s="90"/>
    </row>
    <row r="49" spans="1:20" s="47" customFormat="1" ht="15" customHeight="1" x14ac:dyDescent="0.25">
      <c r="A49" s="68"/>
      <c r="B49" s="124" t="s">
        <v>278</v>
      </c>
      <c r="C49" s="124"/>
      <c r="D49" s="124"/>
      <c r="E49" s="124"/>
      <c r="F49" s="124"/>
      <c r="G49" s="124"/>
      <c r="H49" s="124"/>
      <c r="I49" s="34"/>
      <c r="J49" s="83"/>
      <c r="K49" s="98"/>
      <c r="L49" s="103"/>
      <c r="M49" s="89"/>
      <c r="N49" s="90"/>
      <c r="O49" s="90"/>
      <c r="P49" s="90"/>
      <c r="Q49" s="90"/>
      <c r="R49" s="90"/>
      <c r="S49" s="90"/>
      <c r="T49" s="90"/>
    </row>
    <row r="50" spans="1:20" s="47" customFormat="1" ht="55.5" customHeight="1" x14ac:dyDescent="0.25">
      <c r="A50" s="68"/>
      <c r="B50" s="125"/>
      <c r="C50" s="125"/>
      <c r="D50" s="125"/>
      <c r="E50" s="125"/>
      <c r="F50" s="125"/>
      <c r="G50" s="125"/>
      <c r="H50" s="125"/>
      <c r="I50" s="46"/>
      <c r="J50" s="83"/>
      <c r="K50" s="100"/>
      <c r="L50" s="103"/>
      <c r="M50" s="89"/>
      <c r="N50" s="90"/>
      <c r="O50" s="90"/>
      <c r="P50" s="90"/>
      <c r="Q50" s="90"/>
      <c r="R50" s="90"/>
      <c r="S50" s="90"/>
      <c r="T50" s="90"/>
    </row>
    <row r="51" spans="1:20" s="47" customFormat="1" ht="31.5" customHeight="1" x14ac:dyDescent="0.25">
      <c r="A51" s="126" t="s">
        <v>291</v>
      </c>
      <c r="B51" s="126"/>
      <c r="C51" s="126"/>
      <c r="D51" s="48"/>
      <c r="E51" s="48"/>
      <c r="F51" s="48"/>
      <c r="G51" s="45"/>
      <c r="H51" s="45"/>
      <c r="I51" s="46"/>
      <c r="J51" s="83"/>
      <c r="K51" s="100"/>
      <c r="L51" s="103"/>
      <c r="M51" s="89"/>
      <c r="N51" s="90"/>
      <c r="O51" s="90"/>
      <c r="P51" s="90"/>
      <c r="Q51" s="90"/>
      <c r="R51" s="90"/>
      <c r="S51" s="90"/>
      <c r="T51" s="90"/>
    </row>
    <row r="52" spans="1:20" s="70" customFormat="1" hidden="1" x14ac:dyDescent="0.25">
      <c r="A52" s="126"/>
      <c r="B52" s="126"/>
      <c r="C52" s="126"/>
      <c r="D52" s="48"/>
      <c r="E52" s="48"/>
      <c r="F52" s="48"/>
      <c r="G52" s="53"/>
      <c r="H52" s="33"/>
      <c r="I52" s="34"/>
      <c r="J52" s="77"/>
      <c r="K52" s="98"/>
      <c r="L52" s="101"/>
      <c r="M52" s="78"/>
      <c r="N52" s="79"/>
      <c r="O52" s="79"/>
      <c r="P52" s="79"/>
      <c r="Q52" s="79"/>
      <c r="R52" s="79"/>
      <c r="S52" s="79"/>
      <c r="T52" s="79"/>
    </row>
    <row r="53" spans="1:20" s="70" customFormat="1" hidden="1" x14ac:dyDescent="0.25">
      <c r="A53" s="49"/>
      <c r="B53" s="50"/>
      <c r="C53" s="49"/>
      <c r="D53" s="48"/>
      <c r="E53" s="48"/>
      <c r="F53" s="48"/>
      <c r="G53" s="53"/>
      <c r="H53" s="33"/>
      <c r="I53" s="34"/>
      <c r="J53" s="77"/>
      <c r="K53" s="98"/>
      <c r="L53" s="101"/>
      <c r="M53" s="78"/>
      <c r="N53" s="79"/>
      <c r="O53" s="79"/>
      <c r="P53" s="79"/>
      <c r="Q53" s="79"/>
      <c r="R53" s="79"/>
      <c r="S53" s="79"/>
      <c r="T53" s="79"/>
    </row>
    <row r="54" spans="1:20" s="70" customFormat="1" ht="28.5" customHeight="1" x14ac:dyDescent="0.25">
      <c r="A54" s="127" t="s">
        <v>301</v>
      </c>
      <c r="B54" s="128"/>
      <c r="C54" s="128"/>
      <c r="D54" s="128"/>
      <c r="E54" s="128"/>
      <c r="F54" s="128"/>
      <c r="G54" s="128"/>
      <c r="H54" s="128"/>
      <c r="I54" s="34"/>
      <c r="J54" s="77"/>
      <c r="K54" s="98"/>
      <c r="L54" s="101"/>
      <c r="M54" s="78"/>
      <c r="N54" s="79"/>
      <c r="O54" s="79"/>
      <c r="P54" s="79"/>
      <c r="Q54" s="79"/>
      <c r="R54" s="79"/>
      <c r="S54" s="79"/>
      <c r="T54" s="79"/>
    </row>
    <row r="55" spans="1:20" s="70" customFormat="1" x14ac:dyDescent="0.25">
      <c r="A55" s="52"/>
      <c r="B55" s="51" t="s">
        <v>292</v>
      </c>
      <c r="C55" s="52" t="s">
        <v>293</v>
      </c>
      <c r="D55" s="51"/>
      <c r="E55" s="51"/>
      <c r="F55" s="51"/>
      <c r="G55" s="53"/>
      <c r="H55" s="33"/>
      <c r="I55" s="34"/>
      <c r="J55" s="77"/>
      <c r="K55" s="98"/>
      <c r="L55" s="101"/>
      <c r="M55" s="78"/>
      <c r="N55" s="79"/>
      <c r="O55" s="79"/>
      <c r="P55" s="79"/>
      <c r="Q55" s="79"/>
      <c r="R55" s="79"/>
      <c r="S55" s="79"/>
      <c r="T55" s="79"/>
    </row>
    <row r="56" spans="1:20" s="70" customFormat="1" x14ac:dyDescent="0.25">
      <c r="A56" s="52"/>
      <c r="B56" s="52"/>
      <c r="C56" s="52"/>
      <c r="D56" s="51"/>
      <c r="E56" s="51"/>
      <c r="F56" s="51"/>
      <c r="G56" s="53"/>
      <c r="H56" s="33"/>
      <c r="I56" s="34"/>
      <c r="J56" s="77"/>
      <c r="K56" s="98"/>
      <c r="L56" s="101"/>
      <c r="M56" s="78"/>
      <c r="N56" s="79"/>
      <c r="O56" s="79"/>
      <c r="P56" s="79"/>
      <c r="Q56" s="79"/>
      <c r="R56" s="79"/>
      <c r="S56" s="79"/>
      <c r="T56" s="79"/>
    </row>
    <row r="57" spans="1:20" s="70" customFormat="1" x14ac:dyDescent="0.25">
      <c r="A57" s="52"/>
      <c r="B57" s="51" t="s">
        <v>294</v>
      </c>
      <c r="C57" s="51"/>
      <c r="D57" s="49"/>
      <c r="E57" s="49"/>
      <c r="F57" s="49"/>
      <c r="G57" s="53"/>
      <c r="H57" s="33"/>
      <c r="I57" s="34"/>
      <c r="J57" s="77"/>
      <c r="K57" s="98"/>
      <c r="L57" s="101"/>
      <c r="M57" s="78"/>
      <c r="N57" s="79"/>
      <c r="O57" s="79"/>
      <c r="P57" s="79"/>
      <c r="Q57" s="79"/>
      <c r="R57" s="79"/>
      <c r="S57" s="79"/>
      <c r="T57" s="79"/>
    </row>
    <row r="58" spans="1:20" s="70" customFormat="1" x14ac:dyDescent="0.25">
      <c r="A58" s="52"/>
      <c r="B58" s="52" t="s">
        <v>295</v>
      </c>
      <c r="C58" s="51"/>
      <c r="D58" s="51"/>
      <c r="E58" s="51"/>
      <c r="F58" s="51"/>
      <c r="G58" s="53"/>
      <c r="H58" s="71"/>
      <c r="I58" s="34"/>
      <c r="J58" s="77"/>
      <c r="K58" s="98"/>
      <c r="L58" s="101"/>
      <c r="M58" s="78"/>
      <c r="N58" s="79"/>
      <c r="O58" s="79"/>
      <c r="P58" s="79"/>
      <c r="Q58" s="79"/>
      <c r="R58" s="79"/>
      <c r="S58" s="79"/>
      <c r="T58" s="79"/>
    </row>
    <row r="59" spans="1:20" s="70" customFormat="1" x14ac:dyDescent="0.25">
      <c r="A59" s="37"/>
      <c r="B59" s="37"/>
      <c r="C59" s="37"/>
      <c r="D59" s="37"/>
      <c r="E59" s="37"/>
      <c r="F59" s="72"/>
      <c r="G59" s="53"/>
      <c r="H59" s="33"/>
      <c r="I59" s="34"/>
      <c r="J59" s="77"/>
      <c r="K59" s="98"/>
      <c r="L59" s="101"/>
      <c r="M59" s="78"/>
      <c r="N59" s="79"/>
      <c r="O59" s="79"/>
      <c r="P59" s="79"/>
      <c r="Q59" s="79"/>
      <c r="R59" s="79"/>
      <c r="S59" s="79"/>
      <c r="T59" s="79"/>
    </row>
    <row r="64" spans="1:20" s="54" customFormat="1" x14ac:dyDescent="0.25">
      <c r="A64" s="51"/>
      <c r="B64" s="51"/>
      <c r="C64" s="51"/>
      <c r="D64" s="52"/>
      <c r="E64" s="52"/>
      <c r="F64" s="52"/>
      <c r="G64" s="53"/>
      <c r="H64" s="33"/>
      <c r="I64" s="34"/>
      <c r="J64" s="77"/>
      <c r="K64" s="98"/>
      <c r="L64" s="101"/>
      <c r="M64" s="78"/>
      <c r="N64" s="91"/>
      <c r="O64" s="91"/>
      <c r="P64" s="91"/>
      <c r="Q64" s="91"/>
      <c r="R64" s="91"/>
      <c r="S64" s="91"/>
      <c r="T64" s="91"/>
    </row>
    <row r="65" spans="1:20" s="54" customFormat="1" x14ac:dyDescent="0.25">
      <c r="A65" s="51"/>
      <c r="B65" s="51"/>
      <c r="C65" s="51"/>
      <c r="D65" s="52"/>
      <c r="E65" s="52"/>
      <c r="F65" s="52"/>
      <c r="G65" s="53"/>
      <c r="H65" s="33"/>
      <c r="I65" s="34"/>
      <c r="J65" s="77"/>
      <c r="K65" s="98"/>
      <c r="L65" s="101"/>
      <c r="M65" s="78"/>
      <c r="N65" s="91"/>
      <c r="O65" s="91"/>
      <c r="P65" s="91"/>
      <c r="Q65" s="91"/>
      <c r="R65" s="91"/>
      <c r="S65" s="91"/>
      <c r="T65" s="91"/>
    </row>
    <row r="66" spans="1:20" s="54" customFormat="1" x14ac:dyDescent="0.25">
      <c r="A66" s="51"/>
      <c r="B66" s="51"/>
      <c r="C66" s="51"/>
      <c r="D66" s="52"/>
      <c r="E66" s="52"/>
      <c r="F66" s="52"/>
      <c r="G66" s="53"/>
      <c r="H66" s="33"/>
      <c r="I66" s="34"/>
      <c r="J66" s="77"/>
      <c r="K66" s="98"/>
      <c r="L66" s="101"/>
      <c r="M66" s="78"/>
      <c r="N66" s="91"/>
      <c r="O66" s="91"/>
      <c r="P66" s="91"/>
      <c r="Q66" s="91"/>
      <c r="R66" s="91"/>
      <c r="S66" s="91"/>
      <c r="T66" s="91"/>
    </row>
    <row r="69" spans="1:20" s="54" customFormat="1" x14ac:dyDescent="0.25">
      <c r="A69" s="51"/>
      <c r="B69" s="51"/>
      <c r="C69" s="51"/>
      <c r="D69" s="52"/>
      <c r="E69" s="52"/>
      <c r="F69" s="72"/>
      <c r="G69" s="53"/>
      <c r="H69" s="33"/>
      <c r="I69" s="34"/>
      <c r="J69" s="77"/>
      <c r="K69" s="98"/>
      <c r="L69" s="101"/>
      <c r="M69" s="78"/>
      <c r="N69" s="91"/>
      <c r="O69" s="91"/>
      <c r="P69" s="91"/>
      <c r="Q69" s="91"/>
      <c r="R69" s="91"/>
      <c r="S69" s="91"/>
      <c r="T69" s="91"/>
    </row>
  </sheetData>
  <mergeCells count="22">
    <mergeCell ref="B23:C23"/>
    <mergeCell ref="B40:C40"/>
    <mergeCell ref="A4:H4"/>
    <mergeCell ref="B6:C6"/>
    <mergeCell ref="B7:H7"/>
    <mergeCell ref="B8:C8"/>
    <mergeCell ref="A10:H10"/>
    <mergeCell ref="A12:A13"/>
    <mergeCell ref="B12:B13"/>
    <mergeCell ref="C12:C13"/>
    <mergeCell ref="D12:D13"/>
    <mergeCell ref="E12:E13"/>
    <mergeCell ref="A1:H1"/>
    <mergeCell ref="F12:F13"/>
    <mergeCell ref="G12:G13"/>
    <mergeCell ref="H12:H13"/>
    <mergeCell ref="B14:C14"/>
    <mergeCell ref="B47:H47"/>
    <mergeCell ref="B49:H49"/>
    <mergeCell ref="B50:H50"/>
    <mergeCell ref="A51:C52"/>
    <mergeCell ref="A54:H54"/>
  </mergeCells>
  <conditionalFormatting sqref="J1:J1048576">
    <cfRule type="cellIs" dxfId="0" priority="1" operator="less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A1:AX54"/>
  <sheetViews>
    <sheetView showRuler="0" topLeftCell="A45" zoomScaleNormal="100" workbookViewId="0">
      <selection activeCell="H66" sqref="H66"/>
    </sheetView>
  </sheetViews>
  <sheetFormatPr defaultRowHeight="15" x14ac:dyDescent="0.25"/>
  <cols>
    <col min="1" max="1" width="6.42578125" style="1" customWidth="1"/>
    <col min="2" max="6" width="13.5703125" style="1" customWidth="1"/>
    <col min="7" max="10" width="16.7109375" style="1" customWidth="1"/>
    <col min="11" max="50" width="8" style="1" customWidth="1"/>
  </cols>
  <sheetData>
    <row r="1" spans="1:10" x14ac:dyDescent="0.25">
      <c r="A1" s="146"/>
      <c r="B1" s="146"/>
      <c r="C1" s="146"/>
      <c r="D1" s="147" t="s">
        <v>258</v>
      </c>
      <c r="E1" s="147"/>
      <c r="F1" s="147"/>
      <c r="G1" s="147"/>
      <c r="H1" s="147"/>
      <c r="I1" s="147"/>
      <c r="J1" s="147"/>
    </row>
    <row r="2" spans="1:10" ht="15" customHeight="1" x14ac:dyDescent="0.25"/>
    <row r="3" spans="1:10" ht="15" customHeight="1" x14ac:dyDescent="0.25">
      <c r="A3" s="148" t="s">
        <v>1</v>
      </c>
      <c r="B3" s="148"/>
      <c r="C3" s="148"/>
      <c r="D3" s="148"/>
      <c r="E3" s="148"/>
      <c r="F3" s="148"/>
      <c r="G3" s="148"/>
      <c r="H3" s="148"/>
      <c r="I3" s="148"/>
      <c r="J3" s="148"/>
    </row>
    <row r="4" spans="1:10" ht="15" customHeight="1" x14ac:dyDescent="0.25">
      <c r="A4" s="149" t="s">
        <v>2</v>
      </c>
      <c r="B4" s="149"/>
      <c r="C4" s="149"/>
      <c r="D4" s="149"/>
      <c r="E4" s="149"/>
      <c r="F4" s="149"/>
      <c r="G4" s="149"/>
      <c r="H4" s="149"/>
      <c r="I4" s="149"/>
      <c r="J4" s="149"/>
    </row>
    <row r="5" spans="1:10" ht="15" customHeight="1" x14ac:dyDescent="0.25"/>
    <row r="6" spans="1:10" ht="15" customHeight="1" x14ac:dyDescent="0.25"/>
    <row r="7" spans="1:10" ht="42.75" customHeight="1" x14ac:dyDescent="0.25">
      <c r="A7" s="150" t="s">
        <v>3</v>
      </c>
      <c r="B7" s="150"/>
      <c r="C7" s="150"/>
      <c r="D7" s="151" t="s">
        <v>259</v>
      </c>
      <c r="E7" s="152"/>
      <c r="F7" s="152"/>
      <c r="G7" s="152"/>
      <c r="H7" s="152"/>
      <c r="I7" s="152"/>
      <c r="J7" s="152"/>
    </row>
    <row r="8" spans="1:10" ht="15" customHeight="1" x14ac:dyDescent="0.25"/>
    <row r="9" spans="1:10" ht="15" customHeight="1" x14ac:dyDescent="0.25">
      <c r="D9" s="150" t="s">
        <v>4</v>
      </c>
      <c r="E9" s="150"/>
      <c r="F9" s="150"/>
      <c r="G9" s="150"/>
      <c r="H9" s="150"/>
      <c r="I9" s="150"/>
      <c r="J9" s="150"/>
    </row>
    <row r="10" spans="1:10" x14ac:dyDescent="0.25">
      <c r="A10" s="150" t="s">
        <v>260</v>
      </c>
      <c r="B10" s="150"/>
      <c r="C10" s="150"/>
      <c r="D10" s="152" t="s">
        <v>5</v>
      </c>
      <c r="E10" s="152"/>
      <c r="F10" s="152"/>
      <c r="G10" s="152"/>
      <c r="H10" s="152"/>
      <c r="I10" s="152"/>
      <c r="J10" s="152"/>
    </row>
    <row r="11" spans="1:10" ht="15" customHeight="1" x14ac:dyDescent="0.25"/>
    <row r="12" spans="1:10" ht="27.2" customHeight="1" x14ac:dyDescent="0.25">
      <c r="A12" s="145" t="s">
        <v>8</v>
      </c>
      <c r="B12" s="145" t="s">
        <v>9</v>
      </c>
      <c r="C12" s="145"/>
      <c r="D12" s="145"/>
      <c r="E12" s="145" t="s">
        <v>10</v>
      </c>
      <c r="F12" s="145"/>
      <c r="G12" s="145" t="s">
        <v>11</v>
      </c>
      <c r="H12" s="145" t="s">
        <v>12</v>
      </c>
      <c r="I12" s="145"/>
      <c r="J12" s="145"/>
    </row>
    <row r="13" spans="1:10" ht="27.2" customHeight="1" x14ac:dyDescent="0.25">
      <c r="A13" s="145"/>
      <c r="B13" s="145"/>
      <c r="C13" s="145"/>
      <c r="D13" s="145"/>
      <c r="E13" s="145"/>
      <c r="F13" s="145"/>
      <c r="G13" s="145"/>
      <c r="H13" s="2" t="s">
        <v>13</v>
      </c>
      <c r="I13" s="2" t="s">
        <v>14</v>
      </c>
      <c r="J13" s="2" t="s">
        <v>15</v>
      </c>
    </row>
    <row r="14" spans="1:10" ht="15" customHeight="1" x14ac:dyDescent="0.25">
      <c r="A14" s="2">
        <v>1</v>
      </c>
      <c r="B14" s="145">
        <v>2</v>
      </c>
      <c r="C14" s="145"/>
      <c r="D14" s="145"/>
      <c r="E14" s="145">
        <v>3</v>
      </c>
      <c r="F14" s="145"/>
      <c r="G14" s="2">
        <v>4</v>
      </c>
      <c r="H14" s="2">
        <v>5</v>
      </c>
      <c r="I14" s="2">
        <v>6</v>
      </c>
      <c r="J14" s="2">
        <v>7</v>
      </c>
    </row>
    <row r="15" spans="1:10" ht="40.9" customHeight="1" x14ac:dyDescent="0.25">
      <c r="A15" s="3" t="s">
        <v>16</v>
      </c>
      <c r="B15" s="142" t="s">
        <v>17</v>
      </c>
      <c r="C15" s="142"/>
      <c r="D15" s="142"/>
      <c r="E15" s="142"/>
      <c r="F15" s="142"/>
      <c r="G15" s="3"/>
      <c r="H15" s="3"/>
      <c r="I15" s="3"/>
      <c r="J15" s="3"/>
    </row>
    <row r="16" spans="1:10" ht="15" customHeight="1" x14ac:dyDescent="0.25">
      <c r="A16" s="4" t="s">
        <v>18</v>
      </c>
      <c r="B16" s="143" t="s">
        <v>19</v>
      </c>
      <c r="C16" s="143"/>
      <c r="D16" s="143"/>
      <c r="E16" s="143" t="s">
        <v>20</v>
      </c>
      <c r="F16" s="143"/>
      <c r="G16" s="4" t="s">
        <v>18</v>
      </c>
      <c r="H16" s="5">
        <v>0</v>
      </c>
      <c r="I16" s="5">
        <v>1653152.89</v>
      </c>
      <c r="J16" s="5">
        <v>1653152.89</v>
      </c>
    </row>
    <row r="17" spans="1:10" ht="27.2" customHeight="1" x14ac:dyDescent="0.25">
      <c r="A17" s="4" t="s">
        <v>21</v>
      </c>
      <c r="B17" s="143" t="s">
        <v>22</v>
      </c>
      <c r="C17" s="143"/>
      <c r="D17" s="143"/>
      <c r="E17" s="143" t="s">
        <v>20</v>
      </c>
      <c r="F17" s="143"/>
      <c r="G17" s="4" t="s">
        <v>21</v>
      </c>
      <c r="H17" s="5">
        <v>0</v>
      </c>
      <c r="I17" s="5">
        <v>287215.21999999997</v>
      </c>
      <c r="J17" s="5">
        <v>287215.21999999997</v>
      </c>
    </row>
    <row r="18" spans="1:10" ht="27.2" customHeight="1" x14ac:dyDescent="0.25">
      <c r="A18" s="4" t="s">
        <v>23</v>
      </c>
      <c r="B18" s="143" t="s">
        <v>24</v>
      </c>
      <c r="C18" s="143"/>
      <c r="D18" s="143"/>
      <c r="E18" s="143" t="s">
        <v>20</v>
      </c>
      <c r="F18" s="143"/>
      <c r="G18" s="4" t="s">
        <v>23</v>
      </c>
      <c r="H18" s="5">
        <v>0</v>
      </c>
      <c r="I18" s="5">
        <v>538654.03</v>
      </c>
      <c r="J18" s="5">
        <v>538654.03</v>
      </c>
    </row>
    <row r="19" spans="1:10" ht="15" customHeight="1" x14ac:dyDescent="0.25">
      <c r="A19" s="4" t="s">
        <v>25</v>
      </c>
      <c r="B19" s="143" t="s">
        <v>26</v>
      </c>
      <c r="C19" s="143"/>
      <c r="D19" s="143"/>
      <c r="E19" s="143" t="s">
        <v>20</v>
      </c>
      <c r="F19" s="143"/>
      <c r="G19" s="4" t="s">
        <v>25</v>
      </c>
      <c r="H19" s="5">
        <v>0</v>
      </c>
      <c r="I19" s="5">
        <v>538654.03</v>
      </c>
      <c r="J19" s="5">
        <v>538654.03</v>
      </c>
    </row>
    <row r="20" spans="1:10" ht="27.2" customHeight="1" x14ac:dyDescent="0.25">
      <c r="A20" s="4" t="s">
        <v>27</v>
      </c>
      <c r="B20" s="143" t="s">
        <v>28</v>
      </c>
      <c r="C20" s="143"/>
      <c r="D20" s="143"/>
      <c r="E20" s="143" t="s">
        <v>20</v>
      </c>
      <c r="F20" s="143"/>
      <c r="G20" s="4" t="s">
        <v>27</v>
      </c>
      <c r="H20" s="5">
        <v>0</v>
      </c>
      <c r="I20" s="5">
        <v>538654.03</v>
      </c>
      <c r="J20" s="5">
        <v>538654.03</v>
      </c>
    </row>
    <row r="21" spans="1:10" ht="15" customHeight="1" x14ac:dyDescent="0.25">
      <c r="A21" s="4" t="s">
        <v>29</v>
      </c>
      <c r="B21" s="143" t="s">
        <v>30</v>
      </c>
      <c r="C21" s="143"/>
      <c r="D21" s="143"/>
      <c r="E21" s="143" t="s">
        <v>20</v>
      </c>
      <c r="F21" s="143"/>
      <c r="G21" s="4" t="s">
        <v>29</v>
      </c>
      <c r="H21" s="5">
        <v>0</v>
      </c>
      <c r="I21" s="5">
        <v>4886820.29</v>
      </c>
      <c r="J21" s="5">
        <v>4886820.29</v>
      </c>
    </row>
    <row r="22" spans="1:10" ht="15" customHeight="1" x14ac:dyDescent="0.25">
      <c r="A22" s="4" t="s">
        <v>31</v>
      </c>
      <c r="B22" s="143" t="s">
        <v>32</v>
      </c>
      <c r="C22" s="143"/>
      <c r="D22" s="143"/>
      <c r="E22" s="143" t="s">
        <v>20</v>
      </c>
      <c r="F22" s="143"/>
      <c r="G22" s="4" t="s">
        <v>31</v>
      </c>
      <c r="H22" s="5">
        <v>0</v>
      </c>
      <c r="I22" s="5">
        <v>538654.03</v>
      </c>
      <c r="J22" s="5">
        <v>538654.03</v>
      </c>
    </row>
    <row r="23" spans="1:10" ht="15" customHeight="1" x14ac:dyDescent="0.25">
      <c r="A23" s="4" t="s">
        <v>33</v>
      </c>
      <c r="B23" s="143" t="s">
        <v>34</v>
      </c>
      <c r="C23" s="143"/>
      <c r="D23" s="143"/>
      <c r="E23" s="143" t="s">
        <v>20</v>
      </c>
      <c r="F23" s="143"/>
      <c r="G23" s="4" t="s">
        <v>33</v>
      </c>
      <c r="H23" s="5">
        <v>0</v>
      </c>
      <c r="I23" s="5">
        <v>1488178.37</v>
      </c>
      <c r="J23" s="5">
        <v>1488178.37</v>
      </c>
    </row>
    <row r="24" spans="1:10" ht="40.9" customHeight="1" x14ac:dyDescent="0.25">
      <c r="A24" s="3" t="s">
        <v>35</v>
      </c>
      <c r="B24" s="142" t="s">
        <v>36</v>
      </c>
      <c r="C24" s="142"/>
      <c r="D24" s="142"/>
      <c r="E24" s="142"/>
      <c r="F24" s="142"/>
      <c r="G24" s="3"/>
      <c r="H24" s="6">
        <f>ROUND(SUM($H$16:$H$23),2)</f>
        <v>0</v>
      </c>
      <c r="I24" s="6">
        <f>ROUND(SUM($I$16:$I$23),2)</f>
        <v>10469982.890000001</v>
      </c>
      <c r="J24" s="6">
        <f>ROUND(SUM($J$16:$J$23),2)</f>
        <v>10469982.890000001</v>
      </c>
    </row>
    <row r="25" spans="1:10" ht="40.9" customHeight="1" x14ac:dyDescent="0.25">
      <c r="A25" s="3" t="s">
        <v>37</v>
      </c>
      <c r="B25" s="142" t="s">
        <v>38</v>
      </c>
      <c r="C25" s="142"/>
      <c r="D25" s="142"/>
      <c r="E25" s="142"/>
      <c r="F25" s="142"/>
      <c r="G25" s="3" t="s">
        <v>39</v>
      </c>
      <c r="H25" s="6">
        <f>ROUND($H$24,2)</f>
        <v>0</v>
      </c>
      <c r="I25" s="6">
        <f>ROUND($I$24,2)</f>
        <v>10469982.890000001</v>
      </c>
      <c r="J25" s="6">
        <f>ROUND($J$24,2)</f>
        <v>10469982.890000001</v>
      </c>
    </row>
    <row r="26" spans="1:10" ht="40.9" customHeight="1" x14ac:dyDescent="0.25">
      <c r="A26" s="3" t="s">
        <v>40</v>
      </c>
      <c r="B26" s="142" t="s">
        <v>41</v>
      </c>
      <c r="C26" s="142"/>
      <c r="D26" s="142"/>
      <c r="E26" s="142"/>
      <c r="F26" s="142"/>
      <c r="G26" s="3"/>
      <c r="H26" s="3"/>
      <c r="I26" s="3"/>
      <c r="J26" s="3"/>
    </row>
    <row r="27" spans="1:10" ht="27.2" customHeight="1" x14ac:dyDescent="0.25">
      <c r="A27" s="4" t="s">
        <v>42</v>
      </c>
      <c r="B27" s="143" t="s">
        <v>43</v>
      </c>
      <c r="C27" s="143"/>
      <c r="D27" s="143"/>
      <c r="E27" s="143" t="s">
        <v>20</v>
      </c>
      <c r="F27" s="143"/>
      <c r="G27" s="4" t="s">
        <v>42</v>
      </c>
      <c r="H27" s="5">
        <v>0</v>
      </c>
      <c r="I27" s="5">
        <v>490399.9</v>
      </c>
      <c r="J27" s="5">
        <v>490399.9</v>
      </c>
    </row>
    <row r="28" spans="1:10" ht="27.2" customHeight="1" x14ac:dyDescent="0.25">
      <c r="A28" s="4" t="s">
        <v>44</v>
      </c>
      <c r="B28" s="143" t="s">
        <v>45</v>
      </c>
      <c r="C28" s="143"/>
      <c r="D28" s="143"/>
      <c r="E28" s="143" t="s">
        <v>20</v>
      </c>
      <c r="F28" s="143"/>
      <c r="G28" s="4" t="s">
        <v>44</v>
      </c>
      <c r="H28" s="5">
        <v>0</v>
      </c>
      <c r="I28" s="5">
        <v>520328.13</v>
      </c>
      <c r="J28" s="5">
        <v>520328.13</v>
      </c>
    </row>
    <row r="29" spans="1:10" ht="27.2" customHeight="1" x14ac:dyDescent="0.25">
      <c r="A29" s="4" t="s">
        <v>46</v>
      </c>
      <c r="B29" s="143" t="s">
        <v>47</v>
      </c>
      <c r="C29" s="143"/>
      <c r="D29" s="143"/>
      <c r="E29" s="143" t="s">
        <v>20</v>
      </c>
      <c r="F29" s="143"/>
      <c r="G29" s="4" t="s">
        <v>46</v>
      </c>
      <c r="H29" s="5">
        <v>0</v>
      </c>
      <c r="I29" s="5">
        <v>261011.37</v>
      </c>
      <c r="J29" s="5">
        <v>261011.37</v>
      </c>
    </row>
    <row r="30" spans="1:10" ht="27.2" customHeight="1" x14ac:dyDescent="0.25">
      <c r="A30" s="4" t="s">
        <v>48</v>
      </c>
      <c r="B30" s="143" t="s">
        <v>49</v>
      </c>
      <c r="C30" s="143"/>
      <c r="D30" s="143"/>
      <c r="E30" s="143" t="s">
        <v>20</v>
      </c>
      <c r="F30" s="143"/>
      <c r="G30" s="4" t="s">
        <v>48</v>
      </c>
      <c r="H30" s="5">
        <v>0</v>
      </c>
      <c r="I30" s="5">
        <v>335046.28000000003</v>
      </c>
      <c r="J30" s="5">
        <v>335046.28000000003</v>
      </c>
    </row>
    <row r="31" spans="1:10" ht="27.2" customHeight="1" x14ac:dyDescent="0.25">
      <c r="A31" s="4" t="s">
        <v>50</v>
      </c>
      <c r="B31" s="143" t="s">
        <v>51</v>
      </c>
      <c r="C31" s="143"/>
      <c r="D31" s="143"/>
      <c r="E31" s="143" t="s">
        <v>20</v>
      </c>
      <c r="F31" s="143"/>
      <c r="G31" s="4" t="s">
        <v>50</v>
      </c>
      <c r="H31" s="5">
        <v>0</v>
      </c>
      <c r="I31" s="5">
        <v>184179.32</v>
      </c>
      <c r="J31" s="5">
        <v>184179.32</v>
      </c>
    </row>
    <row r="32" spans="1:10" ht="27.2" customHeight="1" x14ac:dyDescent="0.25">
      <c r="A32" s="4" t="s">
        <v>52</v>
      </c>
      <c r="B32" s="143" t="s">
        <v>53</v>
      </c>
      <c r="C32" s="143"/>
      <c r="D32" s="143"/>
      <c r="E32" s="143" t="s">
        <v>20</v>
      </c>
      <c r="F32" s="143"/>
      <c r="G32" s="4" t="s">
        <v>52</v>
      </c>
      <c r="H32" s="5">
        <v>0</v>
      </c>
      <c r="I32" s="5">
        <v>225088.86</v>
      </c>
      <c r="J32" s="5">
        <v>225088.86</v>
      </c>
    </row>
    <row r="33" spans="1:10" ht="27.2" customHeight="1" x14ac:dyDescent="0.25">
      <c r="A33" s="4" t="s">
        <v>54</v>
      </c>
      <c r="B33" s="143" t="s">
        <v>55</v>
      </c>
      <c r="C33" s="143"/>
      <c r="D33" s="143"/>
      <c r="E33" s="143" t="s">
        <v>20</v>
      </c>
      <c r="F33" s="143"/>
      <c r="G33" s="4" t="s">
        <v>54</v>
      </c>
      <c r="H33" s="5">
        <v>0</v>
      </c>
      <c r="I33" s="5">
        <v>502632.89</v>
      </c>
      <c r="J33" s="5">
        <v>502632.89</v>
      </c>
    </row>
    <row r="34" spans="1:10" ht="27.2" customHeight="1" x14ac:dyDescent="0.25">
      <c r="A34" s="4" t="s">
        <v>56</v>
      </c>
      <c r="B34" s="143" t="s">
        <v>57</v>
      </c>
      <c r="C34" s="143"/>
      <c r="D34" s="143"/>
      <c r="E34" s="143" t="s">
        <v>20</v>
      </c>
      <c r="F34" s="143"/>
      <c r="G34" s="4" t="s">
        <v>56</v>
      </c>
      <c r="H34" s="5">
        <v>0</v>
      </c>
      <c r="I34" s="5">
        <v>537323.69999999995</v>
      </c>
      <c r="J34" s="5">
        <v>537323.69999999995</v>
      </c>
    </row>
    <row r="35" spans="1:10" ht="27.2" customHeight="1" x14ac:dyDescent="0.25">
      <c r="A35" s="4" t="s">
        <v>58</v>
      </c>
      <c r="B35" s="143" t="s">
        <v>59</v>
      </c>
      <c r="C35" s="143"/>
      <c r="D35" s="143"/>
      <c r="E35" s="143" t="s">
        <v>20</v>
      </c>
      <c r="F35" s="143"/>
      <c r="G35" s="4" t="s">
        <v>58</v>
      </c>
      <c r="H35" s="5">
        <v>0</v>
      </c>
      <c r="I35" s="5">
        <v>920293.14</v>
      </c>
      <c r="J35" s="5">
        <v>920293.14</v>
      </c>
    </row>
    <row r="36" spans="1:10" ht="27.2" customHeight="1" x14ac:dyDescent="0.25">
      <c r="A36" s="4" t="s">
        <v>60</v>
      </c>
      <c r="B36" s="143" t="s">
        <v>61</v>
      </c>
      <c r="C36" s="143"/>
      <c r="D36" s="143"/>
      <c r="E36" s="143" t="s">
        <v>20</v>
      </c>
      <c r="F36" s="143"/>
      <c r="G36" s="4" t="s">
        <v>60</v>
      </c>
      <c r="H36" s="5">
        <v>0</v>
      </c>
      <c r="I36" s="5">
        <v>502632.89</v>
      </c>
      <c r="J36" s="5">
        <v>502632.89</v>
      </c>
    </row>
    <row r="37" spans="1:10" ht="27.2" customHeight="1" x14ac:dyDescent="0.25">
      <c r="A37" s="4" t="s">
        <v>62</v>
      </c>
      <c r="B37" s="143" t="s">
        <v>63</v>
      </c>
      <c r="C37" s="143"/>
      <c r="D37" s="143"/>
      <c r="E37" s="143" t="s">
        <v>20</v>
      </c>
      <c r="F37" s="143"/>
      <c r="G37" s="4" t="s">
        <v>62</v>
      </c>
      <c r="H37" s="5">
        <v>0</v>
      </c>
      <c r="I37" s="5">
        <v>436468.86</v>
      </c>
      <c r="J37" s="5">
        <v>436468.86</v>
      </c>
    </row>
    <row r="38" spans="1:10" ht="27.2" customHeight="1" x14ac:dyDescent="0.25">
      <c r="A38" s="4" t="s">
        <v>64</v>
      </c>
      <c r="B38" s="143" t="s">
        <v>65</v>
      </c>
      <c r="C38" s="143"/>
      <c r="D38" s="143"/>
      <c r="E38" s="143" t="s">
        <v>20</v>
      </c>
      <c r="F38" s="143"/>
      <c r="G38" s="4" t="s">
        <v>64</v>
      </c>
      <c r="H38" s="5">
        <v>0</v>
      </c>
      <c r="I38" s="5">
        <v>677142.73</v>
      </c>
      <c r="J38" s="5">
        <v>677142.73</v>
      </c>
    </row>
    <row r="39" spans="1:10" ht="27.2" customHeight="1" x14ac:dyDescent="0.25">
      <c r="A39" s="4" t="s">
        <v>66</v>
      </c>
      <c r="B39" s="143" t="s">
        <v>67</v>
      </c>
      <c r="C39" s="143"/>
      <c r="D39" s="143"/>
      <c r="E39" s="143" t="s">
        <v>20</v>
      </c>
      <c r="F39" s="143"/>
      <c r="G39" s="4" t="s">
        <v>66</v>
      </c>
      <c r="H39" s="5">
        <v>0</v>
      </c>
      <c r="I39" s="5">
        <v>245107.47</v>
      </c>
      <c r="J39" s="5">
        <v>245107.47</v>
      </c>
    </row>
    <row r="40" spans="1:10" ht="27.2" customHeight="1" x14ac:dyDescent="0.25">
      <c r="A40" s="4" t="s">
        <v>68</v>
      </c>
      <c r="B40" s="143" t="s">
        <v>69</v>
      </c>
      <c r="C40" s="143"/>
      <c r="D40" s="143"/>
      <c r="E40" s="143" t="s">
        <v>20</v>
      </c>
      <c r="F40" s="143"/>
      <c r="G40" s="4" t="s">
        <v>68</v>
      </c>
      <c r="H40" s="5">
        <v>0</v>
      </c>
      <c r="I40" s="5">
        <v>329026.96999999997</v>
      </c>
      <c r="J40" s="5">
        <v>329026.96999999997</v>
      </c>
    </row>
    <row r="41" spans="1:10" ht="27.2" customHeight="1" x14ac:dyDescent="0.25">
      <c r="A41" s="4" t="s">
        <v>70</v>
      </c>
      <c r="B41" s="143" t="s">
        <v>71</v>
      </c>
      <c r="C41" s="143"/>
      <c r="D41" s="143"/>
      <c r="E41" s="143" t="s">
        <v>20</v>
      </c>
      <c r="F41" s="143"/>
      <c r="G41" s="4" t="s">
        <v>70</v>
      </c>
      <c r="H41" s="5">
        <v>0</v>
      </c>
      <c r="I41" s="5">
        <v>295154.02</v>
      </c>
      <c r="J41" s="5">
        <v>295154.02</v>
      </c>
    </row>
    <row r="42" spans="1:10" ht="27.2" customHeight="1" x14ac:dyDescent="0.25">
      <c r="A42" s="4" t="s">
        <v>72</v>
      </c>
      <c r="B42" s="143" t="s">
        <v>73</v>
      </c>
      <c r="C42" s="143"/>
      <c r="D42" s="143"/>
      <c r="E42" s="143" t="s">
        <v>20</v>
      </c>
      <c r="F42" s="143"/>
      <c r="G42" s="4" t="s">
        <v>72</v>
      </c>
      <c r="H42" s="5">
        <v>0</v>
      </c>
      <c r="I42" s="5">
        <v>192786.09</v>
      </c>
      <c r="J42" s="5">
        <v>192786.09</v>
      </c>
    </row>
    <row r="43" spans="1:10" ht="40.9" customHeight="1" x14ac:dyDescent="0.25">
      <c r="A43" s="3" t="s">
        <v>74</v>
      </c>
      <c r="B43" s="142" t="s">
        <v>75</v>
      </c>
      <c r="C43" s="142"/>
      <c r="D43" s="142"/>
      <c r="E43" s="142"/>
      <c r="F43" s="142"/>
      <c r="G43" s="3"/>
      <c r="H43" s="6">
        <f>ROUND(SUM($H$27:$H$42),2)</f>
        <v>0</v>
      </c>
      <c r="I43" s="6">
        <f>ROUND(SUM($I$27:$I$42),2)</f>
        <v>6654622.6200000001</v>
      </c>
      <c r="J43" s="6">
        <f>ROUND(SUM($J$27:$J$42),2)</f>
        <v>6654622.6200000001</v>
      </c>
    </row>
    <row r="44" spans="1:10" ht="40.9" customHeight="1" x14ac:dyDescent="0.25">
      <c r="A44" s="3" t="s">
        <v>76</v>
      </c>
      <c r="B44" s="142" t="s">
        <v>77</v>
      </c>
      <c r="C44" s="142"/>
      <c r="D44" s="142"/>
      <c r="E44" s="142"/>
      <c r="F44" s="142"/>
      <c r="G44" s="3" t="s">
        <v>78</v>
      </c>
      <c r="H44" s="6">
        <f>ROUND($H$43,2)</f>
        <v>0</v>
      </c>
      <c r="I44" s="6">
        <f>ROUND($I$43,2)</f>
        <v>6654622.6200000001</v>
      </c>
      <c r="J44" s="6">
        <f>ROUND($J$43,2)</f>
        <v>6654622.6200000001</v>
      </c>
    </row>
    <row r="45" spans="1:10" ht="40.9" customHeight="1" x14ac:dyDescent="0.25">
      <c r="A45" s="3" t="s">
        <v>79</v>
      </c>
      <c r="B45" s="142" t="s">
        <v>80</v>
      </c>
      <c r="C45" s="142"/>
      <c r="D45" s="142"/>
      <c r="E45" s="142"/>
      <c r="F45" s="142"/>
      <c r="G45" s="3"/>
      <c r="H45" s="3"/>
      <c r="I45" s="3"/>
      <c r="J45" s="3"/>
    </row>
    <row r="46" spans="1:10" ht="27.2" customHeight="1" x14ac:dyDescent="0.25">
      <c r="A46" s="4" t="s">
        <v>81</v>
      </c>
      <c r="B46" s="143" t="s">
        <v>82</v>
      </c>
      <c r="C46" s="143"/>
      <c r="D46" s="143"/>
      <c r="E46" s="143" t="s">
        <v>20</v>
      </c>
      <c r="F46" s="143"/>
      <c r="G46" s="4" t="s">
        <v>81</v>
      </c>
      <c r="H46" s="5">
        <v>0</v>
      </c>
      <c r="I46" s="5">
        <v>664498.44999999995</v>
      </c>
      <c r="J46" s="5">
        <v>664498.44999999995</v>
      </c>
    </row>
    <row r="47" spans="1:10" ht="27.2" customHeight="1" x14ac:dyDescent="0.25">
      <c r="A47" s="4" t="s">
        <v>83</v>
      </c>
      <c r="B47" s="143" t="s">
        <v>84</v>
      </c>
      <c r="C47" s="143"/>
      <c r="D47" s="143"/>
      <c r="E47" s="143" t="s">
        <v>20</v>
      </c>
      <c r="F47" s="143"/>
      <c r="G47" s="4" t="s">
        <v>83</v>
      </c>
      <c r="H47" s="5">
        <v>0</v>
      </c>
      <c r="I47" s="5">
        <v>827073.53</v>
      </c>
      <c r="J47" s="5">
        <v>827073.53</v>
      </c>
    </row>
    <row r="48" spans="1:10" ht="27.2" customHeight="1" x14ac:dyDescent="0.25">
      <c r="A48" s="4" t="s">
        <v>85</v>
      </c>
      <c r="B48" s="143" t="s">
        <v>86</v>
      </c>
      <c r="C48" s="143"/>
      <c r="D48" s="143"/>
      <c r="E48" s="143" t="s">
        <v>20</v>
      </c>
      <c r="F48" s="143"/>
      <c r="G48" s="4" t="s">
        <v>85</v>
      </c>
      <c r="H48" s="5">
        <v>0</v>
      </c>
      <c r="I48" s="5">
        <v>373294.84</v>
      </c>
      <c r="J48" s="5">
        <v>373294.84</v>
      </c>
    </row>
    <row r="49" spans="1:50" ht="27.2" customHeight="1" x14ac:dyDescent="0.25">
      <c r="A49" s="4" t="s">
        <v>87</v>
      </c>
      <c r="B49" s="143" t="s">
        <v>88</v>
      </c>
      <c r="C49" s="143"/>
      <c r="D49" s="143"/>
      <c r="E49" s="143" t="s">
        <v>20</v>
      </c>
      <c r="F49" s="143"/>
      <c r="G49" s="4" t="s">
        <v>87</v>
      </c>
      <c r="H49" s="5">
        <v>0</v>
      </c>
      <c r="I49" s="5">
        <v>253296.91</v>
      </c>
      <c r="J49" s="5">
        <v>253296.91</v>
      </c>
    </row>
    <row r="50" spans="1:50" ht="40.9" customHeight="1" x14ac:dyDescent="0.25">
      <c r="A50" s="3" t="s">
        <v>89</v>
      </c>
      <c r="B50" s="142" t="s">
        <v>90</v>
      </c>
      <c r="C50" s="142"/>
      <c r="D50" s="142"/>
      <c r="E50" s="142"/>
      <c r="F50" s="142"/>
      <c r="G50" s="3"/>
      <c r="H50" s="6">
        <f>ROUND(SUM($H$46:$H$49),2)</f>
        <v>0</v>
      </c>
      <c r="I50" s="6">
        <f>ROUND(SUM($I$46:$I$49),2)</f>
        <v>2118163.73</v>
      </c>
      <c r="J50" s="6">
        <f>ROUND(SUM($J$46:$J$49),2)</f>
        <v>2118163.73</v>
      </c>
    </row>
    <row r="51" spans="1:50" ht="40.9" customHeight="1" x14ac:dyDescent="0.25">
      <c r="A51" s="3" t="s">
        <v>91</v>
      </c>
      <c r="B51" s="142" t="s">
        <v>92</v>
      </c>
      <c r="C51" s="142"/>
      <c r="D51" s="142"/>
      <c r="E51" s="142"/>
      <c r="F51" s="142"/>
      <c r="G51" s="3" t="s">
        <v>93</v>
      </c>
      <c r="H51" s="6">
        <f>ROUND($H$50,2)</f>
        <v>0</v>
      </c>
      <c r="I51" s="6">
        <f>ROUND($I$50,2)</f>
        <v>2118163.73</v>
      </c>
      <c r="J51" s="6">
        <f>ROUND($J$50,2)</f>
        <v>2118163.73</v>
      </c>
    </row>
    <row r="52" spans="1:50" x14ac:dyDescent="0.25">
      <c r="A52" s="3" t="s">
        <v>94</v>
      </c>
      <c r="B52" s="142" t="s">
        <v>95</v>
      </c>
      <c r="C52" s="142"/>
      <c r="D52" s="142"/>
      <c r="E52" s="142"/>
      <c r="F52" s="142"/>
      <c r="G52" s="3"/>
      <c r="H52" s="6">
        <f>ROUND($H$25+$H$44+$H$51,2)</f>
        <v>0</v>
      </c>
      <c r="I52" s="6">
        <f>ROUND($I$25+$I$44+$I$51,2)</f>
        <v>19242769.239999998</v>
      </c>
      <c r="J52" s="6">
        <f>ROUND($J$25+$J$44+$J$51,2)</f>
        <v>19242769.239999998</v>
      </c>
    </row>
    <row r="53" spans="1:50" x14ac:dyDescent="0.25">
      <c r="A53" s="4" t="s">
        <v>96</v>
      </c>
      <c r="B53" s="143" t="s">
        <v>97</v>
      </c>
      <c r="C53" s="143"/>
      <c r="D53" s="143"/>
      <c r="E53" s="143"/>
      <c r="F53" s="143"/>
      <c r="G53" s="4" t="s">
        <v>98</v>
      </c>
      <c r="H53" s="5">
        <f>ROUND(($H$52) * (5/100),2)</f>
        <v>0</v>
      </c>
      <c r="I53" s="5">
        <f>ROUND(($I$52) * (5/100),2)</f>
        <v>962138.46</v>
      </c>
      <c r="J53" s="5">
        <f>ROUND(($J$52) * (5/100),2)</f>
        <v>962138.46</v>
      </c>
    </row>
    <row r="54" spans="1:50" s="62" customFormat="1" ht="27.2" customHeight="1" x14ac:dyDescent="0.25">
      <c r="A54" s="59" t="s">
        <v>99</v>
      </c>
      <c r="B54" s="144" t="s">
        <v>100</v>
      </c>
      <c r="C54" s="144"/>
      <c r="D54" s="144"/>
      <c r="E54" s="144"/>
      <c r="F54" s="144"/>
      <c r="G54" s="59" t="s">
        <v>101</v>
      </c>
      <c r="H54" s="60">
        <f>ROUND((SUM($H$52:$H$53)) * 1,2)</f>
        <v>0</v>
      </c>
      <c r="I54" s="60">
        <f>ROUND((SUM($I$52:$I$53)) * 1,2)</f>
        <v>20204907.699999999</v>
      </c>
      <c r="J54" s="60">
        <f>ROUND((SUM($J$52:$J$53)) * 1,2)</f>
        <v>20204907.699999999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</row>
  </sheetData>
  <mergeCells count="96">
    <mergeCell ref="G12:G13"/>
    <mergeCell ref="H12:J12"/>
    <mergeCell ref="A1:C1"/>
    <mergeCell ref="D1:J1"/>
    <mergeCell ref="A3:J3"/>
    <mergeCell ref="A4:J4"/>
    <mergeCell ref="A7:C7"/>
    <mergeCell ref="D7:J7"/>
    <mergeCell ref="D9:J9"/>
    <mergeCell ref="A10:C10"/>
    <mergeCell ref="D10:J10"/>
    <mergeCell ref="A12:A13"/>
    <mergeCell ref="B12:D13"/>
    <mergeCell ref="B14:D14"/>
    <mergeCell ref="E12:F13"/>
    <mergeCell ref="E14:F14"/>
    <mergeCell ref="B23:D23"/>
    <mergeCell ref="E23:F23"/>
    <mergeCell ref="B24:D24"/>
    <mergeCell ref="E24:F2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33:D33"/>
    <mergeCell ref="E33:F33"/>
    <mergeCell ref="B34:D34"/>
    <mergeCell ref="E34:F3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43:D43"/>
    <mergeCell ref="E43:F43"/>
    <mergeCell ref="B44:D44"/>
    <mergeCell ref="E44:F4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53:D53"/>
    <mergeCell ref="E53:F53"/>
    <mergeCell ref="B54:D54"/>
    <mergeCell ref="E54:F5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103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19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08.75" customHeight="1" x14ac:dyDescent="0.25">
      <c r="A14" s="7" t="s">
        <v>16</v>
      </c>
      <c r="B14" s="157" t="s">
        <v>112</v>
      </c>
      <c r="C14" s="158"/>
      <c r="D14" s="158"/>
      <c r="E14" s="158"/>
      <c r="F14" s="158"/>
      <c r="G14" s="158" t="s">
        <v>113</v>
      </c>
      <c r="H14" s="158"/>
      <c r="I14" s="158"/>
      <c r="J14" s="158"/>
      <c r="K14" s="158" t="s">
        <v>114</v>
      </c>
      <c r="L14" s="158"/>
      <c r="M14" s="158"/>
      <c r="N14" s="158"/>
      <c r="O14" s="159">
        <f>ROUND(1440800 * 2 * 1.38 * 0.4 * 0.47 * 1.1155, 2)</f>
        <v>833950.37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68.099999999999994" customHeight="1" x14ac:dyDescent="0.25">
      <c r="A18" s="9"/>
      <c r="B18" s="155" t="s">
        <v>120</v>
      </c>
      <c r="C18" s="155"/>
      <c r="D18" s="155"/>
      <c r="E18" s="155"/>
      <c r="F18" s="155"/>
      <c r="G18" s="155" t="s">
        <v>121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149.65" customHeight="1" x14ac:dyDescent="0.25">
      <c r="A19" s="9"/>
      <c r="B19" s="155" t="s">
        <v>122</v>
      </c>
      <c r="C19" s="155"/>
      <c r="D19" s="155"/>
      <c r="E19" s="155"/>
      <c r="F19" s="155"/>
      <c r="G19" s="155" t="s">
        <v>123</v>
      </c>
      <c r="H19" s="155"/>
      <c r="I19" s="155"/>
      <c r="J19" s="155"/>
      <c r="K19" s="155" t="s">
        <v>4</v>
      </c>
      <c r="L19" s="155"/>
      <c r="M19" s="155"/>
      <c r="N19" s="155"/>
      <c r="O19" s="155"/>
      <c r="P19" s="155"/>
    </row>
    <row r="20" spans="1:16" ht="68.099999999999994" customHeight="1" x14ac:dyDescent="0.25">
      <c r="A20" s="8"/>
      <c r="B20" s="156" t="s">
        <v>124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125</v>
      </c>
      <c r="L20" s="156"/>
      <c r="M20" s="156"/>
      <c r="N20" s="156"/>
      <c r="O20" s="156"/>
      <c r="P20" s="156"/>
    </row>
    <row r="21" spans="1:16" ht="149.65" customHeight="1" x14ac:dyDescent="0.25">
      <c r="A21" s="7" t="s">
        <v>40</v>
      </c>
      <c r="B21" s="157" t="s">
        <v>126</v>
      </c>
      <c r="C21" s="158"/>
      <c r="D21" s="158"/>
      <c r="E21" s="158"/>
      <c r="F21" s="158"/>
      <c r="G21" s="158" t="s">
        <v>127</v>
      </c>
      <c r="H21" s="158"/>
      <c r="I21" s="158"/>
      <c r="J21" s="158"/>
      <c r="K21" s="158" t="s">
        <v>128</v>
      </c>
      <c r="L21" s="158"/>
      <c r="M21" s="158"/>
      <c r="N21" s="158"/>
      <c r="O21" s="159">
        <f>ROUND((545500 + 522975 * 2.485) * 1 * 1.38 * 0.4 * 1.1245, 2)</f>
        <v>1145293.43</v>
      </c>
      <c r="P21" s="158"/>
    </row>
    <row r="22" spans="1:16" ht="15" customHeight="1" x14ac:dyDescent="0.25">
      <c r="A22" s="8"/>
      <c r="B22" s="156" t="s">
        <v>115</v>
      </c>
      <c r="C22" s="156"/>
      <c r="D22" s="156"/>
      <c r="E22" s="156"/>
      <c r="F22" s="156"/>
      <c r="G22" s="156" t="s">
        <v>4</v>
      </c>
      <c r="H22" s="156"/>
      <c r="I22" s="156"/>
      <c r="J22" s="156"/>
      <c r="K22" s="156" t="s">
        <v>4</v>
      </c>
      <c r="L22" s="156"/>
      <c r="M22" s="156"/>
      <c r="N22" s="156"/>
      <c r="O22" s="156"/>
      <c r="P22" s="156"/>
    </row>
    <row r="23" spans="1:16" ht="15" customHeight="1" x14ac:dyDescent="0.25">
      <c r="A23" s="9"/>
      <c r="B23" s="155" t="s">
        <v>116</v>
      </c>
      <c r="C23" s="155"/>
      <c r="D23" s="155"/>
      <c r="E23" s="155"/>
      <c r="F23" s="155"/>
      <c r="G23" s="155" t="s">
        <v>117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40.9" customHeight="1" x14ac:dyDescent="0.25">
      <c r="A24" s="9"/>
      <c r="B24" s="155" t="s">
        <v>118</v>
      </c>
      <c r="C24" s="155"/>
      <c r="D24" s="155"/>
      <c r="E24" s="155"/>
      <c r="F24" s="155"/>
      <c r="G24" s="155" t="s">
        <v>119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49.65" customHeight="1" x14ac:dyDescent="0.25">
      <c r="A25" s="9"/>
      <c r="B25" s="155" t="s">
        <v>122</v>
      </c>
      <c r="C25" s="155"/>
      <c r="D25" s="155"/>
      <c r="E25" s="155"/>
      <c r="F25" s="155"/>
      <c r="G25" s="155" t="s">
        <v>129</v>
      </c>
      <c r="H25" s="155"/>
      <c r="I25" s="155"/>
      <c r="J25" s="155"/>
      <c r="K25" s="155" t="s">
        <v>4</v>
      </c>
      <c r="L25" s="155"/>
      <c r="M25" s="155"/>
      <c r="N25" s="155"/>
      <c r="O25" s="155"/>
      <c r="P25" s="155"/>
    </row>
    <row r="26" spans="1:16" ht="68.099999999999994" customHeight="1" x14ac:dyDescent="0.25">
      <c r="A26" s="8"/>
      <c r="B26" s="156" t="s">
        <v>124</v>
      </c>
      <c r="C26" s="156"/>
      <c r="D26" s="156"/>
      <c r="E26" s="156"/>
      <c r="F26" s="156"/>
      <c r="G26" s="156" t="s">
        <v>4</v>
      </c>
      <c r="H26" s="156"/>
      <c r="I26" s="156"/>
      <c r="J26" s="156"/>
      <c r="K26" s="156" t="s">
        <v>130</v>
      </c>
      <c r="L26" s="156"/>
      <c r="M26" s="156"/>
      <c r="N26" s="156"/>
      <c r="O26" s="156"/>
      <c r="P26" s="156"/>
    </row>
    <row r="27" spans="1:16" ht="95.25" customHeight="1" x14ac:dyDescent="0.25">
      <c r="A27" s="7" t="s">
        <v>79</v>
      </c>
      <c r="B27" s="157" t="s">
        <v>131</v>
      </c>
      <c r="C27" s="158"/>
      <c r="D27" s="158"/>
      <c r="E27" s="158"/>
      <c r="F27" s="158"/>
      <c r="G27" s="158" t="s">
        <v>132</v>
      </c>
      <c r="H27" s="158"/>
      <c r="I27" s="158"/>
      <c r="J27" s="158"/>
      <c r="K27" s="158" t="s">
        <v>133</v>
      </c>
      <c r="L27" s="158"/>
      <c r="M27" s="158"/>
      <c r="N27" s="158"/>
      <c r="O27" s="159">
        <f>ROUND((5610 + 240 * 18) * 2 * 7.1 * 0.34 * (1 + 0.15), 2)</f>
        <v>55133.35</v>
      </c>
      <c r="P27" s="158"/>
    </row>
    <row r="28" spans="1:16" ht="15" customHeight="1" x14ac:dyDescent="0.25">
      <c r="A28" s="8"/>
      <c r="B28" s="156" t="s">
        <v>115</v>
      </c>
      <c r="C28" s="156"/>
      <c r="D28" s="156"/>
      <c r="E28" s="156"/>
      <c r="F28" s="156"/>
      <c r="G28" s="156" t="s">
        <v>4</v>
      </c>
      <c r="H28" s="156"/>
      <c r="I28" s="156"/>
      <c r="J28" s="156"/>
      <c r="K28" s="156" t="s">
        <v>4</v>
      </c>
      <c r="L28" s="156"/>
      <c r="M28" s="156"/>
      <c r="N28" s="156"/>
      <c r="O28" s="156"/>
      <c r="P28" s="156"/>
    </row>
    <row r="29" spans="1:16" ht="15" customHeight="1" x14ac:dyDescent="0.25">
      <c r="A29" s="9"/>
      <c r="B29" s="155" t="s">
        <v>116</v>
      </c>
      <c r="C29" s="155"/>
      <c r="D29" s="155"/>
      <c r="E29" s="155"/>
      <c r="F29" s="155"/>
      <c r="G29" s="155" t="s">
        <v>134</v>
      </c>
      <c r="H29" s="155"/>
      <c r="I29" s="155"/>
      <c r="J29" s="155"/>
      <c r="K29" s="155" t="s">
        <v>4</v>
      </c>
      <c r="L29" s="155"/>
      <c r="M29" s="155"/>
      <c r="N29" s="155"/>
      <c r="O29" s="155"/>
      <c r="P29" s="155"/>
    </row>
    <row r="30" spans="1:16" ht="40.9" customHeight="1" x14ac:dyDescent="0.25">
      <c r="A30" s="9"/>
      <c r="B30" s="155" t="s">
        <v>135</v>
      </c>
      <c r="C30" s="155"/>
      <c r="D30" s="155"/>
      <c r="E30" s="155"/>
      <c r="F30" s="155"/>
      <c r="G30" s="155" t="s">
        <v>136</v>
      </c>
      <c r="H30" s="155"/>
      <c r="I30" s="155"/>
      <c r="J30" s="155"/>
      <c r="K30" s="155" t="s">
        <v>4</v>
      </c>
      <c r="L30" s="155"/>
      <c r="M30" s="155"/>
      <c r="N30" s="155"/>
      <c r="O30" s="155"/>
      <c r="P30" s="155"/>
    </row>
    <row r="31" spans="1:16" ht="68.099999999999994" customHeight="1" x14ac:dyDescent="0.25">
      <c r="A31" s="9"/>
      <c r="B31" s="155" t="s">
        <v>137</v>
      </c>
      <c r="C31" s="155"/>
      <c r="D31" s="155"/>
      <c r="E31" s="155"/>
      <c r="F31" s="155"/>
      <c r="G31" s="155" t="s">
        <v>138</v>
      </c>
      <c r="H31" s="155"/>
      <c r="I31" s="155"/>
      <c r="J31" s="155"/>
      <c r="K31" s="155" t="s">
        <v>4</v>
      </c>
      <c r="L31" s="155"/>
      <c r="M31" s="155"/>
      <c r="N31" s="155"/>
      <c r="O31" s="155"/>
      <c r="P31" s="155"/>
    </row>
    <row r="32" spans="1:16" ht="15" customHeight="1" x14ac:dyDescent="0.25">
      <c r="A32" s="8"/>
      <c r="B32" s="156" t="s">
        <v>124</v>
      </c>
      <c r="C32" s="156"/>
      <c r="D32" s="156"/>
      <c r="E32" s="156"/>
      <c r="F32" s="156"/>
      <c r="G32" s="156" t="s">
        <v>4</v>
      </c>
      <c r="H32" s="156"/>
      <c r="I32" s="156"/>
      <c r="J32" s="156"/>
      <c r="K32" s="156" t="s">
        <v>139</v>
      </c>
      <c r="L32" s="156"/>
      <c r="M32" s="156"/>
      <c r="N32" s="156"/>
      <c r="O32" s="156"/>
      <c r="P32" s="156"/>
    </row>
    <row r="33" spans="1:16" ht="95.25" customHeight="1" x14ac:dyDescent="0.25">
      <c r="A33" s="7" t="s">
        <v>94</v>
      </c>
      <c r="B33" s="157" t="s">
        <v>140</v>
      </c>
      <c r="C33" s="158"/>
      <c r="D33" s="158"/>
      <c r="E33" s="158"/>
      <c r="F33" s="158"/>
      <c r="G33" s="158" t="s">
        <v>141</v>
      </c>
      <c r="H33" s="158"/>
      <c r="I33" s="158"/>
      <c r="J33" s="158"/>
      <c r="K33" s="158" t="s">
        <v>142</v>
      </c>
      <c r="L33" s="158"/>
      <c r="M33" s="158"/>
      <c r="N33" s="158"/>
      <c r="O33" s="159">
        <f>ROUND((7590 + 330 * 12) * 1 * 7.1 * 0.34 * (1 + 0.15), 2)</f>
        <v>32063.96</v>
      </c>
      <c r="P33" s="158"/>
    </row>
    <row r="34" spans="1:16" ht="15" customHeight="1" x14ac:dyDescent="0.25">
      <c r="A34" s="8"/>
      <c r="B34" s="156" t="s">
        <v>115</v>
      </c>
      <c r="C34" s="156"/>
      <c r="D34" s="156"/>
      <c r="E34" s="156"/>
      <c r="F34" s="156"/>
      <c r="G34" s="156" t="s">
        <v>4</v>
      </c>
      <c r="H34" s="156"/>
      <c r="I34" s="156"/>
      <c r="J34" s="156"/>
      <c r="K34" s="156" t="s">
        <v>4</v>
      </c>
      <c r="L34" s="156"/>
      <c r="M34" s="156"/>
      <c r="N34" s="156"/>
      <c r="O34" s="156"/>
      <c r="P34" s="156"/>
    </row>
    <row r="35" spans="1:16" ht="15" customHeight="1" x14ac:dyDescent="0.25">
      <c r="A35" s="9"/>
      <c r="B35" s="155" t="s">
        <v>116</v>
      </c>
      <c r="C35" s="155"/>
      <c r="D35" s="155"/>
      <c r="E35" s="155"/>
      <c r="F35" s="155"/>
      <c r="G35" s="155" t="s">
        <v>134</v>
      </c>
      <c r="H35" s="155"/>
      <c r="I35" s="155"/>
      <c r="J35" s="155"/>
      <c r="K35" s="155" t="s">
        <v>4</v>
      </c>
      <c r="L35" s="155"/>
      <c r="M35" s="155"/>
      <c r="N35" s="155"/>
      <c r="O35" s="155"/>
      <c r="P35" s="155"/>
    </row>
    <row r="36" spans="1:16" ht="40.9" customHeight="1" x14ac:dyDescent="0.25">
      <c r="A36" s="9"/>
      <c r="B36" s="155" t="s">
        <v>135</v>
      </c>
      <c r="C36" s="155"/>
      <c r="D36" s="155"/>
      <c r="E36" s="155"/>
      <c r="F36" s="155"/>
      <c r="G36" s="155" t="s">
        <v>136</v>
      </c>
      <c r="H36" s="155"/>
      <c r="I36" s="155"/>
      <c r="J36" s="155"/>
      <c r="K36" s="155" t="s">
        <v>4</v>
      </c>
      <c r="L36" s="155"/>
      <c r="M36" s="155"/>
      <c r="N36" s="155"/>
      <c r="O36" s="155"/>
      <c r="P36" s="155"/>
    </row>
    <row r="37" spans="1:16" ht="68.099999999999994" customHeight="1" x14ac:dyDescent="0.25">
      <c r="A37" s="9"/>
      <c r="B37" s="155" t="s">
        <v>137</v>
      </c>
      <c r="C37" s="155"/>
      <c r="D37" s="155"/>
      <c r="E37" s="155"/>
      <c r="F37" s="155"/>
      <c r="G37" s="155" t="s">
        <v>138</v>
      </c>
      <c r="H37" s="155"/>
      <c r="I37" s="155"/>
      <c r="J37" s="155"/>
      <c r="K37" s="155" t="s">
        <v>4</v>
      </c>
      <c r="L37" s="155"/>
      <c r="M37" s="155"/>
      <c r="N37" s="155"/>
      <c r="O37" s="155"/>
      <c r="P37" s="155"/>
    </row>
    <row r="38" spans="1:16" ht="15" customHeight="1" x14ac:dyDescent="0.25">
      <c r="A38" s="8"/>
      <c r="B38" s="156" t="s">
        <v>124</v>
      </c>
      <c r="C38" s="156"/>
      <c r="D38" s="156"/>
      <c r="E38" s="156"/>
      <c r="F38" s="156"/>
      <c r="G38" s="156" t="s">
        <v>4</v>
      </c>
      <c r="H38" s="156"/>
      <c r="I38" s="156"/>
      <c r="J38" s="156"/>
      <c r="K38" s="156" t="s">
        <v>139</v>
      </c>
      <c r="L38" s="156"/>
      <c r="M38" s="156"/>
      <c r="N38" s="156"/>
      <c r="O38" s="156"/>
      <c r="P38" s="156"/>
    </row>
    <row r="39" spans="1:16" ht="15" customHeight="1" x14ac:dyDescent="0.25">
      <c r="A39" s="3" t="s">
        <v>96</v>
      </c>
      <c r="B39" s="142" t="s">
        <v>143</v>
      </c>
      <c r="C39" s="142"/>
      <c r="D39" s="142"/>
      <c r="E39" s="142"/>
      <c r="F39" s="142"/>
      <c r="G39" s="142"/>
      <c r="H39" s="142"/>
      <c r="I39" s="142"/>
      <c r="J39" s="142"/>
      <c r="K39" s="142" t="s">
        <v>4</v>
      </c>
      <c r="L39" s="142"/>
      <c r="M39" s="142"/>
      <c r="N39" s="142"/>
      <c r="O39" s="153">
        <f>ROUND(SUM($O$14:$O$33),2)</f>
        <v>2066441.11</v>
      </c>
      <c r="P39" s="142"/>
    </row>
    <row r="40" spans="1:16" ht="108.75" customHeight="1" x14ac:dyDescent="0.25">
      <c r="A40" s="3" t="s">
        <v>99</v>
      </c>
      <c r="B40" s="143" t="s">
        <v>144</v>
      </c>
      <c r="C40" s="143"/>
      <c r="D40" s="143"/>
      <c r="E40" s="143"/>
      <c r="F40" s="143"/>
      <c r="G40" s="143" t="s">
        <v>145</v>
      </c>
      <c r="H40" s="143"/>
      <c r="I40" s="143"/>
      <c r="J40" s="143"/>
      <c r="K40" s="143" t="s">
        <v>146</v>
      </c>
      <c r="L40" s="143"/>
      <c r="M40" s="143"/>
      <c r="N40" s="143"/>
      <c r="O40" s="154">
        <f>ROUND(($O$39) * 1  * 0.8,2)</f>
        <v>1653152.89</v>
      </c>
      <c r="P40" s="143"/>
    </row>
    <row r="41" spans="1:16" ht="15" customHeight="1" x14ac:dyDescent="0.25">
      <c r="A41" s="3" t="s">
        <v>147</v>
      </c>
      <c r="B41" s="142" t="s">
        <v>148</v>
      </c>
      <c r="C41" s="142"/>
      <c r="D41" s="142"/>
      <c r="E41" s="142"/>
      <c r="F41" s="142"/>
      <c r="G41" s="142"/>
      <c r="H41" s="142"/>
      <c r="I41" s="142"/>
      <c r="J41" s="142"/>
      <c r="K41" s="142" t="s">
        <v>4</v>
      </c>
      <c r="L41" s="142"/>
      <c r="M41" s="142"/>
      <c r="N41" s="142"/>
      <c r="O41" s="153">
        <f>ROUND(($O$40),2)</f>
        <v>1653152.89</v>
      </c>
      <c r="P41" s="142"/>
    </row>
    <row r="42" spans="1:16" ht="15" customHeight="1" x14ac:dyDescent="0.25"/>
    <row r="43" spans="1:16" ht="15" customHeight="1" x14ac:dyDescent="0.25"/>
    <row r="44" spans="1:16" ht="15" customHeight="1" x14ac:dyDescent="0.25"/>
    <row r="45" spans="1:16" ht="15" customHeight="1" x14ac:dyDescent="0.25"/>
    <row r="46" spans="1:16" ht="15" customHeight="1" x14ac:dyDescent="0.25"/>
    <row r="47" spans="1:16" ht="15" customHeight="1" x14ac:dyDescent="0.25"/>
    <row r="48" spans="1:16" ht="15" customHeight="1" x14ac:dyDescent="0.25"/>
    <row r="49" ht="15" customHeight="1" x14ac:dyDescent="0.25"/>
    <row r="50" ht="15" customHeight="1" x14ac:dyDescent="0.25"/>
  </sheetData>
  <mergeCells count="130">
    <mergeCell ref="A1:D1"/>
    <mergeCell ref="E1:P1"/>
    <mergeCell ref="A3:P3"/>
    <mergeCell ref="A4:P4"/>
    <mergeCell ref="A6:E6"/>
    <mergeCell ref="F6:P6"/>
    <mergeCell ref="A8:E8"/>
    <mergeCell ref="F8:P8"/>
    <mergeCell ref="A10:E10"/>
    <mergeCell ref="F10:P10"/>
    <mergeCell ref="B12:F12"/>
    <mergeCell ref="B13:F13"/>
    <mergeCell ref="G12:J12"/>
    <mergeCell ref="G13:J13"/>
    <mergeCell ref="K12:N12"/>
    <mergeCell ref="K13:N13"/>
    <mergeCell ref="O12:P12"/>
    <mergeCell ref="O13:P13"/>
    <mergeCell ref="B14:F14"/>
    <mergeCell ref="G14:J14"/>
    <mergeCell ref="K14:N14"/>
    <mergeCell ref="O14:P14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B30:F30"/>
    <mergeCell ref="G30:J30"/>
    <mergeCell ref="K30:N30"/>
    <mergeCell ref="O30:P30"/>
    <mergeCell ref="B31:F31"/>
    <mergeCell ref="G31:J31"/>
    <mergeCell ref="K31:N31"/>
    <mergeCell ref="O31:P31"/>
    <mergeCell ref="B32:F32"/>
    <mergeCell ref="G32:J32"/>
    <mergeCell ref="K32:N32"/>
    <mergeCell ref="O32:P32"/>
    <mergeCell ref="B33:F33"/>
    <mergeCell ref="G33:J33"/>
    <mergeCell ref="K33:N33"/>
    <mergeCell ref="O33:P33"/>
    <mergeCell ref="B34:F34"/>
    <mergeCell ref="G34:J34"/>
    <mergeCell ref="K34:N34"/>
    <mergeCell ref="O34:P34"/>
    <mergeCell ref="B35:F35"/>
    <mergeCell ref="G35:J35"/>
    <mergeCell ref="K35:N35"/>
    <mergeCell ref="O35:P35"/>
    <mergeCell ref="B36:F36"/>
    <mergeCell ref="G36:J36"/>
    <mergeCell ref="K36:N36"/>
    <mergeCell ref="O36:P36"/>
    <mergeCell ref="B37:F37"/>
    <mergeCell ref="G37:J37"/>
    <mergeCell ref="K37:N37"/>
    <mergeCell ref="O37:P37"/>
    <mergeCell ref="B38:F38"/>
    <mergeCell ref="G38:J38"/>
    <mergeCell ref="K38:N38"/>
    <mergeCell ref="O38:P38"/>
    <mergeCell ref="B39:F39"/>
    <mergeCell ref="G39:J39"/>
    <mergeCell ref="K39:N39"/>
    <mergeCell ref="O39:P39"/>
    <mergeCell ref="B40:F40"/>
    <mergeCell ref="G40:J40"/>
    <mergeCell ref="K40:N40"/>
    <mergeCell ref="O40:P40"/>
    <mergeCell ref="B41:F41"/>
    <mergeCell ref="G41:J41"/>
    <mergeCell ref="K41:N41"/>
    <mergeCell ref="O41:P41"/>
  </mergeCells>
  <pageMargins left="0.4" right="0.4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149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22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150</v>
      </c>
      <c r="C14" s="158"/>
      <c r="D14" s="158"/>
      <c r="E14" s="158"/>
      <c r="F14" s="158"/>
      <c r="G14" s="158" t="s">
        <v>151</v>
      </c>
      <c r="H14" s="158"/>
      <c r="I14" s="158"/>
      <c r="J14" s="158"/>
      <c r="K14" s="158" t="s">
        <v>152</v>
      </c>
      <c r="L14" s="158"/>
      <c r="M14" s="158"/>
      <c r="N14" s="158"/>
      <c r="O14" s="159">
        <f>ROUND((151100 + 1030273 * 0.333) * 1 * 1.38 * 0.4 * 1.114, 2)</f>
        <v>303885.68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149.65" customHeight="1" x14ac:dyDescent="0.25">
      <c r="A18" s="9"/>
      <c r="B18" s="155" t="s">
        <v>122</v>
      </c>
      <c r="C18" s="155"/>
      <c r="D18" s="155"/>
      <c r="E18" s="155"/>
      <c r="F18" s="155"/>
      <c r="G18" s="155" t="s">
        <v>153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54.4" customHeight="1" x14ac:dyDescent="0.25">
      <c r="A19" s="8"/>
      <c r="B19" s="156" t="s">
        <v>124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154</v>
      </c>
      <c r="L19" s="156"/>
      <c r="M19" s="156"/>
      <c r="N19" s="156"/>
      <c r="O19" s="156"/>
      <c r="P19" s="156"/>
    </row>
    <row r="20" spans="1:16" ht="95.25" customHeight="1" x14ac:dyDescent="0.25">
      <c r="A20" s="7" t="s">
        <v>40</v>
      </c>
      <c r="B20" s="157" t="s">
        <v>131</v>
      </c>
      <c r="C20" s="158"/>
      <c r="D20" s="158"/>
      <c r="E20" s="158"/>
      <c r="F20" s="158"/>
      <c r="G20" s="158" t="s">
        <v>132</v>
      </c>
      <c r="H20" s="158"/>
      <c r="I20" s="158"/>
      <c r="J20" s="158"/>
      <c r="K20" s="158" t="s">
        <v>133</v>
      </c>
      <c r="L20" s="158"/>
      <c r="M20" s="158"/>
      <c r="N20" s="158"/>
      <c r="O20" s="159">
        <f>ROUND((5610 + 240 * 18) * 2 * 7.1 * 0.34 * (1 + 0.15), 2)</f>
        <v>55133.35</v>
      </c>
      <c r="P20" s="158"/>
    </row>
    <row r="21" spans="1:16" ht="15" customHeight="1" x14ac:dyDescent="0.25">
      <c r="A21" s="8"/>
      <c r="B21" s="156" t="s">
        <v>115</v>
      </c>
      <c r="C21" s="156"/>
      <c r="D21" s="156"/>
      <c r="E21" s="156"/>
      <c r="F21" s="156"/>
      <c r="G21" s="156" t="s">
        <v>4</v>
      </c>
      <c r="H21" s="156"/>
      <c r="I21" s="156"/>
      <c r="J21" s="156"/>
      <c r="K21" s="156" t="s">
        <v>4</v>
      </c>
      <c r="L21" s="156"/>
      <c r="M21" s="156"/>
      <c r="N21" s="156"/>
      <c r="O21" s="156"/>
      <c r="P21" s="156"/>
    </row>
    <row r="22" spans="1:16" ht="15" customHeight="1" x14ac:dyDescent="0.25">
      <c r="A22" s="9"/>
      <c r="B22" s="155" t="s">
        <v>116</v>
      </c>
      <c r="C22" s="155"/>
      <c r="D22" s="155"/>
      <c r="E22" s="155"/>
      <c r="F22" s="155"/>
      <c r="G22" s="155" t="s">
        <v>134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40.9" customHeight="1" x14ac:dyDescent="0.25">
      <c r="A23" s="9"/>
      <c r="B23" s="155" t="s">
        <v>135</v>
      </c>
      <c r="C23" s="155"/>
      <c r="D23" s="155"/>
      <c r="E23" s="155"/>
      <c r="F23" s="155"/>
      <c r="G23" s="155" t="s">
        <v>136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68.099999999999994" customHeight="1" x14ac:dyDescent="0.25">
      <c r="A24" s="9"/>
      <c r="B24" s="155" t="s">
        <v>137</v>
      </c>
      <c r="C24" s="155"/>
      <c r="D24" s="155"/>
      <c r="E24" s="155"/>
      <c r="F24" s="155"/>
      <c r="G24" s="155" t="s">
        <v>138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5" customHeight="1" x14ac:dyDescent="0.25">
      <c r="A25" s="8"/>
      <c r="B25" s="156" t="s">
        <v>124</v>
      </c>
      <c r="C25" s="156"/>
      <c r="D25" s="156"/>
      <c r="E25" s="156"/>
      <c r="F25" s="156"/>
      <c r="G25" s="156" t="s">
        <v>4</v>
      </c>
      <c r="H25" s="156"/>
      <c r="I25" s="156"/>
      <c r="J25" s="156"/>
      <c r="K25" s="156" t="s">
        <v>139</v>
      </c>
      <c r="L25" s="156"/>
      <c r="M25" s="156"/>
      <c r="N25" s="156"/>
      <c r="O25" s="156"/>
      <c r="P25" s="156"/>
    </row>
    <row r="26" spans="1:16" ht="15" customHeight="1" x14ac:dyDescent="0.25">
      <c r="A26" s="3" t="s">
        <v>79</v>
      </c>
      <c r="B26" s="142" t="s">
        <v>143</v>
      </c>
      <c r="C26" s="142"/>
      <c r="D26" s="142"/>
      <c r="E26" s="142"/>
      <c r="F26" s="142"/>
      <c r="G26" s="142"/>
      <c r="H26" s="142"/>
      <c r="I26" s="142"/>
      <c r="J26" s="142"/>
      <c r="K26" s="142" t="s">
        <v>4</v>
      </c>
      <c r="L26" s="142"/>
      <c r="M26" s="142"/>
      <c r="N26" s="142"/>
      <c r="O26" s="153">
        <f>ROUND(SUM($O$14:$O$20),2)</f>
        <v>359019.03</v>
      </c>
      <c r="P26" s="142"/>
    </row>
    <row r="27" spans="1:16" ht="108.75" customHeight="1" x14ac:dyDescent="0.25">
      <c r="A27" s="3" t="s">
        <v>94</v>
      </c>
      <c r="B27" s="143" t="s">
        <v>144</v>
      </c>
      <c r="C27" s="143"/>
      <c r="D27" s="143"/>
      <c r="E27" s="143"/>
      <c r="F27" s="143"/>
      <c r="G27" s="143" t="s">
        <v>145</v>
      </c>
      <c r="H27" s="143"/>
      <c r="I27" s="143"/>
      <c r="J27" s="143"/>
      <c r="K27" s="143" t="s">
        <v>155</v>
      </c>
      <c r="L27" s="143"/>
      <c r="M27" s="143"/>
      <c r="N27" s="143"/>
      <c r="O27" s="154">
        <f>ROUND(($O$26) * 1  * 0.8,2)</f>
        <v>287215.21999999997</v>
      </c>
      <c r="P27" s="143"/>
    </row>
    <row r="28" spans="1:16" ht="15" customHeight="1" x14ac:dyDescent="0.25">
      <c r="A28" s="3" t="s">
        <v>96</v>
      </c>
      <c r="B28" s="142" t="s">
        <v>148</v>
      </c>
      <c r="C28" s="142"/>
      <c r="D28" s="142"/>
      <c r="E28" s="142"/>
      <c r="F28" s="142"/>
      <c r="G28" s="142"/>
      <c r="H28" s="142"/>
      <c r="I28" s="142"/>
      <c r="J28" s="142"/>
      <c r="K28" s="142" t="s">
        <v>4</v>
      </c>
      <c r="L28" s="142"/>
      <c r="M28" s="142"/>
      <c r="N28" s="142"/>
      <c r="O28" s="153">
        <f>ROUND(($O$27),2)</f>
        <v>287215.21999999997</v>
      </c>
      <c r="P28" s="142"/>
    </row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78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7:F27"/>
    <mergeCell ref="G27:J27"/>
    <mergeCell ref="K27:N27"/>
    <mergeCell ref="O27:P27"/>
    <mergeCell ref="B28:F28"/>
    <mergeCell ref="G28:J28"/>
    <mergeCell ref="K28:N28"/>
    <mergeCell ref="O28:P28"/>
  </mergeCells>
  <pageMargins left="0.4" right="0.4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156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24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158</v>
      </c>
      <c r="H14" s="158"/>
      <c r="I14" s="158"/>
      <c r="J14" s="158"/>
      <c r="K14" s="158" t="s">
        <v>159</v>
      </c>
      <c r="L14" s="158"/>
      <c r="M14" s="158"/>
      <c r="N14" s="158"/>
      <c r="O14" s="159">
        <f>ROUND((357800 + 616816 * 1) * 1 * 1.38 * 0.4 * 1.1245, 2)</f>
        <v>604967.54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149.65" customHeight="1" x14ac:dyDescent="0.25">
      <c r="A18" s="9"/>
      <c r="B18" s="155" t="s">
        <v>122</v>
      </c>
      <c r="C18" s="155"/>
      <c r="D18" s="155"/>
      <c r="E18" s="155"/>
      <c r="F18" s="155"/>
      <c r="G18" s="155" t="s">
        <v>129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68.099999999999994" customHeight="1" x14ac:dyDescent="0.25">
      <c r="A19" s="8"/>
      <c r="B19" s="156" t="s">
        <v>124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130</v>
      </c>
      <c r="L19" s="156"/>
      <c r="M19" s="156"/>
      <c r="N19" s="156"/>
      <c r="O19" s="156"/>
      <c r="P19" s="156"/>
    </row>
    <row r="20" spans="1:16" ht="95.25" customHeight="1" x14ac:dyDescent="0.25">
      <c r="A20" s="7" t="s">
        <v>40</v>
      </c>
      <c r="B20" s="157" t="s">
        <v>131</v>
      </c>
      <c r="C20" s="158"/>
      <c r="D20" s="158"/>
      <c r="E20" s="158"/>
      <c r="F20" s="158"/>
      <c r="G20" s="158" t="s">
        <v>160</v>
      </c>
      <c r="H20" s="158"/>
      <c r="I20" s="158"/>
      <c r="J20" s="158"/>
      <c r="K20" s="158" t="s">
        <v>161</v>
      </c>
      <c r="L20" s="158"/>
      <c r="M20" s="158"/>
      <c r="N20" s="158"/>
      <c r="O20" s="159">
        <f>ROUND((5610 + 240 * 22) * 2 * 7.1 * 0.34 * (1 + 0.15 + 0.15), 2)</f>
        <v>68350</v>
      </c>
      <c r="P20" s="158"/>
    </row>
    <row r="21" spans="1:16" ht="15" customHeight="1" x14ac:dyDescent="0.25">
      <c r="A21" s="8"/>
      <c r="B21" s="156" t="s">
        <v>115</v>
      </c>
      <c r="C21" s="156"/>
      <c r="D21" s="156"/>
      <c r="E21" s="156"/>
      <c r="F21" s="156"/>
      <c r="G21" s="156" t="s">
        <v>4</v>
      </c>
      <c r="H21" s="156"/>
      <c r="I21" s="156"/>
      <c r="J21" s="156"/>
      <c r="K21" s="156" t="s">
        <v>4</v>
      </c>
      <c r="L21" s="156"/>
      <c r="M21" s="156"/>
      <c r="N21" s="156"/>
      <c r="O21" s="156"/>
      <c r="P21" s="156"/>
    </row>
    <row r="22" spans="1:16" ht="15" customHeight="1" x14ac:dyDescent="0.25">
      <c r="A22" s="9"/>
      <c r="B22" s="155" t="s">
        <v>116</v>
      </c>
      <c r="C22" s="155"/>
      <c r="D22" s="155"/>
      <c r="E22" s="155"/>
      <c r="F22" s="155"/>
      <c r="G22" s="155" t="s">
        <v>134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40.9" customHeight="1" x14ac:dyDescent="0.25">
      <c r="A23" s="9"/>
      <c r="B23" s="155" t="s">
        <v>135</v>
      </c>
      <c r="C23" s="155"/>
      <c r="D23" s="155"/>
      <c r="E23" s="155"/>
      <c r="F23" s="155"/>
      <c r="G23" s="155" t="s">
        <v>136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68.099999999999994" customHeight="1" x14ac:dyDescent="0.25">
      <c r="A24" s="9"/>
      <c r="B24" s="155" t="s">
        <v>137</v>
      </c>
      <c r="C24" s="155"/>
      <c r="D24" s="155"/>
      <c r="E24" s="155"/>
      <c r="F24" s="155"/>
      <c r="G24" s="155" t="s">
        <v>138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49.65" customHeight="1" x14ac:dyDescent="0.25">
      <c r="A25" s="9"/>
      <c r="B25" s="155" t="s">
        <v>162</v>
      </c>
      <c r="C25" s="155"/>
      <c r="D25" s="155"/>
      <c r="E25" s="155"/>
      <c r="F25" s="155"/>
      <c r="G25" s="155" t="s">
        <v>163</v>
      </c>
      <c r="H25" s="155"/>
      <c r="I25" s="155"/>
      <c r="J25" s="155"/>
      <c r="K25" s="155" t="s">
        <v>4</v>
      </c>
      <c r="L25" s="155"/>
      <c r="M25" s="155"/>
      <c r="N25" s="155"/>
      <c r="O25" s="155"/>
      <c r="P25" s="155"/>
    </row>
    <row r="26" spans="1:16" ht="15" customHeight="1" x14ac:dyDescent="0.25">
      <c r="A26" s="8"/>
      <c r="B26" s="156" t="s">
        <v>124</v>
      </c>
      <c r="C26" s="156"/>
      <c r="D26" s="156"/>
      <c r="E26" s="156"/>
      <c r="F26" s="156"/>
      <c r="G26" s="156" t="s">
        <v>4</v>
      </c>
      <c r="H26" s="156"/>
      <c r="I26" s="156"/>
      <c r="J26" s="156"/>
      <c r="K26" s="156" t="s">
        <v>139</v>
      </c>
      <c r="L26" s="156"/>
      <c r="M26" s="156"/>
      <c r="N26" s="156"/>
      <c r="O26" s="156"/>
      <c r="P26" s="156"/>
    </row>
    <row r="27" spans="1:16" ht="15" customHeight="1" x14ac:dyDescent="0.25">
      <c r="A27" s="3" t="s">
        <v>79</v>
      </c>
      <c r="B27" s="142" t="s">
        <v>143</v>
      </c>
      <c r="C27" s="142"/>
      <c r="D27" s="142"/>
      <c r="E27" s="142"/>
      <c r="F27" s="142"/>
      <c r="G27" s="142"/>
      <c r="H27" s="142"/>
      <c r="I27" s="142"/>
      <c r="J27" s="142"/>
      <c r="K27" s="142" t="s">
        <v>4</v>
      </c>
      <c r="L27" s="142"/>
      <c r="M27" s="142"/>
      <c r="N27" s="142"/>
      <c r="O27" s="153">
        <f>ROUND(SUM($O$14:$O$20),2)</f>
        <v>673317.54</v>
      </c>
      <c r="P27" s="142"/>
    </row>
    <row r="28" spans="1:16" ht="108.75" customHeight="1" x14ac:dyDescent="0.25">
      <c r="A28" s="3" t="s">
        <v>94</v>
      </c>
      <c r="B28" s="143" t="s">
        <v>144</v>
      </c>
      <c r="C28" s="143"/>
      <c r="D28" s="143"/>
      <c r="E28" s="143"/>
      <c r="F28" s="143"/>
      <c r="G28" s="143" t="s">
        <v>145</v>
      </c>
      <c r="H28" s="143"/>
      <c r="I28" s="143"/>
      <c r="J28" s="143"/>
      <c r="K28" s="143" t="s">
        <v>155</v>
      </c>
      <c r="L28" s="143"/>
      <c r="M28" s="143"/>
      <c r="N28" s="143"/>
      <c r="O28" s="154">
        <f>ROUND(($O$27) * 1  * 0.8,2)</f>
        <v>538654.03</v>
      </c>
      <c r="P28" s="143"/>
    </row>
    <row r="29" spans="1:16" ht="15" customHeight="1" x14ac:dyDescent="0.25">
      <c r="A29" s="3" t="s">
        <v>96</v>
      </c>
      <c r="B29" s="142" t="s">
        <v>148</v>
      </c>
      <c r="C29" s="142"/>
      <c r="D29" s="142"/>
      <c r="E29" s="142"/>
      <c r="F29" s="142"/>
      <c r="G29" s="142"/>
      <c r="H29" s="142"/>
      <c r="I29" s="142"/>
      <c r="J29" s="142"/>
      <c r="K29" s="142" t="s">
        <v>4</v>
      </c>
      <c r="L29" s="142"/>
      <c r="M29" s="142"/>
      <c r="N29" s="142"/>
      <c r="O29" s="153">
        <f>ROUND(($O$28),2)</f>
        <v>538654.03</v>
      </c>
      <c r="P29" s="142"/>
    </row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8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9:F29"/>
    <mergeCell ref="G29:J29"/>
    <mergeCell ref="K29:N29"/>
    <mergeCell ref="O29:P29"/>
    <mergeCell ref="B27:F27"/>
    <mergeCell ref="G27:J27"/>
    <mergeCell ref="K27:N27"/>
    <mergeCell ref="O27:P27"/>
    <mergeCell ref="B28:F28"/>
    <mergeCell ref="G28:J28"/>
    <mergeCell ref="K28:N28"/>
    <mergeCell ref="O28:P28"/>
  </mergeCells>
  <pageMargins left="0.4" right="0.4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164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26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158</v>
      </c>
      <c r="H14" s="158"/>
      <c r="I14" s="158"/>
      <c r="J14" s="158"/>
      <c r="K14" s="158" t="s">
        <v>159</v>
      </c>
      <c r="L14" s="158"/>
      <c r="M14" s="158"/>
      <c r="N14" s="158"/>
      <c r="O14" s="159">
        <f>ROUND((357800 + 616816 * 1) * 1 * 1.38 * 0.4 * 1.1245, 2)</f>
        <v>604967.54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149.65" customHeight="1" x14ac:dyDescent="0.25">
      <c r="A18" s="9"/>
      <c r="B18" s="155" t="s">
        <v>122</v>
      </c>
      <c r="C18" s="155"/>
      <c r="D18" s="155"/>
      <c r="E18" s="155"/>
      <c r="F18" s="155"/>
      <c r="G18" s="155" t="s">
        <v>129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68.099999999999994" customHeight="1" x14ac:dyDescent="0.25">
      <c r="A19" s="8"/>
      <c r="B19" s="156" t="s">
        <v>124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130</v>
      </c>
      <c r="L19" s="156"/>
      <c r="M19" s="156"/>
      <c r="N19" s="156"/>
      <c r="O19" s="156"/>
      <c r="P19" s="156"/>
    </row>
    <row r="20" spans="1:16" ht="95.25" customHeight="1" x14ac:dyDescent="0.25">
      <c r="A20" s="7" t="s">
        <v>40</v>
      </c>
      <c r="B20" s="157" t="s">
        <v>131</v>
      </c>
      <c r="C20" s="158"/>
      <c r="D20" s="158"/>
      <c r="E20" s="158"/>
      <c r="F20" s="158"/>
      <c r="G20" s="158" t="s">
        <v>160</v>
      </c>
      <c r="H20" s="158"/>
      <c r="I20" s="158"/>
      <c r="J20" s="158"/>
      <c r="K20" s="158" t="s">
        <v>161</v>
      </c>
      <c r="L20" s="158"/>
      <c r="M20" s="158"/>
      <c r="N20" s="158"/>
      <c r="O20" s="159">
        <f>ROUND((5610 + 240 * 22) * 2 * 7.1 * 0.34 * (1 + 0.15 + 0.15), 2)</f>
        <v>68350</v>
      </c>
      <c r="P20" s="158"/>
    </row>
    <row r="21" spans="1:16" ht="15" customHeight="1" x14ac:dyDescent="0.25">
      <c r="A21" s="8"/>
      <c r="B21" s="156" t="s">
        <v>115</v>
      </c>
      <c r="C21" s="156"/>
      <c r="D21" s="156"/>
      <c r="E21" s="156"/>
      <c r="F21" s="156"/>
      <c r="G21" s="156" t="s">
        <v>4</v>
      </c>
      <c r="H21" s="156"/>
      <c r="I21" s="156"/>
      <c r="J21" s="156"/>
      <c r="K21" s="156" t="s">
        <v>4</v>
      </c>
      <c r="L21" s="156"/>
      <c r="M21" s="156"/>
      <c r="N21" s="156"/>
      <c r="O21" s="156"/>
      <c r="P21" s="156"/>
    </row>
    <row r="22" spans="1:16" ht="15" customHeight="1" x14ac:dyDescent="0.25">
      <c r="A22" s="9"/>
      <c r="B22" s="155" t="s">
        <v>116</v>
      </c>
      <c r="C22" s="155"/>
      <c r="D22" s="155"/>
      <c r="E22" s="155"/>
      <c r="F22" s="155"/>
      <c r="G22" s="155" t="s">
        <v>134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40.9" customHeight="1" x14ac:dyDescent="0.25">
      <c r="A23" s="9"/>
      <c r="B23" s="155" t="s">
        <v>135</v>
      </c>
      <c r="C23" s="155"/>
      <c r="D23" s="155"/>
      <c r="E23" s="155"/>
      <c r="F23" s="155"/>
      <c r="G23" s="155" t="s">
        <v>136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68.099999999999994" customHeight="1" x14ac:dyDescent="0.25">
      <c r="A24" s="9"/>
      <c r="B24" s="155" t="s">
        <v>137</v>
      </c>
      <c r="C24" s="155"/>
      <c r="D24" s="155"/>
      <c r="E24" s="155"/>
      <c r="F24" s="155"/>
      <c r="G24" s="155" t="s">
        <v>138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49.65" customHeight="1" x14ac:dyDescent="0.25">
      <c r="A25" s="9"/>
      <c r="B25" s="155" t="s">
        <v>162</v>
      </c>
      <c r="C25" s="155"/>
      <c r="D25" s="155"/>
      <c r="E25" s="155"/>
      <c r="F25" s="155"/>
      <c r="G25" s="155" t="s">
        <v>163</v>
      </c>
      <c r="H25" s="155"/>
      <c r="I25" s="155"/>
      <c r="J25" s="155"/>
      <c r="K25" s="155" t="s">
        <v>4</v>
      </c>
      <c r="L25" s="155"/>
      <c r="M25" s="155"/>
      <c r="N25" s="155"/>
      <c r="O25" s="155"/>
      <c r="P25" s="155"/>
    </row>
    <row r="26" spans="1:16" ht="15" customHeight="1" x14ac:dyDescent="0.25">
      <c r="A26" s="8"/>
      <c r="B26" s="156" t="s">
        <v>124</v>
      </c>
      <c r="C26" s="156"/>
      <c r="D26" s="156"/>
      <c r="E26" s="156"/>
      <c r="F26" s="156"/>
      <c r="G26" s="156" t="s">
        <v>4</v>
      </c>
      <c r="H26" s="156"/>
      <c r="I26" s="156"/>
      <c r="J26" s="156"/>
      <c r="K26" s="156" t="s">
        <v>139</v>
      </c>
      <c r="L26" s="156"/>
      <c r="M26" s="156"/>
      <c r="N26" s="156"/>
      <c r="O26" s="156"/>
      <c r="P26" s="156"/>
    </row>
    <row r="27" spans="1:16" ht="15" customHeight="1" x14ac:dyDescent="0.25">
      <c r="A27" s="3" t="s">
        <v>79</v>
      </c>
      <c r="B27" s="142" t="s">
        <v>143</v>
      </c>
      <c r="C27" s="142"/>
      <c r="D27" s="142"/>
      <c r="E27" s="142"/>
      <c r="F27" s="142"/>
      <c r="G27" s="142"/>
      <c r="H27" s="142"/>
      <c r="I27" s="142"/>
      <c r="J27" s="142"/>
      <c r="K27" s="142" t="s">
        <v>4</v>
      </c>
      <c r="L27" s="142"/>
      <c r="M27" s="142"/>
      <c r="N27" s="142"/>
      <c r="O27" s="153">
        <f>ROUND(SUM($O$14:$O$20),2)</f>
        <v>673317.54</v>
      </c>
      <c r="P27" s="142"/>
    </row>
    <row r="28" spans="1:16" ht="108.75" customHeight="1" x14ac:dyDescent="0.25">
      <c r="A28" s="3" t="s">
        <v>94</v>
      </c>
      <c r="B28" s="143" t="s">
        <v>144</v>
      </c>
      <c r="C28" s="143"/>
      <c r="D28" s="143"/>
      <c r="E28" s="143"/>
      <c r="F28" s="143"/>
      <c r="G28" s="143" t="s">
        <v>145</v>
      </c>
      <c r="H28" s="143"/>
      <c r="I28" s="143"/>
      <c r="J28" s="143"/>
      <c r="K28" s="143" t="s">
        <v>155</v>
      </c>
      <c r="L28" s="143"/>
      <c r="M28" s="143"/>
      <c r="N28" s="143"/>
      <c r="O28" s="154">
        <f>ROUND(($O$27) * 1  * 0.8,2)</f>
        <v>538654.03</v>
      </c>
      <c r="P28" s="143"/>
    </row>
    <row r="29" spans="1:16" ht="15" customHeight="1" x14ac:dyDescent="0.25">
      <c r="A29" s="3" t="s">
        <v>96</v>
      </c>
      <c r="B29" s="142" t="s">
        <v>148</v>
      </c>
      <c r="C29" s="142"/>
      <c r="D29" s="142"/>
      <c r="E29" s="142"/>
      <c r="F29" s="142"/>
      <c r="G29" s="142"/>
      <c r="H29" s="142"/>
      <c r="I29" s="142"/>
      <c r="J29" s="142"/>
      <c r="K29" s="142" t="s">
        <v>4</v>
      </c>
      <c r="L29" s="142"/>
      <c r="M29" s="142"/>
      <c r="N29" s="142"/>
      <c r="O29" s="153">
        <f>ROUND(($O$28),2)</f>
        <v>538654.03</v>
      </c>
      <c r="P29" s="142"/>
    </row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8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9:F29"/>
    <mergeCell ref="G29:J29"/>
    <mergeCell ref="K29:N29"/>
    <mergeCell ref="O29:P29"/>
    <mergeCell ref="B27:F27"/>
    <mergeCell ref="G27:J27"/>
    <mergeCell ref="K27:N27"/>
    <mergeCell ref="O27:P27"/>
    <mergeCell ref="B28:F28"/>
    <mergeCell ref="G28:J28"/>
    <mergeCell ref="K28:N28"/>
    <mergeCell ref="O28:P28"/>
  </mergeCells>
  <pageMargins left="0.4" right="0.4" top="0.75" bottom="0.7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165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28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158</v>
      </c>
      <c r="H14" s="158"/>
      <c r="I14" s="158"/>
      <c r="J14" s="158"/>
      <c r="K14" s="158" t="s">
        <v>159</v>
      </c>
      <c r="L14" s="158"/>
      <c r="M14" s="158"/>
      <c r="N14" s="158"/>
      <c r="O14" s="159">
        <f>ROUND((357800 + 616816 * 1) * 1 * 1.38 * 0.4 * 1.1245, 2)</f>
        <v>604967.54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149.65" customHeight="1" x14ac:dyDescent="0.25">
      <c r="A18" s="9"/>
      <c r="B18" s="155" t="s">
        <v>122</v>
      </c>
      <c r="C18" s="155"/>
      <c r="D18" s="155"/>
      <c r="E18" s="155"/>
      <c r="F18" s="155"/>
      <c r="G18" s="155" t="s">
        <v>129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68.099999999999994" customHeight="1" x14ac:dyDescent="0.25">
      <c r="A19" s="8"/>
      <c r="B19" s="156" t="s">
        <v>124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130</v>
      </c>
      <c r="L19" s="156"/>
      <c r="M19" s="156"/>
      <c r="N19" s="156"/>
      <c r="O19" s="156"/>
      <c r="P19" s="156"/>
    </row>
    <row r="20" spans="1:16" ht="95.25" customHeight="1" x14ac:dyDescent="0.25">
      <c r="A20" s="7" t="s">
        <v>40</v>
      </c>
      <c r="B20" s="157" t="s">
        <v>131</v>
      </c>
      <c r="C20" s="158"/>
      <c r="D20" s="158"/>
      <c r="E20" s="158"/>
      <c r="F20" s="158"/>
      <c r="G20" s="158" t="s">
        <v>160</v>
      </c>
      <c r="H20" s="158"/>
      <c r="I20" s="158"/>
      <c r="J20" s="158"/>
      <c r="K20" s="158" t="s">
        <v>161</v>
      </c>
      <c r="L20" s="158"/>
      <c r="M20" s="158"/>
      <c r="N20" s="158"/>
      <c r="O20" s="159">
        <f>ROUND((5610 + 240 * 22) * 2 * 7.1 * 0.34 * (1 + 0.15 + 0.15), 2)</f>
        <v>68350</v>
      </c>
      <c r="P20" s="158"/>
    </row>
    <row r="21" spans="1:16" ht="15" customHeight="1" x14ac:dyDescent="0.25">
      <c r="A21" s="8"/>
      <c r="B21" s="156" t="s">
        <v>115</v>
      </c>
      <c r="C21" s="156"/>
      <c r="D21" s="156"/>
      <c r="E21" s="156"/>
      <c r="F21" s="156"/>
      <c r="G21" s="156" t="s">
        <v>4</v>
      </c>
      <c r="H21" s="156"/>
      <c r="I21" s="156"/>
      <c r="J21" s="156"/>
      <c r="K21" s="156" t="s">
        <v>4</v>
      </c>
      <c r="L21" s="156"/>
      <c r="M21" s="156"/>
      <c r="N21" s="156"/>
      <c r="O21" s="156"/>
      <c r="P21" s="156"/>
    </row>
    <row r="22" spans="1:16" ht="15" customHeight="1" x14ac:dyDescent="0.25">
      <c r="A22" s="9"/>
      <c r="B22" s="155" t="s">
        <v>116</v>
      </c>
      <c r="C22" s="155"/>
      <c r="D22" s="155"/>
      <c r="E22" s="155"/>
      <c r="F22" s="155"/>
      <c r="G22" s="155" t="s">
        <v>134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40.9" customHeight="1" x14ac:dyDescent="0.25">
      <c r="A23" s="9"/>
      <c r="B23" s="155" t="s">
        <v>135</v>
      </c>
      <c r="C23" s="155"/>
      <c r="D23" s="155"/>
      <c r="E23" s="155"/>
      <c r="F23" s="155"/>
      <c r="G23" s="155" t="s">
        <v>136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68.099999999999994" customHeight="1" x14ac:dyDescent="0.25">
      <c r="A24" s="9"/>
      <c r="B24" s="155" t="s">
        <v>137</v>
      </c>
      <c r="C24" s="155"/>
      <c r="D24" s="155"/>
      <c r="E24" s="155"/>
      <c r="F24" s="155"/>
      <c r="G24" s="155" t="s">
        <v>138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49.65" customHeight="1" x14ac:dyDescent="0.25">
      <c r="A25" s="9"/>
      <c r="B25" s="155" t="s">
        <v>162</v>
      </c>
      <c r="C25" s="155"/>
      <c r="D25" s="155"/>
      <c r="E25" s="155"/>
      <c r="F25" s="155"/>
      <c r="G25" s="155" t="s">
        <v>163</v>
      </c>
      <c r="H25" s="155"/>
      <c r="I25" s="155"/>
      <c r="J25" s="155"/>
      <c r="K25" s="155" t="s">
        <v>4</v>
      </c>
      <c r="L25" s="155"/>
      <c r="M25" s="155"/>
      <c r="N25" s="155"/>
      <c r="O25" s="155"/>
      <c r="P25" s="155"/>
    </row>
    <row r="26" spans="1:16" ht="15" customHeight="1" x14ac:dyDescent="0.25">
      <c r="A26" s="8"/>
      <c r="B26" s="156" t="s">
        <v>124</v>
      </c>
      <c r="C26" s="156"/>
      <c r="D26" s="156"/>
      <c r="E26" s="156"/>
      <c r="F26" s="156"/>
      <c r="G26" s="156" t="s">
        <v>4</v>
      </c>
      <c r="H26" s="156"/>
      <c r="I26" s="156"/>
      <c r="J26" s="156"/>
      <c r="K26" s="156" t="s">
        <v>139</v>
      </c>
      <c r="L26" s="156"/>
      <c r="M26" s="156"/>
      <c r="N26" s="156"/>
      <c r="O26" s="156"/>
      <c r="P26" s="156"/>
    </row>
    <row r="27" spans="1:16" ht="15" customHeight="1" x14ac:dyDescent="0.25">
      <c r="A27" s="3" t="s">
        <v>79</v>
      </c>
      <c r="B27" s="142" t="s">
        <v>143</v>
      </c>
      <c r="C27" s="142"/>
      <c r="D27" s="142"/>
      <c r="E27" s="142"/>
      <c r="F27" s="142"/>
      <c r="G27" s="142"/>
      <c r="H27" s="142"/>
      <c r="I27" s="142"/>
      <c r="J27" s="142"/>
      <c r="K27" s="142" t="s">
        <v>4</v>
      </c>
      <c r="L27" s="142"/>
      <c r="M27" s="142"/>
      <c r="N27" s="142"/>
      <c r="O27" s="153">
        <f>ROUND(SUM($O$14:$O$20),2)</f>
        <v>673317.54</v>
      </c>
      <c r="P27" s="142"/>
    </row>
    <row r="28" spans="1:16" ht="108.75" customHeight="1" x14ac:dyDescent="0.25">
      <c r="A28" s="3" t="s">
        <v>94</v>
      </c>
      <c r="B28" s="143" t="s">
        <v>144</v>
      </c>
      <c r="C28" s="143"/>
      <c r="D28" s="143"/>
      <c r="E28" s="143"/>
      <c r="F28" s="143"/>
      <c r="G28" s="143" t="s">
        <v>145</v>
      </c>
      <c r="H28" s="143"/>
      <c r="I28" s="143"/>
      <c r="J28" s="143"/>
      <c r="K28" s="143" t="s">
        <v>155</v>
      </c>
      <c r="L28" s="143"/>
      <c r="M28" s="143"/>
      <c r="N28" s="143"/>
      <c r="O28" s="154">
        <f>ROUND(($O$27) * 1  * 0.8,2)</f>
        <v>538654.03</v>
      </c>
      <c r="P28" s="143"/>
    </row>
    <row r="29" spans="1:16" ht="15" customHeight="1" x14ac:dyDescent="0.25">
      <c r="A29" s="3" t="s">
        <v>96</v>
      </c>
      <c r="B29" s="142" t="s">
        <v>148</v>
      </c>
      <c r="C29" s="142"/>
      <c r="D29" s="142"/>
      <c r="E29" s="142"/>
      <c r="F29" s="142"/>
      <c r="G29" s="142"/>
      <c r="H29" s="142"/>
      <c r="I29" s="142"/>
      <c r="J29" s="142"/>
      <c r="K29" s="142" t="s">
        <v>4</v>
      </c>
      <c r="L29" s="142"/>
      <c r="M29" s="142"/>
      <c r="N29" s="142"/>
      <c r="O29" s="153">
        <f>ROUND(($O$28),2)</f>
        <v>538654.03</v>
      </c>
      <c r="P29" s="142"/>
    </row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8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9:F29"/>
    <mergeCell ref="G29:J29"/>
    <mergeCell ref="K29:N29"/>
    <mergeCell ref="O29:P29"/>
    <mergeCell ref="B27:F27"/>
    <mergeCell ref="G27:J27"/>
    <mergeCell ref="K27:N27"/>
    <mergeCell ref="O27:P27"/>
    <mergeCell ref="B28:F28"/>
    <mergeCell ref="G28:J28"/>
    <mergeCell ref="K28:N28"/>
    <mergeCell ref="O28:P28"/>
  </mergeCells>
  <pageMargins left="0.4" right="0.4" top="0.75" bottom="0.7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166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30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08.75" customHeight="1" x14ac:dyDescent="0.25">
      <c r="A14" s="7" t="s">
        <v>16</v>
      </c>
      <c r="B14" s="157" t="s">
        <v>112</v>
      </c>
      <c r="C14" s="158"/>
      <c r="D14" s="158"/>
      <c r="E14" s="158"/>
      <c r="F14" s="158"/>
      <c r="G14" s="158" t="s">
        <v>113</v>
      </c>
      <c r="H14" s="158"/>
      <c r="I14" s="158"/>
      <c r="J14" s="158"/>
      <c r="K14" s="158" t="s">
        <v>114</v>
      </c>
      <c r="L14" s="158"/>
      <c r="M14" s="158"/>
      <c r="N14" s="158"/>
      <c r="O14" s="159">
        <f>ROUND(1440800 * 2 * 1.38 * 0.4 * 0.47 * 1.1155, 2)</f>
        <v>833950.37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68.099999999999994" customHeight="1" x14ac:dyDescent="0.25">
      <c r="A18" s="9"/>
      <c r="B18" s="155" t="s">
        <v>120</v>
      </c>
      <c r="C18" s="155"/>
      <c r="D18" s="155"/>
      <c r="E18" s="155"/>
      <c r="F18" s="155"/>
      <c r="G18" s="155" t="s">
        <v>121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149.65" customHeight="1" x14ac:dyDescent="0.25">
      <c r="A19" s="9"/>
      <c r="B19" s="155" t="s">
        <v>122</v>
      </c>
      <c r="C19" s="155"/>
      <c r="D19" s="155"/>
      <c r="E19" s="155"/>
      <c r="F19" s="155"/>
      <c r="G19" s="155" t="s">
        <v>123</v>
      </c>
      <c r="H19" s="155"/>
      <c r="I19" s="155"/>
      <c r="J19" s="155"/>
      <c r="K19" s="155" t="s">
        <v>4</v>
      </c>
      <c r="L19" s="155"/>
      <c r="M19" s="155"/>
      <c r="N19" s="155"/>
      <c r="O19" s="155"/>
      <c r="P19" s="155"/>
    </row>
    <row r="20" spans="1:16" ht="68.099999999999994" customHeight="1" x14ac:dyDescent="0.25">
      <c r="A20" s="8"/>
      <c r="B20" s="156" t="s">
        <v>124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125</v>
      </c>
      <c r="L20" s="156"/>
      <c r="M20" s="156"/>
      <c r="N20" s="156"/>
      <c r="O20" s="156"/>
      <c r="P20" s="156"/>
    </row>
    <row r="21" spans="1:16" ht="149.65" customHeight="1" x14ac:dyDescent="0.25">
      <c r="A21" s="7" t="s">
        <v>40</v>
      </c>
      <c r="B21" s="157" t="s">
        <v>167</v>
      </c>
      <c r="C21" s="158"/>
      <c r="D21" s="158"/>
      <c r="E21" s="158"/>
      <c r="F21" s="158"/>
      <c r="G21" s="158" t="s">
        <v>168</v>
      </c>
      <c r="H21" s="158"/>
      <c r="I21" s="158"/>
      <c r="J21" s="158"/>
      <c r="K21" s="158" t="s">
        <v>169</v>
      </c>
      <c r="L21" s="158"/>
      <c r="M21" s="158"/>
      <c r="N21" s="158"/>
      <c r="O21" s="159">
        <f>ROUND((2032700 + 308352 * 16.5) * 1 * 1.38 * 0.4 * 1.1245, 2)</f>
        <v>4419870.21</v>
      </c>
      <c r="P21" s="158"/>
    </row>
    <row r="22" spans="1:16" ht="15" customHeight="1" x14ac:dyDescent="0.25">
      <c r="A22" s="8"/>
      <c r="B22" s="156" t="s">
        <v>115</v>
      </c>
      <c r="C22" s="156"/>
      <c r="D22" s="156"/>
      <c r="E22" s="156"/>
      <c r="F22" s="156"/>
      <c r="G22" s="156" t="s">
        <v>4</v>
      </c>
      <c r="H22" s="156"/>
      <c r="I22" s="156"/>
      <c r="J22" s="156"/>
      <c r="K22" s="156" t="s">
        <v>4</v>
      </c>
      <c r="L22" s="156"/>
      <c r="M22" s="156"/>
      <c r="N22" s="156"/>
      <c r="O22" s="156"/>
      <c r="P22" s="156"/>
    </row>
    <row r="23" spans="1:16" ht="15" customHeight="1" x14ac:dyDescent="0.25">
      <c r="A23" s="9"/>
      <c r="B23" s="155" t="s">
        <v>116</v>
      </c>
      <c r="C23" s="155"/>
      <c r="D23" s="155"/>
      <c r="E23" s="155"/>
      <c r="F23" s="155"/>
      <c r="G23" s="155" t="s">
        <v>117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40.9" customHeight="1" x14ac:dyDescent="0.25">
      <c r="A24" s="9"/>
      <c r="B24" s="155" t="s">
        <v>118</v>
      </c>
      <c r="C24" s="155"/>
      <c r="D24" s="155"/>
      <c r="E24" s="155"/>
      <c r="F24" s="155"/>
      <c r="G24" s="155" t="s">
        <v>119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49.65" customHeight="1" x14ac:dyDescent="0.25">
      <c r="A25" s="9"/>
      <c r="B25" s="155" t="s">
        <v>122</v>
      </c>
      <c r="C25" s="155"/>
      <c r="D25" s="155"/>
      <c r="E25" s="155"/>
      <c r="F25" s="155"/>
      <c r="G25" s="155" t="s">
        <v>129</v>
      </c>
      <c r="H25" s="155"/>
      <c r="I25" s="155"/>
      <c r="J25" s="155"/>
      <c r="K25" s="155" t="s">
        <v>4</v>
      </c>
      <c r="L25" s="155"/>
      <c r="M25" s="155"/>
      <c r="N25" s="155"/>
      <c r="O25" s="155"/>
      <c r="P25" s="155"/>
    </row>
    <row r="26" spans="1:16" ht="68.099999999999994" customHeight="1" x14ac:dyDescent="0.25">
      <c r="A26" s="8"/>
      <c r="B26" s="156" t="s">
        <v>124</v>
      </c>
      <c r="C26" s="156"/>
      <c r="D26" s="156"/>
      <c r="E26" s="156"/>
      <c r="F26" s="156"/>
      <c r="G26" s="156" t="s">
        <v>4</v>
      </c>
      <c r="H26" s="156"/>
      <c r="I26" s="156"/>
      <c r="J26" s="156"/>
      <c r="K26" s="156" t="s">
        <v>130</v>
      </c>
      <c r="L26" s="156"/>
      <c r="M26" s="156"/>
      <c r="N26" s="156"/>
      <c r="O26" s="156"/>
      <c r="P26" s="156"/>
    </row>
    <row r="27" spans="1:16" ht="95.25" customHeight="1" x14ac:dyDescent="0.25">
      <c r="A27" s="7" t="s">
        <v>79</v>
      </c>
      <c r="B27" s="157" t="s">
        <v>131</v>
      </c>
      <c r="C27" s="158"/>
      <c r="D27" s="158"/>
      <c r="E27" s="158"/>
      <c r="F27" s="158"/>
      <c r="G27" s="158" t="s">
        <v>132</v>
      </c>
      <c r="H27" s="158"/>
      <c r="I27" s="158"/>
      <c r="J27" s="158"/>
      <c r="K27" s="158" t="s">
        <v>133</v>
      </c>
      <c r="L27" s="158"/>
      <c r="M27" s="158"/>
      <c r="N27" s="158"/>
      <c r="O27" s="159">
        <f>ROUND((5610 + 240 * 18) * 2 * 7.1 * 0.34 * (1 + 0.15), 2)</f>
        <v>55133.35</v>
      </c>
      <c r="P27" s="158"/>
    </row>
    <row r="28" spans="1:16" ht="15" customHeight="1" x14ac:dyDescent="0.25">
      <c r="A28" s="8"/>
      <c r="B28" s="156" t="s">
        <v>115</v>
      </c>
      <c r="C28" s="156"/>
      <c r="D28" s="156"/>
      <c r="E28" s="156"/>
      <c r="F28" s="156"/>
      <c r="G28" s="156" t="s">
        <v>4</v>
      </c>
      <c r="H28" s="156"/>
      <c r="I28" s="156"/>
      <c r="J28" s="156"/>
      <c r="K28" s="156" t="s">
        <v>4</v>
      </c>
      <c r="L28" s="156"/>
      <c r="M28" s="156"/>
      <c r="N28" s="156"/>
      <c r="O28" s="156"/>
      <c r="P28" s="156"/>
    </row>
    <row r="29" spans="1:16" ht="15" customHeight="1" x14ac:dyDescent="0.25">
      <c r="A29" s="9"/>
      <c r="B29" s="155" t="s">
        <v>116</v>
      </c>
      <c r="C29" s="155"/>
      <c r="D29" s="155"/>
      <c r="E29" s="155"/>
      <c r="F29" s="155"/>
      <c r="G29" s="155" t="s">
        <v>134</v>
      </c>
      <c r="H29" s="155"/>
      <c r="I29" s="155"/>
      <c r="J29" s="155"/>
      <c r="K29" s="155" t="s">
        <v>4</v>
      </c>
      <c r="L29" s="155"/>
      <c r="M29" s="155"/>
      <c r="N29" s="155"/>
      <c r="O29" s="155"/>
      <c r="P29" s="155"/>
    </row>
    <row r="30" spans="1:16" ht="40.9" customHeight="1" x14ac:dyDescent="0.25">
      <c r="A30" s="9"/>
      <c r="B30" s="155" t="s">
        <v>135</v>
      </c>
      <c r="C30" s="155"/>
      <c r="D30" s="155"/>
      <c r="E30" s="155"/>
      <c r="F30" s="155"/>
      <c r="G30" s="155" t="s">
        <v>136</v>
      </c>
      <c r="H30" s="155"/>
      <c r="I30" s="155"/>
      <c r="J30" s="155"/>
      <c r="K30" s="155" t="s">
        <v>4</v>
      </c>
      <c r="L30" s="155"/>
      <c r="M30" s="155"/>
      <c r="N30" s="155"/>
      <c r="O30" s="155"/>
      <c r="P30" s="155"/>
    </row>
    <row r="31" spans="1:16" ht="68.099999999999994" customHeight="1" x14ac:dyDescent="0.25">
      <c r="A31" s="9"/>
      <c r="B31" s="155" t="s">
        <v>137</v>
      </c>
      <c r="C31" s="155"/>
      <c r="D31" s="155"/>
      <c r="E31" s="155"/>
      <c r="F31" s="155"/>
      <c r="G31" s="155" t="s">
        <v>138</v>
      </c>
      <c r="H31" s="155"/>
      <c r="I31" s="155"/>
      <c r="J31" s="155"/>
      <c r="K31" s="155" t="s">
        <v>4</v>
      </c>
      <c r="L31" s="155"/>
      <c r="M31" s="155"/>
      <c r="N31" s="155"/>
      <c r="O31" s="155"/>
      <c r="P31" s="155"/>
    </row>
    <row r="32" spans="1:16" ht="15" customHeight="1" x14ac:dyDescent="0.25">
      <c r="A32" s="8"/>
      <c r="B32" s="156" t="s">
        <v>124</v>
      </c>
      <c r="C32" s="156"/>
      <c r="D32" s="156"/>
      <c r="E32" s="156"/>
      <c r="F32" s="156"/>
      <c r="G32" s="156" t="s">
        <v>4</v>
      </c>
      <c r="H32" s="156"/>
      <c r="I32" s="156"/>
      <c r="J32" s="156"/>
      <c r="K32" s="156" t="s">
        <v>139</v>
      </c>
      <c r="L32" s="156"/>
      <c r="M32" s="156"/>
      <c r="N32" s="156"/>
      <c r="O32" s="156"/>
      <c r="P32" s="156"/>
    </row>
    <row r="33" spans="1:16" ht="95.25" customHeight="1" x14ac:dyDescent="0.25">
      <c r="A33" s="7" t="s">
        <v>94</v>
      </c>
      <c r="B33" s="157" t="s">
        <v>140</v>
      </c>
      <c r="C33" s="158"/>
      <c r="D33" s="158"/>
      <c r="E33" s="158"/>
      <c r="F33" s="158"/>
      <c r="G33" s="158" t="s">
        <v>170</v>
      </c>
      <c r="H33" s="158"/>
      <c r="I33" s="158"/>
      <c r="J33" s="158"/>
      <c r="K33" s="158" t="s">
        <v>171</v>
      </c>
      <c r="L33" s="158"/>
      <c r="M33" s="158"/>
      <c r="N33" s="158"/>
      <c r="O33" s="159">
        <f>ROUND((7590 + 330 * 12) * 12 * 7.1 * 0.34 * (1 + 0.15), 2)</f>
        <v>384767.46</v>
      </c>
      <c r="P33" s="158"/>
    </row>
    <row r="34" spans="1:16" ht="15" customHeight="1" x14ac:dyDescent="0.25">
      <c r="A34" s="8"/>
      <c r="B34" s="156" t="s">
        <v>115</v>
      </c>
      <c r="C34" s="156"/>
      <c r="D34" s="156"/>
      <c r="E34" s="156"/>
      <c r="F34" s="156"/>
      <c r="G34" s="156" t="s">
        <v>4</v>
      </c>
      <c r="H34" s="156"/>
      <c r="I34" s="156"/>
      <c r="J34" s="156"/>
      <c r="K34" s="156" t="s">
        <v>4</v>
      </c>
      <c r="L34" s="156"/>
      <c r="M34" s="156"/>
      <c r="N34" s="156"/>
      <c r="O34" s="156"/>
      <c r="P34" s="156"/>
    </row>
    <row r="35" spans="1:16" ht="15" customHeight="1" x14ac:dyDescent="0.25">
      <c r="A35" s="9"/>
      <c r="B35" s="155" t="s">
        <v>116</v>
      </c>
      <c r="C35" s="155"/>
      <c r="D35" s="155"/>
      <c r="E35" s="155"/>
      <c r="F35" s="155"/>
      <c r="G35" s="155" t="s">
        <v>134</v>
      </c>
      <c r="H35" s="155"/>
      <c r="I35" s="155"/>
      <c r="J35" s="155"/>
      <c r="K35" s="155" t="s">
        <v>4</v>
      </c>
      <c r="L35" s="155"/>
      <c r="M35" s="155"/>
      <c r="N35" s="155"/>
      <c r="O35" s="155"/>
      <c r="P35" s="155"/>
    </row>
    <row r="36" spans="1:16" ht="40.9" customHeight="1" x14ac:dyDescent="0.25">
      <c r="A36" s="9"/>
      <c r="B36" s="155" t="s">
        <v>135</v>
      </c>
      <c r="C36" s="155"/>
      <c r="D36" s="155"/>
      <c r="E36" s="155"/>
      <c r="F36" s="155"/>
      <c r="G36" s="155" t="s">
        <v>136</v>
      </c>
      <c r="H36" s="155"/>
      <c r="I36" s="155"/>
      <c r="J36" s="155"/>
      <c r="K36" s="155" t="s">
        <v>4</v>
      </c>
      <c r="L36" s="155"/>
      <c r="M36" s="155"/>
      <c r="N36" s="155"/>
      <c r="O36" s="155"/>
      <c r="P36" s="155"/>
    </row>
    <row r="37" spans="1:16" ht="68.099999999999994" customHeight="1" x14ac:dyDescent="0.25">
      <c r="A37" s="9"/>
      <c r="B37" s="155" t="s">
        <v>137</v>
      </c>
      <c r="C37" s="155"/>
      <c r="D37" s="155"/>
      <c r="E37" s="155"/>
      <c r="F37" s="155"/>
      <c r="G37" s="155" t="s">
        <v>138</v>
      </c>
      <c r="H37" s="155"/>
      <c r="I37" s="155"/>
      <c r="J37" s="155"/>
      <c r="K37" s="155" t="s">
        <v>4</v>
      </c>
      <c r="L37" s="155"/>
      <c r="M37" s="155"/>
      <c r="N37" s="155"/>
      <c r="O37" s="155"/>
      <c r="P37" s="155"/>
    </row>
    <row r="38" spans="1:16" ht="15" customHeight="1" x14ac:dyDescent="0.25">
      <c r="A38" s="8"/>
      <c r="B38" s="156" t="s">
        <v>124</v>
      </c>
      <c r="C38" s="156"/>
      <c r="D38" s="156"/>
      <c r="E38" s="156"/>
      <c r="F38" s="156"/>
      <c r="G38" s="156" t="s">
        <v>4</v>
      </c>
      <c r="H38" s="156"/>
      <c r="I38" s="156"/>
      <c r="J38" s="156"/>
      <c r="K38" s="156" t="s">
        <v>139</v>
      </c>
      <c r="L38" s="156"/>
      <c r="M38" s="156"/>
      <c r="N38" s="156"/>
      <c r="O38" s="156"/>
      <c r="P38" s="156"/>
    </row>
    <row r="39" spans="1:16" ht="163.15" customHeight="1" x14ac:dyDescent="0.25">
      <c r="A39" s="7" t="s">
        <v>96</v>
      </c>
      <c r="B39" s="157" t="s">
        <v>172</v>
      </c>
      <c r="C39" s="158"/>
      <c r="D39" s="158"/>
      <c r="E39" s="158"/>
      <c r="F39" s="158"/>
      <c r="G39" s="158" t="s">
        <v>173</v>
      </c>
      <c r="H39" s="158"/>
      <c r="I39" s="158"/>
      <c r="J39" s="158"/>
      <c r="K39" s="158" t="s">
        <v>174</v>
      </c>
      <c r="L39" s="158"/>
      <c r="M39" s="158"/>
      <c r="N39" s="158"/>
      <c r="O39" s="159">
        <f>ROUND((69480 + 49123 * 2.55) * 1 * 7.1 * 0.3, 2)</f>
        <v>414803.97</v>
      </c>
      <c r="P39" s="158"/>
    </row>
    <row r="40" spans="1:16" ht="15" customHeight="1" x14ac:dyDescent="0.25">
      <c r="A40" s="8"/>
      <c r="B40" s="156" t="s">
        <v>115</v>
      </c>
      <c r="C40" s="156"/>
      <c r="D40" s="156"/>
      <c r="E40" s="156"/>
      <c r="F40" s="156"/>
      <c r="G40" s="156" t="s">
        <v>4</v>
      </c>
      <c r="H40" s="156"/>
      <c r="I40" s="156"/>
      <c r="J40" s="156"/>
      <c r="K40" s="156" t="s">
        <v>4</v>
      </c>
      <c r="L40" s="156"/>
      <c r="M40" s="156"/>
      <c r="N40" s="156"/>
      <c r="O40" s="156"/>
      <c r="P40" s="156"/>
    </row>
    <row r="41" spans="1:16" ht="15" customHeight="1" x14ac:dyDescent="0.25">
      <c r="A41" s="9"/>
      <c r="B41" s="155" t="s">
        <v>116</v>
      </c>
      <c r="C41" s="155"/>
      <c r="D41" s="155"/>
      <c r="E41" s="155"/>
      <c r="F41" s="155"/>
      <c r="G41" s="155" t="s">
        <v>175</v>
      </c>
      <c r="H41" s="155"/>
      <c r="I41" s="155"/>
      <c r="J41" s="155"/>
      <c r="K41" s="155" t="s">
        <v>4</v>
      </c>
      <c r="L41" s="155"/>
      <c r="M41" s="155"/>
      <c r="N41" s="155"/>
      <c r="O41" s="155"/>
      <c r="P41" s="155"/>
    </row>
    <row r="42" spans="1:16" ht="40.9" customHeight="1" x14ac:dyDescent="0.25">
      <c r="A42" s="9"/>
      <c r="B42" s="155" t="s">
        <v>135</v>
      </c>
      <c r="C42" s="155"/>
      <c r="D42" s="155"/>
      <c r="E42" s="155"/>
      <c r="F42" s="155"/>
      <c r="G42" s="155" t="s">
        <v>136</v>
      </c>
      <c r="H42" s="155"/>
      <c r="I42" s="155"/>
      <c r="J42" s="155"/>
      <c r="K42" s="155" t="s">
        <v>4</v>
      </c>
      <c r="L42" s="155"/>
      <c r="M42" s="155"/>
      <c r="N42" s="155"/>
      <c r="O42" s="155"/>
      <c r="P42" s="155"/>
    </row>
    <row r="43" spans="1:16" ht="27.2" customHeight="1" x14ac:dyDescent="0.25">
      <c r="A43" s="8"/>
      <c r="B43" s="156" t="s">
        <v>124</v>
      </c>
      <c r="C43" s="156"/>
      <c r="D43" s="156"/>
      <c r="E43" s="156"/>
      <c r="F43" s="156"/>
      <c r="G43" s="156" t="s">
        <v>4</v>
      </c>
      <c r="H43" s="156"/>
      <c r="I43" s="156"/>
      <c r="J43" s="156"/>
      <c r="K43" s="156" t="s">
        <v>176</v>
      </c>
      <c r="L43" s="156"/>
      <c r="M43" s="156"/>
      <c r="N43" s="156"/>
      <c r="O43" s="156"/>
      <c r="P43" s="156"/>
    </row>
    <row r="44" spans="1:16" ht="15" customHeight="1" x14ac:dyDescent="0.25">
      <c r="A44" s="3" t="s">
        <v>99</v>
      </c>
      <c r="B44" s="142" t="s">
        <v>143</v>
      </c>
      <c r="C44" s="142"/>
      <c r="D44" s="142"/>
      <c r="E44" s="142"/>
      <c r="F44" s="142"/>
      <c r="G44" s="142"/>
      <c r="H44" s="142"/>
      <c r="I44" s="142"/>
      <c r="J44" s="142"/>
      <c r="K44" s="142" t="s">
        <v>4</v>
      </c>
      <c r="L44" s="142"/>
      <c r="M44" s="142"/>
      <c r="N44" s="142"/>
      <c r="O44" s="153">
        <f>ROUND(SUM($O$14:$O$39),2)</f>
        <v>6108525.3600000003</v>
      </c>
      <c r="P44" s="142"/>
    </row>
    <row r="45" spans="1:16" ht="108.75" customHeight="1" x14ac:dyDescent="0.25">
      <c r="A45" s="3" t="s">
        <v>147</v>
      </c>
      <c r="B45" s="143" t="s">
        <v>144</v>
      </c>
      <c r="C45" s="143"/>
      <c r="D45" s="143"/>
      <c r="E45" s="143"/>
      <c r="F45" s="143"/>
      <c r="G45" s="143" t="s">
        <v>145</v>
      </c>
      <c r="H45" s="143"/>
      <c r="I45" s="143"/>
      <c r="J45" s="143"/>
      <c r="K45" s="143" t="s">
        <v>177</v>
      </c>
      <c r="L45" s="143"/>
      <c r="M45" s="143"/>
      <c r="N45" s="143"/>
      <c r="O45" s="154">
        <f>ROUND(($O$44) * 1  * 0.8,2)</f>
        <v>4886820.29</v>
      </c>
      <c r="P45" s="143"/>
    </row>
    <row r="46" spans="1:16" ht="15" customHeight="1" x14ac:dyDescent="0.25">
      <c r="A46" s="3" t="s">
        <v>178</v>
      </c>
      <c r="B46" s="142" t="s">
        <v>148</v>
      </c>
      <c r="C46" s="142"/>
      <c r="D46" s="142"/>
      <c r="E46" s="142"/>
      <c r="F46" s="142"/>
      <c r="G46" s="142"/>
      <c r="H46" s="142"/>
      <c r="I46" s="142"/>
      <c r="J46" s="142"/>
      <c r="K46" s="142" t="s">
        <v>4</v>
      </c>
      <c r="L46" s="142"/>
      <c r="M46" s="142"/>
      <c r="N46" s="142"/>
      <c r="O46" s="153">
        <f>ROUND(($O$45),2)</f>
        <v>4886820.29</v>
      </c>
      <c r="P46" s="142"/>
    </row>
    <row r="47" spans="1:16" ht="15" customHeight="1" x14ac:dyDescent="0.25"/>
    <row r="48" spans="1:16" ht="15" customHeight="1" x14ac:dyDescent="0.25"/>
    <row r="49" ht="15" customHeight="1" x14ac:dyDescent="0.25"/>
    <row r="50" ht="15" customHeight="1" x14ac:dyDescent="0.25"/>
  </sheetData>
  <mergeCells count="150">
    <mergeCell ref="A1:D1"/>
    <mergeCell ref="E1:P1"/>
    <mergeCell ref="A3:P3"/>
    <mergeCell ref="A4:P4"/>
    <mergeCell ref="A6:E6"/>
    <mergeCell ref="F6:P6"/>
    <mergeCell ref="A8:E8"/>
    <mergeCell ref="F8:P8"/>
    <mergeCell ref="A10:E10"/>
    <mergeCell ref="F10:P10"/>
    <mergeCell ref="B12:F12"/>
    <mergeCell ref="B13:F13"/>
    <mergeCell ref="G12:J12"/>
    <mergeCell ref="G13:J13"/>
    <mergeCell ref="K12:N12"/>
    <mergeCell ref="K13:N13"/>
    <mergeCell ref="O12:P12"/>
    <mergeCell ref="O13:P13"/>
    <mergeCell ref="B14:F14"/>
    <mergeCell ref="G14:J14"/>
    <mergeCell ref="K14:N14"/>
    <mergeCell ref="O14:P14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B30:F30"/>
    <mergeCell ref="G30:J30"/>
    <mergeCell ref="K30:N30"/>
    <mergeCell ref="O30:P30"/>
    <mergeCell ref="B31:F31"/>
    <mergeCell ref="G31:J31"/>
    <mergeCell ref="K31:N31"/>
    <mergeCell ref="O31:P31"/>
    <mergeCell ref="B32:F32"/>
    <mergeCell ref="G32:J32"/>
    <mergeCell ref="K32:N32"/>
    <mergeCell ref="O32:P32"/>
    <mergeCell ref="B33:F33"/>
    <mergeCell ref="G33:J33"/>
    <mergeCell ref="K33:N33"/>
    <mergeCell ref="O33:P33"/>
    <mergeCell ref="B34:F34"/>
    <mergeCell ref="G34:J34"/>
    <mergeCell ref="K34:N34"/>
    <mergeCell ref="O34:P34"/>
    <mergeCell ref="B35:F35"/>
    <mergeCell ref="G35:J35"/>
    <mergeCell ref="K35:N35"/>
    <mergeCell ref="O35:P35"/>
    <mergeCell ref="B36:F36"/>
    <mergeCell ref="G36:J36"/>
    <mergeCell ref="K36:N36"/>
    <mergeCell ref="O36:P36"/>
    <mergeCell ref="B37:F37"/>
    <mergeCell ref="G37:J37"/>
    <mergeCell ref="K37:N37"/>
    <mergeCell ref="O37:P37"/>
    <mergeCell ref="B38:F38"/>
    <mergeCell ref="G38:J38"/>
    <mergeCell ref="K38:N38"/>
    <mergeCell ref="O38:P38"/>
    <mergeCell ref="B39:F39"/>
    <mergeCell ref="G39:J39"/>
    <mergeCell ref="K39:N39"/>
    <mergeCell ref="O39:P39"/>
    <mergeCell ref="B40:F40"/>
    <mergeCell ref="G40:J40"/>
    <mergeCell ref="K40:N40"/>
    <mergeCell ref="O40:P40"/>
    <mergeCell ref="B41:F41"/>
    <mergeCell ref="G41:J41"/>
    <mergeCell ref="K41:N41"/>
    <mergeCell ref="O41:P41"/>
    <mergeCell ref="B45:F45"/>
    <mergeCell ref="G45:J45"/>
    <mergeCell ref="K45:N45"/>
    <mergeCell ref="O45:P45"/>
    <mergeCell ref="B46:F46"/>
    <mergeCell ref="G46:J46"/>
    <mergeCell ref="K46:N46"/>
    <mergeCell ref="O46:P46"/>
    <mergeCell ref="B42:F42"/>
    <mergeCell ref="G42:J42"/>
    <mergeCell ref="K42:N42"/>
    <mergeCell ref="O42:P42"/>
    <mergeCell ref="B43:F43"/>
    <mergeCell ref="G43:J43"/>
    <mergeCell ref="K43:N43"/>
    <mergeCell ref="O43:P43"/>
    <mergeCell ref="B44:F44"/>
    <mergeCell ref="G44:J44"/>
    <mergeCell ref="K44:N44"/>
    <mergeCell ref="O44:P44"/>
  </mergeCells>
  <pageMargins left="0.4" right="0.4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179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32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158</v>
      </c>
      <c r="H14" s="158"/>
      <c r="I14" s="158"/>
      <c r="J14" s="158"/>
      <c r="K14" s="158" t="s">
        <v>159</v>
      </c>
      <c r="L14" s="158"/>
      <c r="M14" s="158"/>
      <c r="N14" s="158"/>
      <c r="O14" s="159">
        <f>ROUND((357800 + 616816 * 1) * 1 * 1.38 * 0.4 * 1.1245, 2)</f>
        <v>604967.54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149.65" customHeight="1" x14ac:dyDescent="0.25">
      <c r="A18" s="9"/>
      <c r="B18" s="155" t="s">
        <v>122</v>
      </c>
      <c r="C18" s="155"/>
      <c r="D18" s="155"/>
      <c r="E18" s="155"/>
      <c r="F18" s="155"/>
      <c r="G18" s="155" t="s">
        <v>129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68.099999999999994" customHeight="1" x14ac:dyDescent="0.25">
      <c r="A19" s="8"/>
      <c r="B19" s="156" t="s">
        <v>124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130</v>
      </c>
      <c r="L19" s="156"/>
      <c r="M19" s="156"/>
      <c r="N19" s="156"/>
      <c r="O19" s="156"/>
      <c r="P19" s="156"/>
    </row>
    <row r="20" spans="1:16" ht="95.25" customHeight="1" x14ac:dyDescent="0.25">
      <c r="A20" s="7" t="s">
        <v>40</v>
      </c>
      <c r="B20" s="157" t="s">
        <v>131</v>
      </c>
      <c r="C20" s="158"/>
      <c r="D20" s="158"/>
      <c r="E20" s="158"/>
      <c r="F20" s="158"/>
      <c r="G20" s="158" t="s">
        <v>160</v>
      </c>
      <c r="H20" s="158"/>
      <c r="I20" s="158"/>
      <c r="J20" s="158"/>
      <c r="K20" s="158" t="s">
        <v>161</v>
      </c>
      <c r="L20" s="158"/>
      <c r="M20" s="158"/>
      <c r="N20" s="158"/>
      <c r="O20" s="159">
        <f>ROUND((5610 + 240 * 22) * 2 * 7.1 * 0.34 * (1 + 0.15 + 0.15), 2)</f>
        <v>68350</v>
      </c>
      <c r="P20" s="158"/>
    </row>
    <row r="21" spans="1:16" ht="15" customHeight="1" x14ac:dyDescent="0.25">
      <c r="A21" s="8"/>
      <c r="B21" s="156" t="s">
        <v>115</v>
      </c>
      <c r="C21" s="156"/>
      <c r="D21" s="156"/>
      <c r="E21" s="156"/>
      <c r="F21" s="156"/>
      <c r="G21" s="156" t="s">
        <v>4</v>
      </c>
      <c r="H21" s="156"/>
      <c r="I21" s="156"/>
      <c r="J21" s="156"/>
      <c r="K21" s="156" t="s">
        <v>4</v>
      </c>
      <c r="L21" s="156"/>
      <c r="M21" s="156"/>
      <c r="N21" s="156"/>
      <c r="O21" s="156"/>
      <c r="P21" s="156"/>
    </row>
    <row r="22" spans="1:16" ht="15" customHeight="1" x14ac:dyDescent="0.25">
      <c r="A22" s="9"/>
      <c r="B22" s="155" t="s">
        <v>116</v>
      </c>
      <c r="C22" s="155"/>
      <c r="D22" s="155"/>
      <c r="E22" s="155"/>
      <c r="F22" s="155"/>
      <c r="G22" s="155" t="s">
        <v>134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40.9" customHeight="1" x14ac:dyDescent="0.25">
      <c r="A23" s="9"/>
      <c r="B23" s="155" t="s">
        <v>135</v>
      </c>
      <c r="C23" s="155"/>
      <c r="D23" s="155"/>
      <c r="E23" s="155"/>
      <c r="F23" s="155"/>
      <c r="G23" s="155" t="s">
        <v>136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68.099999999999994" customHeight="1" x14ac:dyDescent="0.25">
      <c r="A24" s="9"/>
      <c r="B24" s="155" t="s">
        <v>137</v>
      </c>
      <c r="C24" s="155"/>
      <c r="D24" s="155"/>
      <c r="E24" s="155"/>
      <c r="F24" s="155"/>
      <c r="G24" s="155" t="s">
        <v>138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49.65" customHeight="1" x14ac:dyDescent="0.25">
      <c r="A25" s="9"/>
      <c r="B25" s="155" t="s">
        <v>162</v>
      </c>
      <c r="C25" s="155"/>
      <c r="D25" s="155"/>
      <c r="E25" s="155"/>
      <c r="F25" s="155"/>
      <c r="G25" s="155" t="s">
        <v>163</v>
      </c>
      <c r="H25" s="155"/>
      <c r="I25" s="155"/>
      <c r="J25" s="155"/>
      <c r="K25" s="155" t="s">
        <v>4</v>
      </c>
      <c r="L25" s="155"/>
      <c r="M25" s="155"/>
      <c r="N25" s="155"/>
      <c r="O25" s="155"/>
      <c r="P25" s="155"/>
    </row>
    <row r="26" spans="1:16" ht="15" customHeight="1" x14ac:dyDescent="0.25">
      <c r="A26" s="8"/>
      <c r="B26" s="156" t="s">
        <v>124</v>
      </c>
      <c r="C26" s="156"/>
      <c r="D26" s="156"/>
      <c r="E26" s="156"/>
      <c r="F26" s="156"/>
      <c r="G26" s="156" t="s">
        <v>4</v>
      </c>
      <c r="H26" s="156"/>
      <c r="I26" s="156"/>
      <c r="J26" s="156"/>
      <c r="K26" s="156" t="s">
        <v>139</v>
      </c>
      <c r="L26" s="156"/>
      <c r="M26" s="156"/>
      <c r="N26" s="156"/>
      <c r="O26" s="156"/>
      <c r="P26" s="156"/>
    </row>
    <row r="27" spans="1:16" ht="15" customHeight="1" x14ac:dyDescent="0.25">
      <c r="A27" s="3" t="s">
        <v>79</v>
      </c>
      <c r="B27" s="142" t="s">
        <v>143</v>
      </c>
      <c r="C27" s="142"/>
      <c r="D27" s="142"/>
      <c r="E27" s="142"/>
      <c r="F27" s="142"/>
      <c r="G27" s="142"/>
      <c r="H27" s="142"/>
      <c r="I27" s="142"/>
      <c r="J27" s="142"/>
      <c r="K27" s="142" t="s">
        <v>4</v>
      </c>
      <c r="L27" s="142"/>
      <c r="M27" s="142"/>
      <c r="N27" s="142"/>
      <c r="O27" s="153">
        <f>ROUND(SUM($O$14:$O$20),2)</f>
        <v>673317.54</v>
      </c>
      <c r="P27" s="142"/>
    </row>
    <row r="28" spans="1:16" ht="108.75" customHeight="1" x14ac:dyDescent="0.25">
      <c r="A28" s="3" t="s">
        <v>94</v>
      </c>
      <c r="B28" s="143" t="s">
        <v>144</v>
      </c>
      <c r="C28" s="143"/>
      <c r="D28" s="143"/>
      <c r="E28" s="143"/>
      <c r="F28" s="143"/>
      <c r="G28" s="143" t="s">
        <v>145</v>
      </c>
      <c r="H28" s="143"/>
      <c r="I28" s="143"/>
      <c r="J28" s="143"/>
      <c r="K28" s="143" t="s">
        <v>155</v>
      </c>
      <c r="L28" s="143"/>
      <c r="M28" s="143"/>
      <c r="N28" s="143"/>
      <c r="O28" s="154">
        <f>ROUND(($O$27) * 1  * 0.8,2)</f>
        <v>538654.03</v>
      </c>
      <c r="P28" s="143"/>
    </row>
    <row r="29" spans="1:16" ht="15" customHeight="1" x14ac:dyDescent="0.25">
      <c r="A29" s="3" t="s">
        <v>96</v>
      </c>
      <c r="B29" s="142" t="s">
        <v>148</v>
      </c>
      <c r="C29" s="142"/>
      <c r="D29" s="142"/>
      <c r="E29" s="142"/>
      <c r="F29" s="142"/>
      <c r="G29" s="142"/>
      <c r="H29" s="142"/>
      <c r="I29" s="142"/>
      <c r="J29" s="142"/>
      <c r="K29" s="142" t="s">
        <v>4</v>
      </c>
      <c r="L29" s="142"/>
      <c r="M29" s="142"/>
      <c r="N29" s="142"/>
      <c r="O29" s="153">
        <f>ROUND(($O$28),2)</f>
        <v>538654.03</v>
      </c>
      <c r="P29" s="142"/>
    </row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8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9:F29"/>
    <mergeCell ref="G29:J29"/>
    <mergeCell ref="K29:N29"/>
    <mergeCell ref="O29:P29"/>
    <mergeCell ref="B27:F27"/>
    <mergeCell ref="G27:J27"/>
    <mergeCell ref="K27:N27"/>
    <mergeCell ref="O27:P27"/>
    <mergeCell ref="B28:F28"/>
    <mergeCell ref="G28:J28"/>
    <mergeCell ref="K28:N28"/>
    <mergeCell ref="O28:P28"/>
  </mergeCells>
  <pageMargins left="0.4" right="0.4" top="0.75" bottom="0.75" header="0.3" footer="0.3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180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34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08.75" customHeight="1" x14ac:dyDescent="0.25">
      <c r="A14" s="7" t="s">
        <v>16</v>
      </c>
      <c r="B14" s="157" t="s">
        <v>112</v>
      </c>
      <c r="C14" s="158"/>
      <c r="D14" s="158"/>
      <c r="E14" s="158"/>
      <c r="F14" s="158"/>
      <c r="G14" s="158" t="s">
        <v>113</v>
      </c>
      <c r="H14" s="158"/>
      <c r="I14" s="158"/>
      <c r="J14" s="158"/>
      <c r="K14" s="158" t="s">
        <v>114</v>
      </c>
      <c r="L14" s="158"/>
      <c r="M14" s="158"/>
      <c r="N14" s="158"/>
      <c r="O14" s="159">
        <f>ROUND(1440800 * 2 * 1.38 * 0.4 * 0.47 * 1.1155, 2)</f>
        <v>833950.37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68.099999999999994" customHeight="1" x14ac:dyDescent="0.25">
      <c r="A18" s="9"/>
      <c r="B18" s="155" t="s">
        <v>120</v>
      </c>
      <c r="C18" s="155"/>
      <c r="D18" s="155"/>
      <c r="E18" s="155"/>
      <c r="F18" s="155"/>
      <c r="G18" s="155" t="s">
        <v>121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149.65" customHeight="1" x14ac:dyDescent="0.25">
      <c r="A19" s="9"/>
      <c r="B19" s="155" t="s">
        <v>122</v>
      </c>
      <c r="C19" s="155"/>
      <c r="D19" s="155"/>
      <c r="E19" s="155"/>
      <c r="F19" s="155"/>
      <c r="G19" s="155" t="s">
        <v>123</v>
      </c>
      <c r="H19" s="155"/>
      <c r="I19" s="155"/>
      <c r="J19" s="155"/>
      <c r="K19" s="155" t="s">
        <v>4</v>
      </c>
      <c r="L19" s="155"/>
      <c r="M19" s="155"/>
      <c r="N19" s="155"/>
      <c r="O19" s="155"/>
      <c r="P19" s="155"/>
    </row>
    <row r="20" spans="1:16" ht="68.099999999999994" customHeight="1" x14ac:dyDescent="0.25">
      <c r="A20" s="8"/>
      <c r="B20" s="156" t="s">
        <v>124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125</v>
      </c>
      <c r="L20" s="156"/>
      <c r="M20" s="156"/>
      <c r="N20" s="156"/>
      <c r="O20" s="156"/>
      <c r="P20" s="156"/>
    </row>
    <row r="21" spans="1:16" ht="149.65" customHeight="1" x14ac:dyDescent="0.25">
      <c r="A21" s="7" t="s">
        <v>40</v>
      </c>
      <c r="B21" s="157" t="s">
        <v>181</v>
      </c>
      <c r="C21" s="158"/>
      <c r="D21" s="158"/>
      <c r="E21" s="158"/>
      <c r="F21" s="158"/>
      <c r="G21" s="158" t="s">
        <v>182</v>
      </c>
      <c r="H21" s="158"/>
      <c r="I21" s="158"/>
      <c r="J21" s="158"/>
      <c r="K21" s="158" t="s">
        <v>183</v>
      </c>
      <c r="L21" s="158"/>
      <c r="M21" s="158"/>
      <c r="N21" s="158"/>
      <c r="O21" s="159">
        <f>ROUND((544000 + 523714 * 1.85) * 1 * 1.38 * 0.4 * 1.1245, 2)</f>
        <v>939075.28</v>
      </c>
      <c r="P21" s="158"/>
    </row>
    <row r="22" spans="1:16" ht="15" customHeight="1" x14ac:dyDescent="0.25">
      <c r="A22" s="8"/>
      <c r="B22" s="156" t="s">
        <v>115</v>
      </c>
      <c r="C22" s="156"/>
      <c r="D22" s="156"/>
      <c r="E22" s="156"/>
      <c r="F22" s="156"/>
      <c r="G22" s="156" t="s">
        <v>4</v>
      </c>
      <c r="H22" s="156"/>
      <c r="I22" s="156"/>
      <c r="J22" s="156"/>
      <c r="K22" s="156" t="s">
        <v>4</v>
      </c>
      <c r="L22" s="156"/>
      <c r="M22" s="156"/>
      <c r="N22" s="156"/>
      <c r="O22" s="156"/>
      <c r="P22" s="156"/>
    </row>
    <row r="23" spans="1:16" ht="15" customHeight="1" x14ac:dyDescent="0.25">
      <c r="A23" s="9"/>
      <c r="B23" s="155" t="s">
        <v>116</v>
      </c>
      <c r="C23" s="155"/>
      <c r="D23" s="155"/>
      <c r="E23" s="155"/>
      <c r="F23" s="155"/>
      <c r="G23" s="155" t="s">
        <v>117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40.9" customHeight="1" x14ac:dyDescent="0.25">
      <c r="A24" s="9"/>
      <c r="B24" s="155" t="s">
        <v>118</v>
      </c>
      <c r="C24" s="155"/>
      <c r="D24" s="155"/>
      <c r="E24" s="155"/>
      <c r="F24" s="155"/>
      <c r="G24" s="155" t="s">
        <v>119</v>
      </c>
      <c r="H24" s="155"/>
      <c r="I24" s="155"/>
      <c r="J24" s="155"/>
      <c r="K24" s="155" t="s">
        <v>4</v>
      </c>
      <c r="L24" s="155"/>
      <c r="M24" s="155"/>
      <c r="N24" s="155"/>
      <c r="O24" s="155"/>
      <c r="P24" s="155"/>
    </row>
    <row r="25" spans="1:16" ht="149.65" customHeight="1" x14ac:dyDescent="0.25">
      <c r="A25" s="9"/>
      <c r="B25" s="155" t="s">
        <v>122</v>
      </c>
      <c r="C25" s="155"/>
      <c r="D25" s="155"/>
      <c r="E25" s="155"/>
      <c r="F25" s="155"/>
      <c r="G25" s="155" t="s">
        <v>129</v>
      </c>
      <c r="H25" s="155"/>
      <c r="I25" s="155"/>
      <c r="J25" s="155"/>
      <c r="K25" s="155" t="s">
        <v>4</v>
      </c>
      <c r="L25" s="155"/>
      <c r="M25" s="155"/>
      <c r="N25" s="155"/>
      <c r="O25" s="155"/>
      <c r="P25" s="155"/>
    </row>
    <row r="26" spans="1:16" ht="68.099999999999994" customHeight="1" x14ac:dyDescent="0.25">
      <c r="A26" s="8"/>
      <c r="B26" s="156" t="s">
        <v>124</v>
      </c>
      <c r="C26" s="156"/>
      <c r="D26" s="156"/>
      <c r="E26" s="156"/>
      <c r="F26" s="156"/>
      <c r="G26" s="156" t="s">
        <v>4</v>
      </c>
      <c r="H26" s="156"/>
      <c r="I26" s="156"/>
      <c r="J26" s="156"/>
      <c r="K26" s="156" t="s">
        <v>130</v>
      </c>
      <c r="L26" s="156"/>
      <c r="M26" s="156"/>
      <c r="N26" s="156"/>
      <c r="O26" s="156"/>
      <c r="P26" s="156"/>
    </row>
    <row r="27" spans="1:16" ht="95.25" customHeight="1" x14ac:dyDescent="0.25">
      <c r="A27" s="7" t="s">
        <v>79</v>
      </c>
      <c r="B27" s="157" t="s">
        <v>131</v>
      </c>
      <c r="C27" s="158"/>
      <c r="D27" s="158"/>
      <c r="E27" s="158"/>
      <c r="F27" s="158"/>
      <c r="G27" s="158" t="s">
        <v>132</v>
      </c>
      <c r="H27" s="158"/>
      <c r="I27" s="158"/>
      <c r="J27" s="158"/>
      <c r="K27" s="158" t="s">
        <v>133</v>
      </c>
      <c r="L27" s="158"/>
      <c r="M27" s="158"/>
      <c r="N27" s="158"/>
      <c r="O27" s="159">
        <f>ROUND((5610 + 240 * 18) * 2 * 7.1 * 0.34 * (1 + 0.15), 2)</f>
        <v>55133.35</v>
      </c>
      <c r="P27" s="158"/>
    </row>
    <row r="28" spans="1:16" ht="15" customHeight="1" x14ac:dyDescent="0.25">
      <c r="A28" s="8"/>
      <c r="B28" s="156" t="s">
        <v>115</v>
      </c>
      <c r="C28" s="156"/>
      <c r="D28" s="156"/>
      <c r="E28" s="156"/>
      <c r="F28" s="156"/>
      <c r="G28" s="156" t="s">
        <v>4</v>
      </c>
      <c r="H28" s="156"/>
      <c r="I28" s="156"/>
      <c r="J28" s="156"/>
      <c r="K28" s="156" t="s">
        <v>4</v>
      </c>
      <c r="L28" s="156"/>
      <c r="M28" s="156"/>
      <c r="N28" s="156"/>
      <c r="O28" s="156"/>
      <c r="P28" s="156"/>
    </row>
    <row r="29" spans="1:16" ht="15" customHeight="1" x14ac:dyDescent="0.25">
      <c r="A29" s="9"/>
      <c r="B29" s="155" t="s">
        <v>116</v>
      </c>
      <c r="C29" s="155"/>
      <c r="D29" s="155"/>
      <c r="E29" s="155"/>
      <c r="F29" s="155"/>
      <c r="G29" s="155" t="s">
        <v>134</v>
      </c>
      <c r="H29" s="155"/>
      <c r="I29" s="155"/>
      <c r="J29" s="155"/>
      <c r="K29" s="155" t="s">
        <v>4</v>
      </c>
      <c r="L29" s="155"/>
      <c r="M29" s="155"/>
      <c r="N29" s="155"/>
      <c r="O29" s="155"/>
      <c r="P29" s="155"/>
    </row>
    <row r="30" spans="1:16" ht="40.9" customHeight="1" x14ac:dyDescent="0.25">
      <c r="A30" s="9"/>
      <c r="B30" s="155" t="s">
        <v>135</v>
      </c>
      <c r="C30" s="155"/>
      <c r="D30" s="155"/>
      <c r="E30" s="155"/>
      <c r="F30" s="155"/>
      <c r="G30" s="155" t="s">
        <v>136</v>
      </c>
      <c r="H30" s="155"/>
      <c r="I30" s="155"/>
      <c r="J30" s="155"/>
      <c r="K30" s="155" t="s">
        <v>4</v>
      </c>
      <c r="L30" s="155"/>
      <c r="M30" s="155"/>
      <c r="N30" s="155"/>
      <c r="O30" s="155"/>
      <c r="P30" s="155"/>
    </row>
    <row r="31" spans="1:16" ht="68.099999999999994" customHeight="1" x14ac:dyDescent="0.25">
      <c r="A31" s="9"/>
      <c r="B31" s="155" t="s">
        <v>137</v>
      </c>
      <c r="C31" s="155"/>
      <c r="D31" s="155"/>
      <c r="E31" s="155"/>
      <c r="F31" s="155"/>
      <c r="G31" s="155" t="s">
        <v>138</v>
      </c>
      <c r="H31" s="155"/>
      <c r="I31" s="155"/>
      <c r="J31" s="155"/>
      <c r="K31" s="155" t="s">
        <v>4</v>
      </c>
      <c r="L31" s="155"/>
      <c r="M31" s="155"/>
      <c r="N31" s="155"/>
      <c r="O31" s="155"/>
      <c r="P31" s="155"/>
    </row>
    <row r="32" spans="1:16" ht="15" customHeight="1" x14ac:dyDescent="0.25">
      <c r="A32" s="8"/>
      <c r="B32" s="156" t="s">
        <v>124</v>
      </c>
      <c r="C32" s="156"/>
      <c r="D32" s="156"/>
      <c r="E32" s="156"/>
      <c r="F32" s="156"/>
      <c r="G32" s="156" t="s">
        <v>4</v>
      </c>
      <c r="H32" s="156"/>
      <c r="I32" s="156"/>
      <c r="J32" s="156"/>
      <c r="K32" s="156" t="s">
        <v>139</v>
      </c>
      <c r="L32" s="156"/>
      <c r="M32" s="156"/>
      <c r="N32" s="156"/>
      <c r="O32" s="156"/>
      <c r="P32" s="156"/>
    </row>
    <row r="33" spans="1:16" ht="95.25" customHeight="1" x14ac:dyDescent="0.25">
      <c r="A33" s="7" t="s">
        <v>94</v>
      </c>
      <c r="B33" s="157" t="s">
        <v>140</v>
      </c>
      <c r="C33" s="158"/>
      <c r="D33" s="158"/>
      <c r="E33" s="158"/>
      <c r="F33" s="158"/>
      <c r="G33" s="158" t="s">
        <v>141</v>
      </c>
      <c r="H33" s="158"/>
      <c r="I33" s="158"/>
      <c r="J33" s="158"/>
      <c r="K33" s="158" t="s">
        <v>142</v>
      </c>
      <c r="L33" s="158"/>
      <c r="M33" s="158"/>
      <c r="N33" s="158"/>
      <c r="O33" s="159">
        <f>ROUND((7590 + 330 * 12) * 1 * 7.1 * 0.34 * (1 + 0.15), 2)</f>
        <v>32063.96</v>
      </c>
      <c r="P33" s="158"/>
    </row>
    <row r="34" spans="1:16" ht="15" customHeight="1" x14ac:dyDescent="0.25">
      <c r="A34" s="8"/>
      <c r="B34" s="156" t="s">
        <v>115</v>
      </c>
      <c r="C34" s="156"/>
      <c r="D34" s="156"/>
      <c r="E34" s="156"/>
      <c r="F34" s="156"/>
      <c r="G34" s="156" t="s">
        <v>4</v>
      </c>
      <c r="H34" s="156"/>
      <c r="I34" s="156"/>
      <c r="J34" s="156"/>
      <c r="K34" s="156" t="s">
        <v>4</v>
      </c>
      <c r="L34" s="156"/>
      <c r="M34" s="156"/>
      <c r="N34" s="156"/>
      <c r="O34" s="156"/>
      <c r="P34" s="156"/>
    </row>
    <row r="35" spans="1:16" ht="15" customHeight="1" x14ac:dyDescent="0.25">
      <c r="A35" s="9"/>
      <c r="B35" s="155" t="s">
        <v>116</v>
      </c>
      <c r="C35" s="155"/>
      <c r="D35" s="155"/>
      <c r="E35" s="155"/>
      <c r="F35" s="155"/>
      <c r="G35" s="155" t="s">
        <v>134</v>
      </c>
      <c r="H35" s="155"/>
      <c r="I35" s="155"/>
      <c r="J35" s="155"/>
      <c r="K35" s="155" t="s">
        <v>4</v>
      </c>
      <c r="L35" s="155"/>
      <c r="M35" s="155"/>
      <c r="N35" s="155"/>
      <c r="O35" s="155"/>
      <c r="P35" s="155"/>
    </row>
    <row r="36" spans="1:16" ht="40.9" customHeight="1" x14ac:dyDescent="0.25">
      <c r="A36" s="9"/>
      <c r="B36" s="155" t="s">
        <v>135</v>
      </c>
      <c r="C36" s="155"/>
      <c r="D36" s="155"/>
      <c r="E36" s="155"/>
      <c r="F36" s="155"/>
      <c r="G36" s="155" t="s">
        <v>136</v>
      </c>
      <c r="H36" s="155"/>
      <c r="I36" s="155"/>
      <c r="J36" s="155"/>
      <c r="K36" s="155" t="s">
        <v>4</v>
      </c>
      <c r="L36" s="155"/>
      <c r="M36" s="155"/>
      <c r="N36" s="155"/>
      <c r="O36" s="155"/>
      <c r="P36" s="155"/>
    </row>
    <row r="37" spans="1:16" ht="68.099999999999994" customHeight="1" x14ac:dyDescent="0.25">
      <c r="A37" s="9"/>
      <c r="B37" s="155" t="s">
        <v>137</v>
      </c>
      <c r="C37" s="155"/>
      <c r="D37" s="155"/>
      <c r="E37" s="155"/>
      <c r="F37" s="155"/>
      <c r="G37" s="155" t="s">
        <v>138</v>
      </c>
      <c r="H37" s="155"/>
      <c r="I37" s="155"/>
      <c r="J37" s="155"/>
      <c r="K37" s="155" t="s">
        <v>4</v>
      </c>
      <c r="L37" s="155"/>
      <c r="M37" s="155"/>
      <c r="N37" s="155"/>
      <c r="O37" s="155"/>
      <c r="P37" s="155"/>
    </row>
    <row r="38" spans="1:16" ht="15" customHeight="1" x14ac:dyDescent="0.25">
      <c r="A38" s="8"/>
      <c r="B38" s="156" t="s">
        <v>124</v>
      </c>
      <c r="C38" s="156"/>
      <c r="D38" s="156"/>
      <c r="E38" s="156"/>
      <c r="F38" s="156"/>
      <c r="G38" s="156" t="s">
        <v>4</v>
      </c>
      <c r="H38" s="156"/>
      <c r="I38" s="156"/>
      <c r="J38" s="156"/>
      <c r="K38" s="156" t="s">
        <v>139</v>
      </c>
      <c r="L38" s="156"/>
      <c r="M38" s="156"/>
      <c r="N38" s="156"/>
      <c r="O38" s="156"/>
      <c r="P38" s="156"/>
    </row>
    <row r="39" spans="1:16" ht="15" customHeight="1" x14ac:dyDescent="0.25">
      <c r="A39" s="3" t="s">
        <v>96</v>
      </c>
      <c r="B39" s="142" t="s">
        <v>143</v>
      </c>
      <c r="C39" s="142"/>
      <c r="D39" s="142"/>
      <c r="E39" s="142"/>
      <c r="F39" s="142"/>
      <c r="G39" s="142"/>
      <c r="H39" s="142"/>
      <c r="I39" s="142"/>
      <c r="J39" s="142"/>
      <c r="K39" s="142" t="s">
        <v>4</v>
      </c>
      <c r="L39" s="142"/>
      <c r="M39" s="142"/>
      <c r="N39" s="142"/>
      <c r="O39" s="153">
        <f>ROUND(SUM($O$14:$O$33),2)</f>
        <v>1860222.96</v>
      </c>
      <c r="P39" s="142"/>
    </row>
    <row r="40" spans="1:16" ht="108.75" customHeight="1" x14ac:dyDescent="0.25">
      <c r="A40" s="3" t="s">
        <v>99</v>
      </c>
      <c r="B40" s="143" t="s">
        <v>144</v>
      </c>
      <c r="C40" s="143"/>
      <c r="D40" s="143"/>
      <c r="E40" s="143"/>
      <c r="F40" s="143"/>
      <c r="G40" s="143" t="s">
        <v>145</v>
      </c>
      <c r="H40" s="143"/>
      <c r="I40" s="143"/>
      <c r="J40" s="143"/>
      <c r="K40" s="143" t="s">
        <v>146</v>
      </c>
      <c r="L40" s="143"/>
      <c r="M40" s="143"/>
      <c r="N40" s="143"/>
      <c r="O40" s="154">
        <f>ROUND(($O$39) * 1  * 0.8,2)</f>
        <v>1488178.37</v>
      </c>
      <c r="P40" s="143"/>
    </row>
    <row r="41" spans="1:16" ht="15" customHeight="1" x14ac:dyDescent="0.25">
      <c r="A41" s="3" t="s">
        <v>147</v>
      </c>
      <c r="B41" s="142" t="s">
        <v>148</v>
      </c>
      <c r="C41" s="142"/>
      <c r="D41" s="142"/>
      <c r="E41" s="142"/>
      <c r="F41" s="142"/>
      <c r="G41" s="142"/>
      <c r="H41" s="142"/>
      <c r="I41" s="142"/>
      <c r="J41" s="142"/>
      <c r="K41" s="142" t="s">
        <v>4</v>
      </c>
      <c r="L41" s="142"/>
      <c r="M41" s="142"/>
      <c r="N41" s="142"/>
      <c r="O41" s="153">
        <f>ROUND(($O$40),2)</f>
        <v>1488178.37</v>
      </c>
      <c r="P41" s="142"/>
    </row>
    <row r="42" spans="1:16" ht="15" customHeight="1" x14ac:dyDescent="0.25"/>
    <row r="43" spans="1:16" ht="15" customHeight="1" x14ac:dyDescent="0.25"/>
    <row r="44" spans="1:16" ht="15" customHeight="1" x14ac:dyDescent="0.25"/>
    <row r="45" spans="1:16" ht="15" customHeight="1" x14ac:dyDescent="0.25"/>
    <row r="46" spans="1:16" ht="15" customHeight="1" x14ac:dyDescent="0.25"/>
    <row r="47" spans="1:16" ht="15" customHeight="1" x14ac:dyDescent="0.25"/>
    <row r="48" spans="1:16" ht="15" customHeight="1" x14ac:dyDescent="0.25"/>
    <row r="49" ht="15" customHeight="1" x14ac:dyDescent="0.25"/>
    <row r="50" ht="15" customHeight="1" x14ac:dyDescent="0.25"/>
  </sheetData>
  <mergeCells count="130">
    <mergeCell ref="A1:D1"/>
    <mergeCell ref="E1:P1"/>
    <mergeCell ref="A3:P3"/>
    <mergeCell ref="A4:P4"/>
    <mergeCell ref="A6:E6"/>
    <mergeCell ref="F6:P6"/>
    <mergeCell ref="A8:E8"/>
    <mergeCell ref="F8:P8"/>
    <mergeCell ref="A10:E10"/>
    <mergeCell ref="F10:P10"/>
    <mergeCell ref="B12:F12"/>
    <mergeCell ref="B13:F13"/>
    <mergeCell ref="G12:J12"/>
    <mergeCell ref="G13:J13"/>
    <mergeCell ref="K12:N12"/>
    <mergeCell ref="K13:N13"/>
    <mergeCell ref="O12:P12"/>
    <mergeCell ref="O13:P13"/>
    <mergeCell ref="B14:F14"/>
    <mergeCell ref="G14:J14"/>
    <mergeCell ref="K14:N14"/>
    <mergeCell ref="O14:P14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B30:F30"/>
    <mergeCell ref="G30:J30"/>
    <mergeCell ref="K30:N30"/>
    <mergeCell ref="O30:P30"/>
    <mergeCell ref="B31:F31"/>
    <mergeCell ref="G31:J31"/>
    <mergeCell ref="K31:N31"/>
    <mergeCell ref="O31:P31"/>
    <mergeCell ref="B32:F32"/>
    <mergeCell ref="G32:J32"/>
    <mergeCell ref="K32:N32"/>
    <mergeCell ref="O32:P32"/>
    <mergeCell ref="B33:F33"/>
    <mergeCell ref="G33:J33"/>
    <mergeCell ref="K33:N33"/>
    <mergeCell ref="O33:P33"/>
    <mergeCell ref="B34:F34"/>
    <mergeCell ref="G34:J34"/>
    <mergeCell ref="K34:N34"/>
    <mergeCell ref="O34:P34"/>
    <mergeCell ref="B35:F35"/>
    <mergeCell ref="G35:J35"/>
    <mergeCell ref="K35:N35"/>
    <mergeCell ref="O35:P35"/>
    <mergeCell ref="B36:F36"/>
    <mergeCell ref="G36:J36"/>
    <mergeCell ref="K36:N36"/>
    <mergeCell ref="O36:P36"/>
    <mergeCell ref="B37:F37"/>
    <mergeCell ref="G37:J37"/>
    <mergeCell ref="K37:N37"/>
    <mergeCell ref="O37:P37"/>
    <mergeCell ref="B38:F38"/>
    <mergeCell ref="G38:J38"/>
    <mergeCell ref="K38:N38"/>
    <mergeCell ref="O38:P38"/>
    <mergeCell ref="B39:F39"/>
    <mergeCell ref="G39:J39"/>
    <mergeCell ref="K39:N39"/>
    <mergeCell ref="O39:P39"/>
    <mergeCell ref="B40:F40"/>
    <mergeCell ref="G40:J40"/>
    <mergeCell ref="K40:N40"/>
    <mergeCell ref="O40:P40"/>
    <mergeCell ref="B41:F41"/>
    <mergeCell ref="G41:J41"/>
    <mergeCell ref="K41:N41"/>
    <mergeCell ref="O41:P41"/>
  </mergeCells>
  <pageMargins left="0.4" right="0.4" top="0.75" bottom="0.75" header="0.3" footer="0.3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184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43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181</v>
      </c>
      <c r="C14" s="158"/>
      <c r="D14" s="158"/>
      <c r="E14" s="158"/>
      <c r="F14" s="158"/>
      <c r="G14" s="158" t="s">
        <v>185</v>
      </c>
      <c r="H14" s="158"/>
      <c r="I14" s="158"/>
      <c r="J14" s="158"/>
      <c r="K14" s="158" t="s">
        <v>186</v>
      </c>
      <c r="L14" s="158"/>
      <c r="M14" s="158"/>
      <c r="N14" s="158"/>
      <c r="O14" s="159">
        <f>ROUND((544000 + 523714 * 1.694) * 1 * 1.38 * 0.4 * 0.75, 2)</f>
        <v>592505.01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188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189</v>
      </c>
      <c r="H19" s="158"/>
      <c r="I19" s="158"/>
      <c r="J19" s="158"/>
      <c r="K19" s="158" t="s">
        <v>190</v>
      </c>
      <c r="L19" s="158"/>
      <c r="M19" s="158"/>
      <c r="N19" s="158"/>
      <c r="O19" s="159">
        <f>ROUND((5610 + 240 * 12) * 1 * 7.1 * 0.34, 2)</f>
        <v>20494.86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612999.87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490399.9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490399.9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191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45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181</v>
      </c>
      <c r="C14" s="158"/>
      <c r="D14" s="158"/>
      <c r="E14" s="158"/>
      <c r="F14" s="158"/>
      <c r="G14" s="158" t="s">
        <v>192</v>
      </c>
      <c r="H14" s="158"/>
      <c r="I14" s="158"/>
      <c r="J14" s="158"/>
      <c r="K14" s="158" t="s">
        <v>193</v>
      </c>
      <c r="L14" s="158"/>
      <c r="M14" s="158"/>
      <c r="N14" s="158"/>
      <c r="O14" s="159">
        <f>ROUND((544000 + 523714 * 1.81) * 1 * 1.38 * 0.4 * 0.74, 2)</f>
        <v>609420.43999999994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194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650410.16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520328.13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520328.13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197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47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198</v>
      </c>
      <c r="H14" s="158"/>
      <c r="I14" s="158"/>
      <c r="J14" s="158"/>
      <c r="K14" s="158" t="s">
        <v>199</v>
      </c>
      <c r="L14" s="158"/>
      <c r="M14" s="158"/>
      <c r="N14" s="158"/>
      <c r="O14" s="159">
        <f>ROUND((357800 + 616816 * 0.6) * 1 * 1.38 * 0.4 * 0.71, 2)</f>
        <v>285274.49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200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326264.21000000002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261011.37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261011.37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201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49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202</v>
      </c>
      <c r="H14" s="158"/>
      <c r="I14" s="158"/>
      <c r="J14" s="158"/>
      <c r="K14" s="158" t="s">
        <v>203</v>
      </c>
      <c r="L14" s="158"/>
      <c r="M14" s="158"/>
      <c r="N14" s="158"/>
      <c r="O14" s="159">
        <f>ROUND((357800 + 616816 * 0.94) * 1 * 1.38 * 0.4 * 0.73, 2)</f>
        <v>377818.13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204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418807.85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335046.28000000003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335046.28000000003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205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51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206</v>
      </c>
      <c r="C14" s="158"/>
      <c r="D14" s="158"/>
      <c r="E14" s="158"/>
      <c r="F14" s="158"/>
      <c r="G14" s="158" t="s">
        <v>207</v>
      </c>
      <c r="H14" s="158"/>
      <c r="I14" s="158"/>
      <c r="J14" s="158"/>
      <c r="K14" s="158" t="s">
        <v>208</v>
      </c>
      <c r="L14" s="158"/>
      <c r="M14" s="158"/>
      <c r="N14" s="158"/>
      <c r="O14" s="159">
        <f>ROUND(357100 * 1 * 1.38 * 0.4 * 0.96, 2)</f>
        <v>189234.43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209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230224.15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184179.32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184179.32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210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53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150</v>
      </c>
      <c r="C14" s="158"/>
      <c r="D14" s="158"/>
      <c r="E14" s="158"/>
      <c r="F14" s="158"/>
      <c r="G14" s="158" t="s">
        <v>211</v>
      </c>
      <c r="H14" s="158"/>
      <c r="I14" s="158"/>
      <c r="J14" s="158"/>
      <c r="K14" s="158" t="s">
        <v>212</v>
      </c>
      <c r="L14" s="158"/>
      <c r="M14" s="158"/>
      <c r="N14" s="158"/>
      <c r="O14" s="159">
        <f>ROUND((151100 + 1030273 * 0.276) * 1 * 1.38 * 0.4, 2)</f>
        <v>240371.35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95.25" customHeight="1" x14ac:dyDescent="0.25">
      <c r="A18" s="7" t="s">
        <v>40</v>
      </c>
      <c r="B18" s="157" t="s">
        <v>131</v>
      </c>
      <c r="C18" s="158"/>
      <c r="D18" s="158"/>
      <c r="E18" s="158"/>
      <c r="F18" s="158"/>
      <c r="G18" s="158" t="s">
        <v>195</v>
      </c>
      <c r="H18" s="158"/>
      <c r="I18" s="158"/>
      <c r="J18" s="158"/>
      <c r="K18" s="158" t="s">
        <v>196</v>
      </c>
      <c r="L18" s="158"/>
      <c r="M18" s="158"/>
      <c r="N18" s="158"/>
      <c r="O18" s="159">
        <f>ROUND((5610 + 240 * 12) * 2 * 7.1 * 0.34, 2)</f>
        <v>40989.72</v>
      </c>
      <c r="P18" s="158"/>
    </row>
    <row r="19" spans="1:16" ht="15" customHeight="1" x14ac:dyDescent="0.25">
      <c r="A19" s="8"/>
      <c r="B19" s="156" t="s">
        <v>115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4</v>
      </c>
      <c r="L19" s="156"/>
      <c r="M19" s="156"/>
      <c r="N19" s="156"/>
      <c r="O19" s="156"/>
      <c r="P19" s="156"/>
    </row>
    <row r="20" spans="1:16" ht="15" customHeight="1" x14ac:dyDescent="0.25">
      <c r="A20" s="9"/>
      <c r="B20" s="155" t="s">
        <v>116</v>
      </c>
      <c r="C20" s="155"/>
      <c r="D20" s="155"/>
      <c r="E20" s="155"/>
      <c r="F20" s="155"/>
      <c r="G20" s="155" t="s">
        <v>134</v>
      </c>
      <c r="H20" s="155"/>
      <c r="I20" s="155"/>
      <c r="J20" s="155"/>
      <c r="K20" s="155" t="s">
        <v>4</v>
      </c>
      <c r="L20" s="155"/>
      <c r="M20" s="155"/>
      <c r="N20" s="155"/>
      <c r="O20" s="155"/>
      <c r="P20" s="155"/>
    </row>
    <row r="21" spans="1:16" ht="40.9" customHeight="1" x14ac:dyDescent="0.25">
      <c r="A21" s="9"/>
      <c r="B21" s="155" t="s">
        <v>135</v>
      </c>
      <c r="C21" s="155"/>
      <c r="D21" s="155"/>
      <c r="E21" s="155"/>
      <c r="F21" s="155"/>
      <c r="G21" s="155" t="s">
        <v>136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15" customHeight="1" x14ac:dyDescent="0.25">
      <c r="A22" s="3" t="s">
        <v>79</v>
      </c>
      <c r="B22" s="142" t="s">
        <v>143</v>
      </c>
      <c r="C22" s="142"/>
      <c r="D22" s="142"/>
      <c r="E22" s="142"/>
      <c r="F22" s="142"/>
      <c r="G22" s="142"/>
      <c r="H22" s="142"/>
      <c r="I22" s="142"/>
      <c r="J22" s="142"/>
      <c r="K22" s="142" t="s">
        <v>4</v>
      </c>
      <c r="L22" s="142"/>
      <c r="M22" s="142"/>
      <c r="N22" s="142"/>
      <c r="O22" s="153">
        <f>ROUND(SUM($O$14:$O$18),2)</f>
        <v>281361.07</v>
      </c>
      <c r="P22" s="142"/>
    </row>
    <row r="23" spans="1:16" ht="108.75" customHeight="1" x14ac:dyDescent="0.25">
      <c r="A23" s="3" t="s">
        <v>94</v>
      </c>
      <c r="B23" s="143" t="s">
        <v>144</v>
      </c>
      <c r="C23" s="143"/>
      <c r="D23" s="143"/>
      <c r="E23" s="143"/>
      <c r="F23" s="143"/>
      <c r="G23" s="143" t="s">
        <v>145</v>
      </c>
      <c r="H23" s="143"/>
      <c r="I23" s="143"/>
      <c r="J23" s="143"/>
      <c r="K23" s="143" t="s">
        <v>155</v>
      </c>
      <c r="L23" s="143"/>
      <c r="M23" s="143"/>
      <c r="N23" s="143"/>
      <c r="O23" s="154">
        <f>ROUND(($O$22) * 1  * 0.8,2)</f>
        <v>225088.86</v>
      </c>
      <c r="P23" s="143"/>
    </row>
    <row r="24" spans="1:16" ht="15" customHeight="1" x14ac:dyDescent="0.25">
      <c r="A24" s="3" t="s">
        <v>96</v>
      </c>
      <c r="B24" s="142" t="s">
        <v>148</v>
      </c>
      <c r="C24" s="142"/>
      <c r="D24" s="142"/>
      <c r="E24" s="142"/>
      <c r="F24" s="142"/>
      <c r="G24" s="142"/>
      <c r="H24" s="142"/>
      <c r="I24" s="142"/>
      <c r="J24" s="142"/>
      <c r="K24" s="142" t="s">
        <v>4</v>
      </c>
      <c r="L24" s="142"/>
      <c r="M24" s="142"/>
      <c r="N24" s="142"/>
      <c r="O24" s="153">
        <f>ROUND(($O$23),2)</f>
        <v>225088.86</v>
      </c>
      <c r="P24" s="142"/>
    </row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213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55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181</v>
      </c>
      <c r="C14" s="158"/>
      <c r="D14" s="158"/>
      <c r="E14" s="158"/>
      <c r="F14" s="158"/>
      <c r="G14" s="158" t="s">
        <v>214</v>
      </c>
      <c r="H14" s="158"/>
      <c r="I14" s="158"/>
      <c r="J14" s="158"/>
      <c r="K14" s="158" t="s">
        <v>215</v>
      </c>
      <c r="L14" s="158"/>
      <c r="M14" s="158"/>
      <c r="N14" s="158"/>
      <c r="O14" s="159">
        <f>ROUND((544000 + 523714 * 1.67) * 1 * 1.38 * 0.4 * 0.75, 2)</f>
        <v>587301.39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188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628291.11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502632.89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502632.89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216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57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181</v>
      </c>
      <c r="C14" s="158"/>
      <c r="D14" s="158"/>
      <c r="E14" s="158"/>
      <c r="F14" s="158"/>
      <c r="G14" s="158" t="s">
        <v>217</v>
      </c>
      <c r="H14" s="158"/>
      <c r="I14" s="158"/>
      <c r="J14" s="158"/>
      <c r="K14" s="158" t="s">
        <v>218</v>
      </c>
      <c r="L14" s="158"/>
      <c r="M14" s="158"/>
      <c r="N14" s="158"/>
      <c r="O14" s="159">
        <f>ROUND((544000 + 523714 * 1.87) * 1 * 1.38 * 0.4 * 0.75, 2)</f>
        <v>630664.9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188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671654.62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537323.69999999995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537323.69999999995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219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59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08.75" customHeight="1" x14ac:dyDescent="0.25">
      <c r="A14" s="7" t="s">
        <v>16</v>
      </c>
      <c r="B14" s="157" t="s">
        <v>112</v>
      </c>
      <c r="C14" s="158"/>
      <c r="D14" s="158"/>
      <c r="E14" s="158"/>
      <c r="F14" s="158"/>
      <c r="G14" s="158" t="s">
        <v>220</v>
      </c>
      <c r="H14" s="158"/>
      <c r="I14" s="158"/>
      <c r="J14" s="158"/>
      <c r="K14" s="158" t="s">
        <v>221</v>
      </c>
      <c r="L14" s="158"/>
      <c r="M14" s="158"/>
      <c r="N14" s="158"/>
      <c r="O14" s="159">
        <f>ROUND(1440800 * 1 * 1.38 * 0.4 * 0.47, 2)</f>
        <v>373801.15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68.099999999999994" customHeight="1" x14ac:dyDescent="0.25">
      <c r="A18" s="9"/>
      <c r="B18" s="155" t="s">
        <v>120</v>
      </c>
      <c r="C18" s="155"/>
      <c r="D18" s="155"/>
      <c r="E18" s="155"/>
      <c r="F18" s="155"/>
      <c r="G18" s="155" t="s">
        <v>121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149.65" customHeight="1" x14ac:dyDescent="0.25">
      <c r="A19" s="7" t="s">
        <v>40</v>
      </c>
      <c r="B19" s="157" t="s">
        <v>126</v>
      </c>
      <c r="C19" s="158"/>
      <c r="D19" s="158"/>
      <c r="E19" s="158"/>
      <c r="F19" s="158"/>
      <c r="G19" s="158" t="s">
        <v>222</v>
      </c>
      <c r="H19" s="158"/>
      <c r="I19" s="158"/>
      <c r="J19" s="158"/>
      <c r="K19" s="158" t="s">
        <v>223</v>
      </c>
      <c r="L19" s="158"/>
      <c r="M19" s="158"/>
      <c r="N19" s="158"/>
      <c r="O19" s="159">
        <f>ROUND((545500 + 522975 * 2.877) * 1 * 1.38 * 0.4 * 0.65, 2)</f>
        <v>735575.55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117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118</v>
      </c>
      <c r="C22" s="155"/>
      <c r="D22" s="155"/>
      <c r="E22" s="155"/>
      <c r="F22" s="155"/>
      <c r="G22" s="155" t="s">
        <v>119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27.2" customHeight="1" x14ac:dyDescent="0.25">
      <c r="A23" s="9"/>
      <c r="B23" s="155" t="s">
        <v>187</v>
      </c>
      <c r="C23" s="155"/>
      <c r="D23" s="155"/>
      <c r="E23" s="155"/>
      <c r="F23" s="155"/>
      <c r="G23" s="155" t="s">
        <v>224</v>
      </c>
      <c r="H23" s="155"/>
      <c r="I23" s="155"/>
      <c r="J23" s="155"/>
      <c r="K23" s="155" t="s">
        <v>4</v>
      </c>
      <c r="L23" s="155"/>
      <c r="M23" s="155"/>
      <c r="N23" s="155"/>
      <c r="O23" s="155"/>
      <c r="P23" s="155"/>
    </row>
    <row r="24" spans="1:16" ht="95.25" customHeight="1" x14ac:dyDescent="0.25">
      <c r="A24" s="7" t="s">
        <v>79</v>
      </c>
      <c r="B24" s="157" t="s">
        <v>131</v>
      </c>
      <c r="C24" s="158"/>
      <c r="D24" s="158"/>
      <c r="E24" s="158"/>
      <c r="F24" s="158"/>
      <c r="G24" s="158" t="s">
        <v>195</v>
      </c>
      <c r="H24" s="158"/>
      <c r="I24" s="158"/>
      <c r="J24" s="158"/>
      <c r="K24" s="158" t="s">
        <v>196</v>
      </c>
      <c r="L24" s="158"/>
      <c r="M24" s="158"/>
      <c r="N24" s="158"/>
      <c r="O24" s="159">
        <f>ROUND((5610 + 240 * 12) * 2 * 7.1 * 0.34, 2)</f>
        <v>40989.72</v>
      </c>
      <c r="P24" s="158"/>
    </row>
    <row r="25" spans="1:16" ht="15" customHeight="1" x14ac:dyDescent="0.25">
      <c r="A25" s="8"/>
      <c r="B25" s="156" t="s">
        <v>115</v>
      </c>
      <c r="C25" s="156"/>
      <c r="D25" s="156"/>
      <c r="E25" s="156"/>
      <c r="F25" s="156"/>
      <c r="G25" s="156" t="s">
        <v>4</v>
      </c>
      <c r="H25" s="156"/>
      <c r="I25" s="156"/>
      <c r="J25" s="156"/>
      <c r="K25" s="156" t="s">
        <v>4</v>
      </c>
      <c r="L25" s="156"/>
      <c r="M25" s="156"/>
      <c r="N25" s="156"/>
      <c r="O25" s="156"/>
      <c r="P25" s="156"/>
    </row>
    <row r="26" spans="1:16" ht="15" customHeight="1" x14ac:dyDescent="0.25">
      <c r="A26" s="9"/>
      <c r="B26" s="155" t="s">
        <v>116</v>
      </c>
      <c r="C26" s="155"/>
      <c r="D26" s="155"/>
      <c r="E26" s="155"/>
      <c r="F26" s="155"/>
      <c r="G26" s="155" t="s">
        <v>134</v>
      </c>
      <c r="H26" s="155"/>
      <c r="I26" s="155"/>
      <c r="J26" s="155"/>
      <c r="K26" s="155" t="s">
        <v>4</v>
      </c>
      <c r="L26" s="155"/>
      <c r="M26" s="155"/>
      <c r="N26" s="155"/>
      <c r="O26" s="155"/>
      <c r="P26" s="155"/>
    </row>
    <row r="27" spans="1:16" ht="40.9" customHeight="1" x14ac:dyDescent="0.25">
      <c r="A27" s="9"/>
      <c r="B27" s="155" t="s">
        <v>135</v>
      </c>
      <c r="C27" s="155"/>
      <c r="D27" s="155"/>
      <c r="E27" s="155"/>
      <c r="F27" s="155"/>
      <c r="G27" s="155" t="s">
        <v>136</v>
      </c>
      <c r="H27" s="155"/>
      <c r="I27" s="155"/>
      <c r="J27" s="155"/>
      <c r="K27" s="155" t="s">
        <v>4</v>
      </c>
      <c r="L27" s="155"/>
      <c r="M27" s="155"/>
      <c r="N27" s="155"/>
      <c r="O27" s="155"/>
      <c r="P27" s="155"/>
    </row>
    <row r="28" spans="1:16" ht="15" customHeight="1" x14ac:dyDescent="0.25">
      <c r="A28" s="3" t="s">
        <v>94</v>
      </c>
      <c r="B28" s="142" t="s">
        <v>143</v>
      </c>
      <c r="C28" s="142"/>
      <c r="D28" s="142"/>
      <c r="E28" s="142"/>
      <c r="F28" s="142"/>
      <c r="G28" s="142"/>
      <c r="H28" s="142"/>
      <c r="I28" s="142"/>
      <c r="J28" s="142"/>
      <c r="K28" s="142" t="s">
        <v>4</v>
      </c>
      <c r="L28" s="142"/>
      <c r="M28" s="142"/>
      <c r="N28" s="142"/>
      <c r="O28" s="153">
        <f>ROUND(SUM($O$14:$O$24),2)</f>
        <v>1150366.42</v>
      </c>
      <c r="P28" s="142"/>
    </row>
    <row r="29" spans="1:16" ht="108.75" customHeight="1" x14ac:dyDescent="0.25">
      <c r="A29" s="3" t="s">
        <v>96</v>
      </c>
      <c r="B29" s="143" t="s">
        <v>144</v>
      </c>
      <c r="C29" s="143"/>
      <c r="D29" s="143"/>
      <c r="E29" s="143"/>
      <c r="F29" s="143"/>
      <c r="G29" s="143" t="s">
        <v>145</v>
      </c>
      <c r="H29" s="143"/>
      <c r="I29" s="143"/>
      <c r="J29" s="143"/>
      <c r="K29" s="143" t="s">
        <v>225</v>
      </c>
      <c r="L29" s="143"/>
      <c r="M29" s="143"/>
      <c r="N29" s="143"/>
      <c r="O29" s="154">
        <f>ROUND(($O$28) * 1  * 0.8,2)</f>
        <v>920293.14</v>
      </c>
      <c r="P29" s="143"/>
    </row>
    <row r="30" spans="1:16" ht="15" customHeight="1" x14ac:dyDescent="0.25">
      <c r="A30" s="3" t="s">
        <v>99</v>
      </c>
      <c r="B30" s="142" t="s">
        <v>148</v>
      </c>
      <c r="C30" s="142"/>
      <c r="D30" s="142"/>
      <c r="E30" s="142"/>
      <c r="F30" s="142"/>
      <c r="G30" s="142"/>
      <c r="H30" s="142"/>
      <c r="I30" s="142"/>
      <c r="J30" s="142"/>
      <c r="K30" s="142" t="s">
        <v>4</v>
      </c>
      <c r="L30" s="142"/>
      <c r="M30" s="142"/>
      <c r="N30" s="142"/>
      <c r="O30" s="153">
        <f>ROUND(($O$29),2)</f>
        <v>920293.14</v>
      </c>
      <c r="P30" s="142"/>
    </row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8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B30:F30"/>
    <mergeCell ref="G30:J30"/>
    <mergeCell ref="K30:N30"/>
    <mergeCell ref="O30:P30"/>
  </mergeCells>
  <pageMargins left="0.4" right="0.4" top="0.75" bottom="0.75" header="0.3" footer="0.3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226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61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181</v>
      </c>
      <c r="C14" s="158"/>
      <c r="D14" s="158"/>
      <c r="E14" s="158"/>
      <c r="F14" s="158"/>
      <c r="G14" s="158" t="s">
        <v>214</v>
      </c>
      <c r="H14" s="158"/>
      <c r="I14" s="158"/>
      <c r="J14" s="158"/>
      <c r="K14" s="158" t="s">
        <v>215</v>
      </c>
      <c r="L14" s="158"/>
      <c r="M14" s="158"/>
      <c r="N14" s="158"/>
      <c r="O14" s="159">
        <f>ROUND((544000 + 523714 * 1.67) * 1 * 1.38 * 0.4 * 0.75, 2)</f>
        <v>587301.39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188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628291.11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502632.89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502632.89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227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63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181</v>
      </c>
      <c r="C14" s="158"/>
      <c r="D14" s="158"/>
      <c r="E14" s="158"/>
      <c r="F14" s="158"/>
      <c r="G14" s="158" t="s">
        <v>228</v>
      </c>
      <c r="H14" s="158"/>
      <c r="I14" s="158"/>
      <c r="J14" s="158"/>
      <c r="K14" s="158" t="s">
        <v>229</v>
      </c>
      <c r="L14" s="158"/>
      <c r="M14" s="158"/>
      <c r="N14" s="158"/>
      <c r="O14" s="159">
        <f>ROUND((544000 + 523714 * 1.32) * 1 * 1.38 * 0.4 * 0.74, 2)</f>
        <v>504596.36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194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545586.07999999996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436468.86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436468.86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230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65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126</v>
      </c>
      <c r="C14" s="158"/>
      <c r="D14" s="158"/>
      <c r="E14" s="158"/>
      <c r="F14" s="158"/>
      <c r="G14" s="158" t="s">
        <v>231</v>
      </c>
      <c r="H14" s="158"/>
      <c r="I14" s="158"/>
      <c r="J14" s="158"/>
      <c r="K14" s="158" t="s">
        <v>232</v>
      </c>
      <c r="L14" s="158"/>
      <c r="M14" s="158"/>
      <c r="N14" s="158"/>
      <c r="O14" s="159">
        <f>ROUND((545500 + 522975 * 2.677) * 1 * 1.38 * 0.4 * 0.75, 2)</f>
        <v>805438.69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188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846428.41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677142.73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677142.73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233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67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150</v>
      </c>
      <c r="C14" s="158"/>
      <c r="D14" s="158"/>
      <c r="E14" s="158"/>
      <c r="F14" s="158"/>
      <c r="G14" s="158" t="s">
        <v>234</v>
      </c>
      <c r="H14" s="158"/>
      <c r="I14" s="158"/>
      <c r="J14" s="158"/>
      <c r="K14" s="158" t="s">
        <v>235</v>
      </c>
      <c r="L14" s="158"/>
      <c r="M14" s="158"/>
      <c r="N14" s="158"/>
      <c r="O14" s="159">
        <f>ROUND((151100 + 1030273 * 0.32) * 1 * 1.38 * 0.4, 2)</f>
        <v>265394.62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95.25" customHeight="1" x14ac:dyDescent="0.25">
      <c r="A18" s="7" t="s">
        <v>40</v>
      </c>
      <c r="B18" s="157" t="s">
        <v>131</v>
      </c>
      <c r="C18" s="158"/>
      <c r="D18" s="158"/>
      <c r="E18" s="158"/>
      <c r="F18" s="158"/>
      <c r="G18" s="158" t="s">
        <v>195</v>
      </c>
      <c r="H18" s="158"/>
      <c r="I18" s="158"/>
      <c r="J18" s="158"/>
      <c r="K18" s="158" t="s">
        <v>196</v>
      </c>
      <c r="L18" s="158"/>
      <c r="M18" s="158"/>
      <c r="N18" s="158"/>
      <c r="O18" s="159">
        <f>ROUND((5610 + 240 * 12) * 2 * 7.1 * 0.34, 2)</f>
        <v>40989.72</v>
      </c>
      <c r="P18" s="158"/>
    </row>
    <row r="19" spans="1:16" ht="15" customHeight="1" x14ac:dyDescent="0.25">
      <c r="A19" s="8"/>
      <c r="B19" s="156" t="s">
        <v>115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4</v>
      </c>
      <c r="L19" s="156"/>
      <c r="M19" s="156"/>
      <c r="N19" s="156"/>
      <c r="O19" s="156"/>
      <c r="P19" s="156"/>
    </row>
    <row r="20" spans="1:16" ht="15" customHeight="1" x14ac:dyDescent="0.25">
      <c r="A20" s="9"/>
      <c r="B20" s="155" t="s">
        <v>116</v>
      </c>
      <c r="C20" s="155"/>
      <c r="D20" s="155"/>
      <c r="E20" s="155"/>
      <c r="F20" s="155"/>
      <c r="G20" s="155" t="s">
        <v>134</v>
      </c>
      <c r="H20" s="155"/>
      <c r="I20" s="155"/>
      <c r="J20" s="155"/>
      <c r="K20" s="155" t="s">
        <v>4</v>
      </c>
      <c r="L20" s="155"/>
      <c r="M20" s="155"/>
      <c r="N20" s="155"/>
      <c r="O20" s="155"/>
      <c r="P20" s="155"/>
    </row>
    <row r="21" spans="1:16" ht="40.9" customHeight="1" x14ac:dyDescent="0.25">
      <c r="A21" s="9"/>
      <c r="B21" s="155" t="s">
        <v>135</v>
      </c>
      <c r="C21" s="155"/>
      <c r="D21" s="155"/>
      <c r="E21" s="155"/>
      <c r="F21" s="155"/>
      <c r="G21" s="155" t="s">
        <v>136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15" customHeight="1" x14ac:dyDescent="0.25">
      <c r="A22" s="3" t="s">
        <v>79</v>
      </c>
      <c r="B22" s="142" t="s">
        <v>143</v>
      </c>
      <c r="C22" s="142"/>
      <c r="D22" s="142"/>
      <c r="E22" s="142"/>
      <c r="F22" s="142"/>
      <c r="G22" s="142"/>
      <c r="H22" s="142"/>
      <c r="I22" s="142"/>
      <c r="J22" s="142"/>
      <c r="K22" s="142" t="s">
        <v>4</v>
      </c>
      <c r="L22" s="142"/>
      <c r="M22" s="142"/>
      <c r="N22" s="142"/>
      <c r="O22" s="153">
        <f>ROUND(SUM($O$14:$O$18),2)</f>
        <v>306384.34000000003</v>
      </c>
      <c r="P22" s="142"/>
    </row>
    <row r="23" spans="1:16" ht="108.75" customHeight="1" x14ac:dyDescent="0.25">
      <c r="A23" s="3" t="s">
        <v>94</v>
      </c>
      <c r="B23" s="143" t="s">
        <v>144</v>
      </c>
      <c r="C23" s="143"/>
      <c r="D23" s="143"/>
      <c r="E23" s="143"/>
      <c r="F23" s="143"/>
      <c r="G23" s="143" t="s">
        <v>145</v>
      </c>
      <c r="H23" s="143"/>
      <c r="I23" s="143"/>
      <c r="J23" s="143"/>
      <c r="K23" s="143" t="s">
        <v>155</v>
      </c>
      <c r="L23" s="143"/>
      <c r="M23" s="143"/>
      <c r="N23" s="143"/>
      <c r="O23" s="154">
        <f>ROUND(($O$22) * 1  * 0.8,2)</f>
        <v>245107.47</v>
      </c>
      <c r="P23" s="143"/>
    </row>
    <row r="24" spans="1:16" ht="15" customHeight="1" x14ac:dyDescent="0.25">
      <c r="A24" s="3" t="s">
        <v>96</v>
      </c>
      <c r="B24" s="142" t="s">
        <v>148</v>
      </c>
      <c r="C24" s="142"/>
      <c r="D24" s="142"/>
      <c r="E24" s="142"/>
      <c r="F24" s="142"/>
      <c r="G24" s="142"/>
      <c r="H24" s="142"/>
      <c r="I24" s="142"/>
      <c r="J24" s="142"/>
      <c r="K24" s="142" t="s">
        <v>4</v>
      </c>
      <c r="L24" s="142"/>
      <c r="M24" s="142"/>
      <c r="N24" s="142"/>
      <c r="O24" s="153">
        <f>ROUND(($O$23),2)</f>
        <v>245107.47</v>
      </c>
      <c r="P24" s="142"/>
    </row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236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69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237</v>
      </c>
      <c r="H14" s="158"/>
      <c r="I14" s="158"/>
      <c r="J14" s="158"/>
      <c r="K14" s="158" t="s">
        <v>238</v>
      </c>
      <c r="L14" s="158"/>
      <c r="M14" s="158"/>
      <c r="N14" s="158"/>
      <c r="O14" s="159">
        <f>ROUND((357800 + 616816 * 0.87) * 1 * 1.38 * 0.4 * 0.75, 2)</f>
        <v>370293.99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188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411283.71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329026.96999999997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329026.96999999997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239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71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150</v>
      </c>
      <c r="C14" s="158"/>
      <c r="D14" s="158"/>
      <c r="E14" s="158"/>
      <c r="F14" s="158"/>
      <c r="G14" s="158" t="s">
        <v>240</v>
      </c>
      <c r="H14" s="158"/>
      <c r="I14" s="158"/>
      <c r="J14" s="158"/>
      <c r="K14" s="158" t="s">
        <v>241</v>
      </c>
      <c r="L14" s="158"/>
      <c r="M14" s="158"/>
      <c r="N14" s="158"/>
      <c r="O14" s="159">
        <f>ROUND((151100 + 1030273 * 0.43) * 1 * 1.38 * 0.4, 2)</f>
        <v>327952.8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95.25" customHeight="1" x14ac:dyDescent="0.25">
      <c r="A18" s="7" t="s">
        <v>40</v>
      </c>
      <c r="B18" s="157" t="s">
        <v>131</v>
      </c>
      <c r="C18" s="158"/>
      <c r="D18" s="158"/>
      <c r="E18" s="158"/>
      <c r="F18" s="158"/>
      <c r="G18" s="158" t="s">
        <v>195</v>
      </c>
      <c r="H18" s="158"/>
      <c r="I18" s="158"/>
      <c r="J18" s="158"/>
      <c r="K18" s="158" t="s">
        <v>196</v>
      </c>
      <c r="L18" s="158"/>
      <c r="M18" s="158"/>
      <c r="N18" s="158"/>
      <c r="O18" s="159">
        <f>ROUND((5610 + 240 * 12) * 2 * 7.1 * 0.34, 2)</f>
        <v>40989.72</v>
      </c>
      <c r="P18" s="158"/>
    </row>
    <row r="19" spans="1:16" ht="15" customHeight="1" x14ac:dyDescent="0.25">
      <c r="A19" s="8"/>
      <c r="B19" s="156" t="s">
        <v>115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4</v>
      </c>
      <c r="L19" s="156"/>
      <c r="M19" s="156"/>
      <c r="N19" s="156"/>
      <c r="O19" s="156"/>
      <c r="P19" s="156"/>
    </row>
    <row r="20" spans="1:16" ht="15" customHeight="1" x14ac:dyDescent="0.25">
      <c r="A20" s="9"/>
      <c r="B20" s="155" t="s">
        <v>116</v>
      </c>
      <c r="C20" s="155"/>
      <c r="D20" s="155"/>
      <c r="E20" s="155"/>
      <c r="F20" s="155"/>
      <c r="G20" s="155" t="s">
        <v>134</v>
      </c>
      <c r="H20" s="155"/>
      <c r="I20" s="155"/>
      <c r="J20" s="155"/>
      <c r="K20" s="155" t="s">
        <v>4</v>
      </c>
      <c r="L20" s="155"/>
      <c r="M20" s="155"/>
      <c r="N20" s="155"/>
      <c r="O20" s="155"/>
      <c r="P20" s="155"/>
    </row>
    <row r="21" spans="1:16" ht="40.9" customHeight="1" x14ac:dyDescent="0.25">
      <c r="A21" s="9"/>
      <c r="B21" s="155" t="s">
        <v>135</v>
      </c>
      <c r="C21" s="155"/>
      <c r="D21" s="155"/>
      <c r="E21" s="155"/>
      <c r="F21" s="155"/>
      <c r="G21" s="155" t="s">
        <v>136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15" customHeight="1" x14ac:dyDescent="0.25">
      <c r="A22" s="3" t="s">
        <v>79</v>
      </c>
      <c r="B22" s="142" t="s">
        <v>143</v>
      </c>
      <c r="C22" s="142"/>
      <c r="D22" s="142"/>
      <c r="E22" s="142"/>
      <c r="F22" s="142"/>
      <c r="G22" s="142"/>
      <c r="H22" s="142"/>
      <c r="I22" s="142"/>
      <c r="J22" s="142"/>
      <c r="K22" s="142" t="s">
        <v>4</v>
      </c>
      <c r="L22" s="142"/>
      <c r="M22" s="142"/>
      <c r="N22" s="142"/>
      <c r="O22" s="153">
        <f>ROUND(SUM($O$14:$O$18),2)</f>
        <v>368942.52</v>
      </c>
      <c r="P22" s="142"/>
    </row>
    <row r="23" spans="1:16" ht="108.75" customHeight="1" x14ac:dyDescent="0.25">
      <c r="A23" s="3" t="s">
        <v>94</v>
      </c>
      <c r="B23" s="143" t="s">
        <v>144</v>
      </c>
      <c r="C23" s="143"/>
      <c r="D23" s="143"/>
      <c r="E23" s="143"/>
      <c r="F23" s="143"/>
      <c r="G23" s="143" t="s">
        <v>145</v>
      </c>
      <c r="H23" s="143"/>
      <c r="I23" s="143"/>
      <c r="J23" s="143"/>
      <c r="K23" s="143" t="s">
        <v>155</v>
      </c>
      <c r="L23" s="143"/>
      <c r="M23" s="143"/>
      <c r="N23" s="143"/>
      <c r="O23" s="154">
        <f>ROUND(($O$22) * 1  * 0.8,2)</f>
        <v>295154.02</v>
      </c>
      <c r="P23" s="143"/>
    </row>
    <row r="24" spans="1:16" ht="15" customHeight="1" x14ac:dyDescent="0.25">
      <c r="A24" s="3" t="s">
        <v>96</v>
      </c>
      <c r="B24" s="142" t="s">
        <v>148</v>
      </c>
      <c r="C24" s="142"/>
      <c r="D24" s="142"/>
      <c r="E24" s="142"/>
      <c r="F24" s="142"/>
      <c r="G24" s="142"/>
      <c r="H24" s="142"/>
      <c r="I24" s="142"/>
      <c r="J24" s="142"/>
      <c r="K24" s="142" t="s">
        <v>4</v>
      </c>
      <c r="L24" s="142"/>
      <c r="M24" s="142"/>
      <c r="N24" s="142"/>
      <c r="O24" s="153">
        <f>ROUND(($O$23),2)</f>
        <v>295154.02</v>
      </c>
      <c r="P24" s="142"/>
    </row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242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73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150</v>
      </c>
      <c r="C14" s="158"/>
      <c r="D14" s="158"/>
      <c r="E14" s="158"/>
      <c r="F14" s="158"/>
      <c r="G14" s="158" t="s">
        <v>243</v>
      </c>
      <c r="H14" s="158"/>
      <c r="I14" s="158"/>
      <c r="J14" s="158"/>
      <c r="K14" s="158" t="s">
        <v>244</v>
      </c>
      <c r="L14" s="158"/>
      <c r="M14" s="158"/>
      <c r="N14" s="158"/>
      <c r="O14" s="159">
        <f>ROUND((151100 + 1030273 * 0.205) * 1 * 1.38 * 0.4, 2)</f>
        <v>199992.89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95.25" customHeight="1" x14ac:dyDescent="0.25">
      <c r="A18" s="7" t="s">
        <v>40</v>
      </c>
      <c r="B18" s="157" t="s">
        <v>131</v>
      </c>
      <c r="C18" s="158"/>
      <c r="D18" s="158"/>
      <c r="E18" s="158"/>
      <c r="F18" s="158"/>
      <c r="G18" s="158" t="s">
        <v>195</v>
      </c>
      <c r="H18" s="158"/>
      <c r="I18" s="158"/>
      <c r="J18" s="158"/>
      <c r="K18" s="158" t="s">
        <v>196</v>
      </c>
      <c r="L18" s="158"/>
      <c r="M18" s="158"/>
      <c r="N18" s="158"/>
      <c r="O18" s="159">
        <f>ROUND((5610 + 240 * 12) * 2 * 7.1 * 0.34, 2)</f>
        <v>40989.72</v>
      </c>
      <c r="P18" s="158"/>
    </row>
    <row r="19" spans="1:16" ht="15" customHeight="1" x14ac:dyDescent="0.25">
      <c r="A19" s="8"/>
      <c r="B19" s="156" t="s">
        <v>115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4</v>
      </c>
      <c r="L19" s="156"/>
      <c r="M19" s="156"/>
      <c r="N19" s="156"/>
      <c r="O19" s="156"/>
      <c r="P19" s="156"/>
    </row>
    <row r="20" spans="1:16" ht="15" customHeight="1" x14ac:dyDescent="0.25">
      <c r="A20" s="9"/>
      <c r="B20" s="155" t="s">
        <v>116</v>
      </c>
      <c r="C20" s="155"/>
      <c r="D20" s="155"/>
      <c r="E20" s="155"/>
      <c r="F20" s="155"/>
      <c r="G20" s="155" t="s">
        <v>134</v>
      </c>
      <c r="H20" s="155"/>
      <c r="I20" s="155"/>
      <c r="J20" s="155"/>
      <c r="K20" s="155" t="s">
        <v>4</v>
      </c>
      <c r="L20" s="155"/>
      <c r="M20" s="155"/>
      <c r="N20" s="155"/>
      <c r="O20" s="155"/>
      <c r="P20" s="155"/>
    </row>
    <row r="21" spans="1:16" ht="40.9" customHeight="1" x14ac:dyDescent="0.25">
      <c r="A21" s="9"/>
      <c r="B21" s="155" t="s">
        <v>135</v>
      </c>
      <c r="C21" s="155"/>
      <c r="D21" s="155"/>
      <c r="E21" s="155"/>
      <c r="F21" s="155"/>
      <c r="G21" s="155" t="s">
        <v>136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15" customHeight="1" x14ac:dyDescent="0.25">
      <c r="A22" s="3" t="s">
        <v>79</v>
      </c>
      <c r="B22" s="142" t="s">
        <v>143</v>
      </c>
      <c r="C22" s="142"/>
      <c r="D22" s="142"/>
      <c r="E22" s="142"/>
      <c r="F22" s="142"/>
      <c r="G22" s="142"/>
      <c r="H22" s="142"/>
      <c r="I22" s="142"/>
      <c r="J22" s="142"/>
      <c r="K22" s="142" t="s">
        <v>4</v>
      </c>
      <c r="L22" s="142"/>
      <c r="M22" s="142"/>
      <c r="N22" s="142"/>
      <c r="O22" s="153">
        <f>ROUND(SUM($O$14:$O$18),2)</f>
        <v>240982.61</v>
      </c>
      <c r="P22" s="142"/>
    </row>
    <row r="23" spans="1:16" ht="108.75" customHeight="1" x14ac:dyDescent="0.25">
      <c r="A23" s="3" t="s">
        <v>94</v>
      </c>
      <c r="B23" s="143" t="s">
        <v>144</v>
      </c>
      <c r="C23" s="143"/>
      <c r="D23" s="143"/>
      <c r="E23" s="143"/>
      <c r="F23" s="143"/>
      <c r="G23" s="143" t="s">
        <v>145</v>
      </c>
      <c r="H23" s="143"/>
      <c r="I23" s="143"/>
      <c r="J23" s="143"/>
      <c r="K23" s="143" t="s">
        <v>155</v>
      </c>
      <c r="L23" s="143"/>
      <c r="M23" s="143"/>
      <c r="N23" s="143"/>
      <c r="O23" s="154">
        <f>ROUND(($O$22) * 1  * 0.8,2)</f>
        <v>192786.09</v>
      </c>
      <c r="P23" s="143"/>
    </row>
    <row r="24" spans="1:16" ht="15" customHeight="1" x14ac:dyDescent="0.25">
      <c r="A24" s="3" t="s">
        <v>96</v>
      </c>
      <c r="B24" s="142" t="s">
        <v>148</v>
      </c>
      <c r="C24" s="142"/>
      <c r="D24" s="142"/>
      <c r="E24" s="142"/>
      <c r="F24" s="142"/>
      <c r="G24" s="142"/>
      <c r="H24" s="142"/>
      <c r="I24" s="142"/>
      <c r="J24" s="142"/>
      <c r="K24" s="142" t="s">
        <v>4</v>
      </c>
      <c r="L24" s="142"/>
      <c r="M24" s="142"/>
      <c r="N24" s="142"/>
      <c r="O24" s="153">
        <f>ROUND(($O$23),2)</f>
        <v>192786.09</v>
      </c>
      <c r="P24" s="142"/>
    </row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245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82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126</v>
      </c>
      <c r="C14" s="158"/>
      <c r="D14" s="158"/>
      <c r="E14" s="158"/>
      <c r="F14" s="158"/>
      <c r="G14" s="158" t="s">
        <v>246</v>
      </c>
      <c r="H14" s="158"/>
      <c r="I14" s="158"/>
      <c r="J14" s="158"/>
      <c r="K14" s="158" t="s">
        <v>247</v>
      </c>
      <c r="L14" s="158"/>
      <c r="M14" s="158"/>
      <c r="N14" s="158"/>
      <c r="O14" s="159">
        <f>ROUND((545500 + 522975 * 2.604) * 1 * 1.38 * 0.4 * 0.75, 2)</f>
        <v>789633.34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188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830623.06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664498.44999999995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664498.44999999995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248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84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126</v>
      </c>
      <c r="C14" s="158"/>
      <c r="D14" s="158"/>
      <c r="E14" s="158"/>
      <c r="F14" s="158"/>
      <c r="G14" s="158" t="s">
        <v>249</v>
      </c>
      <c r="H14" s="158"/>
      <c r="I14" s="158"/>
      <c r="J14" s="158"/>
      <c r="K14" s="158" t="s">
        <v>250</v>
      </c>
      <c r="L14" s="158"/>
      <c r="M14" s="158"/>
      <c r="N14" s="158"/>
      <c r="O14" s="159">
        <f>ROUND((545500 + 522975 * 3.256) * 1 * 1.38 * 0.4 * 0.8, 2)</f>
        <v>992852.19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27.2" customHeight="1" x14ac:dyDescent="0.25">
      <c r="A18" s="9"/>
      <c r="B18" s="155" t="s">
        <v>187</v>
      </c>
      <c r="C18" s="155"/>
      <c r="D18" s="155"/>
      <c r="E18" s="155"/>
      <c r="F18" s="155"/>
      <c r="G18" s="155" t="s">
        <v>251</v>
      </c>
      <c r="H18" s="155"/>
      <c r="I18" s="155"/>
      <c r="J18" s="155"/>
      <c r="K18" s="155" t="s">
        <v>4</v>
      </c>
      <c r="L18" s="155"/>
      <c r="M18" s="155"/>
      <c r="N18" s="155"/>
      <c r="O18" s="155"/>
      <c r="P18" s="155"/>
    </row>
    <row r="19" spans="1:16" ht="95.25" customHeight="1" x14ac:dyDescent="0.25">
      <c r="A19" s="7" t="s">
        <v>40</v>
      </c>
      <c r="B19" s="157" t="s">
        <v>131</v>
      </c>
      <c r="C19" s="158"/>
      <c r="D19" s="158"/>
      <c r="E19" s="158"/>
      <c r="F19" s="158"/>
      <c r="G19" s="158" t="s">
        <v>195</v>
      </c>
      <c r="H19" s="158"/>
      <c r="I19" s="158"/>
      <c r="J19" s="158"/>
      <c r="K19" s="158" t="s">
        <v>196</v>
      </c>
      <c r="L19" s="158"/>
      <c r="M19" s="158"/>
      <c r="N19" s="158"/>
      <c r="O19" s="159">
        <f>ROUND((5610 + 240 * 12) * 2 * 7.1 * 0.34, 2)</f>
        <v>40989.72</v>
      </c>
      <c r="P19" s="158"/>
    </row>
    <row r="20" spans="1:16" ht="15" customHeight="1" x14ac:dyDescent="0.25">
      <c r="A20" s="8"/>
      <c r="B20" s="156" t="s">
        <v>115</v>
      </c>
      <c r="C20" s="156"/>
      <c r="D20" s="156"/>
      <c r="E20" s="156"/>
      <c r="F20" s="156"/>
      <c r="G20" s="156" t="s">
        <v>4</v>
      </c>
      <c r="H20" s="156"/>
      <c r="I20" s="156"/>
      <c r="J20" s="156"/>
      <c r="K20" s="156" t="s">
        <v>4</v>
      </c>
      <c r="L20" s="156"/>
      <c r="M20" s="156"/>
      <c r="N20" s="156"/>
      <c r="O20" s="156"/>
      <c r="P20" s="156"/>
    </row>
    <row r="21" spans="1:16" ht="15" customHeight="1" x14ac:dyDescent="0.25">
      <c r="A21" s="9"/>
      <c r="B21" s="155" t="s">
        <v>116</v>
      </c>
      <c r="C21" s="155"/>
      <c r="D21" s="155"/>
      <c r="E21" s="155"/>
      <c r="F21" s="155"/>
      <c r="G21" s="155" t="s">
        <v>134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40.9" customHeight="1" x14ac:dyDescent="0.25">
      <c r="A22" s="9"/>
      <c r="B22" s="155" t="s">
        <v>135</v>
      </c>
      <c r="C22" s="155"/>
      <c r="D22" s="155"/>
      <c r="E22" s="155"/>
      <c r="F22" s="155"/>
      <c r="G22" s="155" t="s">
        <v>136</v>
      </c>
      <c r="H22" s="155"/>
      <c r="I22" s="155"/>
      <c r="J22" s="155"/>
      <c r="K22" s="155" t="s">
        <v>4</v>
      </c>
      <c r="L22" s="155"/>
      <c r="M22" s="155"/>
      <c r="N22" s="155"/>
      <c r="O22" s="155"/>
      <c r="P22" s="155"/>
    </row>
    <row r="23" spans="1:16" ht="15" customHeight="1" x14ac:dyDescent="0.25">
      <c r="A23" s="3" t="s">
        <v>79</v>
      </c>
      <c r="B23" s="142" t="s">
        <v>143</v>
      </c>
      <c r="C23" s="142"/>
      <c r="D23" s="142"/>
      <c r="E23" s="142"/>
      <c r="F23" s="142"/>
      <c r="G23" s="142"/>
      <c r="H23" s="142"/>
      <c r="I23" s="142"/>
      <c r="J23" s="142"/>
      <c r="K23" s="142" t="s">
        <v>4</v>
      </c>
      <c r="L23" s="142"/>
      <c r="M23" s="142"/>
      <c r="N23" s="142"/>
      <c r="O23" s="153">
        <f>ROUND(SUM($O$14:$O$19),2)</f>
        <v>1033841.91</v>
      </c>
      <c r="P23" s="142"/>
    </row>
    <row r="24" spans="1:16" ht="108.75" customHeight="1" x14ac:dyDescent="0.25">
      <c r="A24" s="3" t="s">
        <v>94</v>
      </c>
      <c r="B24" s="143" t="s">
        <v>144</v>
      </c>
      <c r="C24" s="143"/>
      <c r="D24" s="143"/>
      <c r="E24" s="143"/>
      <c r="F24" s="143"/>
      <c r="G24" s="143" t="s">
        <v>145</v>
      </c>
      <c r="H24" s="143"/>
      <c r="I24" s="143"/>
      <c r="J24" s="143"/>
      <c r="K24" s="143" t="s">
        <v>155</v>
      </c>
      <c r="L24" s="143"/>
      <c r="M24" s="143"/>
      <c r="N24" s="143"/>
      <c r="O24" s="154">
        <f>ROUND(($O$23) * 1  * 0.8,2)</f>
        <v>827073.53</v>
      </c>
      <c r="P24" s="143"/>
    </row>
    <row r="25" spans="1:16" ht="15" customHeight="1" x14ac:dyDescent="0.25">
      <c r="A25" s="3" t="s">
        <v>96</v>
      </c>
      <c r="B25" s="142" t="s">
        <v>148</v>
      </c>
      <c r="C25" s="142"/>
      <c r="D25" s="142"/>
      <c r="E25" s="142"/>
      <c r="F25" s="142"/>
      <c r="G25" s="142"/>
      <c r="H25" s="142"/>
      <c r="I25" s="142"/>
      <c r="J25" s="142"/>
      <c r="K25" s="142" t="s">
        <v>4</v>
      </c>
      <c r="L25" s="142"/>
      <c r="M25" s="142"/>
      <c r="N25" s="142"/>
      <c r="O25" s="153">
        <f>ROUND(($O$24),2)</f>
        <v>827073.53</v>
      </c>
      <c r="P25" s="142"/>
    </row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6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5:F25"/>
    <mergeCell ref="G25:J25"/>
    <mergeCell ref="K25:N25"/>
    <mergeCell ref="O25:P25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252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86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157</v>
      </c>
      <c r="C14" s="158"/>
      <c r="D14" s="158"/>
      <c r="E14" s="158"/>
      <c r="F14" s="158"/>
      <c r="G14" s="158" t="s">
        <v>253</v>
      </c>
      <c r="H14" s="158"/>
      <c r="I14" s="158"/>
      <c r="J14" s="158"/>
      <c r="K14" s="158" t="s">
        <v>254</v>
      </c>
      <c r="L14" s="158"/>
      <c r="M14" s="158"/>
      <c r="N14" s="158"/>
      <c r="O14" s="159">
        <f>ROUND((357800 + 616816 * 0.67) * 1 * 1.38 * 0.4, 2)</f>
        <v>425628.83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95.25" customHeight="1" x14ac:dyDescent="0.25">
      <c r="A18" s="7" t="s">
        <v>40</v>
      </c>
      <c r="B18" s="157" t="s">
        <v>131</v>
      </c>
      <c r="C18" s="158"/>
      <c r="D18" s="158"/>
      <c r="E18" s="158"/>
      <c r="F18" s="158"/>
      <c r="G18" s="158" t="s">
        <v>195</v>
      </c>
      <c r="H18" s="158"/>
      <c r="I18" s="158"/>
      <c r="J18" s="158"/>
      <c r="K18" s="158" t="s">
        <v>196</v>
      </c>
      <c r="L18" s="158"/>
      <c r="M18" s="158"/>
      <c r="N18" s="158"/>
      <c r="O18" s="159">
        <f>ROUND((5610 + 240 * 12) * 2 * 7.1 * 0.34, 2)</f>
        <v>40989.72</v>
      </c>
      <c r="P18" s="158"/>
    </row>
    <row r="19" spans="1:16" ht="15" customHeight="1" x14ac:dyDescent="0.25">
      <c r="A19" s="8"/>
      <c r="B19" s="156" t="s">
        <v>115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4</v>
      </c>
      <c r="L19" s="156"/>
      <c r="M19" s="156"/>
      <c r="N19" s="156"/>
      <c r="O19" s="156"/>
      <c r="P19" s="156"/>
    </row>
    <row r="20" spans="1:16" ht="15" customHeight="1" x14ac:dyDescent="0.25">
      <c r="A20" s="9"/>
      <c r="B20" s="155" t="s">
        <v>116</v>
      </c>
      <c r="C20" s="155"/>
      <c r="D20" s="155"/>
      <c r="E20" s="155"/>
      <c r="F20" s="155"/>
      <c r="G20" s="155" t="s">
        <v>134</v>
      </c>
      <c r="H20" s="155"/>
      <c r="I20" s="155"/>
      <c r="J20" s="155"/>
      <c r="K20" s="155" t="s">
        <v>4</v>
      </c>
      <c r="L20" s="155"/>
      <c r="M20" s="155"/>
      <c r="N20" s="155"/>
      <c r="O20" s="155"/>
      <c r="P20" s="155"/>
    </row>
    <row r="21" spans="1:16" ht="40.9" customHeight="1" x14ac:dyDescent="0.25">
      <c r="A21" s="9"/>
      <c r="B21" s="155" t="s">
        <v>135</v>
      </c>
      <c r="C21" s="155"/>
      <c r="D21" s="155"/>
      <c r="E21" s="155"/>
      <c r="F21" s="155"/>
      <c r="G21" s="155" t="s">
        <v>136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15" customHeight="1" x14ac:dyDescent="0.25">
      <c r="A22" s="3" t="s">
        <v>79</v>
      </c>
      <c r="B22" s="142" t="s">
        <v>143</v>
      </c>
      <c r="C22" s="142"/>
      <c r="D22" s="142"/>
      <c r="E22" s="142"/>
      <c r="F22" s="142"/>
      <c r="G22" s="142"/>
      <c r="H22" s="142"/>
      <c r="I22" s="142"/>
      <c r="J22" s="142"/>
      <c r="K22" s="142" t="s">
        <v>4</v>
      </c>
      <c r="L22" s="142"/>
      <c r="M22" s="142"/>
      <c r="N22" s="142"/>
      <c r="O22" s="153">
        <f>ROUND(SUM($O$14:$O$18),2)</f>
        <v>466618.55</v>
      </c>
      <c r="P22" s="142"/>
    </row>
    <row r="23" spans="1:16" ht="108.75" customHeight="1" x14ac:dyDescent="0.25">
      <c r="A23" s="3" t="s">
        <v>94</v>
      </c>
      <c r="B23" s="143" t="s">
        <v>144</v>
      </c>
      <c r="C23" s="143"/>
      <c r="D23" s="143"/>
      <c r="E23" s="143"/>
      <c r="F23" s="143"/>
      <c r="G23" s="143" t="s">
        <v>145</v>
      </c>
      <c r="H23" s="143"/>
      <c r="I23" s="143"/>
      <c r="J23" s="143"/>
      <c r="K23" s="143" t="s">
        <v>155</v>
      </c>
      <c r="L23" s="143"/>
      <c r="M23" s="143"/>
      <c r="N23" s="143"/>
      <c r="O23" s="154">
        <f>ROUND(($O$22) * 1  * 0.8,2)</f>
        <v>373294.84</v>
      </c>
      <c r="P23" s="143"/>
    </row>
    <row r="24" spans="1:16" ht="15" customHeight="1" x14ac:dyDescent="0.25">
      <c r="A24" s="3" t="s">
        <v>96</v>
      </c>
      <c r="B24" s="142" t="s">
        <v>148</v>
      </c>
      <c r="C24" s="142"/>
      <c r="D24" s="142"/>
      <c r="E24" s="142"/>
      <c r="F24" s="142"/>
      <c r="G24" s="142"/>
      <c r="H24" s="142"/>
      <c r="I24" s="142"/>
      <c r="J24" s="142"/>
      <c r="K24" s="142" t="s">
        <v>4</v>
      </c>
      <c r="L24" s="142"/>
      <c r="M24" s="142"/>
      <c r="N24" s="142"/>
      <c r="O24" s="153">
        <f>ROUND(($O$23),2)</f>
        <v>373294.84</v>
      </c>
      <c r="P24" s="142"/>
    </row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Views>
    <sheetView showRuler="0" workbookViewId="0"/>
  </sheetViews>
  <sheetFormatPr defaultRowHeight="15" x14ac:dyDescent="0.25"/>
  <cols>
    <col min="1" max="1" width="6.42578125" style="1" customWidth="1"/>
    <col min="2" max="50" width="8" style="1" customWidth="1"/>
  </cols>
  <sheetData>
    <row r="1" spans="1:16" ht="27.2" customHeight="1" x14ac:dyDescent="0.25">
      <c r="A1" s="146" t="s">
        <v>0</v>
      </c>
      <c r="B1" s="146"/>
      <c r="C1" s="146"/>
      <c r="D1" s="146"/>
      <c r="E1" s="147" t="s">
        <v>102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</row>
    <row r="2" spans="1:16" ht="15" customHeight="1" x14ac:dyDescent="0.25"/>
    <row r="3" spans="1:16" ht="15" customHeight="1" x14ac:dyDescent="0.25">
      <c r="A3" s="148" t="s">
        <v>255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" customHeight="1" x14ac:dyDescent="0.25">
      <c r="A4" s="149" t="s">
        <v>104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" customHeight="1" x14ac:dyDescent="0.25"/>
    <row r="6" spans="1:16" ht="54.4" customHeight="1" x14ac:dyDescent="0.25">
      <c r="A6" s="150" t="s">
        <v>105</v>
      </c>
      <c r="B6" s="150"/>
      <c r="C6" s="150"/>
      <c r="D6" s="150"/>
      <c r="E6" s="150"/>
      <c r="F6" s="160" t="s">
        <v>88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16" ht="15" customHeight="1" x14ac:dyDescent="0.25"/>
    <row r="8" spans="1:16" ht="27.2" customHeight="1" x14ac:dyDescent="0.25">
      <c r="A8" s="150" t="s">
        <v>106</v>
      </c>
      <c r="B8" s="150"/>
      <c r="C8" s="150"/>
      <c r="D8" s="150"/>
      <c r="E8" s="150"/>
      <c r="F8" s="160" t="s">
        <v>5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1:16" ht="15" customHeight="1" x14ac:dyDescent="0.25"/>
    <row r="10" spans="1:16" ht="15" customHeight="1" x14ac:dyDescent="0.25">
      <c r="A10" s="150" t="s">
        <v>6</v>
      </c>
      <c r="B10" s="150"/>
      <c r="C10" s="150"/>
      <c r="D10" s="150"/>
      <c r="E10" s="150"/>
      <c r="F10" s="160" t="s">
        <v>7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6" ht="15" customHeight="1" x14ac:dyDescent="0.25"/>
    <row r="12" spans="1:16" ht="81.599999999999994" customHeight="1" x14ac:dyDescent="0.25">
      <c r="A12" s="2" t="s">
        <v>107</v>
      </c>
      <c r="B12" s="145" t="s">
        <v>108</v>
      </c>
      <c r="C12" s="145"/>
      <c r="D12" s="145"/>
      <c r="E12" s="145"/>
      <c r="F12" s="145"/>
      <c r="G12" s="145" t="s">
        <v>109</v>
      </c>
      <c r="H12" s="145"/>
      <c r="I12" s="145"/>
      <c r="J12" s="145"/>
      <c r="K12" s="145" t="s">
        <v>110</v>
      </c>
      <c r="L12" s="145"/>
      <c r="M12" s="145"/>
      <c r="N12" s="145"/>
      <c r="O12" s="145" t="s">
        <v>111</v>
      </c>
      <c r="P12" s="145"/>
    </row>
    <row r="13" spans="1:16" ht="15" customHeight="1" x14ac:dyDescent="0.25">
      <c r="A13" s="2">
        <v>1</v>
      </c>
      <c r="B13" s="145">
        <v>2</v>
      </c>
      <c r="C13" s="145"/>
      <c r="D13" s="145"/>
      <c r="E13" s="145"/>
      <c r="F13" s="145"/>
      <c r="G13" s="145">
        <v>3</v>
      </c>
      <c r="H13" s="145"/>
      <c r="I13" s="145"/>
      <c r="J13" s="145"/>
      <c r="K13" s="145">
        <v>4</v>
      </c>
      <c r="L13" s="145"/>
      <c r="M13" s="145"/>
      <c r="N13" s="145"/>
      <c r="O13" s="145">
        <v>5</v>
      </c>
      <c r="P13" s="145"/>
    </row>
    <row r="14" spans="1:16" ht="149.65" customHeight="1" x14ac:dyDescent="0.25">
      <c r="A14" s="7" t="s">
        <v>16</v>
      </c>
      <c r="B14" s="157" t="s">
        <v>150</v>
      </c>
      <c r="C14" s="158"/>
      <c r="D14" s="158"/>
      <c r="E14" s="158"/>
      <c r="F14" s="158"/>
      <c r="G14" s="158" t="s">
        <v>256</v>
      </c>
      <c r="H14" s="158"/>
      <c r="I14" s="158"/>
      <c r="J14" s="158"/>
      <c r="K14" s="158" t="s">
        <v>257</v>
      </c>
      <c r="L14" s="158"/>
      <c r="M14" s="158"/>
      <c r="N14" s="158"/>
      <c r="O14" s="159">
        <f>ROUND((151100 + 1030273 * 0.338) * 1 * 1.38 * 0.4, 2)</f>
        <v>275631.42</v>
      </c>
      <c r="P14" s="158"/>
    </row>
    <row r="15" spans="1:16" ht="15" customHeight="1" x14ac:dyDescent="0.25">
      <c r="A15" s="8"/>
      <c r="B15" s="156" t="s">
        <v>115</v>
      </c>
      <c r="C15" s="156"/>
      <c r="D15" s="156"/>
      <c r="E15" s="156"/>
      <c r="F15" s="156"/>
      <c r="G15" s="156" t="s">
        <v>4</v>
      </c>
      <c r="H15" s="156"/>
      <c r="I15" s="156"/>
      <c r="J15" s="156"/>
      <c r="K15" s="156" t="s">
        <v>4</v>
      </c>
      <c r="L15" s="156"/>
      <c r="M15" s="156"/>
      <c r="N15" s="156"/>
      <c r="O15" s="156"/>
      <c r="P15" s="156"/>
    </row>
    <row r="16" spans="1:16" ht="15" customHeight="1" x14ac:dyDescent="0.25">
      <c r="A16" s="9"/>
      <c r="B16" s="155" t="s">
        <v>116</v>
      </c>
      <c r="C16" s="155"/>
      <c r="D16" s="155"/>
      <c r="E16" s="155"/>
      <c r="F16" s="155"/>
      <c r="G16" s="155" t="s">
        <v>117</v>
      </c>
      <c r="H16" s="155"/>
      <c r="I16" s="155"/>
      <c r="J16" s="155"/>
      <c r="K16" s="155" t="s">
        <v>4</v>
      </c>
      <c r="L16" s="155"/>
      <c r="M16" s="155"/>
      <c r="N16" s="155"/>
      <c r="O16" s="155"/>
      <c r="P16" s="155"/>
    </row>
    <row r="17" spans="1:16" ht="40.9" customHeight="1" x14ac:dyDescent="0.25">
      <c r="A17" s="9"/>
      <c r="B17" s="155" t="s">
        <v>118</v>
      </c>
      <c r="C17" s="155"/>
      <c r="D17" s="155"/>
      <c r="E17" s="155"/>
      <c r="F17" s="155"/>
      <c r="G17" s="155" t="s">
        <v>119</v>
      </c>
      <c r="H17" s="155"/>
      <c r="I17" s="155"/>
      <c r="J17" s="155"/>
      <c r="K17" s="155" t="s">
        <v>4</v>
      </c>
      <c r="L17" s="155"/>
      <c r="M17" s="155"/>
      <c r="N17" s="155"/>
      <c r="O17" s="155"/>
      <c r="P17" s="155"/>
    </row>
    <row r="18" spans="1:16" ht="95.25" customHeight="1" x14ac:dyDescent="0.25">
      <c r="A18" s="7" t="s">
        <v>40</v>
      </c>
      <c r="B18" s="157" t="s">
        <v>131</v>
      </c>
      <c r="C18" s="158"/>
      <c r="D18" s="158"/>
      <c r="E18" s="158"/>
      <c r="F18" s="158"/>
      <c r="G18" s="158" t="s">
        <v>195</v>
      </c>
      <c r="H18" s="158"/>
      <c r="I18" s="158"/>
      <c r="J18" s="158"/>
      <c r="K18" s="158" t="s">
        <v>196</v>
      </c>
      <c r="L18" s="158"/>
      <c r="M18" s="158"/>
      <c r="N18" s="158"/>
      <c r="O18" s="159">
        <f>ROUND((5610 + 240 * 12) * 2 * 7.1 * 0.34, 2)</f>
        <v>40989.72</v>
      </c>
      <c r="P18" s="158"/>
    </row>
    <row r="19" spans="1:16" ht="15" customHeight="1" x14ac:dyDescent="0.25">
      <c r="A19" s="8"/>
      <c r="B19" s="156" t="s">
        <v>115</v>
      </c>
      <c r="C19" s="156"/>
      <c r="D19" s="156"/>
      <c r="E19" s="156"/>
      <c r="F19" s="156"/>
      <c r="G19" s="156" t="s">
        <v>4</v>
      </c>
      <c r="H19" s="156"/>
      <c r="I19" s="156"/>
      <c r="J19" s="156"/>
      <c r="K19" s="156" t="s">
        <v>4</v>
      </c>
      <c r="L19" s="156"/>
      <c r="M19" s="156"/>
      <c r="N19" s="156"/>
      <c r="O19" s="156"/>
      <c r="P19" s="156"/>
    </row>
    <row r="20" spans="1:16" ht="15" customHeight="1" x14ac:dyDescent="0.25">
      <c r="A20" s="9"/>
      <c r="B20" s="155" t="s">
        <v>116</v>
      </c>
      <c r="C20" s="155"/>
      <c r="D20" s="155"/>
      <c r="E20" s="155"/>
      <c r="F20" s="155"/>
      <c r="G20" s="155" t="s">
        <v>134</v>
      </c>
      <c r="H20" s="155"/>
      <c r="I20" s="155"/>
      <c r="J20" s="155"/>
      <c r="K20" s="155" t="s">
        <v>4</v>
      </c>
      <c r="L20" s="155"/>
      <c r="M20" s="155"/>
      <c r="N20" s="155"/>
      <c r="O20" s="155"/>
      <c r="P20" s="155"/>
    </row>
    <row r="21" spans="1:16" ht="40.9" customHeight="1" x14ac:dyDescent="0.25">
      <c r="A21" s="9"/>
      <c r="B21" s="155" t="s">
        <v>135</v>
      </c>
      <c r="C21" s="155"/>
      <c r="D21" s="155"/>
      <c r="E21" s="155"/>
      <c r="F21" s="155"/>
      <c r="G21" s="155" t="s">
        <v>136</v>
      </c>
      <c r="H21" s="155"/>
      <c r="I21" s="155"/>
      <c r="J21" s="155"/>
      <c r="K21" s="155" t="s">
        <v>4</v>
      </c>
      <c r="L21" s="155"/>
      <c r="M21" s="155"/>
      <c r="N21" s="155"/>
      <c r="O21" s="155"/>
      <c r="P21" s="155"/>
    </row>
    <row r="22" spans="1:16" ht="15" customHeight="1" x14ac:dyDescent="0.25">
      <c r="A22" s="3" t="s">
        <v>79</v>
      </c>
      <c r="B22" s="142" t="s">
        <v>143</v>
      </c>
      <c r="C22" s="142"/>
      <c r="D22" s="142"/>
      <c r="E22" s="142"/>
      <c r="F22" s="142"/>
      <c r="G22" s="142"/>
      <c r="H22" s="142"/>
      <c r="I22" s="142"/>
      <c r="J22" s="142"/>
      <c r="K22" s="142" t="s">
        <v>4</v>
      </c>
      <c r="L22" s="142"/>
      <c r="M22" s="142"/>
      <c r="N22" s="142"/>
      <c r="O22" s="153">
        <f>ROUND(SUM($O$14:$O$18),2)</f>
        <v>316621.14</v>
      </c>
      <c r="P22" s="142"/>
    </row>
    <row r="23" spans="1:16" ht="108.75" customHeight="1" x14ac:dyDescent="0.25">
      <c r="A23" s="3" t="s">
        <v>94</v>
      </c>
      <c r="B23" s="143" t="s">
        <v>144</v>
      </c>
      <c r="C23" s="143"/>
      <c r="D23" s="143"/>
      <c r="E23" s="143"/>
      <c r="F23" s="143"/>
      <c r="G23" s="143" t="s">
        <v>145</v>
      </c>
      <c r="H23" s="143"/>
      <c r="I23" s="143"/>
      <c r="J23" s="143"/>
      <c r="K23" s="143" t="s">
        <v>155</v>
      </c>
      <c r="L23" s="143"/>
      <c r="M23" s="143"/>
      <c r="N23" s="143"/>
      <c r="O23" s="154">
        <f>ROUND(($O$22) * 1  * 0.8,2)</f>
        <v>253296.91</v>
      </c>
      <c r="P23" s="143"/>
    </row>
    <row r="24" spans="1:16" ht="15" customHeight="1" x14ac:dyDescent="0.25">
      <c r="A24" s="3" t="s">
        <v>96</v>
      </c>
      <c r="B24" s="142" t="s">
        <v>148</v>
      </c>
      <c r="C24" s="142"/>
      <c r="D24" s="142"/>
      <c r="E24" s="142"/>
      <c r="F24" s="142"/>
      <c r="G24" s="142"/>
      <c r="H24" s="142"/>
      <c r="I24" s="142"/>
      <c r="J24" s="142"/>
      <c r="K24" s="142" t="s">
        <v>4</v>
      </c>
      <c r="L24" s="142"/>
      <c r="M24" s="142"/>
      <c r="N24" s="142"/>
      <c r="O24" s="153">
        <f>ROUND(($O$23),2)</f>
        <v>253296.91</v>
      </c>
      <c r="P24" s="142"/>
    </row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62">
    <mergeCell ref="A1:D1"/>
    <mergeCell ref="E1:P1"/>
    <mergeCell ref="A3:P3"/>
    <mergeCell ref="A4:P4"/>
    <mergeCell ref="A6:E6"/>
    <mergeCell ref="F6:P6"/>
    <mergeCell ref="G12:J12"/>
    <mergeCell ref="G13:J13"/>
    <mergeCell ref="K12:N12"/>
    <mergeCell ref="K13:N13"/>
    <mergeCell ref="A8:E8"/>
    <mergeCell ref="F8:P8"/>
    <mergeCell ref="A10:E10"/>
    <mergeCell ref="F10:P10"/>
    <mergeCell ref="B12:F12"/>
    <mergeCell ref="O12:P12"/>
    <mergeCell ref="O13:P13"/>
    <mergeCell ref="B14:F14"/>
    <mergeCell ref="G14:J14"/>
    <mergeCell ref="K14:N14"/>
    <mergeCell ref="O14:P14"/>
    <mergeCell ref="B13:F13"/>
    <mergeCell ref="B15:F15"/>
    <mergeCell ref="G15:J15"/>
    <mergeCell ref="K15:N15"/>
    <mergeCell ref="O15:P15"/>
    <mergeCell ref="B16:F16"/>
    <mergeCell ref="G16:J16"/>
    <mergeCell ref="K16:N16"/>
    <mergeCell ref="O16:P16"/>
    <mergeCell ref="B17:F17"/>
    <mergeCell ref="G17:J17"/>
    <mergeCell ref="K17:N17"/>
    <mergeCell ref="O17:P17"/>
    <mergeCell ref="B18:F18"/>
    <mergeCell ref="G18:J18"/>
    <mergeCell ref="K18:N18"/>
    <mergeCell ref="O18:P18"/>
    <mergeCell ref="B19:F19"/>
    <mergeCell ref="G19:J19"/>
    <mergeCell ref="K19:N19"/>
    <mergeCell ref="O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</mergeCells>
  <pageMargins left="0.4" right="0.4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31</vt:i4>
      </vt:variant>
      <vt:variant>
        <vt:lpstr>Именованные диапазоны</vt:lpstr>
      </vt:variant>
      <vt:variant>
        <vt:i4>3</vt:i4>
      </vt:variant>
    </vt:vector>
  </HeadingPairs>
  <TitlesOfParts>
    <vt:vector size="34" baseType="lpstr">
      <vt:lpstr>КП</vt:lpstr>
      <vt:lpstr>Форма 1.1</vt:lpstr>
      <vt:lpstr>СВОД</vt:lpstr>
      <vt:lpstr>Смета_№1.1_Подъездная автодоро</vt:lpstr>
      <vt:lpstr>Смета_№1.2_Подъездная автодоро</vt:lpstr>
      <vt:lpstr>Смета_№1.3_Подъездная автодоро</vt:lpstr>
      <vt:lpstr>Смета_№1.4_Подъездная автодоро</vt:lpstr>
      <vt:lpstr>Смета_№1.5_Подъездная автодоро</vt:lpstr>
      <vt:lpstr>Смета_№1.6_Подъездная автодоро</vt:lpstr>
      <vt:lpstr>Смета_№1.7_Подъездная автодоро</vt:lpstr>
      <vt:lpstr>Смета_№1.8_Подъездная автодоро</vt:lpstr>
      <vt:lpstr>Смета_№2.1_Подъездная автодоро</vt:lpstr>
      <vt:lpstr>Смета_№2.2_Подъездная автодоро</vt:lpstr>
      <vt:lpstr>Смета_№2.3_Подъездная автодоро</vt:lpstr>
      <vt:lpstr>Смета_№2.4_Подъездная автодоро</vt:lpstr>
      <vt:lpstr>Смета_№2.5_Подъездная автодоро</vt:lpstr>
      <vt:lpstr>Смета_№2.6_Подъездная автодоро</vt:lpstr>
      <vt:lpstr>Смета_№2.7_Подъездная автодоро</vt:lpstr>
      <vt:lpstr>Смета_№2.8_Подъездная автодоро</vt:lpstr>
      <vt:lpstr>Смета_№2.9_Подъездная автодоро</vt:lpstr>
      <vt:lpstr>Смета_№2.10_Подъездная автодор</vt:lpstr>
      <vt:lpstr>Смета_№2.11_Подъездная автодор</vt:lpstr>
      <vt:lpstr>Смета_№2.12_Подъездная автодор</vt:lpstr>
      <vt:lpstr>Смета_№2.13_Подъездная автодор</vt:lpstr>
      <vt:lpstr>Смета_№2.14_Подъездная автодор</vt:lpstr>
      <vt:lpstr>Смета_№2.15_Подъездная автодор</vt:lpstr>
      <vt:lpstr>Смета_№2.16_Подъездная автодор</vt:lpstr>
      <vt:lpstr>Смета_№3.1_Подъездная автодоро</vt:lpstr>
      <vt:lpstr>Смета_№3.2_Подъездная автодоро</vt:lpstr>
      <vt:lpstr>Смета_№3.3_Подъездная автодоро</vt:lpstr>
      <vt:lpstr>Смета_№3.4_Подъездная автодоро</vt:lpstr>
      <vt:lpstr>КП!Область_печати</vt:lpstr>
      <vt:lpstr>СВОД!Область_печати</vt:lpstr>
      <vt:lpstr>'Форма 1.1'!Область_печати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Степаненко Марина Юрьевна</cp:lastModifiedBy>
  <cp:lastPrinted>2026-08-04T07:42:13Z</cp:lastPrinted>
  <dcterms:created xsi:type="dcterms:W3CDTF">2026-08-04T11:51:32Z</dcterms:created>
  <dcterms:modified xsi:type="dcterms:W3CDTF">2026-08-04T07:54:06Z</dcterms:modified>
</cp:coreProperties>
</file>