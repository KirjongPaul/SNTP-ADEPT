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_ТЕНДЕРЫ_М.Степаненко\2026-08_КР_Переход реки_Тюрюмин\"/>
    </mc:Choice>
  </mc:AlternateContent>
  <bookViews>
    <workbookView xWindow="240" yWindow="15" windowWidth="16095" windowHeight="9660"/>
  </bookViews>
  <sheets>
    <sheet name="Смета_№ЗАВЫШЕНО_КР Переход рек" sheetId="1" r:id="rId1"/>
  </sheets>
  <calcPr calcId="152511"/>
</workbook>
</file>

<file path=xl/calcChain.xml><?xml version="1.0" encoding="utf-8"?>
<calcChain xmlns="http://schemas.openxmlformats.org/spreadsheetml/2006/main">
  <c r="O103" i="1" l="1"/>
  <c r="O104" i="1" s="1"/>
  <c r="O90" i="1"/>
  <c r="O87" i="1"/>
  <c r="O84" i="1"/>
  <c r="O81" i="1"/>
  <c r="O78" i="1"/>
  <c r="O75" i="1"/>
  <c r="O72" i="1"/>
  <c r="O69" i="1"/>
  <c r="O66" i="1"/>
  <c r="O63" i="1"/>
  <c r="O60" i="1"/>
  <c r="O57" i="1"/>
  <c r="O54" i="1"/>
  <c r="O96" i="1" s="1"/>
  <c r="O97" i="1" s="1"/>
  <c r="O98" i="1" s="1"/>
  <c r="O52" i="1"/>
  <c r="O40" i="1"/>
  <c r="O37" i="1"/>
  <c r="O34" i="1"/>
  <c r="O31" i="1"/>
  <c r="O28" i="1"/>
  <c r="O25" i="1"/>
  <c r="O22" i="1"/>
  <c r="O18" i="1"/>
  <c r="O15" i="1"/>
  <c r="O44" i="1" s="1"/>
  <c r="O47" i="1" l="1"/>
  <c r="O46" i="1"/>
  <c r="O45" i="1"/>
  <c r="O48" i="1" s="1"/>
  <c r="O49" i="1" s="1"/>
  <c r="O105" i="1" s="1"/>
  <c r="O106" i="1" s="1"/>
  <c r="F108" i="1" s="1"/>
</calcChain>
</file>

<file path=xl/sharedStrings.xml><?xml version="1.0" encoding="utf-8"?>
<sst xmlns="http://schemas.openxmlformats.org/spreadsheetml/2006/main" count="310" uniqueCount="152">
  <si>
    <t>Адепт: Проект v 2026.4.0 © ООО"Адепт"</t>
  </si>
  <si>
    <t xml:space="preserve">форма №2П, 1/пр
</t>
  </si>
  <si>
    <t>на изыскательские работы</t>
  </si>
  <si>
    <t>"Капитальный ремонт линейной части магистрального нефтегазоконденсатопровода "Уренгой-Пур-Пэ" (инв. №594666), участок 20,6 - 20.7 км"</t>
  </si>
  <si>
    <t>(наименование вида инженерных изысканий)</t>
  </si>
  <si>
    <t/>
  </si>
  <si>
    <t>(наименование объекта капитального строительства)</t>
  </si>
  <si>
    <t>№ пп</t>
  </si>
  <si>
    <t>Наименование работ и затрат</t>
  </si>
  <si>
    <t>Обоснование стоимости</t>
  </si>
  <si>
    <t>Расчет стоимости</t>
  </si>
  <si>
    <t>Сметная стоимость в уровне цен, сложившемся на день составления сметной документации, руб.</t>
  </si>
  <si>
    <t>I. Полевые работы</t>
  </si>
  <si>
    <t>1.1</t>
  </si>
  <si>
    <t xml:space="preserve">Создание пунктов плановой опорной геодезической сети без закладки центров методом спутниковых геодезических определений: 2-го разряда в условиях выполнения полевых работ . Категория III. </t>
  </si>
  <si>
    <t>НЗ №812/пр. Работы по инженерно-геодезическим изысканиям (ИГДИ). 2024 г. Таблица 7. ПЗп. Затраты на полевые работы по созданию пунктов плановой опорной геодезической сети без закладки центров методом спутниковых геодезических определений, п.9
A = 47051 руб.;
Количество = 4 (1 пункт);</t>
  </si>
  <si>
    <t>A * Количество * Ктек
47051 руб. * 4 * 1.27</t>
  </si>
  <si>
    <t>Коэффициенты</t>
  </si>
  <si>
    <t>Коэфф. перехода в текущие цены</t>
  </si>
  <si>
    <t>Kтек = 1.27</t>
  </si>
  <si>
    <t>1.2</t>
  </si>
  <si>
    <t>A * Количество * Ктек * К3
47051 руб. * 4 * 1.27 * 0.5</t>
  </si>
  <si>
    <t xml:space="preserve">(К3) Стоимость полевых работ по созданию пунктов плановой опорной геодезической сети без закладки центров методом спутниковых геодезических определений, совмещенных с пунктами высотной опорной сети IV класса, созданных без закладки центров методом спутниковых геодезических определений, рассчитывается суммированием соответствующих показателей затрат на работы по созданию пунктов плановой опорной геодезической сети, приведенных в таблице 7 НЗ, и показателей затрат, умноженных на корректирующий коэффициент </t>
  </si>
  <si>
    <t>К3 = 0.5
Прим. к табл.7, п.1 (Ценообразующий)</t>
  </si>
  <si>
    <t>1.3</t>
  </si>
  <si>
    <t xml:space="preserve">Закладка центров (реперов) пунктов опорной геодезической сети с разработкой грунта вручную: глубиной до 2 метров включительно. Категория I. </t>
  </si>
  <si>
    <t>НЗ №812/пр. Работы по инженерно-геодезическим изысканиям (ИГДИ). 2024 г. Таблица 12. ПЗп. Затраты на полевые работы по закладке центров (реперов) пунктов опорной геодезической сети, п.7
A = 42258 руб.;
Количество = 4 (1 пункт);</t>
  </si>
  <si>
    <t>A * Количество * Ктек
42258 руб. * 4 * 1.27</t>
  </si>
  <si>
    <t>1.4</t>
  </si>
  <si>
    <t xml:space="preserve">Топографическая съемка тахеометрическим методом и сочетанием тахеометрического метода с методом спутниковых геодезических определений высотой сечения рельефа через 0.5 м метров. Застроенная территория. в масштабе 1:500 в условиях выполнения полевых работ. Категория II. </t>
  </si>
  <si>
    <t>НЗ №812/пр. Работы по инженерно-геодезическим изысканиям (ИГДИ). 2024 г. Таблица 18. ПЗп. Затраты на полевые работы по выполнению топографической съемки тахеометрическим методом и сочетанием тахеометрического метода с методом спутниковых геодезических определений в масштабах 1:500-1:2000 с высотой сечения рельефа через 0.5 метров, п.11
A = 38848 руб.;
Количество = 3 (1 гектар);</t>
  </si>
  <si>
    <t>A * Количество * Ктек
38848 руб. * 3 * 1.27</t>
  </si>
  <si>
    <t>1.5</t>
  </si>
  <si>
    <t xml:space="preserve">Топографическая съемка тахеометрическим методом и сочетанием тахеометрического метода с методом спутниковых геодезических определений высотой сечения рельефа через 0.5 м метров. Незастроенная территория. в масштабе 1:1000 в условиях выполнения полевых работ . Категория II. </t>
  </si>
  <si>
    <t>НЗ №812/пр. Работы по инженерно-геодезическим изысканиям (ИГДИ). 2024 г. Таблица 18. ПЗп. Затраты на полевые работы по выполнению топографической съемки тахеометрическим методом и сочетанием тахеометрического метода с методом спутниковых геодезических определений в масштабах 1:500-1:2000 с высотой сечения рельефа через 0.5 метров, п.5
A = 10958 руб.;
Количество = 5 (1 гектар);</t>
  </si>
  <si>
    <t>A * Количество * Ктек
10958 руб. * 5 * 1.27</t>
  </si>
  <si>
    <t>1.6</t>
  </si>
  <si>
    <t xml:space="preserve">Топографическая съемка тахеометрическим методом и сочетанием тахеометрического метода с методом спутниковых геодезических определений высотой сечения рельефа через 0.5 м метров. Незастроенная территория. в масштабе 1:2000 в условиях выполнения полевых работ. Категория II. </t>
  </si>
  <si>
    <t>НЗ №812/пр. Работы по инженерно-геодезическим изысканиям (ИГДИ). 2024 г. Таблица 18. ПЗп. Затраты на полевые работы по выполнению топографической съемки тахеометрическим методом и сочетанием тахеометрического метода с методом спутниковых геодезических определений в масштабах 1:500-1:2000 с высотой сечения рельефа через 0.5 метров, п.8
A = 4527 руб.;
Количество = 2 (1 гектар);</t>
  </si>
  <si>
    <t>A * Количество * Ктек
4527 руб. * 2 * 1.27</t>
  </si>
  <si>
    <t>1.7</t>
  </si>
  <si>
    <t xml:space="preserve">Поиск и съемка подземных инженерных коммуникаций при помощи трубокабелеискателя при количестве точек подземных инженерных коммуникаций на 1 гектар снимаемого участка: до 6 включительно. </t>
  </si>
  <si>
    <t>НЗ №812/пр. Работы по инженерно-геодезическим изысканиям (ИГДИ). 2024 г. Таблица 46. ПЗп. Затраты на полевые работы по поиску и съемке подземных инженерных коммуникаций при помощи трубокабелеискателя, п.1
A = 16030 руб.;
Количество = 10 (1 гектар);</t>
  </si>
  <si>
    <t>A * Количество * Ктек
16030 руб. * 10 * 1.27</t>
  </si>
  <si>
    <t>1.8</t>
  </si>
  <si>
    <t xml:space="preserve">Привязка инженерно-геологических выработок, геофизических гидрогеологических точек наблюдения: при расстоянии между точками от 200 (двухсот) до 350 (трехсот пятидесяти) метров включительно, в условиях выполнения полевых работ . Категория II. </t>
  </si>
  <si>
    <t>НЗ №812/пр. Работы по инженерно-геодезическим изысканиям (ИГДИ). 2024 г. Таблица 55. ПЗп. Затраты на полевые работы по привязке инженерно-геологических выработок, геофизических и гидрогеологических точек наблюдения, п.11
A = 10529 руб.;
Количество = 6 (1 точка);</t>
  </si>
  <si>
    <t>A * Количество * Ктек
10529 руб. * 6 * 1.27</t>
  </si>
  <si>
    <t>1.9</t>
  </si>
  <si>
    <t>A * Количество * Ктек * Kт1
10529 руб. * 6 * 1.27 * 0.5</t>
  </si>
  <si>
    <t xml:space="preserve">Стоимость полевых работ по созданию пунктов плановой опорной геодезической сети без закладки центров методом спутниковых геодезических определений, совмещенных с пунктами высотной опорной сети IV класса, созданных без закладки центров методом спутниковых геодезических определений, рассчитывается суммированием соответствующих показателей затрат на работы по созданию пунктов плановой опорной геодезической сети, приведенных в таблице 7 НЗ, и показателей затрат, приведенных в пунктах 7 - 9 таблицы 7 НЗ, умноженных на корректирующий коэффициент (К3) </t>
  </si>
  <si>
    <t>Kт1 = 0.5
Прим. к табл.7, п.1 (Ценообразующий)</t>
  </si>
  <si>
    <t>Итого по разделу I</t>
  </si>
  <si>
    <t>1.11</t>
  </si>
  <si>
    <t>Дополнительные затраты на производство полевых работ в неблагоприятный период года. Продолжительность неблагоприятного периода года от 7.0 до 7.9 месяцев.</t>
  </si>
  <si>
    <t>НЗ №812/пр. Работы по инженерно-геодезическим изысканиям (ИГДИ) (Глава 2, табл.2)</t>
  </si>
  <si>
    <t>40% от п.1.10</t>
  </si>
  <si>
    <t>1.12</t>
  </si>
  <si>
    <t>Дополнительные затраты на внешний транспорт. Расстояние от места постоянной работы работников до участка проведения полевых работ от 1 000 до 2 000 км включительно. Стоимость полевых работ свыше 3 000 тысяч рублей.</t>
  </si>
  <si>
    <t>НЗ №812/пр. Работы по инженерно-геодезическим изысканиям (ИГДИ) (Глава 2, табл.3)</t>
  </si>
  <si>
    <t>8.2% от п.1.10</t>
  </si>
  <si>
    <t>1.13</t>
  </si>
  <si>
    <t>Дополнительные затраты на организацию полевых работ. Расстояние от места постоянной работы работников до участка проведения полевых работ от 1 000 до 2 000 км включительно. Стоимость полевых работ свыше 3 000 тысяч рублей.</t>
  </si>
  <si>
    <t>НЗ №812/пр. Работы по инженерно-геодезическим изысканиям (ИГДИ) (Глава 2, табл.4)</t>
  </si>
  <si>
    <t>7.7% от п.1.10</t>
  </si>
  <si>
    <t>1.14</t>
  </si>
  <si>
    <t>Дополнительные затраты на районные выплаты работникам, осуществляющим производство полевых работ</t>
  </si>
  <si>
    <t>НЗ №812/пр. Работы по инженерно-геодезическим изысканиям (ИГДИ) (Глава 2, п.33)</t>
  </si>
  <si>
    <t>Коэф-т 1.25 от п.1.10-1.13</t>
  </si>
  <si>
    <t>Всего по разделу I</t>
  </si>
  <si>
    <t>II. Лабораторные работы</t>
  </si>
  <si>
    <t>Итого по разделу II</t>
  </si>
  <si>
    <t>Всего по разделу II</t>
  </si>
  <si>
    <t>III. Камеральные работы</t>
  </si>
  <si>
    <t>3.1</t>
  </si>
  <si>
    <t>Камеральная обработка результатов измерений, выполненных при создании пунктов плановой опорной геодезической сети 4-го класса, 1-го и 2-го разрядов</t>
  </si>
  <si>
    <t>НЗ №812/пр. Работы по инженерно-геодезическим изысканиям (ИГДИ). 2024 г. Таблица 16. ПЗк. Работы по камеральной обработке результатов измерений, выполненных при создании пунктов плановой опорной геодезической сети и создании нивелирных пунктов высотной опорной геодезической сети, п.1
A = 1714 руб.;
Количество = 4 (1 пункт);</t>
  </si>
  <si>
    <t>A * Количество * Ктек
1714 руб. * 4 * 1.27</t>
  </si>
  <si>
    <t>3.2</t>
  </si>
  <si>
    <t>Камеральная обработка результатов измерений, выполненных при создании нивелирных пунктов высотной опорной геодезической сети III и IV классов</t>
  </si>
  <si>
    <t>НЗ №812/пр. Работы по инженерно-геодезическим изысканиям (ИГДИ). 2024 г. Таблица 16. ПЗк. Работы по камеральной обработке результатов измерений, выполненных при создании пунктов плановой опорной геодезической сети и создании нивелирных пунктов высотной опорной геодезической сети, п.3
A = 1844 руб.;
Количество = 4 (1 пункт);</t>
  </si>
  <si>
    <t>A * Количество * Ктек
1844 руб. * 4 * 1.27</t>
  </si>
  <si>
    <t>3.3</t>
  </si>
  <si>
    <t xml:space="preserve">Создание инженерно-топографических планов в масштабе 1:500. Застроенная территория. для условий выполнения полевых работ категории II. Площадь участка до 10 гектаров включительно. </t>
  </si>
  <si>
    <t>НЗ №812/пр. Работы по инженерно-геодезическим изысканиям (ИГДИ). 2024 г. Таблица 47. ПЗ1к, ПЗ2к. Затраты на камеральные работы по созданию инженерно-топографических планов в масштабе 1:500, п.17
ПЗ1к = 2 556 руб.;
ПЗ2к = 4 071 руб.;
Sсъемки = 3 (1 гектар);
Количество = 1;</t>
  </si>
  <si>
    <t>(ПЗ1к + ПЗ2к * Sсъемки) * Количество * Ктек
(2 556 руб. + 4 071 руб. * 3) * 1 * 1.27</t>
  </si>
  <si>
    <t>3.4</t>
  </si>
  <si>
    <t xml:space="preserve">Создание инженерно-топографических планов в масштабе 1:1000. Застроенная территория. для условий выполнения полевых работ категории II. Площадь участка до 10 гектаров включительно. </t>
  </si>
  <si>
    <t>НЗ №812/пр. Работы по инженерно-геодезическим изысканиям (ИГДИ). 2024 г. Таблица 48. ПЗ1к, ПЗ2к. Затраты на камеральные работы по созданию инженерно-топографических планов в масштабе 1:1000, п.17
ПЗ1к = 1 013 руб.;
ПЗ2к = 1 673 руб.;
Sсъемки = 5 (1 гектар);
Количество = 1;</t>
  </si>
  <si>
    <t>(ПЗ1к + ПЗ2к * Sсъемки) * Количество * Ктек
(1 013 руб. + 1 673 руб. * 5) * 1 * 1.27</t>
  </si>
  <si>
    <t>3.5</t>
  </si>
  <si>
    <t xml:space="preserve">Создание инженерно-топографических планов в масштабе 1:2000. Застроенная территория. для условий выполнения полевых работ категории II. Площадь участка до 10 гектаров включительно. </t>
  </si>
  <si>
    <t>НЗ №812/пр. Работы по инженерно-геодезическим изысканиям (ИГДИ). 2024 г. Таблица 49. ПЗ1к, ПЗ2к. Затраты на камеральные работы по созданию инженерно-топографических планов в масштабе 1:2000, п.17
ПЗ1к = 689 руб.;
ПЗ2к = 1 089 руб.;
Sсъемки = 2 (1 гектар);
Количество = 1;</t>
  </si>
  <si>
    <t>(ПЗ1к + ПЗ2к * Sсъемки) * Количество * Ктек
(689 руб. + 1 089 руб. * 2) * 1 * 1.27</t>
  </si>
  <si>
    <t>3.6</t>
  </si>
  <si>
    <t xml:space="preserve">Нанесение подземных инженерных коммуникаций с их техническими характеристиками на инженерно-топографический план в масштабе 1:500: при количестве подземных инженерных коммуникаций по назначению на участке, подлежащем топографической съемке от 3 (трех) до 8 восьми включительно. до 10 гектаров включительно. </t>
  </si>
  <si>
    <t>НЗ №812/пр. Работы по инженерно-геодезическим изысканиям (ИГДИ). 2024 г. Таблица 51. ПЗ1к, ПЗ2к. Затраты на камеральные работы по нанесению подземных инженерных коммуникаций с их техническими характеристиками на инженерно-топографический план в масштабе 1:500, п.7
ПЗ1к = 643 руб.;
ПЗ2к = 1 018 руб.;
Sсъемки = 3 (1 гектар);
Количество = 1;</t>
  </si>
  <si>
    <t>(ПЗ1к + ПЗ2к * Sсъемки) * Количество * Ктек
(643 руб. + 1 018 руб. * 3) * 1 * 1.27</t>
  </si>
  <si>
    <t>3.7</t>
  </si>
  <si>
    <t xml:space="preserve">Нанесение подземных инженерных коммуникаций с их техническими характеристиками на инженерно-топографический план в масштабе 1:1000: при количестве подземных инженерных коммуникаций по назначению на участке, подлежащем топографической съемке от 3 (трех) до 8 восьми включительно. до 10 гектаров включительно. </t>
  </si>
  <si>
    <t>НЗ №812/пр. Работы по инженерно-геодезическим изысканиям (ИГДИ). 2024 г. Таблица 52. ПЗ1к, ПЗ2к. Затраты на камеральные работы по нанесению подземных инженерных коммуникаций с их техническими характеристиками на инженерно-топографический план в масштабе 1:1000, п.7
ПЗ1к = 326 руб.;
ПЗ2к = 515 руб.;
Sсъемки = 5 (1 гектар);
Количество = 1;</t>
  </si>
  <si>
    <t>(ПЗ1к + ПЗ2к * Sсъемки) * Количество * Ктек
(326 руб. + 515 руб. * 5) * 1 * 1.27</t>
  </si>
  <si>
    <t>3.8</t>
  </si>
  <si>
    <t xml:space="preserve">Нанесение подземных инженерных коммуникаций с их техническими характеристиками на инженерно-топографический план в масштабе 1:2000: при количестве подземных инженерных коммуникаций по назначению на участке, подлежащем топографической съемке от 3 (трех) до 8 восьми включительно. до 10 гектаров включительно. </t>
  </si>
  <si>
    <t>НЗ №812/пр. Работы по инженерно-геодезическим изысканиям (ИГДИ). 2024 г. Таблица 53. ПЗ1к, ПЗ2к. Затраты на камеральные работы по нанесению подземных инженерных коммуникаций с их техническими характеристиками на инженерно-топографический план в масштабе 1:2000, п.7
ПЗ1к = 151 руб.;
ПЗ2к = 250 руб.;
Sсъемки = 2 (1 гектар);
Количество = 1;</t>
  </si>
  <si>
    <t>(ПЗ1к + ПЗ2к * Sсъемки) * Количество * Ктек
(151 руб. + 250 руб. * 2) * 1 * 1.27</t>
  </si>
  <si>
    <t>3.9</t>
  </si>
  <si>
    <t xml:space="preserve">Согласование нанесения на инженерно-топографический план подземных инженерных коммуникаций и их технических характеристик с собственниками (эксплуатирующими организациями): известными. </t>
  </si>
  <si>
    <t>НЗ №812/пр. Работы по инженерно-геодезическим изысканиям (ИГДИ). 2024 г. Таблица 82. ПЗк. Затраты на камеральные работы по согласованию нанесения на инженерно-топографический план подземных инженерных коммуникаций и их технических характеристик с собственниками (эксплуатирующими организациями), п.1
A = 21451 руб.;
Количество = 1 (1 собственник (эксплуатирующая организация));</t>
  </si>
  <si>
    <t>A * Количество * Ктек
21451 руб. * 1 * 1.27</t>
  </si>
  <si>
    <t>3.10</t>
  </si>
  <si>
    <t xml:space="preserve">Подготовка продольного профиля местности, по которому проходит проектируемая трасса в масштабах (горизонтальном 1:5000, вертикальном 1:500), при условиях производства полевых работ категории сложности: II. </t>
  </si>
  <si>
    <t>НЗ №812/пр. Работы по инженерно-геодезическим изысканиям (ИГДИ). 2024 г. Таблица 64. ПЗк. Затраты на камеральные работы при выполнении работ по трассированию сетей инженерно-технического обеспечения, п.5
A = 1289 руб.;
Количество = 1 (1 километр);</t>
  </si>
  <si>
    <t>A * Количество * Ктек
1289 руб. * 1 * 1.27</t>
  </si>
  <si>
    <t>3.11</t>
  </si>
  <si>
    <t>Подготовка схемы установки реперов и закрепления оси трассы закрепительными и выносными знаками</t>
  </si>
  <si>
    <t>НЗ №812/пр. Работы по инженерно-геодезическим изысканиям (ИГДИ). 2024 г. Таблица 64. ПЗк. Затраты на камеральные работы при выполнении работ по трассированию сетей инженерно-технического обеспечения, п.7
A = 212 руб.;
Количество = 1 (1 километр);</t>
  </si>
  <si>
    <t>A * Количество * Ктек
212 руб. * 1 * 1.27</t>
  </si>
  <si>
    <t>3.12</t>
  </si>
  <si>
    <t>Подготовка ведомостей углов поворота, прямых и кривых (прямых и углов)</t>
  </si>
  <si>
    <t>НЗ №812/пр. Работы по инженерно-геодезическим изысканиям (ИГДИ). 2024 г. Таблица 64. ПЗк. Затраты на камеральные работы при выполнении работ по трассированию сетей инженерно-технического обеспечения, п.8
A = 49 руб.;
Количество = 5 (1 угол);</t>
  </si>
  <si>
    <t>A * Количество * Ктек
49 руб. * 5 * 1.27</t>
  </si>
  <si>
    <t>3.13</t>
  </si>
  <si>
    <t>Подготовка ведомости пересекаемых угодий и лесов, водотоков, автомобильных и железных дорог, надземных и подземных сооружений, заболоченных и косогорных участков</t>
  </si>
  <si>
    <t>НЗ №812/пр. Работы по инженерно-геодезическим изысканиям (ИГДИ). 2024 г. Таблица 64. ПЗк. Затраты на камеральные работы при выполнении работ по трассированию сетей инженерно-технического обеспечения, п.10
A = 54 руб.;
Количество = 5 (1 пересечение);</t>
  </si>
  <si>
    <t>A * Количество * Ктек
54 руб. * 5 * 1.27</t>
  </si>
  <si>
    <t>3.14</t>
  </si>
  <si>
    <t>Составление технического отчета по результатам выполнения работ по ИГДИ при общей стоимости полевых и камеральных работ, определенной по показателям затрат, приведенным в НЗ, тысяч рублей:</t>
  </si>
  <si>
    <t>НЗ №812/пр. Работы по инженерно-геодезическим изысканиям (ИГДИ). 2024 г. Таблица 81. ПЗк. Затраты на камеральные работы по составлению технического отчета по результатам выполнения работ по ИГДИ, п.3
Aпред = 76 000 руб.; Aслед = 76 000 руб.;
Xпред = 1 000 тыс. руб.; Xслед = 1 000 тыс. руб.; 
X = 1 000 тыс. руб.;
Количество = 1;</t>
  </si>
  <si>
    <t>A * Количество * Ктек
76 000 руб. * 1 * 1.27</t>
  </si>
  <si>
    <t>Итого по разделу III</t>
  </si>
  <si>
    <t>3.16</t>
  </si>
  <si>
    <t>Дополнительные затраты на районные выплаты работникам, осуществляющим производство камеральных работ</t>
  </si>
  <si>
    <t>НЗ №812/пр. Работы по инженерно-геодезическим изысканиям (ИГДИ) (Глава 2, п.40)</t>
  </si>
  <si>
    <t>Коэф-т 1.08 от п.3.15</t>
  </si>
  <si>
    <t>Всего по разделу III</t>
  </si>
  <si>
    <t>IV. Дополнительные и специальные работы</t>
  </si>
  <si>
    <t>4.1</t>
  </si>
  <si>
    <t>Составление программы инженерно-геодезических изысканий при общей стоимости полевых и камеральных работ, определенной по показателям затрат, приведенным в НЗ, тысяч рублей:</t>
  </si>
  <si>
    <t>НЗ №812/пр. Работы по инженерно-геодезическим изысканиям (ИГДИ). 2024 г. Таблица 80. ПЗк. Затраты на камеральные работы по составлению программы инженерно-геодезических изысканий, п.3
Aпред = 36 839 руб.; Aслед = 36 839 руб.;
Xпред = 1 000 тыс. руб.; Xслед = 1 000 тыс. руб.; 
X = 1 000 тыс. руб.;
Количество = 1;</t>
  </si>
  <si>
    <t>A * Количество * Ктек
36 839 руб. * 1 * 1.27</t>
  </si>
  <si>
    <t>Итого по разделу IV</t>
  </si>
  <si>
    <t>Всего по разделу IV</t>
  </si>
  <si>
    <t>5</t>
  </si>
  <si>
    <t>Итого по смете:</t>
  </si>
  <si>
    <t>6</t>
  </si>
  <si>
    <t>Всего по смете:</t>
  </si>
  <si>
    <t>Всего по смете (руб.):</t>
  </si>
  <si>
    <t>Составил</t>
  </si>
  <si>
    <t>должность, подпись (инициалы, фамилия)</t>
  </si>
  <si>
    <t>Проверил</t>
  </si>
  <si>
    <t>СМЕТА №1.1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</si>
</sst>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0"/>
      <name val="Arial"/>
    </font>
    <font>
      <sz val="7"/>
      <name val="Arial"/>
    </font>
    <font>
      <b/>
      <sz val="10"/>
      <name val="Arial"/>
    </font>
    <font>
      <i/>
      <sz val="1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4" fontId="1" fillId="0" borderId="2" xfId="0" applyNumberFormat="1" applyFont="1" applyBorder="1" applyAlignment="1">
      <alignment horizontal="right" vertical="top" wrapText="1"/>
    </xf>
    <xf numFmtId="0" fontId="3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4" fontId="3" fillId="0" borderId="1" xfId="0" applyNumberFormat="1" applyFont="1" applyBorder="1" applyAlignment="1">
      <alignment horizontal="right" vertical="top" wrapText="1"/>
    </xf>
    <xf numFmtId="0" fontId="1" fillId="0" borderId="1" xfId="0" applyFont="1" applyBorder="1" applyAlignment="1">
      <alignment horizontal="left" vertical="top" wrapText="1"/>
    </xf>
    <xf numFmtId="4" fontId="1" fillId="0" borderId="1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4" fontId="1" fillId="0" borderId="0" xfId="0" applyNumberFormat="1" applyFont="1" applyAlignment="1">
      <alignment horizontal="left" vertical="top" wrapText="1"/>
    </xf>
    <xf numFmtId="0" fontId="1" fillId="0" borderId="4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14"/>
  <sheetViews>
    <sheetView tabSelected="1" showRuler="0" workbookViewId="0">
      <selection activeCell="K12" sqref="K12:N12"/>
    </sheetView>
  </sheetViews>
  <sheetFormatPr defaultRowHeight="15" x14ac:dyDescent="0.25"/>
  <cols>
    <col min="1" max="1" width="6.42578125" style="1" customWidth="1"/>
    <col min="2" max="50" width="8" style="1" customWidth="1"/>
  </cols>
  <sheetData>
    <row r="1" spans="1:16" ht="27.2" customHeight="1" x14ac:dyDescent="0.25">
      <c r="A1" s="7" t="s">
        <v>0</v>
      </c>
      <c r="B1" s="7"/>
      <c r="C1" s="7"/>
      <c r="D1" s="7"/>
      <c r="E1" s="8" t="s">
        <v>1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5" customHeight="1" x14ac:dyDescent="0.25"/>
    <row r="3" spans="1:16" ht="15" customHeight="1" x14ac:dyDescent="0.25">
      <c r="A3" s="9" t="s">
        <v>151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ht="15" customHeight="1" x14ac:dyDescent="0.25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 ht="15" customHeight="1" x14ac:dyDescent="0.25"/>
    <row r="6" spans="1:16" ht="15" customHeight="1" x14ac:dyDescent="0.25">
      <c r="A6" s="9" t="s">
        <v>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16" ht="15" customHeight="1" x14ac:dyDescent="0.25">
      <c r="A7" s="11" t="s">
        <v>4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spans="1:16" ht="15" customHeight="1" x14ac:dyDescent="0.25"/>
    <row r="9" spans="1:16" ht="15" customHeight="1" x14ac:dyDescent="0.25">
      <c r="A9" s="9" t="s">
        <v>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16" ht="15" customHeight="1" x14ac:dyDescent="0.25">
      <c r="A10" s="11" t="s">
        <v>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spans="1:16" ht="15" customHeight="1" x14ac:dyDescent="0.25"/>
    <row r="12" spans="1:16" ht="122.45" customHeight="1" x14ac:dyDescent="0.25">
      <c r="A12" s="2" t="s">
        <v>7</v>
      </c>
      <c r="B12" s="12" t="s">
        <v>8</v>
      </c>
      <c r="C12" s="12"/>
      <c r="D12" s="12"/>
      <c r="E12" s="12"/>
      <c r="F12" s="12"/>
      <c r="G12" s="12" t="s">
        <v>9</v>
      </c>
      <c r="H12" s="12"/>
      <c r="I12" s="12"/>
      <c r="J12" s="12"/>
      <c r="K12" s="12" t="s">
        <v>10</v>
      </c>
      <c r="L12" s="12"/>
      <c r="M12" s="12"/>
      <c r="N12" s="12"/>
      <c r="O12" s="12" t="s">
        <v>11</v>
      </c>
      <c r="P12" s="12"/>
    </row>
    <row r="13" spans="1:16" ht="15" customHeight="1" x14ac:dyDescent="0.25">
      <c r="A13" s="2">
        <v>1</v>
      </c>
      <c r="B13" s="12">
        <v>2</v>
      </c>
      <c r="C13" s="12"/>
      <c r="D13" s="12"/>
      <c r="E13" s="12"/>
      <c r="F13" s="12"/>
      <c r="G13" s="12">
        <v>3</v>
      </c>
      <c r="H13" s="12"/>
      <c r="I13" s="12"/>
      <c r="J13" s="12"/>
      <c r="K13" s="12">
        <v>4</v>
      </c>
      <c r="L13" s="12"/>
      <c r="M13" s="12"/>
      <c r="N13" s="12"/>
      <c r="O13" s="12">
        <v>5</v>
      </c>
      <c r="P13" s="12"/>
    </row>
    <row r="14" spans="1:16" ht="15" customHeight="1" x14ac:dyDescent="0.25">
      <c r="A14" s="3"/>
      <c r="B14" s="13" t="s">
        <v>12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spans="1:16" ht="135.94999999999999" customHeight="1" x14ac:dyDescent="0.25">
      <c r="A15" s="4" t="s">
        <v>13</v>
      </c>
      <c r="B15" s="14" t="s">
        <v>14</v>
      </c>
      <c r="C15" s="15"/>
      <c r="D15" s="15"/>
      <c r="E15" s="15"/>
      <c r="F15" s="15"/>
      <c r="G15" s="15" t="s">
        <v>15</v>
      </c>
      <c r="H15" s="15"/>
      <c r="I15" s="15"/>
      <c r="J15" s="15"/>
      <c r="K15" s="15" t="s">
        <v>16</v>
      </c>
      <c r="L15" s="15"/>
      <c r="M15" s="15"/>
      <c r="N15" s="15"/>
      <c r="O15" s="16">
        <f>ROUND(47051 * 4 * 1.27, 2)</f>
        <v>239019.08</v>
      </c>
      <c r="P15" s="15"/>
    </row>
    <row r="16" spans="1:16" ht="15" customHeight="1" x14ac:dyDescent="0.25">
      <c r="A16" s="5"/>
      <c r="B16" s="17" t="s">
        <v>17</v>
      </c>
      <c r="C16" s="17"/>
      <c r="D16" s="17"/>
      <c r="E16" s="17"/>
      <c r="F16" s="17"/>
      <c r="G16" s="17" t="s">
        <v>5</v>
      </c>
      <c r="H16" s="17"/>
      <c r="I16" s="17"/>
      <c r="J16" s="17"/>
      <c r="K16" s="17" t="s">
        <v>5</v>
      </c>
      <c r="L16" s="17"/>
      <c r="M16" s="17"/>
      <c r="N16" s="17"/>
      <c r="O16" s="17"/>
      <c r="P16" s="17"/>
    </row>
    <row r="17" spans="1:16" ht="15" customHeight="1" x14ac:dyDescent="0.25">
      <c r="A17" s="6"/>
      <c r="B17" s="18" t="s">
        <v>18</v>
      </c>
      <c r="C17" s="18"/>
      <c r="D17" s="18"/>
      <c r="E17" s="18"/>
      <c r="F17" s="18"/>
      <c r="G17" s="18" t="s">
        <v>19</v>
      </c>
      <c r="H17" s="18"/>
      <c r="I17" s="18"/>
      <c r="J17" s="18"/>
      <c r="K17" s="18" t="s">
        <v>5</v>
      </c>
      <c r="L17" s="18"/>
      <c r="M17" s="18"/>
      <c r="N17" s="18"/>
      <c r="O17" s="18"/>
      <c r="P17" s="18"/>
    </row>
    <row r="18" spans="1:16" ht="135.94999999999999" customHeight="1" x14ac:dyDescent="0.25">
      <c r="A18" s="4" t="s">
        <v>20</v>
      </c>
      <c r="B18" s="14" t="s">
        <v>14</v>
      </c>
      <c r="C18" s="15"/>
      <c r="D18" s="15"/>
      <c r="E18" s="15"/>
      <c r="F18" s="15"/>
      <c r="G18" s="15" t="s">
        <v>15</v>
      </c>
      <c r="H18" s="15"/>
      <c r="I18" s="15"/>
      <c r="J18" s="15"/>
      <c r="K18" s="15" t="s">
        <v>21</v>
      </c>
      <c r="L18" s="15"/>
      <c r="M18" s="15"/>
      <c r="N18" s="15"/>
      <c r="O18" s="16">
        <f>ROUND(47051 * 4 * 1.27 * 0.5, 2)</f>
        <v>119509.54</v>
      </c>
      <c r="P18" s="15"/>
    </row>
    <row r="19" spans="1:16" ht="15" customHeight="1" x14ac:dyDescent="0.25">
      <c r="A19" s="5"/>
      <c r="B19" s="17" t="s">
        <v>17</v>
      </c>
      <c r="C19" s="17"/>
      <c r="D19" s="17"/>
      <c r="E19" s="17"/>
      <c r="F19" s="17"/>
      <c r="G19" s="17" t="s">
        <v>5</v>
      </c>
      <c r="H19" s="17"/>
      <c r="I19" s="17"/>
      <c r="J19" s="17"/>
      <c r="K19" s="17" t="s">
        <v>5</v>
      </c>
      <c r="L19" s="17"/>
      <c r="M19" s="17"/>
      <c r="N19" s="17"/>
      <c r="O19" s="17"/>
      <c r="P19" s="17"/>
    </row>
    <row r="20" spans="1:16" ht="15" customHeight="1" x14ac:dyDescent="0.25">
      <c r="A20" s="6"/>
      <c r="B20" s="18" t="s">
        <v>18</v>
      </c>
      <c r="C20" s="18"/>
      <c r="D20" s="18"/>
      <c r="E20" s="18"/>
      <c r="F20" s="18"/>
      <c r="G20" s="18" t="s">
        <v>19</v>
      </c>
      <c r="H20" s="18"/>
      <c r="I20" s="18"/>
      <c r="J20" s="18"/>
      <c r="K20" s="18" t="s">
        <v>5</v>
      </c>
      <c r="L20" s="18"/>
      <c r="M20" s="18"/>
      <c r="N20" s="18"/>
      <c r="O20" s="18"/>
      <c r="P20" s="18"/>
    </row>
    <row r="21" spans="1:16" ht="190.35" customHeight="1" x14ac:dyDescent="0.25">
      <c r="A21" s="6"/>
      <c r="B21" s="18" t="s">
        <v>22</v>
      </c>
      <c r="C21" s="18"/>
      <c r="D21" s="18"/>
      <c r="E21" s="18"/>
      <c r="F21" s="18"/>
      <c r="G21" s="18" t="s">
        <v>23</v>
      </c>
      <c r="H21" s="18"/>
      <c r="I21" s="18"/>
      <c r="J21" s="18"/>
      <c r="K21" s="18" t="s">
        <v>5</v>
      </c>
      <c r="L21" s="18"/>
      <c r="M21" s="18"/>
      <c r="N21" s="18"/>
      <c r="O21" s="18"/>
      <c r="P21" s="18"/>
    </row>
    <row r="22" spans="1:16" ht="108.75" customHeight="1" x14ac:dyDescent="0.25">
      <c r="A22" s="4" t="s">
        <v>24</v>
      </c>
      <c r="B22" s="14" t="s">
        <v>25</v>
      </c>
      <c r="C22" s="15"/>
      <c r="D22" s="15"/>
      <c r="E22" s="15"/>
      <c r="F22" s="15"/>
      <c r="G22" s="15" t="s">
        <v>26</v>
      </c>
      <c r="H22" s="15"/>
      <c r="I22" s="15"/>
      <c r="J22" s="15"/>
      <c r="K22" s="15" t="s">
        <v>27</v>
      </c>
      <c r="L22" s="15"/>
      <c r="M22" s="15"/>
      <c r="N22" s="15"/>
      <c r="O22" s="16">
        <f>ROUND(42258 * 4 * 1.27, 2)</f>
        <v>214670.64</v>
      </c>
      <c r="P22" s="15"/>
    </row>
    <row r="23" spans="1:16" ht="15" customHeight="1" x14ac:dyDescent="0.25">
      <c r="A23" s="5"/>
      <c r="B23" s="17" t="s">
        <v>17</v>
      </c>
      <c r="C23" s="17"/>
      <c r="D23" s="17"/>
      <c r="E23" s="17"/>
      <c r="F23" s="17"/>
      <c r="G23" s="17" t="s">
        <v>5</v>
      </c>
      <c r="H23" s="17"/>
      <c r="I23" s="17"/>
      <c r="J23" s="17"/>
      <c r="K23" s="17" t="s">
        <v>5</v>
      </c>
      <c r="L23" s="17"/>
      <c r="M23" s="17"/>
      <c r="N23" s="17"/>
      <c r="O23" s="17"/>
      <c r="P23" s="17"/>
    </row>
    <row r="24" spans="1:16" ht="15" customHeight="1" x14ac:dyDescent="0.25">
      <c r="A24" s="6"/>
      <c r="B24" s="18" t="s">
        <v>18</v>
      </c>
      <c r="C24" s="18"/>
      <c r="D24" s="18"/>
      <c r="E24" s="18"/>
      <c r="F24" s="18"/>
      <c r="G24" s="18" t="s">
        <v>19</v>
      </c>
      <c r="H24" s="18"/>
      <c r="I24" s="18"/>
      <c r="J24" s="18"/>
      <c r="K24" s="18" t="s">
        <v>5</v>
      </c>
      <c r="L24" s="18"/>
      <c r="M24" s="18"/>
      <c r="N24" s="18"/>
      <c r="O24" s="18"/>
      <c r="P24" s="18"/>
    </row>
    <row r="25" spans="1:16" ht="190.35" customHeight="1" x14ac:dyDescent="0.25">
      <c r="A25" s="4" t="s">
        <v>28</v>
      </c>
      <c r="B25" s="14" t="s">
        <v>29</v>
      </c>
      <c r="C25" s="15"/>
      <c r="D25" s="15"/>
      <c r="E25" s="15"/>
      <c r="F25" s="15"/>
      <c r="G25" s="15" t="s">
        <v>30</v>
      </c>
      <c r="H25" s="15"/>
      <c r="I25" s="15"/>
      <c r="J25" s="15"/>
      <c r="K25" s="15" t="s">
        <v>31</v>
      </c>
      <c r="L25" s="15"/>
      <c r="M25" s="15"/>
      <c r="N25" s="15"/>
      <c r="O25" s="16">
        <f>ROUND(38848 * 3 * 1.27, 2)</f>
        <v>148010.88</v>
      </c>
      <c r="P25" s="15"/>
    </row>
    <row r="26" spans="1:16" ht="15" customHeight="1" x14ac:dyDescent="0.25">
      <c r="A26" s="5"/>
      <c r="B26" s="17" t="s">
        <v>17</v>
      </c>
      <c r="C26" s="17"/>
      <c r="D26" s="17"/>
      <c r="E26" s="17"/>
      <c r="F26" s="17"/>
      <c r="G26" s="17" t="s">
        <v>5</v>
      </c>
      <c r="H26" s="17"/>
      <c r="I26" s="17"/>
      <c r="J26" s="17"/>
      <c r="K26" s="17" t="s">
        <v>5</v>
      </c>
      <c r="L26" s="17"/>
      <c r="M26" s="17"/>
      <c r="N26" s="17"/>
      <c r="O26" s="17"/>
      <c r="P26" s="17"/>
    </row>
    <row r="27" spans="1:16" ht="15" customHeight="1" x14ac:dyDescent="0.25">
      <c r="A27" s="6"/>
      <c r="B27" s="18" t="s">
        <v>18</v>
      </c>
      <c r="C27" s="18"/>
      <c r="D27" s="18"/>
      <c r="E27" s="18"/>
      <c r="F27" s="18"/>
      <c r="G27" s="18" t="s">
        <v>19</v>
      </c>
      <c r="H27" s="18"/>
      <c r="I27" s="18"/>
      <c r="J27" s="18"/>
      <c r="K27" s="18" t="s">
        <v>5</v>
      </c>
      <c r="L27" s="18"/>
      <c r="M27" s="18"/>
      <c r="N27" s="18"/>
      <c r="O27" s="18"/>
      <c r="P27" s="18"/>
    </row>
    <row r="28" spans="1:16" ht="190.35" customHeight="1" x14ac:dyDescent="0.25">
      <c r="A28" s="4" t="s">
        <v>32</v>
      </c>
      <c r="B28" s="14" t="s">
        <v>33</v>
      </c>
      <c r="C28" s="15"/>
      <c r="D28" s="15"/>
      <c r="E28" s="15"/>
      <c r="F28" s="15"/>
      <c r="G28" s="15" t="s">
        <v>34</v>
      </c>
      <c r="H28" s="15"/>
      <c r="I28" s="15"/>
      <c r="J28" s="15"/>
      <c r="K28" s="15" t="s">
        <v>35</v>
      </c>
      <c r="L28" s="15"/>
      <c r="M28" s="15"/>
      <c r="N28" s="15"/>
      <c r="O28" s="16">
        <f>ROUND(10958 * 5 * 1.27, 2)</f>
        <v>69583.3</v>
      </c>
      <c r="P28" s="15"/>
    </row>
    <row r="29" spans="1:16" ht="15" customHeight="1" x14ac:dyDescent="0.25">
      <c r="A29" s="5"/>
      <c r="B29" s="17" t="s">
        <v>17</v>
      </c>
      <c r="C29" s="17"/>
      <c r="D29" s="17"/>
      <c r="E29" s="17"/>
      <c r="F29" s="17"/>
      <c r="G29" s="17" t="s">
        <v>5</v>
      </c>
      <c r="H29" s="17"/>
      <c r="I29" s="17"/>
      <c r="J29" s="17"/>
      <c r="K29" s="17" t="s">
        <v>5</v>
      </c>
      <c r="L29" s="17"/>
      <c r="M29" s="17"/>
      <c r="N29" s="17"/>
      <c r="O29" s="17"/>
      <c r="P29" s="17"/>
    </row>
    <row r="30" spans="1:16" ht="15" customHeight="1" x14ac:dyDescent="0.25">
      <c r="A30" s="6"/>
      <c r="B30" s="18" t="s">
        <v>18</v>
      </c>
      <c r="C30" s="18"/>
      <c r="D30" s="18"/>
      <c r="E30" s="18"/>
      <c r="F30" s="18"/>
      <c r="G30" s="18" t="s">
        <v>19</v>
      </c>
      <c r="H30" s="18"/>
      <c r="I30" s="18"/>
      <c r="J30" s="18"/>
      <c r="K30" s="18" t="s">
        <v>5</v>
      </c>
      <c r="L30" s="18"/>
      <c r="M30" s="18"/>
      <c r="N30" s="18"/>
      <c r="O30" s="18"/>
      <c r="P30" s="18"/>
    </row>
    <row r="31" spans="1:16" ht="190.35" customHeight="1" x14ac:dyDescent="0.25">
      <c r="A31" s="4" t="s">
        <v>36</v>
      </c>
      <c r="B31" s="14" t="s">
        <v>37</v>
      </c>
      <c r="C31" s="15"/>
      <c r="D31" s="15"/>
      <c r="E31" s="15"/>
      <c r="F31" s="15"/>
      <c r="G31" s="15" t="s">
        <v>38</v>
      </c>
      <c r="H31" s="15"/>
      <c r="I31" s="15"/>
      <c r="J31" s="15"/>
      <c r="K31" s="15" t="s">
        <v>39</v>
      </c>
      <c r="L31" s="15"/>
      <c r="M31" s="15"/>
      <c r="N31" s="15"/>
      <c r="O31" s="16">
        <f>ROUND(4527 * 2 * 1.27, 2)</f>
        <v>11498.58</v>
      </c>
      <c r="P31" s="15"/>
    </row>
    <row r="32" spans="1:16" ht="15" customHeight="1" x14ac:dyDescent="0.25">
      <c r="A32" s="5"/>
      <c r="B32" s="17" t="s">
        <v>17</v>
      </c>
      <c r="C32" s="17"/>
      <c r="D32" s="17"/>
      <c r="E32" s="17"/>
      <c r="F32" s="17"/>
      <c r="G32" s="17" t="s">
        <v>5</v>
      </c>
      <c r="H32" s="17"/>
      <c r="I32" s="17"/>
      <c r="J32" s="17"/>
      <c r="K32" s="17" t="s">
        <v>5</v>
      </c>
      <c r="L32" s="17"/>
      <c r="M32" s="17"/>
      <c r="N32" s="17"/>
      <c r="O32" s="17"/>
      <c r="P32" s="17"/>
    </row>
    <row r="33" spans="1:16" ht="15" customHeight="1" x14ac:dyDescent="0.25">
      <c r="A33" s="6"/>
      <c r="B33" s="18" t="s">
        <v>18</v>
      </c>
      <c r="C33" s="18"/>
      <c r="D33" s="18"/>
      <c r="E33" s="18"/>
      <c r="F33" s="18"/>
      <c r="G33" s="18" t="s">
        <v>19</v>
      </c>
      <c r="H33" s="18"/>
      <c r="I33" s="18"/>
      <c r="J33" s="18"/>
      <c r="K33" s="18" t="s">
        <v>5</v>
      </c>
      <c r="L33" s="18"/>
      <c r="M33" s="18"/>
      <c r="N33" s="18"/>
      <c r="O33" s="18"/>
      <c r="P33" s="18"/>
    </row>
    <row r="34" spans="1:16" ht="122.45" customHeight="1" x14ac:dyDescent="0.25">
      <c r="A34" s="4" t="s">
        <v>40</v>
      </c>
      <c r="B34" s="14" t="s">
        <v>41</v>
      </c>
      <c r="C34" s="15"/>
      <c r="D34" s="15"/>
      <c r="E34" s="15"/>
      <c r="F34" s="15"/>
      <c r="G34" s="15" t="s">
        <v>42</v>
      </c>
      <c r="H34" s="15"/>
      <c r="I34" s="15"/>
      <c r="J34" s="15"/>
      <c r="K34" s="15" t="s">
        <v>43</v>
      </c>
      <c r="L34" s="15"/>
      <c r="M34" s="15"/>
      <c r="N34" s="15"/>
      <c r="O34" s="16">
        <f>ROUND(16030 * 10 * 1.27, 2)</f>
        <v>203581</v>
      </c>
      <c r="P34" s="15"/>
    </row>
    <row r="35" spans="1:16" ht="15" customHeight="1" x14ac:dyDescent="0.25">
      <c r="A35" s="5"/>
      <c r="B35" s="17" t="s">
        <v>17</v>
      </c>
      <c r="C35" s="17"/>
      <c r="D35" s="17"/>
      <c r="E35" s="17"/>
      <c r="F35" s="17"/>
      <c r="G35" s="17" t="s">
        <v>5</v>
      </c>
      <c r="H35" s="17"/>
      <c r="I35" s="17"/>
      <c r="J35" s="17"/>
      <c r="K35" s="17" t="s">
        <v>5</v>
      </c>
      <c r="L35" s="17"/>
      <c r="M35" s="17"/>
      <c r="N35" s="17"/>
      <c r="O35" s="17"/>
      <c r="P35" s="17"/>
    </row>
    <row r="36" spans="1:16" ht="15" customHeight="1" x14ac:dyDescent="0.25">
      <c r="A36" s="6"/>
      <c r="B36" s="18" t="s">
        <v>18</v>
      </c>
      <c r="C36" s="18"/>
      <c r="D36" s="18"/>
      <c r="E36" s="18"/>
      <c r="F36" s="18"/>
      <c r="G36" s="18" t="s">
        <v>19</v>
      </c>
      <c r="H36" s="18"/>
      <c r="I36" s="18"/>
      <c r="J36" s="18"/>
      <c r="K36" s="18" t="s">
        <v>5</v>
      </c>
      <c r="L36" s="18"/>
      <c r="M36" s="18"/>
      <c r="N36" s="18"/>
      <c r="O36" s="18"/>
      <c r="P36" s="18"/>
    </row>
    <row r="37" spans="1:16" ht="135.94999999999999" customHeight="1" x14ac:dyDescent="0.25">
      <c r="A37" s="4" t="s">
        <v>44</v>
      </c>
      <c r="B37" s="14" t="s">
        <v>45</v>
      </c>
      <c r="C37" s="15"/>
      <c r="D37" s="15"/>
      <c r="E37" s="15"/>
      <c r="F37" s="15"/>
      <c r="G37" s="15" t="s">
        <v>46</v>
      </c>
      <c r="H37" s="15"/>
      <c r="I37" s="15"/>
      <c r="J37" s="15"/>
      <c r="K37" s="15" t="s">
        <v>47</v>
      </c>
      <c r="L37" s="15"/>
      <c r="M37" s="15"/>
      <c r="N37" s="15"/>
      <c r="O37" s="16">
        <f>ROUND(10529 * 6 * 1.27, 2)</f>
        <v>80230.98</v>
      </c>
      <c r="P37" s="15"/>
    </row>
    <row r="38" spans="1:16" ht="15" customHeight="1" x14ac:dyDescent="0.25">
      <c r="A38" s="5"/>
      <c r="B38" s="17" t="s">
        <v>17</v>
      </c>
      <c r="C38" s="17"/>
      <c r="D38" s="17"/>
      <c r="E38" s="17"/>
      <c r="F38" s="17"/>
      <c r="G38" s="17" t="s">
        <v>5</v>
      </c>
      <c r="H38" s="17"/>
      <c r="I38" s="17"/>
      <c r="J38" s="17"/>
      <c r="K38" s="17" t="s">
        <v>5</v>
      </c>
      <c r="L38" s="17"/>
      <c r="M38" s="17"/>
      <c r="N38" s="17"/>
      <c r="O38" s="17"/>
      <c r="P38" s="17"/>
    </row>
    <row r="39" spans="1:16" ht="15" customHeight="1" x14ac:dyDescent="0.25">
      <c r="A39" s="6"/>
      <c r="B39" s="18" t="s">
        <v>18</v>
      </c>
      <c r="C39" s="18"/>
      <c r="D39" s="18"/>
      <c r="E39" s="18"/>
      <c r="F39" s="18"/>
      <c r="G39" s="18" t="s">
        <v>19</v>
      </c>
      <c r="H39" s="18"/>
      <c r="I39" s="18"/>
      <c r="J39" s="18"/>
      <c r="K39" s="18" t="s">
        <v>5</v>
      </c>
      <c r="L39" s="18"/>
      <c r="M39" s="18"/>
      <c r="N39" s="18"/>
      <c r="O39" s="18"/>
      <c r="P39" s="18"/>
    </row>
    <row r="40" spans="1:16" ht="135.94999999999999" customHeight="1" x14ac:dyDescent="0.25">
      <c r="A40" s="4" t="s">
        <v>48</v>
      </c>
      <c r="B40" s="14" t="s">
        <v>45</v>
      </c>
      <c r="C40" s="15"/>
      <c r="D40" s="15"/>
      <c r="E40" s="15"/>
      <c r="F40" s="15"/>
      <c r="G40" s="15" t="s">
        <v>46</v>
      </c>
      <c r="H40" s="15"/>
      <c r="I40" s="15"/>
      <c r="J40" s="15"/>
      <c r="K40" s="15" t="s">
        <v>49</v>
      </c>
      <c r="L40" s="15"/>
      <c r="M40" s="15"/>
      <c r="N40" s="15"/>
      <c r="O40" s="16">
        <f>ROUND(10529 * 6 * 1.27 * 0.5, 2)</f>
        <v>40115.49</v>
      </c>
      <c r="P40" s="15"/>
    </row>
    <row r="41" spans="1:16" ht="15" customHeight="1" x14ac:dyDescent="0.25">
      <c r="A41" s="5"/>
      <c r="B41" s="17" t="s">
        <v>17</v>
      </c>
      <c r="C41" s="17"/>
      <c r="D41" s="17"/>
      <c r="E41" s="17"/>
      <c r="F41" s="17"/>
      <c r="G41" s="17" t="s">
        <v>5</v>
      </c>
      <c r="H41" s="17"/>
      <c r="I41" s="17"/>
      <c r="J41" s="17"/>
      <c r="K41" s="17" t="s">
        <v>5</v>
      </c>
      <c r="L41" s="17"/>
      <c r="M41" s="17"/>
      <c r="N41" s="17"/>
      <c r="O41" s="17"/>
      <c r="P41" s="17"/>
    </row>
    <row r="42" spans="1:16" ht="15" customHeight="1" x14ac:dyDescent="0.25">
      <c r="A42" s="6"/>
      <c r="B42" s="18" t="s">
        <v>18</v>
      </c>
      <c r="C42" s="18"/>
      <c r="D42" s="18"/>
      <c r="E42" s="18"/>
      <c r="F42" s="18"/>
      <c r="G42" s="18" t="s">
        <v>19</v>
      </c>
      <c r="H42" s="18"/>
      <c r="I42" s="18"/>
      <c r="J42" s="18"/>
      <c r="K42" s="18" t="s">
        <v>5</v>
      </c>
      <c r="L42" s="18"/>
      <c r="M42" s="18"/>
      <c r="N42" s="18"/>
      <c r="O42" s="18"/>
      <c r="P42" s="18"/>
    </row>
    <row r="43" spans="1:16" ht="204" customHeight="1" x14ac:dyDescent="0.25">
      <c r="A43" s="6"/>
      <c r="B43" s="18" t="s">
        <v>50</v>
      </c>
      <c r="C43" s="18"/>
      <c r="D43" s="18"/>
      <c r="E43" s="18"/>
      <c r="F43" s="18"/>
      <c r="G43" s="18" t="s">
        <v>51</v>
      </c>
      <c r="H43" s="18"/>
      <c r="I43" s="18"/>
      <c r="J43" s="18"/>
      <c r="K43" s="18" t="s">
        <v>5</v>
      </c>
      <c r="L43" s="18"/>
      <c r="M43" s="18"/>
      <c r="N43" s="18"/>
      <c r="O43" s="18"/>
      <c r="P43" s="18"/>
    </row>
    <row r="44" spans="1:16" ht="15" customHeight="1" x14ac:dyDescent="0.25">
      <c r="A44" s="3"/>
      <c r="B44" s="13" t="s">
        <v>52</v>
      </c>
      <c r="C44" s="13"/>
      <c r="D44" s="13"/>
      <c r="E44" s="13"/>
      <c r="F44" s="13"/>
      <c r="G44" s="13"/>
      <c r="H44" s="13"/>
      <c r="I44" s="13"/>
      <c r="J44" s="13"/>
      <c r="K44" s="13" t="s">
        <v>5</v>
      </c>
      <c r="L44" s="13"/>
      <c r="M44" s="13"/>
      <c r="N44" s="13"/>
      <c r="O44" s="19">
        <f>ROUND(SUM($O$15:$O$40),2)</f>
        <v>1126219.49</v>
      </c>
      <c r="P44" s="13"/>
    </row>
    <row r="45" spans="1:16" ht="54.4" customHeight="1" x14ac:dyDescent="0.25">
      <c r="A45" s="3" t="s">
        <v>53</v>
      </c>
      <c r="B45" s="20" t="s">
        <v>54</v>
      </c>
      <c r="C45" s="20"/>
      <c r="D45" s="20"/>
      <c r="E45" s="20"/>
      <c r="F45" s="20"/>
      <c r="G45" s="20" t="s">
        <v>55</v>
      </c>
      <c r="H45" s="20"/>
      <c r="I45" s="20"/>
      <c r="J45" s="20"/>
      <c r="K45" s="20" t="s">
        <v>56</v>
      </c>
      <c r="L45" s="20"/>
      <c r="M45" s="20"/>
      <c r="N45" s="20"/>
      <c r="O45" s="21">
        <f>ROUND(($O$44) * (40/100),2)</f>
        <v>450487.8</v>
      </c>
      <c r="P45" s="20"/>
    </row>
    <row r="46" spans="1:16" ht="81.599999999999994" customHeight="1" x14ac:dyDescent="0.25">
      <c r="A46" s="3" t="s">
        <v>57</v>
      </c>
      <c r="B46" s="20" t="s">
        <v>58</v>
      </c>
      <c r="C46" s="20"/>
      <c r="D46" s="20"/>
      <c r="E46" s="20"/>
      <c r="F46" s="20"/>
      <c r="G46" s="20" t="s">
        <v>59</v>
      </c>
      <c r="H46" s="20"/>
      <c r="I46" s="20"/>
      <c r="J46" s="20"/>
      <c r="K46" s="20" t="s">
        <v>60</v>
      </c>
      <c r="L46" s="20"/>
      <c r="M46" s="20"/>
      <c r="N46" s="20"/>
      <c r="O46" s="21">
        <f>ROUND(($O$44) * (8.2/100),2)</f>
        <v>92350</v>
      </c>
      <c r="P46" s="20"/>
    </row>
    <row r="47" spans="1:16" ht="81.599999999999994" customHeight="1" x14ac:dyDescent="0.25">
      <c r="A47" s="3" t="s">
        <v>61</v>
      </c>
      <c r="B47" s="20" t="s">
        <v>62</v>
      </c>
      <c r="C47" s="20"/>
      <c r="D47" s="20"/>
      <c r="E47" s="20"/>
      <c r="F47" s="20"/>
      <c r="G47" s="20" t="s">
        <v>63</v>
      </c>
      <c r="H47" s="20"/>
      <c r="I47" s="20"/>
      <c r="J47" s="20"/>
      <c r="K47" s="20" t="s">
        <v>64</v>
      </c>
      <c r="L47" s="20"/>
      <c r="M47" s="20"/>
      <c r="N47" s="20"/>
      <c r="O47" s="21">
        <f>ROUND(($O$44) * (7.7/100),2)</f>
        <v>86718.9</v>
      </c>
      <c r="P47" s="20"/>
    </row>
    <row r="48" spans="1:16" ht="40.9" customHeight="1" x14ac:dyDescent="0.25">
      <c r="A48" s="3" t="s">
        <v>65</v>
      </c>
      <c r="B48" s="20" t="s">
        <v>66</v>
      </c>
      <c r="C48" s="20"/>
      <c r="D48" s="20"/>
      <c r="E48" s="20"/>
      <c r="F48" s="20"/>
      <c r="G48" s="20" t="s">
        <v>67</v>
      </c>
      <c r="H48" s="20"/>
      <c r="I48" s="20"/>
      <c r="J48" s="20"/>
      <c r="K48" s="20" t="s">
        <v>68</v>
      </c>
      <c r="L48" s="20"/>
      <c r="M48" s="20"/>
      <c r="N48" s="20"/>
      <c r="O48" s="21">
        <f>ROUND((SUM($O$44:$O$47)) * 1.25,2)</f>
        <v>2194720.2400000002</v>
      </c>
      <c r="P48" s="20"/>
    </row>
    <row r="49" spans="1:16" ht="15" customHeight="1" x14ac:dyDescent="0.25">
      <c r="A49" s="3"/>
      <c r="B49" s="13" t="s">
        <v>69</v>
      </c>
      <c r="C49" s="13"/>
      <c r="D49" s="13"/>
      <c r="E49" s="13"/>
      <c r="F49" s="13"/>
      <c r="G49" s="13"/>
      <c r="H49" s="13"/>
      <c r="I49" s="13"/>
      <c r="J49" s="13"/>
      <c r="K49" s="13" t="s">
        <v>5</v>
      </c>
      <c r="L49" s="13"/>
      <c r="M49" s="13"/>
      <c r="N49" s="13"/>
      <c r="O49" s="19">
        <f>ROUND(($O$48),2)</f>
        <v>2194720.2400000002</v>
      </c>
      <c r="P49" s="13"/>
    </row>
    <row r="50" spans="1:16" ht="15" customHeight="1" x14ac:dyDescent="0.25">
      <c r="A50" s="3"/>
      <c r="B50" s="13" t="s">
        <v>70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</row>
    <row r="51" spans="1:16" x14ac:dyDescent="0.25">
      <c r="A51" s="3"/>
      <c r="B51" s="13" t="s">
        <v>71</v>
      </c>
      <c r="C51" s="13"/>
      <c r="D51" s="13"/>
      <c r="E51" s="13"/>
      <c r="F51" s="13"/>
      <c r="G51" s="13"/>
      <c r="H51" s="13"/>
      <c r="I51" s="13"/>
      <c r="J51" s="13"/>
      <c r="K51" s="13" t="s">
        <v>5</v>
      </c>
      <c r="L51" s="13"/>
      <c r="M51" s="13"/>
      <c r="N51" s="13"/>
      <c r="O51" s="19">
        <v>0</v>
      </c>
      <c r="P51" s="13"/>
    </row>
    <row r="52" spans="1:16" x14ac:dyDescent="0.25">
      <c r="A52" s="3"/>
      <c r="B52" s="13" t="s">
        <v>72</v>
      </c>
      <c r="C52" s="13"/>
      <c r="D52" s="13"/>
      <c r="E52" s="13"/>
      <c r="F52" s="13"/>
      <c r="G52" s="13"/>
      <c r="H52" s="13"/>
      <c r="I52" s="13"/>
      <c r="J52" s="13"/>
      <c r="K52" s="13" t="s">
        <v>5</v>
      </c>
      <c r="L52" s="13"/>
      <c r="M52" s="13"/>
      <c r="N52" s="13"/>
      <c r="O52" s="19">
        <f>ROUND(($O$51),2)</f>
        <v>0</v>
      </c>
      <c r="P52" s="13"/>
    </row>
    <row r="53" spans="1:16" x14ac:dyDescent="0.25">
      <c r="A53" s="3"/>
      <c r="B53" s="13" t="s">
        <v>73</v>
      </c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</row>
    <row r="54" spans="1:16" ht="163.15" customHeight="1" x14ac:dyDescent="0.25">
      <c r="A54" s="4" t="s">
        <v>74</v>
      </c>
      <c r="B54" s="14" t="s">
        <v>75</v>
      </c>
      <c r="C54" s="15"/>
      <c r="D54" s="15"/>
      <c r="E54" s="15"/>
      <c r="F54" s="15"/>
      <c r="G54" s="15" t="s">
        <v>76</v>
      </c>
      <c r="H54" s="15"/>
      <c r="I54" s="15"/>
      <c r="J54" s="15"/>
      <c r="K54" s="15" t="s">
        <v>77</v>
      </c>
      <c r="L54" s="15"/>
      <c r="M54" s="15"/>
      <c r="N54" s="15"/>
      <c r="O54" s="16">
        <f>ROUND(1714 * 4 * 1.27, 2)</f>
        <v>8707.1200000000008</v>
      </c>
      <c r="P54" s="15"/>
    </row>
    <row r="55" spans="1:16" x14ac:dyDescent="0.25">
      <c r="A55" s="5"/>
      <c r="B55" s="17" t="s">
        <v>17</v>
      </c>
      <c r="C55" s="17"/>
      <c r="D55" s="17"/>
      <c r="E55" s="17"/>
      <c r="F55" s="17"/>
      <c r="G55" s="17" t="s">
        <v>5</v>
      </c>
      <c r="H55" s="17"/>
      <c r="I55" s="17"/>
      <c r="J55" s="17"/>
      <c r="K55" s="17" t="s">
        <v>5</v>
      </c>
      <c r="L55" s="17"/>
      <c r="M55" s="17"/>
      <c r="N55" s="17"/>
      <c r="O55" s="17"/>
      <c r="P55" s="17"/>
    </row>
    <row r="56" spans="1:16" x14ac:dyDescent="0.25">
      <c r="A56" s="6"/>
      <c r="B56" s="18" t="s">
        <v>18</v>
      </c>
      <c r="C56" s="18"/>
      <c r="D56" s="18"/>
      <c r="E56" s="18"/>
      <c r="F56" s="18"/>
      <c r="G56" s="18" t="s">
        <v>19</v>
      </c>
      <c r="H56" s="18"/>
      <c r="I56" s="18"/>
      <c r="J56" s="18"/>
      <c r="K56" s="18" t="s">
        <v>5</v>
      </c>
      <c r="L56" s="18"/>
      <c r="M56" s="18"/>
      <c r="N56" s="18"/>
      <c r="O56" s="18"/>
      <c r="P56" s="18"/>
    </row>
    <row r="57" spans="1:16" ht="163.15" customHeight="1" x14ac:dyDescent="0.25">
      <c r="A57" s="4" t="s">
        <v>78</v>
      </c>
      <c r="B57" s="14" t="s">
        <v>79</v>
      </c>
      <c r="C57" s="15"/>
      <c r="D57" s="15"/>
      <c r="E57" s="15"/>
      <c r="F57" s="15"/>
      <c r="G57" s="15" t="s">
        <v>80</v>
      </c>
      <c r="H57" s="15"/>
      <c r="I57" s="15"/>
      <c r="J57" s="15"/>
      <c r="K57" s="15" t="s">
        <v>81</v>
      </c>
      <c r="L57" s="15"/>
      <c r="M57" s="15"/>
      <c r="N57" s="15"/>
      <c r="O57" s="16">
        <f>ROUND(1844 * 4 * 1.27, 2)</f>
        <v>9367.52</v>
      </c>
      <c r="P57" s="15"/>
    </row>
    <row r="58" spans="1:16" x14ac:dyDescent="0.25">
      <c r="A58" s="5"/>
      <c r="B58" s="17" t="s">
        <v>17</v>
      </c>
      <c r="C58" s="17"/>
      <c r="D58" s="17"/>
      <c r="E58" s="17"/>
      <c r="F58" s="17"/>
      <c r="G58" s="17" t="s">
        <v>5</v>
      </c>
      <c r="H58" s="17"/>
      <c r="I58" s="17"/>
      <c r="J58" s="17"/>
      <c r="K58" s="17" t="s">
        <v>5</v>
      </c>
      <c r="L58" s="17"/>
      <c r="M58" s="17"/>
      <c r="N58" s="17"/>
      <c r="O58" s="17"/>
      <c r="P58" s="17"/>
    </row>
    <row r="59" spans="1:16" x14ac:dyDescent="0.25">
      <c r="A59" s="6"/>
      <c r="B59" s="18" t="s">
        <v>18</v>
      </c>
      <c r="C59" s="18"/>
      <c r="D59" s="18"/>
      <c r="E59" s="18"/>
      <c r="F59" s="18"/>
      <c r="G59" s="18" t="s">
        <v>19</v>
      </c>
      <c r="H59" s="18"/>
      <c r="I59" s="18"/>
      <c r="J59" s="18"/>
      <c r="K59" s="18" t="s">
        <v>5</v>
      </c>
      <c r="L59" s="18"/>
      <c r="M59" s="18"/>
      <c r="N59" s="18"/>
      <c r="O59" s="18"/>
      <c r="P59" s="18"/>
    </row>
    <row r="60" spans="1:16" ht="149.65" customHeight="1" x14ac:dyDescent="0.25">
      <c r="A60" s="4" t="s">
        <v>82</v>
      </c>
      <c r="B60" s="14" t="s">
        <v>83</v>
      </c>
      <c r="C60" s="15"/>
      <c r="D60" s="15"/>
      <c r="E60" s="15"/>
      <c r="F60" s="15"/>
      <c r="G60" s="15" t="s">
        <v>84</v>
      </c>
      <c r="H60" s="15"/>
      <c r="I60" s="15"/>
      <c r="J60" s="15"/>
      <c r="K60" s="15" t="s">
        <v>85</v>
      </c>
      <c r="L60" s="15"/>
      <c r="M60" s="15"/>
      <c r="N60" s="15"/>
      <c r="O60" s="16">
        <f>ROUND((2556 + 4071 * 3) * 1 * 1.27, 2)</f>
        <v>18756.63</v>
      </c>
      <c r="P60" s="15"/>
    </row>
    <row r="61" spans="1:16" x14ac:dyDescent="0.25">
      <c r="A61" s="5"/>
      <c r="B61" s="17" t="s">
        <v>17</v>
      </c>
      <c r="C61" s="17"/>
      <c r="D61" s="17"/>
      <c r="E61" s="17"/>
      <c r="F61" s="17"/>
      <c r="G61" s="17" t="s">
        <v>5</v>
      </c>
      <c r="H61" s="17"/>
      <c r="I61" s="17"/>
      <c r="J61" s="17"/>
      <c r="K61" s="17" t="s">
        <v>5</v>
      </c>
      <c r="L61" s="17"/>
      <c r="M61" s="17"/>
      <c r="N61" s="17"/>
      <c r="O61" s="17"/>
      <c r="P61" s="17"/>
    </row>
    <row r="62" spans="1:16" x14ac:dyDescent="0.25">
      <c r="A62" s="6"/>
      <c r="B62" s="18" t="s">
        <v>18</v>
      </c>
      <c r="C62" s="18"/>
      <c r="D62" s="18"/>
      <c r="E62" s="18"/>
      <c r="F62" s="18"/>
      <c r="G62" s="18" t="s">
        <v>19</v>
      </c>
      <c r="H62" s="18"/>
      <c r="I62" s="18"/>
      <c r="J62" s="18"/>
      <c r="K62" s="18" t="s">
        <v>5</v>
      </c>
      <c r="L62" s="18"/>
      <c r="M62" s="18"/>
      <c r="N62" s="18"/>
      <c r="O62" s="18"/>
      <c r="P62" s="18"/>
    </row>
    <row r="63" spans="1:16" ht="149.65" customHeight="1" x14ac:dyDescent="0.25">
      <c r="A63" s="4" t="s">
        <v>86</v>
      </c>
      <c r="B63" s="14" t="s">
        <v>87</v>
      </c>
      <c r="C63" s="15"/>
      <c r="D63" s="15"/>
      <c r="E63" s="15"/>
      <c r="F63" s="15"/>
      <c r="G63" s="15" t="s">
        <v>88</v>
      </c>
      <c r="H63" s="15"/>
      <c r="I63" s="15"/>
      <c r="J63" s="15"/>
      <c r="K63" s="15" t="s">
        <v>89</v>
      </c>
      <c r="L63" s="15"/>
      <c r="M63" s="15"/>
      <c r="N63" s="15"/>
      <c r="O63" s="16">
        <f>ROUND((1013 + 1673 * 5) * 1 * 1.27, 2)</f>
        <v>11910.06</v>
      </c>
      <c r="P63" s="15"/>
    </row>
    <row r="64" spans="1:16" x14ac:dyDescent="0.25">
      <c r="A64" s="5"/>
      <c r="B64" s="17" t="s">
        <v>17</v>
      </c>
      <c r="C64" s="17"/>
      <c r="D64" s="17"/>
      <c r="E64" s="17"/>
      <c r="F64" s="17"/>
      <c r="G64" s="17" t="s">
        <v>5</v>
      </c>
      <c r="H64" s="17"/>
      <c r="I64" s="17"/>
      <c r="J64" s="17"/>
      <c r="K64" s="17" t="s">
        <v>5</v>
      </c>
      <c r="L64" s="17"/>
      <c r="M64" s="17"/>
      <c r="N64" s="17"/>
      <c r="O64" s="17"/>
      <c r="P64" s="17"/>
    </row>
    <row r="65" spans="1:16" x14ac:dyDescent="0.25">
      <c r="A65" s="6"/>
      <c r="B65" s="18" t="s">
        <v>18</v>
      </c>
      <c r="C65" s="18"/>
      <c r="D65" s="18"/>
      <c r="E65" s="18"/>
      <c r="F65" s="18"/>
      <c r="G65" s="18" t="s">
        <v>19</v>
      </c>
      <c r="H65" s="18"/>
      <c r="I65" s="18"/>
      <c r="J65" s="18"/>
      <c r="K65" s="18" t="s">
        <v>5</v>
      </c>
      <c r="L65" s="18"/>
      <c r="M65" s="18"/>
      <c r="N65" s="18"/>
      <c r="O65" s="18"/>
      <c r="P65" s="18"/>
    </row>
    <row r="66" spans="1:16" ht="149.65" customHeight="1" x14ac:dyDescent="0.25">
      <c r="A66" s="4" t="s">
        <v>90</v>
      </c>
      <c r="B66" s="14" t="s">
        <v>91</v>
      </c>
      <c r="C66" s="15"/>
      <c r="D66" s="15"/>
      <c r="E66" s="15"/>
      <c r="F66" s="15"/>
      <c r="G66" s="15" t="s">
        <v>92</v>
      </c>
      <c r="H66" s="15"/>
      <c r="I66" s="15"/>
      <c r="J66" s="15"/>
      <c r="K66" s="15" t="s">
        <v>93</v>
      </c>
      <c r="L66" s="15"/>
      <c r="M66" s="15"/>
      <c r="N66" s="15"/>
      <c r="O66" s="16">
        <f>ROUND((689 + 1089 * 2) * 1 * 1.27, 2)</f>
        <v>3641.09</v>
      </c>
      <c r="P66" s="15"/>
    </row>
    <row r="67" spans="1:16" x14ac:dyDescent="0.25">
      <c r="A67" s="5"/>
      <c r="B67" s="17" t="s">
        <v>17</v>
      </c>
      <c r="C67" s="17"/>
      <c r="D67" s="17"/>
      <c r="E67" s="17"/>
      <c r="F67" s="17"/>
      <c r="G67" s="17" t="s">
        <v>5</v>
      </c>
      <c r="H67" s="17"/>
      <c r="I67" s="17"/>
      <c r="J67" s="17"/>
      <c r="K67" s="17" t="s">
        <v>5</v>
      </c>
      <c r="L67" s="17"/>
      <c r="M67" s="17"/>
      <c r="N67" s="17"/>
      <c r="O67" s="17"/>
      <c r="P67" s="17"/>
    </row>
    <row r="68" spans="1:16" x14ac:dyDescent="0.25">
      <c r="A68" s="6"/>
      <c r="B68" s="18" t="s">
        <v>18</v>
      </c>
      <c r="C68" s="18"/>
      <c r="D68" s="18"/>
      <c r="E68" s="18"/>
      <c r="F68" s="18"/>
      <c r="G68" s="18" t="s">
        <v>19</v>
      </c>
      <c r="H68" s="18"/>
      <c r="I68" s="18"/>
      <c r="J68" s="18"/>
      <c r="K68" s="18" t="s">
        <v>5</v>
      </c>
      <c r="L68" s="18"/>
      <c r="M68" s="18"/>
      <c r="N68" s="18"/>
      <c r="O68" s="18"/>
      <c r="P68" s="18"/>
    </row>
    <row r="69" spans="1:16" ht="176.85" customHeight="1" x14ac:dyDescent="0.25">
      <c r="A69" s="4" t="s">
        <v>94</v>
      </c>
      <c r="B69" s="14" t="s">
        <v>95</v>
      </c>
      <c r="C69" s="15"/>
      <c r="D69" s="15"/>
      <c r="E69" s="15"/>
      <c r="F69" s="15"/>
      <c r="G69" s="15" t="s">
        <v>96</v>
      </c>
      <c r="H69" s="15"/>
      <c r="I69" s="15"/>
      <c r="J69" s="15"/>
      <c r="K69" s="15" t="s">
        <v>97</v>
      </c>
      <c r="L69" s="15"/>
      <c r="M69" s="15"/>
      <c r="N69" s="15"/>
      <c r="O69" s="16">
        <f>ROUND((643 + 1018 * 3) * 1 * 1.27, 2)</f>
        <v>4695.1899999999996</v>
      </c>
      <c r="P69" s="15"/>
    </row>
    <row r="70" spans="1:16" x14ac:dyDescent="0.25">
      <c r="A70" s="5"/>
      <c r="B70" s="17" t="s">
        <v>17</v>
      </c>
      <c r="C70" s="17"/>
      <c r="D70" s="17"/>
      <c r="E70" s="17"/>
      <c r="F70" s="17"/>
      <c r="G70" s="17" t="s">
        <v>5</v>
      </c>
      <c r="H70" s="17"/>
      <c r="I70" s="17"/>
      <c r="J70" s="17"/>
      <c r="K70" s="17" t="s">
        <v>5</v>
      </c>
      <c r="L70" s="17"/>
      <c r="M70" s="17"/>
      <c r="N70" s="17"/>
      <c r="O70" s="17"/>
      <c r="P70" s="17"/>
    </row>
    <row r="71" spans="1:16" x14ac:dyDescent="0.25">
      <c r="A71" s="6"/>
      <c r="B71" s="18" t="s">
        <v>18</v>
      </c>
      <c r="C71" s="18"/>
      <c r="D71" s="18"/>
      <c r="E71" s="18"/>
      <c r="F71" s="18"/>
      <c r="G71" s="18" t="s">
        <v>19</v>
      </c>
      <c r="H71" s="18"/>
      <c r="I71" s="18"/>
      <c r="J71" s="18"/>
      <c r="K71" s="18" t="s">
        <v>5</v>
      </c>
      <c r="L71" s="18"/>
      <c r="M71" s="18"/>
      <c r="N71" s="18"/>
      <c r="O71" s="18"/>
      <c r="P71" s="18"/>
    </row>
    <row r="72" spans="1:16" ht="176.85" customHeight="1" x14ac:dyDescent="0.25">
      <c r="A72" s="4" t="s">
        <v>98</v>
      </c>
      <c r="B72" s="14" t="s">
        <v>99</v>
      </c>
      <c r="C72" s="15"/>
      <c r="D72" s="15"/>
      <c r="E72" s="15"/>
      <c r="F72" s="15"/>
      <c r="G72" s="15" t="s">
        <v>100</v>
      </c>
      <c r="H72" s="15"/>
      <c r="I72" s="15"/>
      <c r="J72" s="15"/>
      <c r="K72" s="15" t="s">
        <v>101</v>
      </c>
      <c r="L72" s="15"/>
      <c r="M72" s="15"/>
      <c r="N72" s="15"/>
      <c r="O72" s="16">
        <f>ROUND((326 + 515 * 5) * 1 * 1.27, 2)</f>
        <v>3684.27</v>
      </c>
      <c r="P72" s="15"/>
    </row>
    <row r="73" spans="1:16" x14ac:dyDescent="0.25">
      <c r="A73" s="5"/>
      <c r="B73" s="17" t="s">
        <v>17</v>
      </c>
      <c r="C73" s="17"/>
      <c r="D73" s="17"/>
      <c r="E73" s="17"/>
      <c r="F73" s="17"/>
      <c r="G73" s="17" t="s">
        <v>5</v>
      </c>
      <c r="H73" s="17"/>
      <c r="I73" s="17"/>
      <c r="J73" s="17"/>
      <c r="K73" s="17" t="s">
        <v>5</v>
      </c>
      <c r="L73" s="17"/>
      <c r="M73" s="17"/>
      <c r="N73" s="17"/>
      <c r="O73" s="17"/>
      <c r="P73" s="17"/>
    </row>
    <row r="74" spans="1:16" x14ac:dyDescent="0.25">
      <c r="A74" s="6"/>
      <c r="B74" s="18" t="s">
        <v>18</v>
      </c>
      <c r="C74" s="18"/>
      <c r="D74" s="18"/>
      <c r="E74" s="18"/>
      <c r="F74" s="18"/>
      <c r="G74" s="18" t="s">
        <v>19</v>
      </c>
      <c r="H74" s="18"/>
      <c r="I74" s="18"/>
      <c r="J74" s="18"/>
      <c r="K74" s="18" t="s">
        <v>5</v>
      </c>
      <c r="L74" s="18"/>
      <c r="M74" s="18"/>
      <c r="N74" s="18"/>
      <c r="O74" s="18"/>
      <c r="P74" s="18"/>
    </row>
    <row r="75" spans="1:16" ht="176.85" customHeight="1" x14ac:dyDescent="0.25">
      <c r="A75" s="4" t="s">
        <v>102</v>
      </c>
      <c r="B75" s="14" t="s">
        <v>103</v>
      </c>
      <c r="C75" s="15"/>
      <c r="D75" s="15"/>
      <c r="E75" s="15"/>
      <c r="F75" s="15"/>
      <c r="G75" s="15" t="s">
        <v>104</v>
      </c>
      <c r="H75" s="15"/>
      <c r="I75" s="15"/>
      <c r="J75" s="15"/>
      <c r="K75" s="15" t="s">
        <v>105</v>
      </c>
      <c r="L75" s="15"/>
      <c r="M75" s="15"/>
      <c r="N75" s="15"/>
      <c r="O75" s="16">
        <f>ROUND((151 + 250 * 2) * 1 * 1.27, 2)</f>
        <v>826.77</v>
      </c>
      <c r="P75" s="15"/>
    </row>
    <row r="76" spans="1:16" x14ac:dyDescent="0.25">
      <c r="A76" s="5"/>
      <c r="B76" s="17" t="s">
        <v>17</v>
      </c>
      <c r="C76" s="17"/>
      <c r="D76" s="17"/>
      <c r="E76" s="17"/>
      <c r="F76" s="17"/>
      <c r="G76" s="17" t="s">
        <v>5</v>
      </c>
      <c r="H76" s="17"/>
      <c r="I76" s="17"/>
      <c r="J76" s="17"/>
      <c r="K76" s="17" t="s">
        <v>5</v>
      </c>
      <c r="L76" s="17"/>
      <c r="M76" s="17"/>
      <c r="N76" s="17"/>
      <c r="O76" s="17"/>
      <c r="P76" s="17"/>
    </row>
    <row r="77" spans="1:16" x14ac:dyDescent="0.25">
      <c r="A77" s="6"/>
      <c r="B77" s="18" t="s">
        <v>18</v>
      </c>
      <c r="C77" s="18"/>
      <c r="D77" s="18"/>
      <c r="E77" s="18"/>
      <c r="F77" s="18"/>
      <c r="G77" s="18" t="s">
        <v>19</v>
      </c>
      <c r="H77" s="18"/>
      <c r="I77" s="18"/>
      <c r="J77" s="18"/>
      <c r="K77" s="18" t="s">
        <v>5</v>
      </c>
      <c r="L77" s="18"/>
      <c r="M77" s="18"/>
      <c r="N77" s="18"/>
      <c r="O77" s="18"/>
      <c r="P77" s="18"/>
    </row>
    <row r="78" spans="1:16" ht="190.35" customHeight="1" x14ac:dyDescent="0.25">
      <c r="A78" s="4" t="s">
        <v>106</v>
      </c>
      <c r="B78" s="14" t="s">
        <v>107</v>
      </c>
      <c r="C78" s="15"/>
      <c r="D78" s="15"/>
      <c r="E78" s="15"/>
      <c r="F78" s="15"/>
      <c r="G78" s="15" t="s">
        <v>108</v>
      </c>
      <c r="H78" s="15"/>
      <c r="I78" s="15"/>
      <c r="J78" s="15"/>
      <c r="K78" s="15" t="s">
        <v>109</v>
      </c>
      <c r="L78" s="15"/>
      <c r="M78" s="15"/>
      <c r="N78" s="15"/>
      <c r="O78" s="16">
        <f>ROUND(21451 * 1 * 1.27, 2)</f>
        <v>27242.77</v>
      </c>
      <c r="P78" s="15"/>
    </row>
    <row r="79" spans="1:16" x14ac:dyDescent="0.25">
      <c r="A79" s="5"/>
      <c r="B79" s="17" t="s">
        <v>17</v>
      </c>
      <c r="C79" s="17"/>
      <c r="D79" s="17"/>
      <c r="E79" s="17"/>
      <c r="F79" s="17"/>
      <c r="G79" s="17" t="s">
        <v>5</v>
      </c>
      <c r="H79" s="17"/>
      <c r="I79" s="17"/>
      <c r="J79" s="17"/>
      <c r="K79" s="17" t="s">
        <v>5</v>
      </c>
      <c r="L79" s="17"/>
      <c r="M79" s="17"/>
      <c r="N79" s="17"/>
      <c r="O79" s="17"/>
      <c r="P79" s="17"/>
    </row>
    <row r="80" spans="1:16" x14ac:dyDescent="0.25">
      <c r="A80" s="6"/>
      <c r="B80" s="18" t="s">
        <v>18</v>
      </c>
      <c r="C80" s="18"/>
      <c r="D80" s="18"/>
      <c r="E80" s="18"/>
      <c r="F80" s="18"/>
      <c r="G80" s="18" t="s">
        <v>19</v>
      </c>
      <c r="H80" s="18"/>
      <c r="I80" s="18"/>
      <c r="J80" s="18"/>
      <c r="K80" s="18" t="s">
        <v>5</v>
      </c>
      <c r="L80" s="18"/>
      <c r="M80" s="18"/>
      <c r="N80" s="18"/>
      <c r="O80" s="18"/>
      <c r="P80" s="18"/>
    </row>
    <row r="81" spans="1:16" ht="122.45" customHeight="1" x14ac:dyDescent="0.25">
      <c r="A81" s="4" t="s">
        <v>110</v>
      </c>
      <c r="B81" s="14" t="s">
        <v>111</v>
      </c>
      <c r="C81" s="15"/>
      <c r="D81" s="15"/>
      <c r="E81" s="15"/>
      <c r="F81" s="15"/>
      <c r="G81" s="15" t="s">
        <v>112</v>
      </c>
      <c r="H81" s="15"/>
      <c r="I81" s="15"/>
      <c r="J81" s="15"/>
      <c r="K81" s="15" t="s">
        <v>113</v>
      </c>
      <c r="L81" s="15"/>
      <c r="M81" s="15"/>
      <c r="N81" s="15"/>
      <c r="O81" s="16">
        <f>ROUND(1289 * 1 * 1.27, 2)</f>
        <v>1637.03</v>
      </c>
      <c r="P81" s="15"/>
    </row>
    <row r="82" spans="1:16" x14ac:dyDescent="0.25">
      <c r="A82" s="5"/>
      <c r="B82" s="17" t="s">
        <v>17</v>
      </c>
      <c r="C82" s="17"/>
      <c r="D82" s="17"/>
      <c r="E82" s="17"/>
      <c r="F82" s="17"/>
      <c r="G82" s="17" t="s">
        <v>5</v>
      </c>
      <c r="H82" s="17"/>
      <c r="I82" s="17"/>
      <c r="J82" s="17"/>
      <c r="K82" s="17" t="s">
        <v>5</v>
      </c>
      <c r="L82" s="17"/>
      <c r="M82" s="17"/>
      <c r="N82" s="17"/>
      <c r="O82" s="17"/>
      <c r="P82" s="17"/>
    </row>
    <row r="83" spans="1:16" x14ac:dyDescent="0.25">
      <c r="A83" s="6"/>
      <c r="B83" s="18" t="s">
        <v>18</v>
      </c>
      <c r="C83" s="18"/>
      <c r="D83" s="18"/>
      <c r="E83" s="18"/>
      <c r="F83" s="18"/>
      <c r="G83" s="18" t="s">
        <v>19</v>
      </c>
      <c r="H83" s="18"/>
      <c r="I83" s="18"/>
      <c r="J83" s="18"/>
      <c r="K83" s="18" t="s">
        <v>5</v>
      </c>
      <c r="L83" s="18"/>
      <c r="M83" s="18"/>
      <c r="N83" s="18"/>
      <c r="O83" s="18"/>
      <c r="P83" s="18"/>
    </row>
    <row r="84" spans="1:16" ht="122.45" customHeight="1" x14ac:dyDescent="0.25">
      <c r="A84" s="4" t="s">
        <v>114</v>
      </c>
      <c r="B84" s="14" t="s">
        <v>115</v>
      </c>
      <c r="C84" s="15"/>
      <c r="D84" s="15"/>
      <c r="E84" s="15"/>
      <c r="F84" s="15"/>
      <c r="G84" s="15" t="s">
        <v>116</v>
      </c>
      <c r="H84" s="15"/>
      <c r="I84" s="15"/>
      <c r="J84" s="15"/>
      <c r="K84" s="15" t="s">
        <v>117</v>
      </c>
      <c r="L84" s="15"/>
      <c r="M84" s="15"/>
      <c r="N84" s="15"/>
      <c r="O84" s="16">
        <f>ROUND(212 * 1 * 1.27, 2)</f>
        <v>269.24</v>
      </c>
      <c r="P84" s="15"/>
    </row>
    <row r="85" spans="1:16" x14ac:dyDescent="0.25">
      <c r="A85" s="5"/>
      <c r="B85" s="17" t="s">
        <v>17</v>
      </c>
      <c r="C85" s="17"/>
      <c r="D85" s="17"/>
      <c r="E85" s="17"/>
      <c r="F85" s="17"/>
      <c r="G85" s="17" t="s">
        <v>5</v>
      </c>
      <c r="H85" s="17"/>
      <c r="I85" s="17"/>
      <c r="J85" s="17"/>
      <c r="K85" s="17" t="s">
        <v>5</v>
      </c>
      <c r="L85" s="17"/>
      <c r="M85" s="17"/>
      <c r="N85" s="17"/>
      <c r="O85" s="17"/>
      <c r="P85" s="17"/>
    </row>
    <row r="86" spans="1:16" x14ac:dyDescent="0.25">
      <c r="A86" s="6"/>
      <c r="B86" s="18" t="s">
        <v>18</v>
      </c>
      <c r="C86" s="18"/>
      <c r="D86" s="18"/>
      <c r="E86" s="18"/>
      <c r="F86" s="18"/>
      <c r="G86" s="18" t="s">
        <v>19</v>
      </c>
      <c r="H86" s="18"/>
      <c r="I86" s="18"/>
      <c r="J86" s="18"/>
      <c r="K86" s="18" t="s">
        <v>5</v>
      </c>
      <c r="L86" s="18"/>
      <c r="M86" s="18"/>
      <c r="N86" s="18"/>
      <c r="O86" s="18"/>
      <c r="P86" s="18"/>
    </row>
    <row r="87" spans="1:16" ht="122.45" customHeight="1" x14ac:dyDescent="0.25">
      <c r="A87" s="4" t="s">
        <v>118</v>
      </c>
      <c r="B87" s="14" t="s">
        <v>119</v>
      </c>
      <c r="C87" s="15"/>
      <c r="D87" s="15"/>
      <c r="E87" s="15"/>
      <c r="F87" s="15"/>
      <c r="G87" s="15" t="s">
        <v>120</v>
      </c>
      <c r="H87" s="15"/>
      <c r="I87" s="15"/>
      <c r="J87" s="15"/>
      <c r="K87" s="15" t="s">
        <v>121</v>
      </c>
      <c r="L87" s="15"/>
      <c r="M87" s="15"/>
      <c r="N87" s="15"/>
      <c r="O87" s="16">
        <f>ROUND(49 * 5 * 1.27, 2)</f>
        <v>311.14999999999998</v>
      </c>
      <c r="P87" s="15"/>
    </row>
    <row r="88" spans="1:16" x14ac:dyDescent="0.25">
      <c r="A88" s="5"/>
      <c r="B88" s="17" t="s">
        <v>17</v>
      </c>
      <c r="C88" s="17"/>
      <c r="D88" s="17"/>
      <c r="E88" s="17"/>
      <c r="F88" s="17"/>
      <c r="G88" s="17" t="s">
        <v>5</v>
      </c>
      <c r="H88" s="17"/>
      <c r="I88" s="17"/>
      <c r="J88" s="17"/>
      <c r="K88" s="17" t="s">
        <v>5</v>
      </c>
      <c r="L88" s="17"/>
      <c r="M88" s="17"/>
      <c r="N88" s="17"/>
      <c r="O88" s="17"/>
      <c r="P88" s="17"/>
    </row>
    <row r="89" spans="1:16" x14ac:dyDescent="0.25">
      <c r="A89" s="6"/>
      <c r="B89" s="18" t="s">
        <v>18</v>
      </c>
      <c r="C89" s="18"/>
      <c r="D89" s="18"/>
      <c r="E89" s="18"/>
      <c r="F89" s="18"/>
      <c r="G89" s="18" t="s">
        <v>19</v>
      </c>
      <c r="H89" s="18"/>
      <c r="I89" s="18"/>
      <c r="J89" s="18"/>
      <c r="K89" s="18" t="s">
        <v>5</v>
      </c>
      <c r="L89" s="18"/>
      <c r="M89" s="18"/>
      <c r="N89" s="18"/>
      <c r="O89" s="18"/>
      <c r="P89" s="18"/>
    </row>
    <row r="90" spans="1:16" ht="122.45" customHeight="1" x14ac:dyDescent="0.25">
      <c r="A90" s="4" t="s">
        <v>122</v>
      </c>
      <c r="B90" s="14" t="s">
        <v>123</v>
      </c>
      <c r="C90" s="15"/>
      <c r="D90" s="15"/>
      <c r="E90" s="15"/>
      <c r="F90" s="15"/>
      <c r="G90" s="15" t="s">
        <v>124</v>
      </c>
      <c r="H90" s="15"/>
      <c r="I90" s="15"/>
      <c r="J90" s="15"/>
      <c r="K90" s="15" t="s">
        <v>125</v>
      </c>
      <c r="L90" s="15"/>
      <c r="M90" s="15"/>
      <c r="N90" s="15"/>
      <c r="O90" s="16">
        <f>ROUND(54 * 5 * 1.27, 2)</f>
        <v>342.9</v>
      </c>
      <c r="P90" s="15"/>
    </row>
    <row r="91" spans="1:16" x14ac:dyDescent="0.25">
      <c r="A91" s="5"/>
      <c r="B91" s="17" t="s">
        <v>17</v>
      </c>
      <c r="C91" s="17"/>
      <c r="D91" s="17"/>
      <c r="E91" s="17"/>
      <c r="F91" s="17"/>
      <c r="G91" s="17" t="s">
        <v>5</v>
      </c>
      <c r="H91" s="17"/>
      <c r="I91" s="17"/>
      <c r="J91" s="17"/>
      <c r="K91" s="17" t="s">
        <v>5</v>
      </c>
      <c r="L91" s="17"/>
      <c r="M91" s="17"/>
      <c r="N91" s="17"/>
      <c r="O91" s="17"/>
      <c r="P91" s="17"/>
    </row>
    <row r="92" spans="1:16" x14ac:dyDescent="0.25">
      <c r="A92" s="6"/>
      <c r="B92" s="18" t="s">
        <v>18</v>
      </c>
      <c r="C92" s="18"/>
      <c r="D92" s="18"/>
      <c r="E92" s="18"/>
      <c r="F92" s="18"/>
      <c r="G92" s="18" t="s">
        <v>19</v>
      </c>
      <c r="H92" s="18"/>
      <c r="I92" s="18"/>
      <c r="J92" s="18"/>
      <c r="K92" s="18" t="s">
        <v>5</v>
      </c>
      <c r="L92" s="18"/>
      <c r="M92" s="18"/>
      <c r="N92" s="18"/>
      <c r="O92" s="18"/>
      <c r="P92" s="18"/>
    </row>
    <row r="93" spans="1:16" ht="176.85" customHeight="1" x14ac:dyDescent="0.25">
      <c r="A93" s="4" t="s">
        <v>126</v>
      </c>
      <c r="B93" s="14" t="s">
        <v>127</v>
      </c>
      <c r="C93" s="15"/>
      <c r="D93" s="15"/>
      <c r="E93" s="15"/>
      <c r="F93" s="15"/>
      <c r="G93" s="15" t="s">
        <v>128</v>
      </c>
      <c r="H93" s="15"/>
      <c r="I93" s="15"/>
      <c r="J93" s="15"/>
      <c r="K93" s="15" t="s">
        <v>129</v>
      </c>
      <c r="L93" s="15"/>
      <c r="M93" s="15"/>
      <c r="N93" s="15"/>
      <c r="O93" s="16">
        <v>96520</v>
      </c>
      <c r="P93" s="15"/>
    </row>
    <row r="94" spans="1:16" x14ac:dyDescent="0.25">
      <c r="A94" s="5"/>
      <c r="B94" s="17" t="s">
        <v>17</v>
      </c>
      <c r="C94" s="17"/>
      <c r="D94" s="17"/>
      <c r="E94" s="17"/>
      <c r="F94" s="17"/>
      <c r="G94" s="17" t="s">
        <v>5</v>
      </c>
      <c r="H94" s="17"/>
      <c r="I94" s="17"/>
      <c r="J94" s="17"/>
      <c r="K94" s="17" t="s">
        <v>5</v>
      </c>
      <c r="L94" s="17"/>
      <c r="M94" s="17"/>
      <c r="N94" s="17"/>
      <c r="O94" s="17"/>
      <c r="P94" s="17"/>
    </row>
    <row r="95" spans="1:16" x14ac:dyDescent="0.25">
      <c r="A95" s="6"/>
      <c r="B95" s="18" t="s">
        <v>18</v>
      </c>
      <c r="C95" s="18"/>
      <c r="D95" s="18"/>
      <c r="E95" s="18"/>
      <c r="F95" s="18"/>
      <c r="G95" s="18" t="s">
        <v>19</v>
      </c>
      <c r="H95" s="18"/>
      <c r="I95" s="18"/>
      <c r="J95" s="18"/>
      <c r="K95" s="18" t="s">
        <v>5</v>
      </c>
      <c r="L95" s="18"/>
      <c r="M95" s="18"/>
      <c r="N95" s="18"/>
      <c r="O95" s="18"/>
      <c r="P95" s="18"/>
    </row>
    <row r="96" spans="1:16" x14ac:dyDescent="0.25">
      <c r="A96" s="3"/>
      <c r="B96" s="13" t="s">
        <v>130</v>
      </c>
      <c r="C96" s="13"/>
      <c r="D96" s="13"/>
      <c r="E96" s="13"/>
      <c r="F96" s="13"/>
      <c r="G96" s="13"/>
      <c r="H96" s="13"/>
      <c r="I96" s="13"/>
      <c r="J96" s="13"/>
      <c r="K96" s="13" t="s">
        <v>5</v>
      </c>
      <c r="L96" s="13"/>
      <c r="M96" s="13"/>
      <c r="N96" s="13"/>
      <c r="O96" s="19">
        <f>ROUND(SUM($O$54:$O$93),2)</f>
        <v>187911.74</v>
      </c>
      <c r="P96" s="13"/>
    </row>
    <row r="97" spans="1:16" ht="40.9" customHeight="1" x14ac:dyDescent="0.25">
      <c r="A97" s="3" t="s">
        <v>131</v>
      </c>
      <c r="B97" s="20" t="s">
        <v>132</v>
      </c>
      <c r="C97" s="20"/>
      <c r="D97" s="20"/>
      <c r="E97" s="20"/>
      <c r="F97" s="20"/>
      <c r="G97" s="20" t="s">
        <v>133</v>
      </c>
      <c r="H97" s="20"/>
      <c r="I97" s="20"/>
      <c r="J97" s="20"/>
      <c r="K97" s="20" t="s">
        <v>134</v>
      </c>
      <c r="L97" s="20"/>
      <c r="M97" s="20"/>
      <c r="N97" s="20"/>
      <c r="O97" s="21">
        <f>ROUND(($O$96) * 1.08,2)</f>
        <v>202944.68</v>
      </c>
      <c r="P97" s="20"/>
    </row>
    <row r="98" spans="1:16" x14ac:dyDescent="0.25">
      <c r="A98" s="3"/>
      <c r="B98" s="13" t="s">
        <v>135</v>
      </c>
      <c r="C98" s="13"/>
      <c r="D98" s="13"/>
      <c r="E98" s="13"/>
      <c r="F98" s="13"/>
      <c r="G98" s="13"/>
      <c r="H98" s="13"/>
      <c r="I98" s="13"/>
      <c r="J98" s="13"/>
      <c r="K98" s="13" t="s">
        <v>5</v>
      </c>
      <c r="L98" s="13"/>
      <c r="M98" s="13"/>
      <c r="N98" s="13"/>
      <c r="O98" s="19">
        <f>ROUND(($O$97),2)</f>
        <v>202944.68</v>
      </c>
      <c r="P98" s="13"/>
    </row>
    <row r="99" spans="1:16" ht="27.2" customHeight="1" x14ac:dyDescent="0.25">
      <c r="A99" s="3"/>
      <c r="B99" s="13" t="s">
        <v>136</v>
      </c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</row>
    <row r="100" spans="1:16" ht="176.85" customHeight="1" x14ac:dyDescent="0.25">
      <c r="A100" s="4" t="s">
        <v>137</v>
      </c>
      <c r="B100" s="14" t="s">
        <v>138</v>
      </c>
      <c r="C100" s="15"/>
      <c r="D100" s="15"/>
      <c r="E100" s="15"/>
      <c r="F100" s="15"/>
      <c r="G100" s="15" t="s">
        <v>139</v>
      </c>
      <c r="H100" s="15"/>
      <c r="I100" s="15"/>
      <c r="J100" s="15"/>
      <c r="K100" s="15" t="s">
        <v>140</v>
      </c>
      <c r="L100" s="15"/>
      <c r="M100" s="15"/>
      <c r="N100" s="15"/>
      <c r="O100" s="16">
        <v>46785.53</v>
      </c>
      <c r="P100" s="15"/>
    </row>
    <row r="101" spans="1:16" x14ac:dyDescent="0.25">
      <c r="A101" s="5"/>
      <c r="B101" s="17" t="s">
        <v>17</v>
      </c>
      <c r="C101" s="17"/>
      <c r="D101" s="17"/>
      <c r="E101" s="17"/>
      <c r="F101" s="17"/>
      <c r="G101" s="17" t="s">
        <v>5</v>
      </c>
      <c r="H101" s="17"/>
      <c r="I101" s="17"/>
      <c r="J101" s="17"/>
      <c r="K101" s="17" t="s">
        <v>5</v>
      </c>
      <c r="L101" s="17"/>
      <c r="M101" s="17"/>
      <c r="N101" s="17"/>
      <c r="O101" s="17"/>
      <c r="P101" s="17"/>
    </row>
    <row r="102" spans="1:16" x14ac:dyDescent="0.25">
      <c r="A102" s="6"/>
      <c r="B102" s="18" t="s">
        <v>18</v>
      </c>
      <c r="C102" s="18"/>
      <c r="D102" s="18"/>
      <c r="E102" s="18"/>
      <c r="F102" s="18"/>
      <c r="G102" s="18" t="s">
        <v>19</v>
      </c>
      <c r="H102" s="18"/>
      <c r="I102" s="18"/>
      <c r="J102" s="18"/>
      <c r="K102" s="18" t="s">
        <v>5</v>
      </c>
      <c r="L102" s="18"/>
      <c r="M102" s="18"/>
      <c r="N102" s="18"/>
      <c r="O102" s="18"/>
      <c r="P102" s="18"/>
    </row>
    <row r="103" spans="1:16" ht="27.2" customHeight="1" x14ac:dyDescent="0.25">
      <c r="A103" s="3"/>
      <c r="B103" s="13" t="s">
        <v>141</v>
      </c>
      <c r="C103" s="13"/>
      <c r="D103" s="13"/>
      <c r="E103" s="13"/>
      <c r="F103" s="13"/>
      <c r="G103" s="13"/>
      <c r="H103" s="13"/>
      <c r="I103" s="13"/>
      <c r="J103" s="13"/>
      <c r="K103" s="13" t="s">
        <v>5</v>
      </c>
      <c r="L103" s="13"/>
      <c r="M103" s="13"/>
      <c r="N103" s="13"/>
      <c r="O103" s="19">
        <f>ROUND($O$100,2)</f>
        <v>46785.53</v>
      </c>
      <c r="P103" s="13"/>
    </row>
    <row r="104" spans="1:16" ht="27.2" customHeight="1" x14ac:dyDescent="0.25">
      <c r="A104" s="3"/>
      <c r="B104" s="13" t="s">
        <v>142</v>
      </c>
      <c r="C104" s="13"/>
      <c r="D104" s="13"/>
      <c r="E104" s="13"/>
      <c r="F104" s="13"/>
      <c r="G104" s="13"/>
      <c r="H104" s="13"/>
      <c r="I104" s="13"/>
      <c r="J104" s="13"/>
      <c r="K104" s="13" t="s">
        <v>5</v>
      </c>
      <c r="L104" s="13"/>
      <c r="M104" s="13"/>
      <c r="N104" s="13"/>
      <c r="O104" s="19">
        <f>ROUND(($O$103),2)</f>
        <v>46785.53</v>
      </c>
      <c r="P104" s="13"/>
    </row>
    <row r="105" spans="1:16" x14ac:dyDescent="0.25">
      <c r="A105" s="3" t="s">
        <v>143</v>
      </c>
      <c r="B105" s="13" t="s">
        <v>144</v>
      </c>
      <c r="C105" s="13"/>
      <c r="D105" s="13"/>
      <c r="E105" s="13"/>
      <c r="F105" s="13"/>
      <c r="G105" s="13"/>
      <c r="H105" s="13"/>
      <c r="I105" s="13"/>
      <c r="J105" s="13"/>
      <c r="K105" s="13" t="s">
        <v>5</v>
      </c>
      <c r="L105" s="13"/>
      <c r="M105" s="13"/>
      <c r="N105" s="13"/>
      <c r="O105" s="19">
        <f>ROUND($O$49+$O$52+$O$98+$O$104,2)</f>
        <v>2444450.4500000002</v>
      </c>
      <c r="P105" s="13"/>
    </row>
    <row r="106" spans="1:16" x14ac:dyDescent="0.25">
      <c r="A106" s="3" t="s">
        <v>145</v>
      </c>
      <c r="B106" s="13" t="s">
        <v>146</v>
      </c>
      <c r="C106" s="13"/>
      <c r="D106" s="13"/>
      <c r="E106" s="13"/>
      <c r="F106" s="13"/>
      <c r="G106" s="13"/>
      <c r="H106" s="13"/>
      <c r="I106" s="13"/>
      <c r="J106" s="13"/>
      <c r="K106" s="13" t="s">
        <v>5</v>
      </c>
      <c r="L106" s="13"/>
      <c r="M106" s="13"/>
      <c r="N106" s="13"/>
      <c r="O106" s="19">
        <f>ROUND(($O$105),2)</f>
        <v>2444450.4500000002</v>
      </c>
      <c r="P106" s="13"/>
    </row>
    <row r="108" spans="1:16" ht="30" customHeight="1" x14ac:dyDescent="0.25">
      <c r="A108" s="22" t="s">
        <v>147</v>
      </c>
      <c r="B108" s="22"/>
      <c r="C108" s="22"/>
      <c r="D108" s="22"/>
      <c r="E108" s="22"/>
      <c r="F108" s="23">
        <f>$O$106</f>
        <v>2444450.4500000002</v>
      </c>
      <c r="G108" s="23"/>
      <c r="H108" s="23"/>
      <c r="I108" s="23"/>
      <c r="J108" s="23"/>
      <c r="K108" s="23"/>
      <c r="L108" s="23"/>
      <c r="M108" s="23"/>
      <c r="N108" s="23"/>
      <c r="O108" s="23"/>
      <c r="P108" s="23"/>
    </row>
    <row r="110" spans="1:16" x14ac:dyDescent="0.25">
      <c r="A110" s="22" t="s">
        <v>148</v>
      </c>
      <c r="B110" s="22"/>
      <c r="C110" s="22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</row>
    <row r="111" spans="1:16" x14ac:dyDescent="0.25">
      <c r="D111" s="11" t="s">
        <v>149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</row>
    <row r="113" spans="1:16" x14ac:dyDescent="0.25">
      <c r="A113" s="9" t="s">
        <v>150</v>
      </c>
      <c r="B113" s="9"/>
      <c r="C113" s="9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</row>
    <row r="114" spans="1:16" x14ac:dyDescent="0.25">
      <c r="D114" s="11" t="s">
        <v>149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</row>
  </sheetData>
  <mergeCells count="396">
    <mergeCell ref="A110:C110"/>
    <mergeCell ref="D110:P110"/>
    <mergeCell ref="D111:P111"/>
    <mergeCell ref="A113:C113"/>
    <mergeCell ref="D113:P113"/>
    <mergeCell ref="D114:P114"/>
    <mergeCell ref="B105:F105"/>
    <mergeCell ref="G105:J105"/>
    <mergeCell ref="K105:N105"/>
    <mergeCell ref="O105:P105"/>
    <mergeCell ref="B106:F106"/>
    <mergeCell ref="G106:J106"/>
    <mergeCell ref="K106:N106"/>
    <mergeCell ref="O106:P106"/>
    <mergeCell ref="A108:E108"/>
    <mergeCell ref="F108:P108"/>
    <mergeCell ref="B102:F102"/>
    <mergeCell ref="G102:J102"/>
    <mergeCell ref="K102:N102"/>
    <mergeCell ref="O102:P102"/>
    <mergeCell ref="B103:F103"/>
    <mergeCell ref="G103:J103"/>
    <mergeCell ref="K103:N103"/>
    <mergeCell ref="O103:P103"/>
    <mergeCell ref="B104:F104"/>
    <mergeCell ref="G104:J104"/>
    <mergeCell ref="K104:N104"/>
    <mergeCell ref="O104:P104"/>
    <mergeCell ref="B99:F99"/>
    <mergeCell ref="G99:J99"/>
    <mergeCell ref="K99:N99"/>
    <mergeCell ref="O99:P99"/>
    <mergeCell ref="B100:F100"/>
    <mergeCell ref="G100:J100"/>
    <mergeCell ref="K100:N100"/>
    <mergeCell ref="O100:P100"/>
    <mergeCell ref="B101:F101"/>
    <mergeCell ref="G101:J101"/>
    <mergeCell ref="K101:N101"/>
    <mergeCell ref="O101:P101"/>
    <mergeCell ref="B96:F96"/>
    <mergeCell ref="G96:J96"/>
    <mergeCell ref="K96:N96"/>
    <mergeCell ref="O96:P96"/>
    <mergeCell ref="B97:F97"/>
    <mergeCell ref="G97:J97"/>
    <mergeCell ref="K97:N97"/>
    <mergeCell ref="O97:P97"/>
    <mergeCell ref="B98:F98"/>
    <mergeCell ref="G98:J98"/>
    <mergeCell ref="K98:N98"/>
    <mergeCell ref="O98:P98"/>
    <mergeCell ref="B93:F93"/>
    <mergeCell ref="G93:J93"/>
    <mergeCell ref="K93:N93"/>
    <mergeCell ref="O93:P93"/>
    <mergeCell ref="B94:F94"/>
    <mergeCell ref="G94:J94"/>
    <mergeCell ref="K94:N94"/>
    <mergeCell ref="O94:P94"/>
    <mergeCell ref="B95:F95"/>
    <mergeCell ref="G95:J95"/>
    <mergeCell ref="K95:N95"/>
    <mergeCell ref="O95:P95"/>
    <mergeCell ref="B90:F90"/>
    <mergeCell ref="G90:J90"/>
    <mergeCell ref="K90:N90"/>
    <mergeCell ref="O90:P90"/>
    <mergeCell ref="B91:F91"/>
    <mergeCell ref="G91:J91"/>
    <mergeCell ref="K91:N91"/>
    <mergeCell ref="O91:P91"/>
    <mergeCell ref="B92:F92"/>
    <mergeCell ref="G92:J92"/>
    <mergeCell ref="K92:N92"/>
    <mergeCell ref="O92:P92"/>
    <mergeCell ref="B87:F87"/>
    <mergeCell ref="G87:J87"/>
    <mergeCell ref="K87:N87"/>
    <mergeCell ref="O87:P87"/>
    <mergeCell ref="B88:F88"/>
    <mergeCell ref="G88:J88"/>
    <mergeCell ref="K88:N88"/>
    <mergeCell ref="O88:P88"/>
    <mergeCell ref="B89:F89"/>
    <mergeCell ref="G89:J89"/>
    <mergeCell ref="K89:N89"/>
    <mergeCell ref="O89:P89"/>
    <mergeCell ref="B84:F84"/>
    <mergeCell ref="G84:J84"/>
    <mergeCell ref="K84:N84"/>
    <mergeCell ref="O84:P84"/>
    <mergeCell ref="B85:F85"/>
    <mergeCell ref="G85:J85"/>
    <mergeCell ref="K85:N85"/>
    <mergeCell ref="O85:P85"/>
    <mergeCell ref="B86:F86"/>
    <mergeCell ref="G86:J86"/>
    <mergeCell ref="K86:N86"/>
    <mergeCell ref="O86:P86"/>
    <mergeCell ref="B81:F81"/>
    <mergeCell ref="G81:J81"/>
    <mergeCell ref="K81:N81"/>
    <mergeCell ref="O81:P81"/>
    <mergeCell ref="B82:F82"/>
    <mergeCell ref="G82:J82"/>
    <mergeCell ref="K82:N82"/>
    <mergeCell ref="O82:P82"/>
    <mergeCell ref="B83:F83"/>
    <mergeCell ref="G83:J83"/>
    <mergeCell ref="K83:N83"/>
    <mergeCell ref="O83:P83"/>
    <mergeCell ref="B78:F78"/>
    <mergeCell ref="G78:J78"/>
    <mergeCell ref="K78:N78"/>
    <mergeCell ref="O78:P78"/>
    <mergeCell ref="B79:F79"/>
    <mergeCell ref="G79:J79"/>
    <mergeCell ref="K79:N79"/>
    <mergeCell ref="O79:P79"/>
    <mergeCell ref="B80:F80"/>
    <mergeCell ref="G80:J80"/>
    <mergeCell ref="K80:N80"/>
    <mergeCell ref="O80:P80"/>
    <mergeCell ref="B75:F75"/>
    <mergeCell ref="G75:J75"/>
    <mergeCell ref="K75:N75"/>
    <mergeCell ref="O75:P75"/>
    <mergeCell ref="B76:F76"/>
    <mergeCell ref="G76:J76"/>
    <mergeCell ref="K76:N76"/>
    <mergeCell ref="O76:P76"/>
    <mergeCell ref="B77:F77"/>
    <mergeCell ref="G77:J77"/>
    <mergeCell ref="K77:N77"/>
    <mergeCell ref="O77:P77"/>
    <mergeCell ref="B72:F72"/>
    <mergeCell ref="G72:J72"/>
    <mergeCell ref="K72:N72"/>
    <mergeCell ref="O72:P72"/>
    <mergeCell ref="B73:F73"/>
    <mergeCell ref="G73:J73"/>
    <mergeCell ref="K73:N73"/>
    <mergeCell ref="O73:P73"/>
    <mergeCell ref="B74:F74"/>
    <mergeCell ref="G74:J74"/>
    <mergeCell ref="K74:N74"/>
    <mergeCell ref="O74:P74"/>
    <mergeCell ref="B69:F69"/>
    <mergeCell ref="G69:J69"/>
    <mergeCell ref="K69:N69"/>
    <mergeCell ref="O69:P69"/>
    <mergeCell ref="B70:F70"/>
    <mergeCell ref="G70:J70"/>
    <mergeCell ref="K70:N70"/>
    <mergeCell ref="O70:P70"/>
    <mergeCell ref="B71:F71"/>
    <mergeCell ref="G71:J71"/>
    <mergeCell ref="K71:N71"/>
    <mergeCell ref="O71:P71"/>
    <mergeCell ref="B66:F66"/>
    <mergeCell ref="G66:J66"/>
    <mergeCell ref="K66:N66"/>
    <mergeCell ref="O66:P66"/>
    <mergeCell ref="B67:F67"/>
    <mergeCell ref="G67:J67"/>
    <mergeCell ref="K67:N67"/>
    <mergeCell ref="O67:P67"/>
    <mergeCell ref="B68:F68"/>
    <mergeCell ref="G68:J68"/>
    <mergeCell ref="K68:N68"/>
    <mergeCell ref="O68:P68"/>
    <mergeCell ref="B63:F63"/>
    <mergeCell ref="G63:J63"/>
    <mergeCell ref="K63:N63"/>
    <mergeCell ref="O63:P63"/>
    <mergeCell ref="B64:F64"/>
    <mergeCell ref="G64:J64"/>
    <mergeCell ref="K64:N64"/>
    <mergeCell ref="O64:P64"/>
    <mergeCell ref="B65:F65"/>
    <mergeCell ref="G65:J65"/>
    <mergeCell ref="K65:N65"/>
    <mergeCell ref="O65:P65"/>
    <mergeCell ref="B60:F60"/>
    <mergeCell ref="G60:J60"/>
    <mergeCell ref="K60:N60"/>
    <mergeCell ref="O60:P60"/>
    <mergeCell ref="B61:F61"/>
    <mergeCell ref="G61:J61"/>
    <mergeCell ref="K61:N61"/>
    <mergeCell ref="O61:P61"/>
    <mergeCell ref="B62:F62"/>
    <mergeCell ref="G62:J62"/>
    <mergeCell ref="K62:N62"/>
    <mergeCell ref="O62:P62"/>
    <mergeCell ref="B57:F57"/>
    <mergeCell ref="G57:J57"/>
    <mergeCell ref="K57:N57"/>
    <mergeCell ref="O57:P57"/>
    <mergeCell ref="B58:F58"/>
    <mergeCell ref="G58:J58"/>
    <mergeCell ref="K58:N58"/>
    <mergeCell ref="O58:P58"/>
    <mergeCell ref="B59:F59"/>
    <mergeCell ref="G59:J59"/>
    <mergeCell ref="K59:N59"/>
    <mergeCell ref="O59:P59"/>
    <mergeCell ref="B54:F54"/>
    <mergeCell ref="G54:J54"/>
    <mergeCell ref="K54:N54"/>
    <mergeCell ref="O54:P54"/>
    <mergeCell ref="B55:F55"/>
    <mergeCell ref="G55:J55"/>
    <mergeCell ref="K55:N55"/>
    <mergeCell ref="O55:P55"/>
    <mergeCell ref="B56:F56"/>
    <mergeCell ref="G56:J56"/>
    <mergeCell ref="K56:N56"/>
    <mergeCell ref="O56:P56"/>
    <mergeCell ref="B51:F51"/>
    <mergeCell ref="G51:J51"/>
    <mergeCell ref="K51:N51"/>
    <mergeCell ref="O51:P51"/>
    <mergeCell ref="B52:F52"/>
    <mergeCell ref="G52:J52"/>
    <mergeCell ref="K52:N52"/>
    <mergeCell ref="O52:P52"/>
    <mergeCell ref="B53:F53"/>
    <mergeCell ref="G53:J53"/>
    <mergeCell ref="K53:N53"/>
    <mergeCell ref="O53:P53"/>
    <mergeCell ref="B48:F48"/>
    <mergeCell ref="G48:J48"/>
    <mergeCell ref="K48:N48"/>
    <mergeCell ref="O48:P48"/>
    <mergeCell ref="B49:F49"/>
    <mergeCell ref="G49:J49"/>
    <mergeCell ref="K49:N49"/>
    <mergeCell ref="O49:P49"/>
    <mergeCell ref="B50:F50"/>
    <mergeCell ref="G50:J50"/>
    <mergeCell ref="K50:N50"/>
    <mergeCell ref="O50:P50"/>
    <mergeCell ref="B45:F45"/>
    <mergeCell ref="G45:J45"/>
    <mergeCell ref="K45:N45"/>
    <mergeCell ref="O45:P45"/>
    <mergeCell ref="B46:F46"/>
    <mergeCell ref="G46:J46"/>
    <mergeCell ref="K46:N46"/>
    <mergeCell ref="O46:P46"/>
    <mergeCell ref="B47:F47"/>
    <mergeCell ref="G47:J47"/>
    <mergeCell ref="K47:N47"/>
    <mergeCell ref="O47:P47"/>
    <mergeCell ref="B42:F42"/>
    <mergeCell ref="G42:J42"/>
    <mergeCell ref="K42:N42"/>
    <mergeCell ref="O42:P42"/>
    <mergeCell ref="B43:F43"/>
    <mergeCell ref="G43:J43"/>
    <mergeCell ref="K43:N43"/>
    <mergeCell ref="O43:P43"/>
    <mergeCell ref="B44:F44"/>
    <mergeCell ref="G44:J44"/>
    <mergeCell ref="K44:N44"/>
    <mergeCell ref="O44:P44"/>
    <mergeCell ref="B39:F39"/>
    <mergeCell ref="G39:J39"/>
    <mergeCell ref="K39:N39"/>
    <mergeCell ref="O39:P39"/>
    <mergeCell ref="B40:F40"/>
    <mergeCell ref="G40:J40"/>
    <mergeCell ref="K40:N40"/>
    <mergeCell ref="O40:P40"/>
    <mergeCell ref="B41:F41"/>
    <mergeCell ref="G41:J41"/>
    <mergeCell ref="K41:N41"/>
    <mergeCell ref="O41:P41"/>
    <mergeCell ref="B36:F36"/>
    <mergeCell ref="G36:J36"/>
    <mergeCell ref="K36:N36"/>
    <mergeCell ref="O36:P36"/>
    <mergeCell ref="B37:F37"/>
    <mergeCell ref="G37:J37"/>
    <mergeCell ref="K37:N37"/>
    <mergeCell ref="O37:P37"/>
    <mergeCell ref="B38:F38"/>
    <mergeCell ref="G38:J38"/>
    <mergeCell ref="K38:N38"/>
    <mergeCell ref="O38:P38"/>
    <mergeCell ref="B33:F33"/>
    <mergeCell ref="G33:J33"/>
    <mergeCell ref="K33:N33"/>
    <mergeCell ref="O33:P33"/>
    <mergeCell ref="B34:F34"/>
    <mergeCell ref="G34:J34"/>
    <mergeCell ref="K34:N34"/>
    <mergeCell ref="O34:P34"/>
    <mergeCell ref="B35:F35"/>
    <mergeCell ref="G35:J35"/>
    <mergeCell ref="K35:N35"/>
    <mergeCell ref="O35:P35"/>
    <mergeCell ref="B30:F30"/>
    <mergeCell ref="G30:J30"/>
    <mergeCell ref="K30:N30"/>
    <mergeCell ref="O30:P30"/>
    <mergeCell ref="B31:F31"/>
    <mergeCell ref="G31:J31"/>
    <mergeCell ref="K31:N31"/>
    <mergeCell ref="O31:P31"/>
    <mergeCell ref="B32:F32"/>
    <mergeCell ref="G32:J32"/>
    <mergeCell ref="K32:N32"/>
    <mergeCell ref="O32:P32"/>
    <mergeCell ref="B27:F27"/>
    <mergeCell ref="G27:J27"/>
    <mergeCell ref="K27:N27"/>
    <mergeCell ref="O27:P27"/>
    <mergeCell ref="B28:F28"/>
    <mergeCell ref="G28:J28"/>
    <mergeCell ref="K28:N28"/>
    <mergeCell ref="O28:P28"/>
    <mergeCell ref="B29:F29"/>
    <mergeCell ref="G29:J29"/>
    <mergeCell ref="K29:N29"/>
    <mergeCell ref="O29:P29"/>
    <mergeCell ref="B24:F24"/>
    <mergeCell ref="G24:J24"/>
    <mergeCell ref="K24:N24"/>
    <mergeCell ref="O24:P24"/>
    <mergeCell ref="B25:F25"/>
    <mergeCell ref="G25:J25"/>
    <mergeCell ref="K25:N25"/>
    <mergeCell ref="O25:P25"/>
    <mergeCell ref="B26:F26"/>
    <mergeCell ref="G26:J26"/>
    <mergeCell ref="K26:N26"/>
    <mergeCell ref="O26:P26"/>
    <mergeCell ref="B21:F21"/>
    <mergeCell ref="G21:J21"/>
    <mergeCell ref="K21:N21"/>
    <mergeCell ref="O21:P21"/>
    <mergeCell ref="B22:F22"/>
    <mergeCell ref="G22:J22"/>
    <mergeCell ref="K22:N22"/>
    <mergeCell ref="O22:P22"/>
    <mergeCell ref="B23:F23"/>
    <mergeCell ref="G23:J23"/>
    <mergeCell ref="K23:N23"/>
    <mergeCell ref="O23:P23"/>
    <mergeCell ref="B18:F18"/>
    <mergeCell ref="G18:J18"/>
    <mergeCell ref="K18:N18"/>
    <mergeCell ref="O18:P18"/>
    <mergeCell ref="B19:F19"/>
    <mergeCell ref="G19:J19"/>
    <mergeCell ref="K19:N19"/>
    <mergeCell ref="O19:P19"/>
    <mergeCell ref="B20:F20"/>
    <mergeCell ref="G20:J20"/>
    <mergeCell ref="K20:N20"/>
    <mergeCell ref="O20:P20"/>
    <mergeCell ref="B15:F15"/>
    <mergeCell ref="G15:J15"/>
    <mergeCell ref="K15:N15"/>
    <mergeCell ref="O15:P15"/>
    <mergeCell ref="B16:F16"/>
    <mergeCell ref="G16:J16"/>
    <mergeCell ref="K16:N16"/>
    <mergeCell ref="O16:P16"/>
    <mergeCell ref="B17:F17"/>
    <mergeCell ref="G17:J17"/>
    <mergeCell ref="K17:N17"/>
    <mergeCell ref="O17:P17"/>
    <mergeCell ref="B13:F13"/>
    <mergeCell ref="G12:J12"/>
    <mergeCell ref="G13:J13"/>
    <mergeCell ref="K12:N12"/>
    <mergeCell ref="K13:N13"/>
    <mergeCell ref="O12:P12"/>
    <mergeCell ref="O13:P13"/>
    <mergeCell ref="B14:F14"/>
    <mergeCell ref="G14:J14"/>
    <mergeCell ref="K14:N14"/>
    <mergeCell ref="O14:P14"/>
    <mergeCell ref="A1:D1"/>
    <mergeCell ref="E1:P1"/>
    <mergeCell ref="A3:P3"/>
    <mergeCell ref="A4:P4"/>
    <mergeCell ref="A6:P6"/>
    <mergeCell ref="A7:P7"/>
    <mergeCell ref="A9:P9"/>
    <mergeCell ref="A10:P10"/>
    <mergeCell ref="B12:F12"/>
  </mergeCells>
  <pageMargins left="0.4" right="0.4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Смета_№ЗАВЫШЕНО_КР Переход рек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Степаненко Марина Юрьевна</cp:lastModifiedBy>
  <dcterms:created xsi:type="dcterms:W3CDTF">2026-08-11T16:38:58Z</dcterms:created>
  <dcterms:modified xsi:type="dcterms:W3CDTF">2026-08-11T10:39:49Z</dcterms:modified>
</cp:coreProperties>
</file>