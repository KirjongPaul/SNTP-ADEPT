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O:\_ТЕНДЕРЫ_М.Степаненко\2026-08_УМК-Сталь Тюмень_ТП техн.проезд с переустр.ГП_Тюрюмин\"/>
    </mc:Choice>
  </mc:AlternateContent>
  <bookViews>
    <workbookView xWindow="240" yWindow="15" windowWidth="16095" windowHeight="9660" tabRatio="955"/>
  </bookViews>
  <sheets>
    <sheet name="Св.смета_№1_Техническое перево" sheetId="1" r:id="rId1"/>
    <sheet name="Смета_№1.1_ИГДИ" sheetId="2" r:id="rId2"/>
    <sheet name="Смета_№1.2_ИГИ" sheetId="3" r:id="rId3"/>
    <sheet name="Смета_№2.1_СИД" sheetId="4" r:id="rId4"/>
    <sheet name="Смета_№3.1_А Д+ГП+ТХ" sheetId="5" r:id="rId5"/>
    <sheet name="Смета_№3.2_Видео" sheetId="6" r:id="rId6"/>
    <sheet name="Смета_№4.1_А Д+ГП+ТХ" sheetId="7" r:id="rId7"/>
    <sheet name="Смета_№3.2_Видео(3)" sheetId="8" r:id="rId8"/>
  </sheets>
  <definedNames>
    <definedName name="_xlnm.Print_Area" localSheetId="0">'Св.смета_№1_Техническое перево'!$A$1:$J$57</definedName>
    <definedName name="_xlnm.Print_Area" localSheetId="1">Смета_№1.1_ИГДИ!$A$1:$P$72</definedName>
    <definedName name="_xlnm.Print_Area" localSheetId="2">Смета_№1.2_ИГИ!$A$1:$P$154</definedName>
    <definedName name="_xlnm.Print_Area" localSheetId="3">Смета_№2.1_СИД!$A$1:$I$31</definedName>
    <definedName name="_xlnm.Print_Area" localSheetId="4">'Смета_№3.1_А Д+ГП+ТХ'!$A$1:$P$76</definedName>
    <definedName name="_xlnm.Print_Area" localSheetId="5">Смета_№3.2_Видео!$A$1:$P$47</definedName>
    <definedName name="_xlnm.Print_Area" localSheetId="7">'Смета_№3.2_Видео(3)'!$A$1:$P$46</definedName>
  </definedNames>
  <calcPr calcId="152511"/>
</workbook>
</file>

<file path=xl/calcChain.xml><?xml version="1.0" encoding="utf-8"?>
<calcChain xmlns="http://schemas.openxmlformats.org/spreadsheetml/2006/main">
  <c r="D44" i="1" l="1"/>
  <c r="O38" i="8"/>
  <c r="O34" i="8"/>
  <c r="O30" i="8"/>
  <c r="O26" i="8"/>
  <c r="O22" i="8"/>
  <c r="O42" i="8" s="1"/>
  <c r="O43" i="8" s="1"/>
  <c r="O44" i="8" s="1"/>
  <c r="F46" i="8" s="1"/>
  <c r="O18" i="8"/>
  <c r="O14" i="8"/>
  <c r="O59" i="7"/>
  <c r="O55" i="7"/>
  <c r="O50" i="7"/>
  <c r="O44" i="7"/>
  <c r="O30" i="7"/>
  <c r="O25" i="7"/>
  <c r="O20" i="7"/>
  <c r="O15" i="7"/>
  <c r="O63" i="7" s="1"/>
  <c r="O64" i="7" s="1"/>
  <c r="O65" i="7" s="1"/>
  <c r="F67" i="7" s="1"/>
  <c r="O38" i="6"/>
  <c r="O34" i="6"/>
  <c r="O30" i="6"/>
  <c r="O26" i="6"/>
  <c r="O22" i="6"/>
  <c r="O42" i="6" s="1"/>
  <c r="O43" i="6" s="1"/>
  <c r="O44" i="6" s="1"/>
  <c r="O45" i="6" s="1"/>
  <c r="F47" i="6" s="1"/>
  <c r="O18" i="6"/>
  <c r="O14" i="6"/>
  <c r="O67" i="5"/>
  <c r="O63" i="5"/>
  <c r="O58" i="5"/>
  <c r="O52" i="5"/>
  <c r="O30" i="5"/>
  <c r="O25" i="5"/>
  <c r="O20" i="5"/>
  <c r="O15" i="5"/>
  <c r="O71" i="5" s="1"/>
  <c r="O72" i="5" s="1"/>
  <c r="O73" i="5" s="1"/>
  <c r="O74" i="5" s="1"/>
  <c r="F76" i="5" s="1"/>
  <c r="I19" i="4"/>
  <c r="I25" i="4" s="1"/>
  <c r="I26" i="4" s="1"/>
  <c r="I15" i="4"/>
  <c r="O146" i="3"/>
  <c r="O149" i="3" s="1"/>
  <c r="O150" i="3" s="1"/>
  <c r="O134" i="3"/>
  <c r="O131" i="3"/>
  <c r="O128" i="3"/>
  <c r="O125" i="3"/>
  <c r="O122" i="3"/>
  <c r="O119" i="3"/>
  <c r="O116" i="3"/>
  <c r="O113" i="3"/>
  <c r="O110" i="3"/>
  <c r="O103" i="3"/>
  <c r="O100" i="3"/>
  <c r="O97" i="3"/>
  <c r="O94" i="3"/>
  <c r="O91" i="3"/>
  <c r="O88" i="3"/>
  <c r="O85" i="3"/>
  <c r="O82" i="3"/>
  <c r="O79" i="3"/>
  <c r="O76" i="3"/>
  <c r="O73" i="3"/>
  <c r="O70" i="3"/>
  <c r="O67" i="3"/>
  <c r="O64" i="3"/>
  <c r="O61" i="3"/>
  <c r="O58" i="3"/>
  <c r="O55" i="3"/>
  <c r="O52" i="3"/>
  <c r="O49" i="3"/>
  <c r="O46" i="3"/>
  <c r="O40" i="3"/>
  <c r="O37" i="3"/>
  <c r="O34" i="3"/>
  <c r="O31" i="3"/>
  <c r="O27" i="3"/>
  <c r="O24" i="3"/>
  <c r="O21" i="3"/>
  <c r="O18" i="3"/>
  <c r="O43" i="3" s="1"/>
  <c r="O44" i="3" s="1"/>
  <c r="O15" i="3"/>
  <c r="O67" i="2"/>
  <c r="O68" i="2" s="1"/>
  <c r="O55" i="2"/>
  <c r="O52" i="2"/>
  <c r="O49" i="2"/>
  <c r="O46" i="2"/>
  <c r="O43" i="2"/>
  <c r="O41" i="2"/>
  <c r="O34" i="2"/>
  <c r="O31" i="2"/>
  <c r="O27" i="2"/>
  <c r="O23" i="2"/>
  <c r="O19" i="2"/>
  <c r="O15" i="2"/>
  <c r="J37" i="1"/>
  <c r="I37" i="1"/>
  <c r="H37" i="1"/>
  <c r="J36" i="1"/>
  <c r="I36" i="1"/>
  <c r="H36" i="1"/>
  <c r="H32" i="1"/>
  <c r="J31" i="1"/>
  <c r="J32" i="1" s="1"/>
  <c r="I31" i="1"/>
  <c r="I32" i="1" s="1"/>
  <c r="H31" i="1"/>
  <c r="J24" i="1"/>
  <c r="J25" i="1" s="1"/>
  <c r="J38" i="1" s="1"/>
  <c r="I24" i="1"/>
  <c r="I25" i="1" s="1"/>
  <c r="H24" i="1"/>
  <c r="H25" i="1" s="1"/>
  <c r="H38" i="1" s="1"/>
  <c r="O106" i="3" l="1"/>
  <c r="O107" i="3" s="1"/>
  <c r="O108" i="3" s="1"/>
  <c r="O141" i="3"/>
  <c r="O142" i="3" s="1"/>
  <c r="O61" i="2"/>
  <c r="O62" i="2" s="1"/>
  <c r="O37" i="2"/>
  <c r="O38" i="2" s="1"/>
  <c r="J39" i="1"/>
  <c r="D43" i="1" s="1"/>
  <c r="I27" i="4"/>
  <c r="I28" i="4" s="1"/>
  <c r="I29" i="4" s="1"/>
  <c r="E31" i="4" s="1"/>
  <c r="H39" i="1"/>
  <c r="H40" i="1" s="1"/>
  <c r="I38" i="1"/>
  <c r="O143" i="3" l="1"/>
  <c r="O144" i="3" s="1"/>
  <c r="O151" i="3" s="1"/>
  <c r="O152" i="3" s="1"/>
  <c r="F154" i="3" s="1"/>
  <c r="O69" i="2"/>
  <c r="O70" i="2" s="1"/>
  <c r="F72" i="2" s="1"/>
  <c r="I39" i="1"/>
  <c r="I40" i="1"/>
  <c r="J40" i="1"/>
  <c r="D42" i="1" l="1"/>
</calcChain>
</file>

<file path=xl/sharedStrings.xml><?xml version="1.0" encoding="utf-8"?>
<sst xmlns="http://schemas.openxmlformats.org/spreadsheetml/2006/main" count="1372" uniqueCount="467">
  <si>
    <t>Адепт: Проект v 2026.4.2 © ООО"Адепт"</t>
  </si>
  <si>
    <t>Форма 1пс
от 26.08.2026г.</t>
  </si>
  <si>
    <t>СВОДНАЯ СМЕТА №1</t>
  </si>
  <si>
    <t>на проектные работы и инженерные изыскания</t>
  </si>
  <si>
    <t>По объекту:</t>
  </si>
  <si>
    <t>Организация технологического проезда с переустройством газопровода</t>
  </si>
  <si>
    <t>Наименование строительства и стадии проектирования</t>
  </si>
  <si>
    <t>Техническое перевооружение</t>
  </si>
  <si>
    <t/>
  </si>
  <si>
    <t>Наименование проектной организации-генерального проектировщика</t>
  </si>
  <si>
    <t>ОАО "Сибнефтетранспроект"</t>
  </si>
  <si>
    <t>Наименование организации заказчика</t>
  </si>
  <si>
    <t xml:space="preserve">  Филиал ООО «УМК-Сталь» – «МЗ «Электросталь Тюмени»</t>
  </si>
  <si>
    <t>№пп</t>
  </si>
  <si>
    <t>Перечень выполняемых работ</t>
  </si>
  <si>
    <t>Характеристика проектируемого объекта</t>
  </si>
  <si>
    <t>Ссылка на № смет по формам 2П, 3П</t>
  </si>
  <si>
    <t>Полная стоимость работ, тыс. руб.</t>
  </si>
  <si>
    <t>изыскательских</t>
  </si>
  <si>
    <t>проектных</t>
  </si>
  <si>
    <t>Всего</t>
  </si>
  <si>
    <t>1</t>
  </si>
  <si>
    <t>Инженерные изыскания</t>
  </si>
  <si>
    <t>1.1</t>
  </si>
  <si>
    <t>Инженерно-геодезические изыскания</t>
  </si>
  <si>
    <t>Изыскания</t>
  </si>
  <si>
    <t>1.2</t>
  </si>
  <si>
    <t>Инженерно-геологические изыскания</t>
  </si>
  <si>
    <t>1.3</t>
  </si>
  <si>
    <t>Итого Инженерные изыскания:</t>
  </si>
  <si>
    <t>1.4</t>
  </si>
  <si>
    <t>Всего Инженерные изыскания:</t>
  </si>
  <si>
    <t>Сумма от п.1.3</t>
  </si>
  <si>
    <t>2</t>
  </si>
  <si>
    <t>Проектная документация</t>
  </si>
  <si>
    <t>2.1</t>
  </si>
  <si>
    <t>Сбор исходных данных</t>
  </si>
  <si>
    <t>По трудоемкости проектные работы</t>
  </si>
  <si>
    <t>2.2</t>
  </si>
  <si>
    <t>Технологические и конструктивные решения</t>
  </si>
  <si>
    <t>3.1</t>
  </si>
  <si>
    <t>2.3</t>
  </si>
  <si>
    <t>Видеонаблюдение</t>
  </si>
  <si>
    <t>3.2</t>
  </si>
  <si>
    <t>2.4</t>
  </si>
  <si>
    <t>Рекультивация нарушенных земель</t>
  </si>
  <si>
    <t>3.3</t>
  </si>
  <si>
    <t>2.5</t>
  </si>
  <si>
    <t>Итого Проектная документация:</t>
  </si>
  <si>
    <t>2.6</t>
  </si>
  <si>
    <t>Всего Проектная документация:</t>
  </si>
  <si>
    <t>Сумма от п.2.5</t>
  </si>
  <si>
    <t>3</t>
  </si>
  <si>
    <t>Рабочая документация</t>
  </si>
  <si>
    <t>4.1</t>
  </si>
  <si>
    <t>Итого Рабочая документация:</t>
  </si>
  <si>
    <t>3.4</t>
  </si>
  <si>
    <t>Всего Рабочая документация:</t>
  </si>
  <si>
    <t>Сумма от п.3.3</t>
  </si>
  <si>
    <t>4</t>
  </si>
  <si>
    <t>Итого по сводной смете:</t>
  </si>
  <si>
    <t>5</t>
  </si>
  <si>
    <t>НДС</t>
  </si>
  <si>
    <t>22% от п.4</t>
  </si>
  <si>
    <t>6</t>
  </si>
  <si>
    <t>Всего по сводной смете:</t>
  </si>
  <si>
    <t>Сумма от п.4-5</t>
  </si>
  <si>
    <t>Всего по смете (тыс. руб.):</t>
  </si>
  <si>
    <t>Кроме того, НДС 22% (тыс. руб.):</t>
  </si>
  <si>
    <t>Всего с НДС (тыс. руб.):</t>
  </si>
  <si>
    <t>Руководитель проектной организации</t>
  </si>
  <si>
    <t>[подпись (инициалы, фамилия)]</t>
  </si>
  <si>
    <t>Главный инженер проекта</t>
  </si>
  <si>
    <t>Согласована:</t>
  </si>
  <si>
    <t>Ответственный представитель заказчика</t>
  </si>
  <si>
    <t xml:space="preserve">форма №2П, 1/пр
</t>
  </si>
  <si>
    <t>СМЕТА №1.1</t>
  </si>
  <si>
    <t>на инженерно-геодезические изыскания</t>
  </si>
  <si>
    <t>(наименование вида инженерных изысканий)</t>
  </si>
  <si>
    <t>(наименование объекта капитального строительства)</t>
  </si>
  <si>
    <t>№ пп</t>
  </si>
  <si>
    <t>Наименование работ и затрат</t>
  </si>
  <si>
    <t>Обоснование стоимости</t>
  </si>
  <si>
    <t>Расчет стоимости</t>
  </si>
  <si>
    <t>Сметная стоимость в уровне цен, сложившемся на день составления сметной документации, руб.</t>
  </si>
  <si>
    <t>I. Полевые работы</t>
  </si>
  <si>
    <t xml:space="preserve">Создание пунктов плановой опорной геодезической сети без закладки центров методом спутниковых геодезических определений: 2-го разряда в условиях выполнения полевых работ . Категория II. </t>
  </si>
  <si>
    <t>НЗ №812/пр. Работы по инженерно-геодезическим изысканиям (ИГДИ). 2024 г. Таблица 7. ПЗп. Затраты на полевые работы по созданию пунктов плановой опорной геодезической сети без закладки центров методом спутниковых геодезических определений, п.8
A = 35837 руб.;
Количество = 8 (1 пункт);</t>
  </si>
  <si>
    <t>A * Количество * Ктек * К3
35837 руб. * 8 * 1.29 * 0.5</t>
  </si>
  <si>
    <t>Коэффициенты</t>
  </si>
  <si>
    <t xml:space="preserve">инд.3кв.2026г.к 01.01.2024 на пр.раб. </t>
  </si>
  <si>
    <t>Ктек = 1.29
Письмо Минстроя России от 23.07.2026 №45358-ИФ/09</t>
  </si>
  <si>
    <t xml:space="preserve">(К3) Стоимость полевых работ по созданию пунктов плановой опорной геодезической сети без закладки центров методом спутниковых геодезических определений, совмещенных с пунктами высотной опорной сети IV класса, созданных без закладки центров методом спутниковых геодезических определений, рассчитывается суммированием соответствующих показателей затрат на работы по созданию пунктов плановой опорной геодезической сети, приведенных в таблице 7 НЗ, и показателей затрат, умноженных на корректирующий коэффициент </t>
  </si>
  <si>
    <t>К3 = 0.5
Прим. к табл.7, п.1 (Ценообразующий)</t>
  </si>
  <si>
    <t xml:space="preserve">Создание нивелирных пунктов высотной опорной геодезической сети без закладки реперов (марок) методом геометрического нивелирования: IV класса в условиях выполнения полевых работ. Категория II. </t>
  </si>
  <si>
    <t>НЗ №812/пр. Работы по инженерно-геодезическим изысканиям (ИГДИ). 2024 г. Таблица 11. ПЗп. Затраты на полевые работы по созданию нивелирных пунктов высотной опорной геодезической сети без закладки реперов (марок) методом геометрического нивелирования, п.8
A = 25608 руб.;
Количество = 8 (1 пункт);</t>
  </si>
  <si>
    <t>A * Количество * Ктек * К1
25608 руб. * 8 * 1.29 * 0.78</t>
  </si>
  <si>
    <t xml:space="preserve">(К1) Стоимость полевых работ по созданию нивелирных пунктов высотной опорной геодезической сети без закладки реперов (марок) методом геометрического нивелирования, выполняемых с использованием транспортных средств, за исключением транспортных средств автомобильного транспорта, определяется по показателям затрат с применением корректирующего коэффициента </t>
  </si>
  <si>
    <t>К1 = 0.78
Прим. к табл.11, п.1 (Ценообразующий)</t>
  </si>
  <si>
    <t xml:space="preserve">Закладка центров (реперов) пунктов опорной геодезической сети с применением буровых установок: глубиной до 2 метров включительно. Категория II. </t>
  </si>
  <si>
    <t>НЗ №812/пр. Работы по инженерно-геодезическим изысканиям (ИГДИ). 2024 г. Таблица 12. ПЗп. Затраты на полевые работы по закладке центров (реперов) пунктов опорной геодезической сети, п.4
A = 26188 руб.;
Количество = 8 (1 пункт);</t>
  </si>
  <si>
    <t>A * Количество * Ктек * К1
26188 руб. * 8 * 1.29 * 0.78</t>
  </si>
  <si>
    <t xml:space="preserve">(К1) Стоимость полевых работ по закладке центров пунктов опорной геодезической сети, выполняемых с использованием транспортных средств, за исключением транспортных средств автомобильного транспорта, определяется по показателям затрат с применением корректирующего коэффициента </t>
  </si>
  <si>
    <t>К1 = 0.78
Прим. к табл.12, п.1 (Ценообразующий)</t>
  </si>
  <si>
    <t xml:space="preserve">Топографическая съемка тахеометрическим методом и сочетанием тахеометрического метода с методом спутниковых геодезических определений высотой сечения рельефа через 0.5 м метров. Застроенная территория. в масштабе 1:500 в условиях выполнения полевых работ. Категория II. </t>
  </si>
  <si>
    <t>НЗ №812/пр. Работы по инженерно-геодезическим изысканиям (ИГДИ). 2024 г. Таблица 18. ПЗп. Затраты на полевые работы по выполнению топографической съемки тахеометрическим методом и сочетанием тахеометрического метода с методом спутниковых геодезических определений в масштабах 1:500-1:2000 с высотой сечения рельефа через 0.5 метров, п.11
A = 38848 руб.;
Количество = 24 (1 гектар);</t>
  </si>
  <si>
    <t>A * Количество * Ктек * К5
38848 руб. * 24 * 1.29 * 0.9</t>
  </si>
  <si>
    <t xml:space="preserve">(К5) Стоимость полевых работ по выполнению топографической съемки методом спутниковых геодезических определений в масштабах 1:500-1:2000 с высотой сечения рельефа через 0.5 метров определяется по показателям затрат с применением корректирующего коэффициента </t>
  </si>
  <si>
    <t>К5 = 0.9
Глава 4, п.58 (Ценообразующий)</t>
  </si>
  <si>
    <t>1.5</t>
  </si>
  <si>
    <t xml:space="preserve">Дополнительные затраты на производство полевых работ в неблагоприятный период года. Продолжительность неблагоприятного периода года от 6.0 до 6.9 месяцев. </t>
  </si>
  <si>
    <t>НЗ №812/пр. Работы по инженерно-геодезическим изысканиям (ИГДИ). 2024 г. Таблица 2. ДЗнп. Дополнительные затраты на производство полевых работ в неблагоприятный период года, п.4
Сп = 1305671.84 руб. в базовом уровне цен</t>
  </si>
  <si>
    <t>29% от п.1.1-1.4 * Ктек
1 305 671.84 руб. * 29 / 100 * 1.29</t>
  </si>
  <si>
    <t>1.6</t>
  </si>
  <si>
    <t xml:space="preserve">Показатель дополнительных затрат на организацию полевых работ (ПД3орг) при стоимости полевых работ, рассчитанной по показателям затрат НЗ (СПпз). Расстояние от места постоянной работы работников до участка проведения полевых работ от 500 до 1000 километров включительно. </t>
  </si>
  <si>
    <t>НЗ №812/пр. Работы по инженерно-геодезическим изысканиям (ИГДИ). 2024 г. Таблица 4. ДЗорг. Дополнительные затраты на организацию полевых работ, 
Aпред = 23.0%;
Aслед = 6.6%;
Xпред = 1000 тыс. руб.;
Xслед = 3000 тыс. руб.;
X = 1305.67184 тыс. руб.;
Сп = 1305671.84 руб. в базовом уровне цен</t>
  </si>
  <si>
    <t>X * ((Aпред + (Aслед - Aпред) / (Xслед - Xпред) * (X – Xпред)) / 100) * Количество * Ктек
1305.67184 * ((23 + (6.6 - 23) / (3000 - 1000) * (1305.67184 - 1000)) / 100) * 1 * 1.29</t>
  </si>
  <si>
    <t>1.7</t>
  </si>
  <si>
    <t>Итого по разделу I</t>
  </si>
  <si>
    <t>1.8</t>
  </si>
  <si>
    <t>Всего по разделу I</t>
  </si>
  <si>
    <t>Лабораторные работы</t>
  </si>
  <si>
    <t>II. Лабораторные работы</t>
  </si>
  <si>
    <t>Итого по разделу II</t>
  </si>
  <si>
    <t>Всего по разделу II</t>
  </si>
  <si>
    <t>III. Камеральные работы</t>
  </si>
  <si>
    <t>Камеральная обработка результатов измерений, выполненных при создании пунктов плановой опорной геодезической сети 4-го класса, 1-го и 2-го разрядов</t>
  </si>
  <si>
    <t>НЗ №812/пр. Работы по инженерно-геодезическим изысканиям (ИГДИ). 2024 г. Таблица 16. ПЗк. Работы по камеральной обработке результатов измерений, выполненных при создании пунктов плановой опорной геодезической сети и создании нивелирных пунктов высотной опорной геодезической сети, п.1
A = 1714 руб.;
Количество = 8 (1 пункт);</t>
  </si>
  <si>
    <t>A * Количество * Ктек
1714 руб. * 8 * 1.29</t>
  </si>
  <si>
    <t>Камеральная обработка результатов измерений, выполненных при создании нивелирных пунктов высотной опорной геодезической сети III и IV классов</t>
  </si>
  <si>
    <t>НЗ №812/пр. Работы по инженерно-геодезическим изысканиям (ИГДИ). 2024 г. Таблица 16. ПЗк. Работы по камеральной обработке результатов измерений, выполненных при создании пунктов плановой опорной геодезической сети и создании нивелирных пунктов высотной опорной геодезической сети, п.3
A = 1844 руб.;
Количество = 8 (1 пункт);</t>
  </si>
  <si>
    <t>A * Количество * Ктек
1844 руб. * 8 * 1.29</t>
  </si>
  <si>
    <t xml:space="preserve">Создание инженерно-топографических планов в масштабе 1:500. Незастроенная территория. для условий выполнения полевых работ категории II. Площадь участка от 10 до 50 гектаров включительно. </t>
  </si>
  <si>
    <t>НЗ №812/пр. Работы по инженерно-геодезическим изысканиям (ИГДИ). 2024 г. Таблица 47. ПЗ1к, ПЗ2к. Затраты на камеральные работы по созданию инженерно-топографических планов в масштабе 1:500, п.6
ПЗ1к = 7 698 руб.;
ПЗ2к = 1 700 руб.;
Sсъемки = 24 (1 гектар);
Количество = 1;</t>
  </si>
  <si>
    <t>(ПЗ1к + ПЗ2к * Sсъемки) * Количество * Ктек
(7 698 руб. + 1 700 руб. * 24) * 1 * 1.29</t>
  </si>
  <si>
    <t xml:space="preserve">Камеральная укладка вариантов прохождения трасс трубопроводов: в масштабах 1:25000 для условий выполнения полевых работ. Категория II. </t>
  </si>
  <si>
    <t>НЗ №812/пр. Работы по инженерно-геодезическим изысканиям (ИГДИ). 2024 г. Таблица 57. ПЗк. Затраты на камеральные работы по камеральной укладке вариантов прохождения трасс сетей инженерно-технического обеспечения, п.14
A = 547 руб.;
Количество = 1.58 (1 километр);</t>
  </si>
  <si>
    <t>A * Количество * Ктек
547 руб. * 1.58 * 1.29</t>
  </si>
  <si>
    <t>3.5</t>
  </si>
  <si>
    <t xml:space="preserve">Нанесение подземных инженерных коммуникаций с их техническими характеристиками на инженерно-топографический план в масштабе 1:500: при количестве подземных инженерных коммуникаций по назначению на участке, подлежащем топографической съемке до 3 (трех) включительно. от 10 до 50 гектаров включительно. </t>
  </si>
  <si>
    <t>НЗ №812/пр. Работы по инженерно-геодезическим изысканиям (ИГДИ). 2024 г. Таблица 51. ПЗ1к, ПЗ2к. Затраты на камеральные работы по нанесению подземных инженерных коммуникаций с их техническими характеристиками на инженерно-топографический план в масштабе 1:500, п.2
ПЗ1к = 1 187 руб.;
ПЗ2к = 244 руб.;
Sсъемки = 20 (1 гектар);
Количество = 1;</t>
  </si>
  <si>
    <t>(ПЗ1к + ПЗ2к * Sсъемки) * Количество * Ктек
(1 187 руб. + 244 руб. * 20) * 1 * 1.29</t>
  </si>
  <si>
    <t>3.6</t>
  </si>
  <si>
    <t>Составление технического отчета по результатам выполнения работ по ИГДИ при общей стоимости полевых и камеральных работ, определенной по показателям затрат, приведенным в НЗ, тысяч рублей:</t>
  </si>
  <si>
    <t>НЗ №812/пр. Работы по инженерно-геодезическим изысканиям (ИГДИ). 2024 г. Таблица 81. ПЗк. Затраты на камеральные работы по составлению технического отчета по результатам выполнения работ по ИГДИ, п.3
Aпред = 76 000 руб.; Aслед = 204 000 руб.;
Xпред = 1 000 тыс. руб.; Xслед = 5 000 тыс. руб.; 
X = 1 389.5651 тыс. руб.;
Количество = 1;</t>
  </si>
  <si>
    <t>(Апред + (Аслед - Апред) / (Xслед - Xпред) * (X - Xпред)) * Количество * Ктек
(76 000 руб. + (204 000 руб. - 76 000 руб.) / (5 000 000 руб. - 1 000 000 руб.) * (1 389 565.1 руб. - 1 000 000 руб.)) * 1 * 1.29</t>
  </si>
  <si>
    <t>3.7</t>
  </si>
  <si>
    <t>Итого по разделу III</t>
  </si>
  <si>
    <t>3.8</t>
  </si>
  <si>
    <t>Всего по разделу III</t>
  </si>
  <si>
    <t>IV. Дополнительные и специальные работы</t>
  </si>
  <si>
    <t>Составление программы инженерно-геодезических изысканий при общей стоимости полевых и камеральных работ, определенной по показателям затрат, приведенным в НЗ, тысяч рублей:</t>
  </si>
  <si>
    <t>НЗ №812/пр. Работы по инженерно-геодезическим изысканиям (ИГДИ). 2024 г. Таблица 80. ПЗк. Затраты на камеральные работы по составлению программы инженерно-геодезических изысканий, п.3
Aпред = 36 839 руб.; Aслед = 127 949 руб.;
Xпред = 1 000 тыс. руб.; Xслед = 5 000 тыс. руб.; 
X = 1 478.03118 тыс. руб.;
Количество = 1;</t>
  </si>
  <si>
    <t>(Апред + (Аслед - Апред) / (Xслед - Xпред) * (X - Xпред)) * Количество * Ктек
(36 839 руб. + (127 949 руб. - 36 839 руб.) / (5 000 000 руб. - 1 000 000 руб.) * (1 478 031.18 руб. - 1 000 000 руб.)) * 1 * 1.29</t>
  </si>
  <si>
    <t>Итого по разделу IV</t>
  </si>
  <si>
    <t>Всего по разделу IV</t>
  </si>
  <si>
    <t>Итого по смете:</t>
  </si>
  <si>
    <t>Всего по смете:</t>
  </si>
  <si>
    <t>Всего по смете (руб.):</t>
  </si>
  <si>
    <t>СМЕТА №1.2</t>
  </si>
  <si>
    <t>на инженерно-геологические изыскания</t>
  </si>
  <si>
    <t xml:space="preserve">Рекогносцировочное обследование: в условиях производства полевых работ категории II. площадь участка от 20 до 50 гектаров включительно. </t>
  </si>
  <si>
    <t>№281/пр. Работы по инженерно-геологическим изысканиям (ИГИ). 2025 г. Таблица 12. ПЗ1п, ПЗ2п. Затраты на полевые работы по проведению рекогносцировочного обследования, п.8
ПЗ1п = 40 243 руб.;
ПЗ2п = 2 359 руб.;
Sреког = 24 (гектар);
Количество = 1;</t>
  </si>
  <si>
    <t>(ПЗ1п + ПЗ2п * Sреког) * Количество * Ктек
(40 243 руб. + 2 359 руб. * 24) * 1 * 1.29</t>
  </si>
  <si>
    <t xml:space="preserve">Проходка инженерно-геологических скважин колонковым способом бурения: диаметром до 160 (ста шестидесяти) миллиметров включительно при глубине скважины до 15 (пятнадцати) метров включительно. в грунтах категории III. </t>
  </si>
  <si>
    <t>№281/пр. Работы по инженерно-геологическим изысканиям (ИГИ). 2025 г. Таблица 14. ПЗп. Затраты на полевые работы по проходке инженерно-геологических скважин колонковым способом бурения, п.3
A = 3300 руб.;
Количество = 160 (погонный метр);</t>
  </si>
  <si>
    <t>A * Количество * Ктек
3300 руб. * 160 * 1.29</t>
  </si>
  <si>
    <t>Крепление инженерно-геологических скважин обсадными трубами</t>
  </si>
  <si>
    <t>№281/пр. Работы по инженерно-геологическим изысканиям (ИГИ). 2025 г. Таблица 25. ПЗп. Затраты на полевые работы по креплению инженерно-геологических скважин обсадными трубами, п.1
A = 1536 руб.;
Количество = 48 (погонный метр);</t>
  </si>
  <si>
    <t>A * Количество * Ктек
1536 руб. * 48 * 1.29</t>
  </si>
  <si>
    <t>Проведение гидрогеологических исследований первого от поверхности земли подземного водоносного горизонта в инженерно-геологических скважинах</t>
  </si>
  <si>
    <t>№281/пр. Работы по инженерно-геологическим изысканиям (ИГИ). 2025 г. Таблица 26. ПЗп. Затраты на полевые работы по проведению гидрогеологических исследований первого от поверхности земли подземного водоносного горизонта в инженерно-геологических скважинах, п.1
A = 983 руб.;
Количество = 16 (одно исследование
в одной скважине);</t>
  </si>
  <si>
    <t>A * Количество * Ктек
983 руб. * 16 * 1.29</t>
  </si>
  <si>
    <t xml:space="preserve">Полевые испытания грунтов методом статического зондирования непрерывным вдавливанием на глубину, метров: от 10 до 15 метров включительно. </t>
  </si>
  <si>
    <t>№281/пр. Работы по инженерно-геологическим изысканиям (ИГИ). 2025 г. Таблица 43. ПЗп. Затраты на полевые испытания грунтов методом статического зондирования непрерывным вдавливанием, п.3
A = 3138 руб.;
Количество = 50 (погонный метр);</t>
  </si>
  <si>
    <t>A * Количество * Ктек * К2
3138 руб. * 50 * 1.29 * 1.1</t>
  </si>
  <si>
    <t xml:space="preserve">(К2) Корректирующий коэффициент, применяемый при определении стоимости полевых работ, выполняемых работниками вне места их постоянной работы с учетом затрат на возмещение расходов, предусмотренных статьей 168.1 Трудового кодекса Российской Федерации (за исключением расходов по проезду). Полевые испытания грунтов методом статического зондирования. Зона климатических условий: I </t>
  </si>
  <si>
    <t>К2 = 1.1
Табл.2, п.6 (Ценообразующий)</t>
  </si>
  <si>
    <t xml:space="preserve">Дополнительные затраты на производство полевых работ в неблагоприятный период года. Продолжительность неблагоприятного периода года от 4.0 до 4.9 месяцев. </t>
  </si>
  <si>
    <t>№281/пр. Работы по инженерно-геологическим изысканиям (ИГИ). 2025 г. Таблица 3. ДЗнп. Дополнительные затраты на производство полевых работ в неблагоприятный период года, п.2
СП = 886905 руб. в базовом уровне цен</t>
  </si>
  <si>
    <t>13% от п.1.1-1.5 * Ктек
886 905 руб. * 13 / 100 * 1.29</t>
  </si>
  <si>
    <t xml:space="preserve">Дополнительные затраты на неизбежные перерывы при определении стоимости полевых работ, выполняемых на следующих объектах и территориях. в границах охранных зон эксплуатируемых линий электропередачи напряжением 6 (шесть) киловольт и выше. </t>
  </si>
  <si>
    <t>№281/пр. Работы по инженерно-геологическим изысканиям (ИГИ). 2025 г. Пункт 27. ДЗрежим. Дополнительные затраты на неизбежные перерывы при определении стоимости полевых работ, п.27н
СП = 886905 руб. в базовом уровне цен</t>
  </si>
  <si>
    <t>25% от п.1.1-1.5 * Ктек
886 905 руб. * 25 / 100 * 1.29</t>
  </si>
  <si>
    <t xml:space="preserve">Значения показателя дополнительных затрат на проезд (ДЗпроезд1) при стоимости полевых работ, рассчитанной по показателям затрат НЗ в уровне цен по состоянию на 1 января 2024 г. (СПпз). Расстояние от места постоянной работы работников до участка проведения полевых работ от 2 000 до 4 000 километров включительно. </t>
  </si>
  <si>
    <t>№281/пр. Работы по инженерно-геологическим изысканиям (ИГИ). 2025 г. Таблица 4. ДЗпроезд1. Дополнительные затраты на проезд с использованием транспортных средств автомобильного транспорта при отсутствии испытаний грунтов методом статического зондирования, 
Aпред = 92.3%;
Aслед = 62.7%;
Xпред = 300 тыс. руб.;
Xслед = 1000 тыс. руб.;
X = 871.215 тыс. руб.;
СП = 871215 руб. в базовом уровне цен без учета K2</t>
  </si>
  <si>
    <t>X * ((Aпред + (Aслед - Aпред) / (Xслед - Xпред) * (X – Xпред)) / 100) * Количество * Ктек
871.215 * ((92.3 + (62.7 - 92.3) / (1000 - 300) * (871.215 - 300)) / 100) * 1 * 1.29</t>
  </si>
  <si>
    <t>1.9</t>
  </si>
  <si>
    <t xml:space="preserve">Показатель дополнительных затрат на организацию полевых работ (ДЗорг) при стоимости полевых работ, рассчитанной по показателям затрат НЗ (СПпз). Расстояние от места постоянной работы работников до участка проведения полевых работ от 2 000 до 4 000 километров включительно. </t>
  </si>
  <si>
    <t>№281/пр. Работы по инженерно-геологическим изысканиям (ИГИ). 2025 г. Таблица 8. ДЗорг. Дополнительные затраты на организацию полевых работ, 
Aпред = 98.7%;
Aслед = 29.6%;
Xпред = 300 тыс. руб.;
Xслед = 1000 тыс. руб.;
X = 871.215 тыс. руб.;
СП = 871215 руб. в базовом уровне цен без учета K2</t>
  </si>
  <si>
    <t>X * ((Aпред + (Aслед - Aпред) / (Xслед - Xпред) * (X – Xпред)) / 100) * Количество * Ктек
871.215 * ((98.7 + (29.6 - 98.7) / (1000 - 300) * (871.215 - 300)) / 100) * 1 * 1.29</t>
  </si>
  <si>
    <t>Приемка, регистрация, консервация образца грунта с отбором части для хранения в архиве</t>
  </si>
  <si>
    <t>№281/пр. Работы по инженерно-геологическим изысканиям (ИГИ). 2025 г. Таблица 56. ПЗл. Затраты на работы по проведению лабораторных определений физических свойств органо-минеральных грунтов, п.1
A = 459 руб.;
Количество = 65 (один образец грунта);</t>
  </si>
  <si>
    <t>A * Количество * Ктек
459 руб. * 65 * 1.29</t>
  </si>
  <si>
    <t>Отбор проб из образца грунта для определения физических свойств</t>
  </si>
  <si>
    <t>№281/пр. Работы по инженерно-геологическим изысканиям (ИГИ). 2025 г. Таблица 56. ПЗл. Затраты на работы по проведению лабораторных определений физических свойств органо-минеральных грунтов, п.2
A = 335 руб.;
Количество = 65 (один образец грунта);</t>
  </si>
  <si>
    <t>A * Количество * Ктек
335 руб. * 65 * 1.29</t>
  </si>
  <si>
    <t>Описание образца грунта при проведении лабораторных определений физических свойств</t>
  </si>
  <si>
    <t>№281/пр. Работы по инженерно-геологическим изысканиям (ИГИ). 2025 г. Таблица 56. ПЗл. Затраты на работы по проведению лабораторных определений физических свойств органо-минеральных грунтов, п.3
A = 141 руб.;
Количество = 65 (один образец грунта);</t>
  </si>
  <si>
    <t>A * Количество * Ктек
141 руб. * 65 * 1.29</t>
  </si>
  <si>
    <t>Лабораторные определения физических свойств песчаных, крупнообломочных, глинистых, органических, органо-минеральных, скальных и полускальных грунтов. Определение влажности грунта методом высушивания до постоянной массы</t>
  </si>
  <si>
    <t>№281/пр. Работы по инженерно-геологическим изысканиям (ИГИ). 2025 г. Таблица 57. ПЗл. Затраты на лабораторные определения физических свойств грунтов, п.1
A = 229 руб.;
Количество = 16 (одно определение);</t>
  </si>
  <si>
    <t>A * Количество * Ктек
229 руб. * 16 * 1.29</t>
  </si>
  <si>
    <t>Лабораторные определения физических свойств песчаных, крупнообломочных, глинистых, органических, органо-минеральных, скальных и полускальных грунтов. Определение плотности частиц грунта пикнометрическим методом</t>
  </si>
  <si>
    <t>№281/пр. Работы по инженерно-геологическим изысканиям (ИГИ). 2025 г. Таблица 57. ПЗл. Затраты на лабораторные определения физических свойств грунтов, п.4
A = 600 руб.;
Количество = 4 (одно определение);</t>
  </si>
  <si>
    <t>A * Количество * Ктек
600 руб. * 4 * 1.29</t>
  </si>
  <si>
    <t>Лабораторные определения физических свойств песчаных, крупнообломочных, глинистых, органических, органо-минеральных, скальных и полускальных грунтов. Определение содержания органических веществ в грунте методом прокаливания до постоянной массы</t>
  </si>
  <si>
    <t>№281/пр. Работы по инженерно-геологическим изысканиям (ИГИ). 2025 г. Таблица 57. ПЗл. Затраты на лабораторные определения физических свойств грунтов, п.8
A = 370 руб.;
Количество = 4 (одно определение);</t>
  </si>
  <si>
    <t>A * Количество * Ктек
370 руб. * 4 * 1.29</t>
  </si>
  <si>
    <t>2.7</t>
  </si>
  <si>
    <t>Лабораторные определения физических свойств песчаных, крупнообломочных, глинистых, органических, органо-минеральных, скальных и полускальных грунтов. Определение гранулометрического (зернового) состава грунта ситовым методом с промывкой водой с разделением грунта по фракциям размерами: свыше 0,5 миллиметра, от 0,25 до 0,5 миллиметра, от 0,1 до 0,25 миллиметра и до 0,1 миллиметра</t>
  </si>
  <si>
    <t>№281/пр. Работы по инженерно-геологическим изысканиям (ИГИ). 2025 г. Таблица 57. ПЗл. Затраты на лабораторные определения физических свойств грунтов, п.10
A = 917 руб.;
Количество = 4 (одно определение);</t>
  </si>
  <si>
    <t>A * Количество * Ктек
917 руб. * 4 * 1.29</t>
  </si>
  <si>
    <t>2.8</t>
  </si>
  <si>
    <t>Лабораторные определения физических свойств песчаных, крупнообломочных, глинистых, органических, органо-минеральных, скальных и полускальных грунтов. Определение гранулометрического (микроагрегатного) состава грунта ареометрическим методом с разделением грунта на фракции размерами: от 0,05 до 0,1 миллиметра, от 0,01 до 0,05 миллиметра, от 0,005 до 0,01 миллиметра, от 0,001 до 0,002 миллиметра и до 0,001 миллиметра</t>
  </si>
  <si>
    <t>№281/пр. Работы по инженерно-геологическим изысканиям (ИГИ). 2025 г. Таблица 57. ПЗл. Затраты на лабораторные определения физических свойств грунтов, п.14
A = 1852 руб.;
Количество = 4 (одно определение);</t>
  </si>
  <si>
    <t>A * Количество * Ктек
1852 руб. * 4 * 1.29</t>
  </si>
  <si>
    <t>2.9</t>
  </si>
  <si>
    <t>Лабораторные определения физических свойств песчаных, крупнообломочных, глинистых, органических, органо-минеральных, скальных и полускальных грунтов. Определение относительной деформации морозного пучения</t>
  </si>
  <si>
    <t>№281/пр. Работы по инженерно-геологическим изысканиям (ИГИ). 2025 г. Таблица 57. ПЗл. Затраты на лабораторные определения физических свойств грунтов, п.16
A = 4546 руб.;
Количество = 1 (одно определение);</t>
  </si>
  <si>
    <t>A * Количество * Ктек
4546 руб. * 1 * 1.29</t>
  </si>
  <si>
    <t>2.10</t>
  </si>
  <si>
    <t>Лабораторные определения физических свойств глинистых грунтов. Определение плотности глинистого грунта методом режущего кольца</t>
  </si>
  <si>
    <t>№281/пр. Работы по инженерно-геологическим изысканиям (ИГИ). 2025 г. Таблица 57. ПЗл. Затраты на лабораторные определения физических свойств грунтов, п.17
A = 529 руб.;
Количество = 4 (одно определение);</t>
  </si>
  <si>
    <t>A * Количество * Ктек
529 руб. * 4 * 1.29</t>
  </si>
  <si>
    <t>2.11</t>
  </si>
  <si>
    <t>Лабораторные определения физических свойств глинистых грунтов. Определение верхнего предела пластичности глинистого грунта — влажности грунта на границе текучести и нижнего предела пластичности глинистого грунта - влажности грунта на границе раскатывания при проведении испытания с использованием образца грунта природной влажности</t>
  </si>
  <si>
    <t>№281/пр. Работы по инженерно-геологическим изысканиям (ИГИ). 2025 г. Таблица 57. ПЗл. Затраты на лабораторные определения физических свойств грунтов, п.18
A = 1676 руб.;
Количество = 4 (одно определение);</t>
  </si>
  <si>
    <t>A * Количество * Ктек
1676 руб. * 4 * 1.29</t>
  </si>
  <si>
    <t>2.12</t>
  </si>
  <si>
    <t>Лабораторные определения физических свойств песчаных и крупнообломочных грунтов. Определение плотности песчаного грунта методом режущего кольца</t>
  </si>
  <si>
    <t>№281/пр. Работы по инженерно-геологическим изысканиям (ИГИ). 2025 г. Таблица 57. ПЗл. Затраты на лабораторные определения физических свойств грунтов, п.26
A = 512 руб.;
Количество = 6 (одно определение);</t>
  </si>
  <si>
    <t>A * Количество * Ктек
512 руб. * 6 * 1.29</t>
  </si>
  <si>
    <t>2.13</t>
  </si>
  <si>
    <t>Определение характеристик просадочности грунта при замачивании водой в компрессионных приборах по схеме двух кривых» для определения относительной просадочности грунта при различных давлениях начального просадочного давления</t>
  </si>
  <si>
    <t>№281/пр. Работы по инженерно-геологическим изысканиям (ИГИ). 2025 г. Таблица 58. ПЗл. Затраты на лабораторные определения характеристик деформируемости грунтов методом компрессионного сжатия, п.9
A = 10593 руб.;
Количество = 3 (одно определение);</t>
  </si>
  <si>
    <t>A * Количество * Ктек
10593 руб. * 3 * 1.29</t>
  </si>
  <si>
    <t>2.14</t>
  </si>
  <si>
    <t>Определение характеристик прочности песчаного грунта консолидированно-дренированными испытаниями методом одноплоскостного среза при проведении не менее трех испытаний идентичных образцов при различных значениях нормального напряжения</t>
  </si>
  <si>
    <t>№281/пр. Работы по инженерно-геологическим изысканиям (ИГИ). 2025 г. Таблица 59. ПЗл. Затраты на лабораторные определения характеристик прочности грунтов методом одноплоскостного среза, п.1
A = 8520 руб.;
Количество = 4 (одно определение);</t>
  </si>
  <si>
    <t>A * Количество * Ктек
8520 руб. * 4 * 1.29</t>
  </si>
  <si>
    <t>2.15</t>
  </si>
  <si>
    <t>Определение характеристик прочности глины с числом пластичности от 17 (семнадцати) до 30 (тридцати) процентов включительно консолидированно-дренированными испытаниями методом одноплоскостного среза при проведении не менее трех испытаний идентичных образцов при различных значениях нормального напряжения</t>
  </si>
  <si>
    <t>№281/пр. Работы по инженерно-геологическим изысканиям (ИГИ). 2025 г. Таблица 59. ПЗл. Затраты на лабораторные определения характеристик прочности грунтов методом одноплоскостного среза, п.5
A = 9293 руб.;
Количество = 4 (одно определение);</t>
  </si>
  <si>
    <t>A * Количество * Ктек
9293 руб. * 4 * 1.29</t>
  </si>
  <si>
    <t>2.16</t>
  </si>
  <si>
    <t>Определение характеристик деформируемости методом трехосного сжатия песчаного грунта. Консолидированно-дренированным испытанием (КД)</t>
  </si>
  <si>
    <t>№281/пр. Работы по инженерно-геологическим изысканиям (ИГИ). 2025 г. Таблица 60. ПЗл. Затраты на лабораторные определения характеристик прочности грунтов методом трехосного сжатия, п.22
A = 4593 руб.;
Количество = 2 (одно определение);</t>
  </si>
  <si>
    <t>A * Количество * Ктек
4593 руб. * 2 * 1.29</t>
  </si>
  <si>
    <t>2.17</t>
  </si>
  <si>
    <t>Определение характеристик деформируемости методом трехосного сжатия глины с показателем текучести до 0,25. Консолидированно-дренированным испытанием (КД)</t>
  </si>
  <si>
    <t>№281/пр. Работы по инженерно-геологическим изысканиям (ИГИ). 2025 г. Таблица 60. ПЗл. Затраты на лабораторные определения характеристик прочности грунтов методом трехосного сжатия, п.28
A = 6470 руб.;
Количество = 4 (одно определение);</t>
  </si>
  <si>
    <t>A * Количество * Ктек
6470 руб. * 4 * 1.29</t>
  </si>
  <si>
    <t>2.18</t>
  </si>
  <si>
    <t>Определения предела прочности скального и полускального грунта при одноосном сжатии образца правильной формы плоскими плитами в природном состоянии</t>
  </si>
  <si>
    <t>№281/пр. Работы по инженерно-геологическим изысканиям (ИГИ). 2025 г. Таблица 61. ПЗл. Затраты на лабораторные определения предела прочности при одноосном сжатии скальных и полускальных грунтов, п.1
A = 3029 руб.;
Количество = 1 (одно определение);</t>
  </si>
  <si>
    <t>A * Количество * Ктек
3029 руб. * 1 * 1.29</t>
  </si>
  <si>
    <t>2.19</t>
  </si>
  <si>
    <t>Определение физических свойств, химического состава и агрессивности подземных вод</t>
  </si>
  <si>
    <t>№281/пр. Работы по инженерно-геологическим изысканиям (ИГИ). 2025 г. Таблица 63. ПЗл. Затраты на работы на лабораторные определения сокращенного перечня физических свойств, химического состава и агрессивности водной вытяжки из грунтов, п.1
A = 11731 руб.;
Количество = 3 (одно определение);</t>
  </si>
  <si>
    <t>A * Количество * Ктек
11731 руб. * 3 * 1.29</t>
  </si>
  <si>
    <t>2.20</t>
  </si>
  <si>
    <t>Определение физических свойств, химического состава и агрессивности водной вытяжки из грунтов</t>
  </si>
  <si>
    <t>№281/пр. Работы по инженерно-геологическим изысканиям (ИГИ). 2025 г. Таблица 63. ПЗл. Затраты на работы на лабораторные определения сокращенного перечня физических свойств, химического состава и агрессивности водной вытяжки из грунтов, п.3
A = 9786 руб.;
Количество = 4 (одно определение);</t>
  </si>
  <si>
    <t>A * Количество * Ктек
9786 руб. * 4 * 1.29</t>
  </si>
  <si>
    <t>2.22</t>
  </si>
  <si>
    <t>НЗ №281/пр. Работы по инженерно-геологическим изысканиям (ИГИ) (Глава 2, п.47)</t>
  </si>
  <si>
    <t>п.2.21 * (0.65 * 1.08 + 0.35 - 1)</t>
  </si>
  <si>
    <t xml:space="preserve">Камеральная обработка результатов полевых работ по проходке следующих инженерно-геологических выработок инженерно-геологических скважин в условиях категории сложности инженерно-геологических условий: II. </t>
  </si>
  <si>
    <t>№281/пр. Работы по инженерно-геологическим изысканиям (ИГИ). 2025 г. Таблица 33. ПЗк. Затраты на работы по камеральной обработке результатов полевых работ по проходке инженерно-геологических выработок, п.2
A = 342 руб.;
Количество = 160 (погонный метр);</t>
  </si>
  <si>
    <t>A * Количество * Ктек
342 руб. * 160 * 1.29</t>
  </si>
  <si>
    <t>Камеральная обработка результатов полевых испытаний грунтов методом статического зондирования непрерывным вдавливанием зонда</t>
  </si>
  <si>
    <t>№281/пр. Работы по инженерно-геологическим изысканиям (ИГИ). 2025 г. Таблица 45. ПЗк. Затраты на работы по камеральной обработке результатов полевых испытаний грунтов методом статического зондирования непрерывным и прерывистым вдавливанием, выполняемым по специальным методикам, п.1
A = 173 руб.;
Количество = 500 (погонный метр);</t>
  </si>
  <si>
    <t>A * Количество * Ктек
173 руб. * 500 * 1.29</t>
  </si>
  <si>
    <t xml:space="preserve">Камеральная обработка результатов лабораторных определений физических свойств грунтов: песчаных. </t>
  </si>
  <si>
    <t>№281/пр. Работы по инженерно-геологическим изысканиям (ИГИ). 2025 г. Таблица 62. ПЗк. Затраты на работы по камеральной обработке результатов лабораторных определений свойств грунтов, п.1
A = 320 руб.;
Количество = 4 (один образец);</t>
  </si>
  <si>
    <t>A * Количество * Ктек
320 руб. * 4 * 1.29</t>
  </si>
  <si>
    <t xml:space="preserve">Камеральная обработка результатов лабораторных определений физических свойств грунтов: глинистых. </t>
  </si>
  <si>
    <t>№281/пр. Работы по инженерно-геологическим изысканиям (ИГИ). 2025 г. Таблица 62. ПЗк. Затраты на работы по камеральной обработке результатов лабораторных определений свойств грунтов, п.2
A = 381 руб.;
Количество = 4 (один образец);</t>
  </si>
  <si>
    <t>A * Количество * Ктек
381 руб. * 4 * 1.29</t>
  </si>
  <si>
    <t xml:space="preserve">Камеральная обработка результатов лабораторных определений физических свойств грунтов: скальных и полускальных. </t>
  </si>
  <si>
    <t>№281/пр. Работы по инженерно-геологическим изысканиям (ИГИ). 2025 г. Таблица 62. ПЗк. Затраты на работы по камеральной обработке результатов лабораторных определений свойств грунтов, п.3
A = 316 руб.;
Количество = 4 (один образец);</t>
  </si>
  <si>
    <t>A * Количество * Ктек
316 руб. * 4 * 1.29</t>
  </si>
  <si>
    <t xml:space="preserve">Камеральная обработка результатов лабораторных исследований механических свойств грунтов (методом компрессионного сжатия, методом одноплоскостного среза, методом трехосного сжатия): песчаных. </t>
  </si>
  <si>
    <t>№281/пр. Работы по инженерно-геологическим изысканиям (ИГИ). 2025 г. Таблица 62. ПЗк. Затраты на работы по камеральной обработке результатов лабораторных определений свойств грунтов, п.5
A = 693 руб.;
Количество = 6 (один образец);</t>
  </si>
  <si>
    <t>A * Количество * Ктек
693 руб. * 6 * 1.29</t>
  </si>
  <si>
    <t xml:space="preserve">Камеральная обработка результатов лабораторных исследований механических свойств грунтов (методом компрессионного сжатия, методом одноплоскостного среза, методом трехосного сжатия): глинистых. </t>
  </si>
  <si>
    <t>№281/пр. Работы по инженерно-геологическим изысканиям (ИГИ). 2025 г. Таблица 62. ПЗк. Затраты на работы по камеральной обработке результатов лабораторных определений свойств грунтов, п.6
A = 730 руб.;
Количество = 9 (один образец);</t>
  </si>
  <si>
    <t>A * Количество * Ктек
730 руб. * 9 * 1.29</t>
  </si>
  <si>
    <t>Камеральная обработка результатов лабораторных исследований физических свойств, химического состава и агрессивности подземных вод</t>
  </si>
  <si>
    <t>№281/пр. Работы по инженерно-геологическим изысканиям (ИГИ). 2025 г. Таблица 64. ПЗк. Затраты на работы по камеральной обработке результатов лабораторных определений физических свойств и химического состава подземных и поверхностных вод и вытяжек из грунтов, коррозионной агрессивности грунтов, п.1
A = 385 руб.;
Количество = 3 (один образец);</t>
  </si>
  <si>
    <t>A * Количество * Ктек
385 руб. * 3 * 1.29</t>
  </si>
  <si>
    <t>3.9</t>
  </si>
  <si>
    <t>Камеральная обработка результатов лабораторных исследований физических свойств, химического состава и агрессивности водной вытяжки из грунтов и удельного электрического сопротивления и средней плотности катодного тока грунта</t>
  </si>
  <si>
    <t>№281/пр. Работы по инженерно-геологическим изысканиям (ИГИ). 2025 г. Таблица 64. ПЗк. Затраты на работы по камеральной обработке результатов лабораторных определений физических свойств и химического состава подземных и поверхностных вод и вытяжек из грунтов, коррозионной агрессивности грунтов, п.2
A = 352 руб.;
Количество = 4 (один образец);</t>
  </si>
  <si>
    <t>A * Количество * Ктек
352 руб. * 4 * 1.29</t>
  </si>
  <si>
    <t>3.10</t>
  </si>
  <si>
    <t>Составление технического отчета по результатам выполнения работ по ИГИ при общей стоимости камеральных работ в уровне цен по состоянию на 1 января 2024 г. (без учета дополнительных затрат), определенной по показателям затрат, приведенным в НЗ, в условиях инженерно-геологических условий категории сложности II, тысяч рублей:</t>
  </si>
  <si>
    <t>№281/пр. Работы по инженерно-геологическим изысканиям (ИГИ). 2025 г. Таблица 65. ПЗк. Затраты на камеральные работы по составлению технического отчета по результатам инженерно-геологических изысканий, п.10
Aпред = 278 776 руб.; Aслед = 421 816 руб.;
Xпред = 100.0 тыс. руб.; Xслед = 250.0 тыс. руб.; 
X = 158.579 тыс. руб.;
Количество = 1;</t>
  </si>
  <si>
    <t>(Апред + (Аслед - Апред) / (Xслед - Xпред) * (X - Xпред)) * Количество * Ктек * К21
(278 776 руб. + (421 816 руб. - 278 776 руб.) / (250 000 руб. - 100 000 руб.) * (158 579 руб. - 100 000 руб.)) * 1 * 1.29 * 1.1</t>
  </si>
  <si>
    <t xml:space="preserve">(К21) Стоимость работ по составлению технического отчета по результатам выполнения работ по ИГИ в составе которого предусмотрено нанесение геологической информации на профили линейных объектов определяется с применением корректирующего коэффициента </t>
  </si>
  <si>
    <t>К21 = 1.1
Прим. к табл.65, п.3 (Ценообразующий)</t>
  </si>
  <si>
    <t>3.12</t>
  </si>
  <si>
    <t>Камеральные работы, дополнительные и специальные работы</t>
  </si>
  <si>
    <t>п.3.11 * (0.73 * 1.08 + 0.27 - 1)</t>
  </si>
  <si>
    <t>3.13</t>
  </si>
  <si>
    <t>Новое начисление</t>
  </si>
  <si>
    <t>Коэф-т 1 от п.3.11</t>
  </si>
  <si>
    <t xml:space="preserve">Составление программы инженерно-геологических изысканий для II категории сложности инженерно-геологических условий: при площади земельного участка (участка для строительства) от 10 (десяти) до 100 (ста) гектаров включительно. Максимальная глубина исследования от 5 до 10 метров включительно. </t>
  </si>
  <si>
    <t>№281/пр. Работы по инженерно-геологическим изысканиям (ИГИ). 2025 г. Таблица 66. ПЗдоп. Затраты на работы по составлению программы инженерно-геологических изысканий, п.16
A = 157915 руб.;
Количество = 1 (одна программа);</t>
  </si>
  <si>
    <t>A * Количество * Ктек
157915 руб. * 1 * 1.29</t>
  </si>
  <si>
    <t xml:space="preserve">форма №3П
</t>
  </si>
  <si>
    <t>Смета №2.1</t>
  </si>
  <si>
    <t>на проектные (изыскательские) работы</t>
  </si>
  <si>
    <t>Наименование предприятия, здания, сооружения, стадии проектирования, этапа, вида проектных или изыскательских работ</t>
  </si>
  <si>
    <t>Наименование проектной (изыскательской) организации</t>
  </si>
  <si>
    <t>Исполнители</t>
  </si>
  <si>
    <t>количество</t>
  </si>
  <si>
    <t>должность</t>
  </si>
  <si>
    <t>Количество человеко-дней</t>
  </si>
  <si>
    <t>Средняя оплата труда за 1 день</t>
  </si>
  <si>
    <t>Оплата труда (всего), руб.</t>
  </si>
  <si>
    <t>Сбор недостающих исходных данных</t>
  </si>
  <si>
    <t>Главный специалист</t>
  </si>
  <si>
    <t>Начальник отдела</t>
  </si>
  <si>
    <t>Ведущий инженер</t>
  </si>
  <si>
    <t>Итого оплата труда (руб.) 69 976.50</t>
  </si>
  <si>
    <t>Итого оплата труда
Сумма от п.2</t>
  </si>
  <si>
    <t>Коэффициент отношения заработной платы исполнителей к себестоимости работ
Коэф-т-делитель 0.45 от п.3</t>
  </si>
  <si>
    <t>Прибыль
8% от п.4</t>
  </si>
  <si>
    <t>Стоимость работы
Сумма от п.4-5</t>
  </si>
  <si>
    <t>7</t>
  </si>
  <si>
    <t xml:space="preserve">форма 2П
</t>
  </si>
  <si>
    <t>Смета №3.1</t>
  </si>
  <si>
    <t>Характеристика предприятия, здания, сооружения или виды работ</t>
  </si>
  <si>
    <t>Номер частей, глав, таблиц, процентов, параграфов и пунктов указаний к разделу Справочника базовых цен на проектные и изыскательские работы для строительства</t>
  </si>
  <si>
    <t>Расчет стоимости: (a+bx)*Ki, или (объем строительно-монтажных работ) * проц./100 или количество x цена</t>
  </si>
  <si>
    <t>Стоимость, руб.</t>
  </si>
  <si>
    <t>Технологический проезд</t>
  </si>
  <si>
    <t>Автомобильные дороги технической категории II с двумя­-тремя полосами движения. Категория сложности проектирования: 2. Протяженность от 0.2 до 0.5 километра включительно.</t>
  </si>
  <si>
    <t>НЗ №51/пр Строительство, реконструкция и капитальный ремонт автомобильных дорог, их конструктивных элементов и сооружений на них. 2025 г. Таблица 3.3. Автомобильные дороги технической категории II с двумя - тремя полосами движения, п.2.2
A = 302.6 тыс.руб; B = 1 964.97 тыс.руб;
Протяженность дороги L = 0.427 км;
Количество = 1;</t>
  </si>
  <si>
    <t>(A + B * L) * Количество * Ктек * Кст
(302 600 руб. + 1 964 970 руб. * 0.427) * 1 * 1.4 * 0.4</t>
  </si>
  <si>
    <t>Стадия: Проектная документация</t>
  </si>
  <si>
    <t>Кст = 0.4</t>
  </si>
  <si>
    <t xml:space="preserve">инд.3кв.2026г.к 01.01.2023 на пр.раб. </t>
  </si>
  <si>
    <t>Ктек = 1.4
Письмо Минстроя России от 23.07.2026 №45358-ИФ/09</t>
  </si>
  <si>
    <t>Примыкание</t>
  </si>
  <si>
    <t xml:space="preserve">Примыкание автомобильных дорог в одном уровне с устройством переходно-скоростных полос движения, островков безопасности. Категория сложности проектирования: 3. </t>
  </si>
  <si>
    <t>НЗ №51/пр Строительство, реконструкция и капитальный ремонт автомобильных дорог, их конструктивных элементов и сооружений на них. 2025 г. Таблица 3.7. Развязки, п.2.3
A = 1 622.6 тыс.руб; 
Количество = 1 (объект)</t>
  </si>
  <si>
    <t>A * Количество * Ктек * Кст
1 622 600 руб. * 1 * 1.4 * 0.4</t>
  </si>
  <si>
    <t>Железнодорожный переезд</t>
  </si>
  <si>
    <t>Железнодорожный переезд (однопутный)</t>
  </si>
  <si>
    <t>Железные дороги. 2014 г. Таблица 50. Железнодорожные переезды, п.1
A = 91 тыс. руб.
Количество = 2 (переезд)</t>
  </si>
  <si>
    <t>A * Количество * Ктек * Кст
91 000 руб. * 2 * 7.22 * 0.4</t>
  </si>
  <si>
    <t xml:space="preserve">инд.3кв.2026г.к 01.01.2001 на пр.раб. </t>
  </si>
  <si>
    <t>Ктек = 7.22
Письмо Минстроя России от 23.07.2026 №45358-ИФ/09</t>
  </si>
  <si>
    <t>Благоустройство</t>
  </si>
  <si>
    <t xml:space="preserve">Благоустройство территории объектов капитального строительства. Площадь от 0.1 до 1 га включительно. </t>
  </si>
  <si>
    <t>НЗ №911/пр Объекты городской среды. 2023 г. Таблица 3.1. Комплексное благоустройство территорий, п.1
A = 245 тыс.руб; B = 326 тыс.руб;
Xзад = 0.5 (га);
Количество = 1</t>
  </si>
  <si>
    <t>(A + B * Xзад) * Количество * Ктек * Кст
(245 000 руб. + 326 000 руб. * 0.5) * 1 * 1.56 * 0.4 * 0.4</t>
  </si>
  <si>
    <t xml:space="preserve">инд.3кв.2026г.к 01.01.2022 на пр.раб. </t>
  </si>
  <si>
    <t>Ктек = 1.56
Письмо Минстроя России от 23.07.2026 №45358-ИФ/09</t>
  </si>
  <si>
    <t xml:space="preserve">Разделы документации </t>
  </si>
  <si>
    <t>1. Пояснительная записка</t>
  </si>
  <si>
    <t>2%</t>
  </si>
  <si>
    <t>2. Схема планировочной организации земельного участка</t>
  </si>
  <si>
    <t>22%</t>
  </si>
  <si>
    <t xml:space="preserve">2.1. Благоустройство </t>
  </si>
  <si>
    <t>22% [из  22%]</t>
  </si>
  <si>
    <t>3. Проект организации строительства</t>
  </si>
  <si>
    <t>5%</t>
  </si>
  <si>
    <t>4. Перечень мероприятий по охране окружающей среды</t>
  </si>
  <si>
    <t>3%</t>
  </si>
  <si>
    <t>5. Требования к обеспечению безопасной эксплуатации объекта капитального строительства</t>
  </si>
  <si>
    <t>6. Смета на строительство, реконструкцию, капитальный ремонт объекта капитального строительства</t>
  </si>
  <si>
    <t>6%</t>
  </si>
  <si>
    <t xml:space="preserve">Исключенные разделы документации </t>
  </si>
  <si>
    <t>1. Схема планировочной организации земельного участка</t>
  </si>
  <si>
    <t>1.1. Генеральный план</t>
  </si>
  <si>
    <t>17%</t>
  </si>
  <si>
    <t>1.2. Организация рельефа вертикальной планировкой</t>
  </si>
  <si>
    <t>23%</t>
  </si>
  <si>
    <t>2. Объемно-планировочные и архитектурные решения</t>
  </si>
  <si>
    <t>9%</t>
  </si>
  <si>
    <t>3. Конструктивные решения</t>
  </si>
  <si>
    <t>4. Сведения об инженерном оборудовании, о сетях и системах ИТО</t>
  </si>
  <si>
    <t>4.1. Система водоотведения</t>
  </si>
  <si>
    <t>4.2. Автоматизация</t>
  </si>
  <si>
    <t>Переустройство участка газопровода</t>
  </si>
  <si>
    <t xml:space="preserve">Подземные газопроводы. Протяженность свыше 0.1 до 0.5 км. </t>
  </si>
  <si>
    <t>Газооборудование и газоснабжение промышленных предприятий, зданий и сооружений. 2015 г. Таблица 7. Сети газоснабжения, п.2
A = 5.221 тыс.руб; B = 137.561 тыс.руб;
Xзад = 0.5 (км);
Количество = 1</t>
  </si>
  <si>
    <t>(A + B * Xзад) * Количество * Ктек * Кст * K1
(5 221 руб. + 137 561 руб. * 0.5) * 1 * 7.22 * 0.4 * 1.1</t>
  </si>
  <si>
    <t xml:space="preserve">Стоимость разработки раздела «Перечень мероприятий по охране окружающей среды» определяется дополнительно в размере до 10% от общей стоимости проектных работ (максимальный) </t>
  </si>
  <si>
    <t>K1 = 1.1
Общие положения, п.1.11 (Ценообразующий)</t>
  </si>
  <si>
    <t>Весы автомобильные</t>
  </si>
  <si>
    <t>Вагонные, автомобильные весы</t>
  </si>
  <si>
    <t>Железные дороги. 2014 г. Таблица 9. Грузовое хозяйство, п.6
A = 24.5 тыс. руб.
Количество = 1 (объект)</t>
  </si>
  <si>
    <t>A * Количество * Ктек * Кст
24 500 руб. * 1 * 7.22 * 0.4</t>
  </si>
  <si>
    <t>Пост охраны</t>
  </si>
  <si>
    <t>Контрольно-пропускные пункты по количеству постов</t>
  </si>
  <si>
    <t>Предприятия автомобильного транспорта. (Эксплуатация, технический сервис и хранение автомобильной техники.) 2006 г. Таблица  2. Отдельные здания и сооружения предприятий автомобильного транспорта, проектируемые вне комплекса п.30
A1 = 81.23 тыс.руб; А2 = 88.69 тыс.руб;
X1 = 2; X2 = 4;
Х = 0 (1 пост);
Количество = 1;</t>
  </si>
  <si>
    <t>(A1 - (A2 - A1) / (X2 - X1) * (X1 - X) * 0.6) * Количество * Ктек * Кст
(81 230 руб. - (88 690 руб. - 81 230 руб.) / (4 - 2) * (2 - 0) * 0.6) * 1 * 7.22 * 0.4</t>
  </si>
  <si>
    <t>8</t>
  </si>
  <si>
    <t xml:space="preserve">Охранное ограждение территории. Протяженность от 200 до 500 м. </t>
  </si>
  <si>
    <t>НЗ №828/пр Инженерно-техническая система антитеррористической защищенности объектов жилищно-гражданского назначения. 2023 г. Таблица 3.6. Средства инженерно-технической укрепленности (СИТУ), п.1
A = 75.9 тыс.руб; B = 0.6 тыс.руб;
Xзад = 500 (м);
Количество = 1</t>
  </si>
  <si>
    <t>(A + B * Xзад) * Количество * Ктек * Кст
(75 900 руб. + 600 руб. * 500) * 1 * 1.71 * 0.4</t>
  </si>
  <si>
    <t xml:space="preserve">инд.3кв.2026г.к 01.01.2021 на пр.раб. </t>
  </si>
  <si>
    <t>Ктек = 1.71
Письмо Минстроя России от 23.07.2026 №45358-ИФ/09</t>
  </si>
  <si>
    <t>9</t>
  </si>
  <si>
    <t>10</t>
  </si>
  <si>
    <t>К1 = 0.6 Коэффициент на техническое перевооружение (Ценообразующий)</t>
  </si>
  <si>
    <t>Коэф-т 1 от п.9 * 0.6</t>
  </si>
  <si>
    <t>11</t>
  </si>
  <si>
    <t>К1 = 1.08 Коэффициент районный (Письмо ГК РФ по жилищной и строительной политике от 30 июня 1998 г. N 9-10-17/40) (Ценообразующий)</t>
  </si>
  <si>
    <t>Коэф-т 1 от п.10 * 1.08</t>
  </si>
  <si>
    <t>12</t>
  </si>
  <si>
    <t>Смета №3.2</t>
  </si>
  <si>
    <t xml:space="preserve">Локальная вычислительная сеть. Число узлов от 2 до 10. </t>
  </si>
  <si>
    <t>Объекты связи. 2010 г. Раздел 4. Таблица 24. Локальные вычислительные сети, структурированные кабельные сети, п.2
A = 2.45 тыс.руб; B = 3.68 тыс.руб;
Xзад = 4 (1 узел);
Количество = 1</t>
  </si>
  <si>
    <t>(A + B * Xзад) * Количество * Ктек * Кст
(2 450 руб. + 3 680 руб. * 4) * 1 * 7.22 * 0.5</t>
  </si>
  <si>
    <t>Кст = 0.5</t>
  </si>
  <si>
    <t>Интегрирующий комплекс приема, обработки и хранения видеоинформации</t>
  </si>
  <si>
    <t>Объекты связи. 2010 г. Раздел 4. Таблица 20. Отдельные здания цехов и сооружения предприятий радиосвязи, радиовещания и телевидения п.10
A = 85.45 тыс. руб.
Количество = 1 (1 комплекс)</t>
  </si>
  <si>
    <t>A * Количество * Ктек * Кст
85 450 руб. * 1 * 7.22 * 0.5</t>
  </si>
  <si>
    <t>Установка промышленного телевизионного оборудования в готовом здании с числом камер от 2 до 12         /Установка видеокамер 6 шт./</t>
  </si>
  <si>
    <t>Объекты связи. 2010 г. Раздел 4. Таблица 20. Отдельные здания цехов и сооружения предприятий радиосвязи, радиовещания и телевидения п.7
A = 36.61 тыс. руб.B = 4.57 тыс. руб.;
Хзад = 6 (1 камера);
Количество = 1</t>
  </si>
  <si>
    <t>(A + B * Xзад) * Количество * Ктек * Кст
(36 610 руб. + 4 570 руб. * 6) * 1 * 7.22 * 0.5</t>
  </si>
  <si>
    <t xml:space="preserve">Кабельная линия выделенной связи. Суммарная протяженность трасс до 1 км. </t>
  </si>
  <si>
    <t>Объекты связи. 2010 г. Раздел 4. Таблица 4. Кабельные линии связи, п.7
A = 2.29 тыс.руб; B = 5.51 тыс.руб;
Xзад = 1 (1 км);
Количество = 1</t>
  </si>
  <si>
    <t>(A + B * Xзад) * Количество * Ктек * Кст
(2 290 руб. + 5 510 руб. * 1) * 1 * 7.22 * 0.38</t>
  </si>
  <si>
    <t>Кст = 0.38</t>
  </si>
  <si>
    <t>Установка промышленного телевизионного оборудования в готовом здании с числом камер от 2 до 12         /СКУД  КПП/</t>
  </si>
  <si>
    <t>Объекты связи. 2010 г. Раздел 4. Таблица 20. Отдельные здания цехов и сооружения предприятий радиосвязи, радиовещания и телевидения п.7
A = 36.61 тыс. руб.B = 4.57 тыс. руб.;
Хзад = 2 (1 камера);
Количество = 1</t>
  </si>
  <si>
    <t>(A + B * Xзад) * Количество * Ктек * Кст
(36 610 руб. + 4 570 руб. * 2) * 1 * 7.22 * 0.5</t>
  </si>
  <si>
    <t xml:space="preserve">Проектируемая кабельная канализация связи. Емкость до 6 отверстий. Протяженность до 500 м. </t>
  </si>
  <si>
    <t>Объекты связи. 2010 г. Раздел 4. Таблица 1. Городские телефонные сети, п.14
A = 39 тыс.руб; 
Количество = 1 (объект)</t>
  </si>
  <si>
    <t>A * Количество * Ктек * Кст
39 000 руб. * 1 * 7.22 * 0.36</t>
  </si>
  <si>
    <t>Кст = 0.36</t>
  </si>
  <si>
    <t xml:space="preserve">Прокладка первого кабеля связи в проектируемой кабельной канализации. Длина участка прокладки от 250 до 1500 м. </t>
  </si>
  <si>
    <t>Объекты связи. 2010 г. Раздел 4. Таблица 1. Городские телефонные сети, п.45
A = 23 тыс.руб; B = 0.032 тыс.руб;
Xзад = 500 (1 м);
Количество = 1</t>
  </si>
  <si>
    <t>(A + B * Xзад) * Количество * Ктек * Кст
(23 000 руб. + 32 руб. * 500) * 1 * 7.22 * 0.36</t>
  </si>
  <si>
    <t>Коэф-т 1 от п.8 * 0.6</t>
  </si>
  <si>
    <t>Коэф-т 1 от п.9 * 1.08</t>
  </si>
  <si>
    <t>Смета №4.1</t>
  </si>
  <si>
    <t>(A + B * L) * Количество * Ктек * Кст
(302 600 руб. + 1 964 970 руб. * 0.427) * 1 * 1.4 * 0.6</t>
  </si>
  <si>
    <t>Стадия: Рабочая документация</t>
  </si>
  <si>
    <t>Кст = 0.6</t>
  </si>
  <si>
    <t>A * Количество * Ктек * Кст
1 622 600 руб. * 1 * 1.4 * 0.6</t>
  </si>
  <si>
    <t>A * Количество * Ктек * Кст
91 000 руб. * 2 * 7.22 * 0.6</t>
  </si>
  <si>
    <t>(A + B * Xзад) * Количество * Ктек * Кст
(245 000 руб. + 326 000 руб. * 0.5) * 1 * 1.56 * 0.6 * 0.32</t>
  </si>
  <si>
    <t>20%</t>
  </si>
  <si>
    <t>26%</t>
  </si>
  <si>
    <t>12%</t>
  </si>
  <si>
    <t>4%</t>
  </si>
  <si>
    <t>1%</t>
  </si>
  <si>
    <t>(A + B * Xзад) * Количество * Ктек * Кст * K1
(5 221 руб. + 137 561 руб. * 0.5) * 1 * 7.22 * 0.6 * 1.1</t>
  </si>
  <si>
    <t>A * Количество * Ктек * Кст
24 500 руб. * 1 * 7.22 * 0.6</t>
  </si>
  <si>
    <t>(A1 - (A2 - A1) / (X2 - X1) * (X1 - X) * 0.6) * Количество * Ктек * Кст
(81 230 руб. - (88 690 руб. - 81 230 руб.) / (4 - 2) * (2 - 0) * 0.6) * 1 * 7.22 * 0.6</t>
  </si>
  <si>
    <t>(A + B * Xзад) * Количество * Ктек * Кст
(75 900 руб. + 600 руб. * 500) * 1 * 1.71 * 0.6</t>
  </si>
  <si>
    <t>(A + B * Xзад) * Количество * Ктек * Кст
(2 290 руб. + 5 510 руб. * 1) * 1 * 7.22 * 0.62</t>
  </si>
  <si>
    <t>Кст = 0.62</t>
  </si>
  <si>
    <t>A * Количество * Ктек * Кст
39 000 руб. * 1 * 7.22 * 0.64</t>
  </si>
  <si>
    <t>Кст = 0.64</t>
  </si>
  <si>
    <t>(A + B * Xзад) * Количество * Ктек * Кст
(23 000 руб. + 32 руб. * 500) * 1 * 7.22 * 0.64</t>
  </si>
  <si>
    <t>Коэф-т 1 от п.8 * 1.08</t>
  </si>
  <si>
    <t>Крупников Иван Владимрович</t>
  </si>
  <si>
    <t>Тюрюмин Владислав Владимирович</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</si>
</sst>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0"/>
  </numFmts>
  <fonts count="6" x14ac:knownFonts="1">
    <font>
      <sz val="11"/>
      <name val="Calibri"/>
    </font>
    <font>
      <sz val="10"/>
      <name val="Arial"/>
    </font>
    <font>
      <sz val="7"/>
      <name val="Arial"/>
    </font>
    <font>
      <b/>
      <sz val="10"/>
      <name val="Arial"/>
    </font>
    <font>
      <i/>
      <sz val="10"/>
      <name val="Arial"/>
    </font>
    <font>
      <u/>
      <sz val="10"/>
      <name val="Arial"/>
    </font>
  </fonts>
  <fills count="2">
    <fill>
      <patternFill patternType="none"/>
    </fill>
    <fill>
      <patternFill patternType="gray125"/>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38">
    <xf numFmtId="0" fontId="0" fillId="0" borderId="0" xfId="0"/>
    <xf numFmtId="0" fontId="1" fillId="0" borderId="0" xfId="0" applyFont="1" applyAlignment="1">
      <alignment horizontal="left" vertical="top" wrapText="1"/>
    </xf>
    <xf numFmtId="0" fontId="1" fillId="0" borderId="2" xfId="0" applyFont="1" applyBorder="1" applyAlignment="1">
      <alignment horizontal="center" vertical="center" wrapText="1"/>
    </xf>
    <xf numFmtId="0" fontId="3" fillId="0" borderId="2" xfId="0" applyFont="1" applyBorder="1" applyAlignment="1">
      <alignment horizontal="left" vertical="top" wrapText="1"/>
    </xf>
    <xf numFmtId="0" fontId="1" fillId="0" borderId="2" xfId="0" applyFont="1" applyBorder="1" applyAlignment="1">
      <alignment horizontal="left" vertical="top" wrapText="1"/>
    </xf>
    <xf numFmtId="164" fontId="1" fillId="0" borderId="2" xfId="0" applyNumberFormat="1" applyFont="1" applyBorder="1" applyAlignment="1">
      <alignment horizontal="center" vertical="top" wrapText="1"/>
    </xf>
    <xf numFmtId="164" fontId="3" fillId="0" borderId="2" xfId="0" applyNumberFormat="1" applyFont="1" applyBorder="1" applyAlignment="1">
      <alignment horizontal="center" vertical="top" wrapText="1"/>
    </xf>
    <xf numFmtId="165" fontId="1" fillId="0" borderId="2" xfId="0" applyNumberFormat="1" applyFont="1" applyBorder="1" applyAlignment="1">
      <alignment horizontal="center" vertical="top" wrapText="1"/>
    </xf>
    <xf numFmtId="165" fontId="3" fillId="0" borderId="2" xfId="0" applyNumberFormat="1" applyFont="1" applyBorder="1" applyAlignment="1">
      <alignment horizontal="center"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1" fillId="0" borderId="4" xfId="0" applyFont="1" applyBorder="1" applyAlignment="1">
      <alignment horizontal="left" vertical="top" wrapText="1"/>
    </xf>
    <xf numFmtId="4" fontId="1" fillId="0" borderId="2" xfId="0" applyNumberFormat="1" applyFont="1" applyBorder="1" applyAlignment="1">
      <alignment horizontal="right" vertical="top" wrapText="1"/>
    </xf>
    <xf numFmtId="0" fontId="1" fillId="0" borderId="2" xfId="0" applyFont="1" applyBorder="1" applyAlignment="1">
      <alignment horizontal="center" vertical="top" wrapText="1"/>
    </xf>
    <xf numFmtId="0" fontId="1" fillId="0" borderId="2" xfId="0" applyNumberFormat="1" applyFont="1" applyBorder="1" applyAlignment="1">
      <alignment horizontal="right" vertical="top" wrapText="1"/>
    </xf>
    <xf numFmtId="0" fontId="2" fillId="0" borderId="0" xfId="0" applyFont="1" applyAlignment="1">
      <alignment horizontal="left" vertical="top" wrapText="1"/>
    </xf>
    <xf numFmtId="0" fontId="1" fillId="0" borderId="0" xfId="0" applyFont="1" applyAlignment="1">
      <alignment horizontal="right" vertical="top"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center" vertical="center" wrapText="1"/>
    </xf>
    <xf numFmtId="0" fontId="3" fillId="0" borderId="2" xfId="0" applyFont="1" applyBorder="1" applyAlignment="1">
      <alignment horizontal="left" vertical="top" wrapText="1"/>
    </xf>
    <xf numFmtId="0" fontId="1" fillId="0" borderId="2" xfId="0" applyFont="1" applyBorder="1" applyAlignment="1">
      <alignment horizontal="left" vertical="top" wrapText="1"/>
    </xf>
    <xf numFmtId="165" fontId="1" fillId="0" borderId="0" xfId="0" applyNumberFormat="1" applyFont="1" applyAlignment="1">
      <alignment horizontal="left" vertical="top" wrapText="1"/>
    </xf>
    <xf numFmtId="0" fontId="4" fillId="0" borderId="0" xfId="0" applyFont="1" applyAlignment="1">
      <alignment horizontal="center" vertical="top" wrapText="1"/>
    </xf>
    <xf numFmtId="0" fontId="1" fillId="0" borderId="0" xfId="0" applyFont="1" applyAlignment="1">
      <alignment horizontal="center" vertical="top" wrapText="1"/>
    </xf>
    <xf numFmtId="0" fontId="3" fillId="0" borderId="0" xfId="0" applyFont="1" applyAlignment="1">
      <alignment horizontal="center" vertical="top" wrapText="1"/>
    </xf>
    <xf numFmtId="0" fontId="3" fillId="0" borderId="3" xfId="0" applyFont="1" applyBorder="1" applyAlignment="1">
      <alignment horizontal="left" vertical="top" wrapText="1"/>
    </xf>
    <xf numFmtId="0" fontId="1" fillId="0" borderId="3" xfId="0" applyFont="1" applyBorder="1" applyAlignment="1">
      <alignment horizontal="left" vertical="top" wrapText="1"/>
    </xf>
    <xf numFmtId="4" fontId="1" fillId="0" borderId="3" xfId="0" applyNumberFormat="1" applyFont="1" applyBorder="1" applyAlignment="1">
      <alignment horizontal="right" vertical="top" wrapText="1"/>
    </xf>
    <xf numFmtId="0" fontId="3" fillId="0" borderId="4" xfId="0" applyFont="1" applyBorder="1" applyAlignment="1">
      <alignment horizontal="left" vertical="top" wrapText="1"/>
    </xf>
    <xf numFmtId="0" fontId="1" fillId="0" borderId="4" xfId="0" applyFont="1" applyBorder="1" applyAlignment="1">
      <alignment horizontal="left" vertical="top" wrapText="1"/>
    </xf>
    <xf numFmtId="4" fontId="3" fillId="0" borderId="2" xfId="0" applyNumberFormat="1" applyFont="1" applyBorder="1" applyAlignment="1">
      <alignment horizontal="right" vertical="top" wrapText="1"/>
    </xf>
    <xf numFmtId="4" fontId="1" fillId="0" borderId="0" xfId="0" applyNumberFormat="1" applyFont="1" applyAlignment="1">
      <alignment horizontal="left" vertical="top" wrapText="1"/>
    </xf>
    <xf numFmtId="4" fontId="1" fillId="0" borderId="2" xfId="0" applyNumberFormat="1" applyFont="1" applyBorder="1" applyAlignment="1">
      <alignment horizontal="right" vertical="top" wrapText="1"/>
    </xf>
    <xf numFmtId="0" fontId="5" fillId="0" borderId="0" xfId="0" applyFont="1" applyAlignment="1">
      <alignment horizontal="left" vertical="top" wrapText="1"/>
    </xf>
    <xf numFmtId="0" fontId="1" fillId="0" borderId="2" xfId="0" applyFont="1" applyBorder="1" applyAlignment="1">
      <alignment horizontal="center"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268941</xdr:colOff>
      <xdr:row>46</xdr:row>
      <xdr:rowOff>33619</xdr:rowOff>
    </xdr:from>
    <xdr:to>
      <xdr:col>7</xdr:col>
      <xdr:colOff>45508</xdr:colOff>
      <xdr:row>50</xdr:row>
      <xdr:rowOff>62304</xdr:rowOff>
    </xdr:to>
    <xdr:pic>
      <xdr:nvPicPr>
        <xdr:cNvPr id="2" name="Рисунок 1"/>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5233147" y="11261913"/>
          <a:ext cx="885949" cy="790685"/>
        </a:xfrm>
        <a:prstGeom prst="rect">
          <a:avLst/>
        </a:prstGeom>
      </xdr:spPr>
    </xdr:pic>
    <xdr:clientData/>
  </xdr:twoCellAnchor>
  <xdr:twoCellAnchor editAs="oneCell">
    <xdr:from>
      <xdr:col>7</xdr:col>
      <xdr:colOff>347383</xdr:colOff>
      <xdr:row>43</xdr:row>
      <xdr:rowOff>33617</xdr:rowOff>
    </xdr:from>
    <xdr:to>
      <xdr:col>8</xdr:col>
      <xdr:colOff>509750</xdr:colOff>
      <xdr:row>48</xdr:row>
      <xdr:rowOff>86807</xdr:rowOff>
    </xdr:to>
    <xdr:pic>
      <xdr:nvPicPr>
        <xdr:cNvPr id="4" name="Рисунок 3"/>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420971" y="10499911"/>
          <a:ext cx="1226926" cy="1196190"/>
        </a:xfrm>
        <a:prstGeom prst="rect">
          <a:avLst/>
        </a:prstGeom>
      </xdr:spPr>
    </xdr:pic>
    <xdr:clientData/>
  </xdr:twoCellAnchor>
  <xdr:twoCellAnchor editAs="oneCell">
    <xdr:from>
      <xdr:col>6</xdr:col>
      <xdr:colOff>1019087</xdr:colOff>
      <xdr:row>43</xdr:row>
      <xdr:rowOff>44959</xdr:rowOff>
    </xdr:from>
    <xdr:to>
      <xdr:col>7</xdr:col>
      <xdr:colOff>733669</xdr:colOff>
      <xdr:row>46</xdr:row>
      <xdr:rowOff>166979</xdr:rowOff>
    </xdr:to>
    <xdr:pic>
      <xdr:nvPicPr>
        <xdr:cNvPr id="5" name="Рисунок 4"/>
        <xdr:cNvPicPr>
          <a:picLocks noChangeAspect="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rot="20307891">
          <a:off x="6012908" y="10440816"/>
          <a:ext cx="830368" cy="88402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X56"/>
  <sheetViews>
    <sheetView tabSelected="1" showRuler="0" topLeftCell="A28" zoomScale="70" zoomScaleNormal="70" workbookViewId="0">
      <selection activeCell="J51" sqref="J51"/>
    </sheetView>
  </sheetViews>
  <sheetFormatPr defaultRowHeight="15" x14ac:dyDescent="0.25"/>
  <cols>
    <col min="1" max="1" width="6.42578125" style="1" customWidth="1"/>
    <col min="2" max="6" width="13.5703125" style="1" customWidth="1"/>
    <col min="7" max="7" width="16.7109375" style="1" customWidth="1"/>
    <col min="8" max="10" width="16" style="1" customWidth="1"/>
    <col min="11" max="50" width="8" style="1" customWidth="1"/>
  </cols>
  <sheetData>
    <row r="1" spans="1:10" ht="27.2" customHeight="1" x14ac:dyDescent="0.25">
      <c r="A1" s="15" t="s">
        <v>0</v>
      </c>
      <c r="B1" s="15"/>
      <c r="C1" s="15"/>
      <c r="D1" s="16" t="s">
        <v>1</v>
      </c>
      <c r="E1" s="16"/>
      <c r="F1" s="16"/>
      <c r="G1" s="16"/>
      <c r="H1" s="16"/>
      <c r="I1" s="16"/>
      <c r="J1" s="16"/>
    </row>
    <row r="2" spans="1:10" ht="15" customHeight="1" x14ac:dyDescent="0.25"/>
    <row r="3" spans="1:10" ht="15" customHeight="1" x14ac:dyDescent="0.25">
      <c r="A3" s="17" t="s">
        <v>2</v>
      </c>
      <c r="B3" s="17"/>
      <c r="C3" s="17"/>
      <c r="D3" s="17"/>
      <c r="E3" s="17"/>
      <c r="F3" s="17"/>
      <c r="G3" s="17"/>
      <c r="H3" s="17"/>
      <c r="I3" s="17"/>
      <c r="J3" s="17"/>
    </row>
    <row r="4" spans="1:10" ht="15" customHeight="1" x14ac:dyDescent="0.25">
      <c r="A4" s="18" t="s">
        <v>3</v>
      </c>
      <c r="B4" s="18"/>
      <c r="C4" s="18"/>
      <c r="D4" s="18"/>
      <c r="E4" s="18"/>
      <c r="F4" s="18"/>
      <c r="G4" s="18"/>
      <c r="H4" s="18"/>
      <c r="I4" s="18"/>
      <c r="J4" s="18"/>
    </row>
    <row r="5" spans="1:10" ht="15" customHeight="1" x14ac:dyDescent="0.25"/>
    <row r="6" spans="1:10" ht="15" customHeight="1" x14ac:dyDescent="0.25">
      <c r="A6" s="19" t="s">
        <v>4</v>
      </c>
      <c r="B6" s="19"/>
      <c r="C6" s="19"/>
      <c r="D6" s="20" t="s">
        <v>5</v>
      </c>
      <c r="E6" s="20"/>
      <c r="F6" s="20"/>
      <c r="G6" s="20"/>
      <c r="H6" s="20"/>
      <c r="I6" s="20"/>
      <c r="J6" s="20"/>
    </row>
    <row r="7" spans="1:10" ht="15" customHeight="1" x14ac:dyDescent="0.25"/>
    <row r="8" spans="1:10" ht="15" customHeight="1" x14ac:dyDescent="0.25"/>
    <row r="9" spans="1:10" ht="27.2" customHeight="1" x14ac:dyDescent="0.25">
      <c r="A9" s="19" t="s">
        <v>6</v>
      </c>
      <c r="B9" s="19"/>
      <c r="C9" s="19"/>
      <c r="D9" s="20" t="s">
        <v>7</v>
      </c>
      <c r="E9" s="20"/>
      <c r="F9" s="20"/>
      <c r="G9" s="20"/>
      <c r="H9" s="20"/>
      <c r="I9" s="20"/>
      <c r="J9" s="20"/>
    </row>
    <row r="10" spans="1:10" ht="15" customHeight="1" x14ac:dyDescent="0.25"/>
    <row r="11" spans="1:10" ht="15" customHeight="1" x14ac:dyDescent="0.25"/>
    <row r="12" spans="1:10" ht="15" customHeight="1" x14ac:dyDescent="0.25"/>
    <row r="13" spans="1:10" ht="15" customHeight="1" x14ac:dyDescent="0.25">
      <c r="D13" s="19" t="s">
        <v>8</v>
      </c>
      <c r="E13" s="19"/>
      <c r="F13" s="19"/>
      <c r="G13" s="19"/>
      <c r="H13" s="19"/>
      <c r="I13" s="19"/>
      <c r="J13" s="19"/>
    </row>
    <row r="14" spans="1:10" ht="40.9" customHeight="1" x14ac:dyDescent="0.25">
      <c r="A14" s="19" t="s">
        <v>9</v>
      </c>
      <c r="B14" s="19"/>
      <c r="C14" s="19"/>
      <c r="D14" s="20" t="s">
        <v>10</v>
      </c>
      <c r="E14" s="20"/>
      <c r="F14" s="20"/>
      <c r="G14" s="20"/>
      <c r="H14" s="20"/>
      <c r="I14" s="20"/>
      <c r="J14" s="20"/>
    </row>
    <row r="15" spans="1:10" ht="15" customHeight="1" x14ac:dyDescent="0.25"/>
    <row r="16" spans="1:10" ht="15" customHeight="1" x14ac:dyDescent="0.25">
      <c r="A16" s="19" t="s">
        <v>11</v>
      </c>
      <c r="B16" s="19"/>
      <c r="C16" s="19"/>
      <c r="D16" s="20" t="s">
        <v>12</v>
      </c>
      <c r="E16" s="20"/>
      <c r="F16" s="20"/>
      <c r="G16" s="20"/>
      <c r="H16" s="20"/>
      <c r="I16" s="20"/>
      <c r="J16" s="20"/>
    </row>
    <row r="17" spans="1:10" ht="15" customHeight="1" x14ac:dyDescent="0.25"/>
    <row r="18" spans="1:10" ht="27.2" customHeight="1" x14ac:dyDescent="0.25">
      <c r="A18" s="21" t="s">
        <v>13</v>
      </c>
      <c r="B18" s="21" t="s">
        <v>14</v>
      </c>
      <c r="C18" s="21"/>
      <c r="D18" s="21"/>
      <c r="E18" s="21" t="s">
        <v>15</v>
      </c>
      <c r="F18" s="21"/>
      <c r="G18" s="21" t="s">
        <v>16</v>
      </c>
      <c r="H18" s="21" t="s">
        <v>17</v>
      </c>
      <c r="I18" s="21"/>
      <c r="J18" s="21"/>
    </row>
    <row r="19" spans="1:10" ht="27.2" customHeight="1" x14ac:dyDescent="0.25">
      <c r="A19" s="21"/>
      <c r="B19" s="21"/>
      <c r="C19" s="21"/>
      <c r="D19" s="21"/>
      <c r="E19" s="21"/>
      <c r="F19" s="21"/>
      <c r="G19" s="21"/>
      <c r="H19" s="2" t="s">
        <v>18</v>
      </c>
      <c r="I19" s="2" t="s">
        <v>19</v>
      </c>
      <c r="J19" s="2" t="s">
        <v>20</v>
      </c>
    </row>
    <row r="20" spans="1:10" ht="15" customHeight="1" x14ac:dyDescent="0.25">
      <c r="A20" s="2">
        <v>1</v>
      </c>
      <c r="B20" s="21">
        <v>2</v>
      </c>
      <c r="C20" s="21"/>
      <c r="D20" s="21"/>
      <c r="E20" s="21">
        <v>3</v>
      </c>
      <c r="F20" s="21"/>
      <c r="G20" s="2">
        <v>4</v>
      </c>
      <c r="H20" s="2">
        <v>5</v>
      </c>
      <c r="I20" s="2">
        <v>6</v>
      </c>
      <c r="J20" s="2">
        <v>7</v>
      </c>
    </row>
    <row r="21" spans="1:10" ht="15" customHeight="1" x14ac:dyDescent="0.25">
      <c r="A21" s="3" t="s">
        <v>21</v>
      </c>
      <c r="B21" s="22" t="s">
        <v>22</v>
      </c>
      <c r="C21" s="22"/>
      <c r="D21" s="22"/>
      <c r="E21" s="22"/>
      <c r="F21" s="22"/>
      <c r="G21" s="3"/>
      <c r="H21" s="3"/>
      <c r="I21" s="3"/>
      <c r="J21" s="3"/>
    </row>
    <row r="22" spans="1:10" ht="15" customHeight="1" x14ac:dyDescent="0.25">
      <c r="A22" s="4" t="s">
        <v>23</v>
      </c>
      <c r="B22" s="23" t="s">
        <v>24</v>
      </c>
      <c r="C22" s="23"/>
      <c r="D22" s="23"/>
      <c r="E22" s="23" t="s">
        <v>25</v>
      </c>
      <c r="F22" s="23"/>
      <c r="G22" s="4" t="s">
        <v>23</v>
      </c>
      <c r="H22" s="5">
        <v>2801.8560000000002</v>
      </c>
      <c r="I22" s="5">
        <v>0</v>
      </c>
      <c r="J22" s="5">
        <v>2801.8560000000002</v>
      </c>
    </row>
    <row r="23" spans="1:10" ht="15" customHeight="1" x14ac:dyDescent="0.25">
      <c r="A23" s="4" t="s">
        <v>26</v>
      </c>
      <c r="B23" s="23" t="s">
        <v>27</v>
      </c>
      <c r="C23" s="23"/>
      <c r="D23" s="23"/>
      <c r="E23" s="23" t="s">
        <v>25</v>
      </c>
      <c r="F23" s="23"/>
      <c r="G23" s="4" t="s">
        <v>26</v>
      </c>
      <c r="H23" s="5">
        <v>4844.9530000000004</v>
      </c>
      <c r="I23" s="5">
        <v>0</v>
      </c>
      <c r="J23" s="5">
        <v>4844.9530000000004</v>
      </c>
    </row>
    <row r="24" spans="1:10" ht="15" customHeight="1" x14ac:dyDescent="0.25">
      <c r="A24" s="3" t="s">
        <v>28</v>
      </c>
      <c r="B24" s="22" t="s">
        <v>29</v>
      </c>
      <c r="C24" s="22"/>
      <c r="D24" s="22"/>
      <c r="E24" s="22"/>
      <c r="F24" s="22"/>
      <c r="G24" s="3"/>
      <c r="H24" s="6">
        <f>ROUND(SUM($H$22:$H$23),3)</f>
        <v>7646.8090000000002</v>
      </c>
      <c r="I24" s="6">
        <f>ROUND(SUM($I$22:$I$23),3)</f>
        <v>0</v>
      </c>
      <c r="J24" s="6">
        <f>ROUND(SUM($J$22:$J$23),3)</f>
        <v>7646.8090000000002</v>
      </c>
    </row>
    <row r="25" spans="1:10" ht="27.2" customHeight="1" x14ac:dyDescent="0.25">
      <c r="A25" s="3" t="s">
        <v>30</v>
      </c>
      <c r="B25" s="22" t="s">
        <v>31</v>
      </c>
      <c r="C25" s="22"/>
      <c r="D25" s="22"/>
      <c r="E25" s="22"/>
      <c r="F25" s="22"/>
      <c r="G25" s="3" t="s">
        <v>32</v>
      </c>
      <c r="H25" s="6">
        <f>ROUND($H$24,3)</f>
        <v>7646.8090000000002</v>
      </c>
      <c r="I25" s="6">
        <f>ROUND($I$24,3)</f>
        <v>0</v>
      </c>
      <c r="J25" s="6">
        <f>ROUND($J$24,3)</f>
        <v>7646.8090000000002</v>
      </c>
    </row>
    <row r="26" spans="1:10" ht="15" customHeight="1" x14ac:dyDescent="0.25">
      <c r="A26" s="3" t="s">
        <v>33</v>
      </c>
      <c r="B26" s="22" t="s">
        <v>34</v>
      </c>
      <c r="C26" s="22"/>
      <c r="D26" s="22"/>
      <c r="E26" s="22"/>
      <c r="F26" s="22"/>
      <c r="G26" s="3"/>
      <c r="H26" s="3"/>
      <c r="I26" s="3"/>
      <c r="J26" s="3"/>
    </row>
    <row r="27" spans="1:10" ht="27.2" customHeight="1" x14ac:dyDescent="0.25">
      <c r="A27" s="4" t="s">
        <v>35</v>
      </c>
      <c r="B27" s="23" t="s">
        <v>36</v>
      </c>
      <c r="C27" s="23"/>
      <c r="D27" s="23"/>
      <c r="E27" s="23" t="s">
        <v>37</v>
      </c>
      <c r="F27" s="23"/>
      <c r="G27" s="4" t="s">
        <v>35</v>
      </c>
      <c r="H27" s="5">
        <v>0</v>
      </c>
      <c r="I27" s="5">
        <v>167.94399999999999</v>
      </c>
      <c r="J27" s="5">
        <v>167.94399999999999</v>
      </c>
    </row>
    <row r="28" spans="1:10" ht="15" customHeight="1" x14ac:dyDescent="0.25">
      <c r="A28" s="4" t="s">
        <v>38</v>
      </c>
      <c r="B28" s="23" t="s">
        <v>39</v>
      </c>
      <c r="C28" s="23"/>
      <c r="D28" s="23"/>
      <c r="E28" s="23" t="s">
        <v>34</v>
      </c>
      <c r="F28" s="23"/>
      <c r="G28" s="4" t="s">
        <v>40</v>
      </c>
      <c r="H28" s="5">
        <v>0</v>
      </c>
      <c r="I28" s="5">
        <v>1918.115</v>
      </c>
      <c r="J28" s="5">
        <v>1918.115</v>
      </c>
    </row>
    <row r="29" spans="1:10" ht="15" customHeight="1" x14ac:dyDescent="0.25">
      <c r="A29" s="4" t="s">
        <v>41</v>
      </c>
      <c r="B29" s="23" t="s">
        <v>42</v>
      </c>
      <c r="C29" s="23"/>
      <c r="D29" s="23"/>
      <c r="E29" s="23" t="s">
        <v>34</v>
      </c>
      <c r="F29" s="23"/>
      <c r="G29" s="4" t="s">
        <v>43</v>
      </c>
      <c r="H29" s="5">
        <v>0</v>
      </c>
      <c r="I29" s="5">
        <v>642.10400000000004</v>
      </c>
      <c r="J29" s="5">
        <v>642.10400000000004</v>
      </c>
    </row>
    <row r="30" spans="1:10" ht="27.2" customHeight="1" x14ac:dyDescent="0.25">
      <c r="A30" s="4" t="s">
        <v>44</v>
      </c>
      <c r="B30" s="23" t="s">
        <v>45</v>
      </c>
      <c r="C30" s="23"/>
      <c r="D30" s="23"/>
      <c r="E30" s="23" t="s">
        <v>37</v>
      </c>
      <c r="F30" s="23"/>
      <c r="G30" s="4" t="s">
        <v>46</v>
      </c>
      <c r="H30" s="5">
        <v>0</v>
      </c>
      <c r="I30" s="5">
        <v>141.44499999999999</v>
      </c>
      <c r="J30" s="5">
        <v>141.44499999999999</v>
      </c>
    </row>
    <row r="31" spans="1:10" ht="15" customHeight="1" x14ac:dyDescent="0.25">
      <c r="A31" s="3" t="s">
        <v>47</v>
      </c>
      <c r="B31" s="22" t="s">
        <v>48</v>
      </c>
      <c r="C31" s="22"/>
      <c r="D31" s="22"/>
      <c r="E31" s="22"/>
      <c r="F31" s="22"/>
      <c r="G31" s="3"/>
      <c r="H31" s="6">
        <f>ROUND(SUM($H$27:$H$30),3)</f>
        <v>0</v>
      </c>
      <c r="I31" s="6">
        <f>ROUND(SUM($I$27:$I$30),3)</f>
        <v>2869.6080000000002</v>
      </c>
      <c r="J31" s="6">
        <f>ROUND(SUM($J$27:$J$30),3)</f>
        <v>2869.6080000000002</v>
      </c>
    </row>
    <row r="32" spans="1:10" ht="27.2" customHeight="1" x14ac:dyDescent="0.25">
      <c r="A32" s="3" t="s">
        <v>49</v>
      </c>
      <c r="B32" s="22" t="s">
        <v>50</v>
      </c>
      <c r="C32" s="22"/>
      <c r="D32" s="22"/>
      <c r="E32" s="22"/>
      <c r="F32" s="22"/>
      <c r="G32" s="3" t="s">
        <v>51</v>
      </c>
      <c r="H32" s="6">
        <f>ROUND($H$31,3)</f>
        <v>0</v>
      </c>
      <c r="I32" s="6">
        <f>ROUND($I$31,3)</f>
        <v>2869.6080000000002</v>
      </c>
      <c r="J32" s="6">
        <f>ROUND($J$31,3)</f>
        <v>2869.6080000000002</v>
      </c>
    </row>
    <row r="33" spans="1:10" ht="15" customHeight="1" x14ac:dyDescent="0.25">
      <c r="A33" s="3" t="s">
        <v>52</v>
      </c>
      <c r="B33" s="22" t="s">
        <v>53</v>
      </c>
      <c r="C33" s="22"/>
      <c r="D33" s="22"/>
      <c r="E33" s="22"/>
      <c r="F33" s="22"/>
      <c r="G33" s="3"/>
      <c r="H33" s="3"/>
      <c r="I33" s="3"/>
      <c r="J33" s="3"/>
    </row>
    <row r="34" spans="1:10" ht="15" customHeight="1" x14ac:dyDescent="0.25">
      <c r="A34" s="4" t="s">
        <v>40</v>
      </c>
      <c r="B34" s="23" t="s">
        <v>39</v>
      </c>
      <c r="C34" s="23"/>
      <c r="D34" s="23"/>
      <c r="E34" s="23" t="s">
        <v>53</v>
      </c>
      <c r="F34" s="23"/>
      <c r="G34" s="4" t="s">
        <v>54</v>
      </c>
      <c r="H34" s="5">
        <v>0</v>
      </c>
      <c r="I34" s="5">
        <v>4762.2920000000004</v>
      </c>
      <c r="J34" s="5">
        <v>4762.2920000000004</v>
      </c>
    </row>
    <row r="35" spans="1:10" ht="15" customHeight="1" x14ac:dyDescent="0.25">
      <c r="A35" s="4" t="s">
        <v>43</v>
      </c>
      <c r="B35" s="23" t="s">
        <v>42</v>
      </c>
      <c r="C35" s="23"/>
      <c r="D35" s="23"/>
      <c r="E35" s="23" t="s">
        <v>53</v>
      </c>
      <c r="F35" s="23"/>
      <c r="G35" s="4" t="s">
        <v>43</v>
      </c>
      <c r="H35" s="5">
        <v>0</v>
      </c>
      <c r="I35" s="5">
        <v>1255.0709999999999</v>
      </c>
      <c r="J35" s="5">
        <v>1255.0709999999999</v>
      </c>
    </row>
    <row r="36" spans="1:10" ht="15" customHeight="1" x14ac:dyDescent="0.25">
      <c r="A36" s="3" t="s">
        <v>46</v>
      </c>
      <c r="B36" s="22" t="s">
        <v>55</v>
      </c>
      <c r="C36" s="22"/>
      <c r="D36" s="22"/>
      <c r="E36" s="22"/>
      <c r="F36" s="22"/>
      <c r="G36" s="3"/>
      <c r="H36" s="6">
        <f>ROUND(SUM($H$34:$H$35),3)</f>
        <v>0</v>
      </c>
      <c r="I36" s="6">
        <f>ROUND(SUM($I$34:$I$35),3)</f>
        <v>6017.3630000000003</v>
      </c>
      <c r="J36" s="6">
        <f>ROUND(SUM($J$34:$J$35),3)</f>
        <v>6017.3630000000003</v>
      </c>
    </row>
    <row r="37" spans="1:10" ht="27.2" customHeight="1" x14ac:dyDescent="0.25">
      <c r="A37" s="3" t="s">
        <v>56</v>
      </c>
      <c r="B37" s="22" t="s">
        <v>57</v>
      </c>
      <c r="C37" s="22"/>
      <c r="D37" s="22"/>
      <c r="E37" s="22"/>
      <c r="F37" s="22"/>
      <c r="G37" s="3" t="s">
        <v>58</v>
      </c>
      <c r="H37" s="6">
        <f>ROUND($H$36,3)</f>
        <v>0</v>
      </c>
      <c r="I37" s="6">
        <f>ROUND($I$36,3)</f>
        <v>6017.3630000000003</v>
      </c>
      <c r="J37" s="6">
        <f>ROUND($J$36,3)</f>
        <v>6017.3630000000003</v>
      </c>
    </row>
    <row r="38" spans="1:10" ht="15" customHeight="1" x14ac:dyDescent="0.25">
      <c r="A38" s="3" t="s">
        <v>59</v>
      </c>
      <c r="B38" s="22" t="s">
        <v>60</v>
      </c>
      <c r="C38" s="22"/>
      <c r="D38" s="22"/>
      <c r="E38" s="22"/>
      <c r="F38" s="22"/>
      <c r="G38" s="3"/>
      <c r="H38" s="6">
        <f>ROUND($H$25+$H$32+$H$37,3)</f>
        <v>7646.8090000000002</v>
      </c>
      <c r="I38" s="6">
        <f>ROUND($I$25+$I$32+$I$37,3)</f>
        <v>8886.9709999999995</v>
      </c>
      <c r="J38" s="6">
        <f>ROUND($J$25+$J$32+$J$37,3)</f>
        <v>16533.78</v>
      </c>
    </row>
    <row r="39" spans="1:10" ht="15" customHeight="1" x14ac:dyDescent="0.25">
      <c r="A39" s="4" t="s">
        <v>61</v>
      </c>
      <c r="B39" s="23" t="s">
        <v>62</v>
      </c>
      <c r="C39" s="23"/>
      <c r="D39" s="23"/>
      <c r="E39" s="23"/>
      <c r="F39" s="23"/>
      <c r="G39" s="4" t="s">
        <v>63</v>
      </c>
      <c r="H39" s="7">
        <f>ROUND(($H$38) * (22/100),5)</f>
        <v>1682.2979800000001</v>
      </c>
      <c r="I39" s="7">
        <f>ROUND(($I$38) * (22/100),5)</f>
        <v>1955.1336200000001</v>
      </c>
      <c r="J39" s="7">
        <f>ROUND(($J$38) * (22/100),5)</f>
        <v>3637.4315999999999</v>
      </c>
    </row>
    <row r="40" spans="1:10" ht="27.2" customHeight="1" x14ac:dyDescent="0.25">
      <c r="A40" s="3" t="s">
        <v>64</v>
      </c>
      <c r="B40" s="22" t="s">
        <v>65</v>
      </c>
      <c r="C40" s="22"/>
      <c r="D40" s="22"/>
      <c r="E40" s="22"/>
      <c r="F40" s="22"/>
      <c r="G40" s="3" t="s">
        <v>66</v>
      </c>
      <c r="H40" s="8">
        <f>ROUND((SUM($H$38:$H$39)) * 1,5)</f>
        <v>9329.1069800000005</v>
      </c>
      <c r="I40" s="8">
        <f>ROUND((SUM($I$38:$I$39)) * 1,5)</f>
        <v>10842.10462</v>
      </c>
      <c r="J40" s="8">
        <f>ROUND((SUM($J$38:$J$39)) * 1,5)</f>
        <v>20171.211599999999</v>
      </c>
    </row>
    <row r="41" spans="1:10" ht="15" customHeight="1" x14ac:dyDescent="0.25"/>
    <row r="42" spans="1:10" ht="30" customHeight="1" x14ac:dyDescent="0.25">
      <c r="A42" s="19" t="s">
        <v>67</v>
      </c>
      <c r="B42" s="19"/>
      <c r="C42" s="19"/>
      <c r="D42" s="24">
        <f>$J$40-$J$39</f>
        <v>16533.78</v>
      </c>
      <c r="E42" s="24"/>
      <c r="F42" s="24"/>
      <c r="G42" s="24"/>
      <c r="H42" s="24"/>
      <c r="I42" s="24"/>
      <c r="J42" s="24"/>
    </row>
    <row r="43" spans="1:10" ht="30" customHeight="1" x14ac:dyDescent="0.25">
      <c r="A43" s="19" t="s">
        <v>68</v>
      </c>
      <c r="B43" s="19"/>
      <c r="C43" s="19"/>
      <c r="D43" s="24">
        <f>$J$39</f>
        <v>3637.4315999999999</v>
      </c>
      <c r="E43" s="24"/>
      <c r="F43" s="24"/>
      <c r="G43" s="24"/>
      <c r="H43" s="24"/>
      <c r="I43" s="24"/>
      <c r="J43" s="24"/>
    </row>
    <row r="44" spans="1:10" ht="30" customHeight="1" x14ac:dyDescent="0.25">
      <c r="A44" s="19" t="s">
        <v>69</v>
      </c>
      <c r="B44" s="19"/>
      <c r="C44" s="19"/>
      <c r="D44" s="24">
        <f>J40</f>
        <v>20171.211599999999</v>
      </c>
      <c r="E44" s="24"/>
      <c r="F44" s="24"/>
      <c r="G44" s="24"/>
      <c r="H44" s="24"/>
      <c r="I44" s="24"/>
      <c r="J44" s="24"/>
    </row>
    <row r="45" spans="1:10" ht="15" customHeight="1" x14ac:dyDescent="0.25"/>
    <row r="46" spans="1:10" ht="15" customHeight="1" x14ac:dyDescent="0.25">
      <c r="A46" s="19" t="s">
        <v>70</v>
      </c>
      <c r="B46" s="19"/>
      <c r="C46" s="19"/>
      <c r="D46" s="19"/>
      <c r="E46" s="20" t="s">
        <v>465</v>
      </c>
      <c r="F46" s="20"/>
      <c r="G46" s="20"/>
      <c r="H46" s="20"/>
      <c r="I46" s="20"/>
      <c r="J46" s="20"/>
    </row>
    <row r="47" spans="1:10" ht="15" customHeight="1" x14ac:dyDescent="0.25">
      <c r="E47" s="25" t="s">
        <v>71</v>
      </c>
      <c r="F47" s="25"/>
      <c r="G47" s="25"/>
      <c r="H47" s="25"/>
      <c r="I47" s="25"/>
      <c r="J47" s="25"/>
    </row>
    <row r="48" spans="1:10" ht="15" customHeight="1" x14ac:dyDescent="0.25"/>
    <row r="49" spans="1:10" ht="15" customHeight="1" x14ac:dyDescent="0.25">
      <c r="A49" s="19" t="s">
        <v>72</v>
      </c>
      <c r="B49" s="19"/>
      <c r="C49" s="19"/>
      <c r="D49" s="19"/>
      <c r="E49" s="20" t="s">
        <v>466</v>
      </c>
      <c r="F49" s="20"/>
      <c r="G49" s="20"/>
      <c r="H49" s="20"/>
      <c r="I49" s="20"/>
      <c r="J49" s="20"/>
    </row>
    <row r="50" spans="1:10" ht="15" customHeight="1" x14ac:dyDescent="0.25">
      <c r="E50" s="25" t="s">
        <v>71</v>
      </c>
      <c r="F50" s="25"/>
      <c r="G50" s="25"/>
      <c r="H50" s="25"/>
      <c r="I50" s="25"/>
      <c r="J50" s="25"/>
    </row>
    <row r="53" spans="1:10" x14ac:dyDescent="0.25">
      <c r="A53" s="19" t="s">
        <v>73</v>
      </c>
      <c r="B53" s="19"/>
      <c r="C53" s="19"/>
      <c r="D53" s="19"/>
    </row>
    <row r="55" spans="1:10" x14ac:dyDescent="0.25">
      <c r="A55" s="19" t="s">
        <v>74</v>
      </c>
      <c r="B55" s="19"/>
      <c r="C55" s="19"/>
      <c r="D55" s="19"/>
      <c r="E55" s="20"/>
      <c r="F55" s="20"/>
      <c r="G55" s="20"/>
      <c r="H55" s="20"/>
      <c r="I55" s="20"/>
      <c r="J55" s="20"/>
    </row>
    <row r="56" spans="1:10" x14ac:dyDescent="0.25">
      <c r="E56" s="25" t="s">
        <v>71</v>
      </c>
      <c r="F56" s="25"/>
      <c r="G56" s="25"/>
      <c r="H56" s="25"/>
      <c r="I56" s="25"/>
      <c r="J56" s="25"/>
    </row>
  </sheetData>
  <mergeCells count="76">
    <mergeCell ref="A55:D55"/>
    <mergeCell ref="E55:J55"/>
    <mergeCell ref="E56:J56"/>
    <mergeCell ref="E47:J47"/>
    <mergeCell ref="A49:D49"/>
    <mergeCell ref="E49:J49"/>
    <mergeCell ref="E50:J50"/>
    <mergeCell ref="A53:D53"/>
    <mergeCell ref="A43:C43"/>
    <mergeCell ref="D43:J43"/>
    <mergeCell ref="A44:C44"/>
    <mergeCell ref="D44:J44"/>
    <mergeCell ref="A46:D46"/>
    <mergeCell ref="E46:J46"/>
    <mergeCell ref="B39:D39"/>
    <mergeCell ref="E39:F39"/>
    <mergeCell ref="B40:D40"/>
    <mergeCell ref="E40:F40"/>
    <mergeCell ref="A42:C42"/>
    <mergeCell ref="D42:J42"/>
    <mergeCell ref="B36:D36"/>
    <mergeCell ref="E36:F36"/>
    <mergeCell ref="B37:D37"/>
    <mergeCell ref="E37:F37"/>
    <mergeCell ref="B38:D38"/>
    <mergeCell ref="E38:F38"/>
    <mergeCell ref="B33:D33"/>
    <mergeCell ref="E33:F33"/>
    <mergeCell ref="B34:D34"/>
    <mergeCell ref="E34:F34"/>
    <mergeCell ref="B35:D35"/>
    <mergeCell ref="E35:F35"/>
    <mergeCell ref="B30:D30"/>
    <mergeCell ref="E30:F30"/>
    <mergeCell ref="B31:D31"/>
    <mergeCell ref="E31:F31"/>
    <mergeCell ref="B32:D32"/>
    <mergeCell ref="E32:F32"/>
    <mergeCell ref="B27:D27"/>
    <mergeCell ref="E27:F27"/>
    <mergeCell ref="B28:D28"/>
    <mergeCell ref="E28:F28"/>
    <mergeCell ref="B29:D29"/>
    <mergeCell ref="E29:F29"/>
    <mergeCell ref="B24:D24"/>
    <mergeCell ref="E24:F24"/>
    <mergeCell ref="B25:D25"/>
    <mergeCell ref="E25:F25"/>
    <mergeCell ref="B26:D26"/>
    <mergeCell ref="E26:F26"/>
    <mergeCell ref="B21:D21"/>
    <mergeCell ref="E21:F21"/>
    <mergeCell ref="B22:D22"/>
    <mergeCell ref="E22:F22"/>
    <mergeCell ref="B23:D23"/>
    <mergeCell ref="E23:F23"/>
    <mergeCell ref="A16:C16"/>
    <mergeCell ref="D16:J16"/>
    <mergeCell ref="A18:A19"/>
    <mergeCell ref="B18:D19"/>
    <mergeCell ref="B20:D20"/>
    <mergeCell ref="E18:F19"/>
    <mergeCell ref="E20:F20"/>
    <mergeCell ref="G18:G19"/>
    <mergeCell ref="H18:J18"/>
    <mergeCell ref="A9:C9"/>
    <mergeCell ref="D9:J9"/>
    <mergeCell ref="D13:J13"/>
    <mergeCell ref="A14:C14"/>
    <mergeCell ref="D14:J14"/>
    <mergeCell ref="A1:C1"/>
    <mergeCell ref="D1:J1"/>
    <mergeCell ref="A3:J3"/>
    <mergeCell ref="A4:J4"/>
    <mergeCell ref="A6:C6"/>
    <mergeCell ref="D6:J6"/>
  </mergeCells>
  <pageMargins left="0.23622047244094491" right="0.23622047244094491" top="0.41" bottom="0.4" header="0.31496062992125984" footer="0.31496062992125984"/>
  <pageSetup paperSize="9" fitToHeight="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72"/>
  <sheetViews>
    <sheetView showRuler="0" topLeftCell="A65" zoomScale="85" zoomScaleNormal="85" workbookViewId="0">
      <selection activeCell="F72" sqref="A1:P72"/>
    </sheetView>
  </sheetViews>
  <sheetFormatPr defaultRowHeight="15" x14ac:dyDescent="0.25"/>
  <cols>
    <col min="1" max="1" width="6.42578125" style="1" customWidth="1"/>
    <col min="2" max="50" width="8" style="1" customWidth="1"/>
  </cols>
  <sheetData>
    <row r="1" spans="1:16" ht="27.2" customHeight="1" x14ac:dyDescent="0.25">
      <c r="A1" s="15" t="s">
        <v>0</v>
      </c>
      <c r="B1" s="15"/>
      <c r="C1" s="15"/>
      <c r="D1" s="15"/>
      <c r="E1" s="16" t="s">
        <v>75</v>
      </c>
      <c r="F1" s="16"/>
      <c r="G1" s="16"/>
      <c r="H1" s="16"/>
      <c r="I1" s="16"/>
      <c r="J1" s="16"/>
      <c r="K1" s="16"/>
      <c r="L1" s="16"/>
      <c r="M1" s="16"/>
      <c r="N1" s="16"/>
      <c r="O1" s="16"/>
      <c r="P1" s="16"/>
    </row>
    <row r="2" spans="1:16" ht="15" customHeight="1" x14ac:dyDescent="0.25"/>
    <row r="3" spans="1:16" ht="15" customHeight="1" x14ac:dyDescent="0.25">
      <c r="A3" s="26" t="s">
        <v>76</v>
      </c>
      <c r="B3" s="26"/>
      <c r="C3" s="26"/>
      <c r="D3" s="26"/>
      <c r="E3" s="26"/>
      <c r="F3" s="26"/>
      <c r="G3" s="26"/>
      <c r="H3" s="26"/>
      <c r="I3" s="26"/>
      <c r="J3" s="26"/>
      <c r="K3" s="26"/>
      <c r="L3" s="26"/>
      <c r="M3" s="26"/>
      <c r="N3" s="26"/>
      <c r="O3" s="26"/>
      <c r="P3" s="26"/>
    </row>
    <row r="4" spans="1:16" ht="15" customHeight="1" x14ac:dyDescent="0.25">
      <c r="A4" s="27" t="s">
        <v>77</v>
      </c>
      <c r="B4" s="27"/>
      <c r="C4" s="27"/>
      <c r="D4" s="27"/>
      <c r="E4" s="27"/>
      <c r="F4" s="27"/>
      <c r="G4" s="27"/>
      <c r="H4" s="27"/>
      <c r="I4" s="27"/>
      <c r="J4" s="27"/>
      <c r="K4" s="27"/>
      <c r="L4" s="27"/>
      <c r="M4" s="27"/>
      <c r="N4" s="27"/>
      <c r="O4" s="27"/>
      <c r="P4" s="27"/>
    </row>
    <row r="5" spans="1:16" ht="15" customHeight="1" x14ac:dyDescent="0.25"/>
    <row r="6" spans="1:16" ht="15" customHeight="1" x14ac:dyDescent="0.25">
      <c r="A6" s="26" t="s">
        <v>24</v>
      </c>
      <c r="B6" s="26"/>
      <c r="C6" s="26"/>
      <c r="D6" s="26"/>
      <c r="E6" s="26"/>
      <c r="F6" s="26"/>
      <c r="G6" s="26"/>
      <c r="H6" s="26"/>
      <c r="I6" s="26"/>
      <c r="J6" s="26"/>
      <c r="K6" s="26"/>
      <c r="L6" s="26"/>
      <c r="M6" s="26"/>
      <c r="N6" s="26"/>
      <c r="O6" s="26"/>
      <c r="P6" s="26"/>
    </row>
    <row r="7" spans="1:16" ht="15" customHeight="1" x14ac:dyDescent="0.25">
      <c r="A7" s="25" t="s">
        <v>78</v>
      </c>
      <c r="B7" s="25"/>
      <c r="C7" s="25"/>
      <c r="D7" s="25"/>
      <c r="E7" s="25"/>
      <c r="F7" s="25"/>
      <c r="G7" s="25"/>
      <c r="H7" s="25"/>
      <c r="I7" s="25"/>
      <c r="J7" s="25"/>
      <c r="K7" s="25"/>
      <c r="L7" s="25"/>
      <c r="M7" s="25"/>
      <c r="N7" s="25"/>
      <c r="O7" s="25"/>
      <c r="P7" s="25"/>
    </row>
    <row r="8" spans="1:16" ht="15" customHeight="1" x14ac:dyDescent="0.25"/>
    <row r="9" spans="1:16" ht="15" customHeight="1" x14ac:dyDescent="0.25">
      <c r="A9" s="26" t="s">
        <v>5</v>
      </c>
      <c r="B9" s="26"/>
      <c r="C9" s="26"/>
      <c r="D9" s="26"/>
      <c r="E9" s="26"/>
      <c r="F9" s="26"/>
      <c r="G9" s="26"/>
      <c r="H9" s="26"/>
      <c r="I9" s="26"/>
      <c r="J9" s="26"/>
      <c r="K9" s="26"/>
      <c r="L9" s="26"/>
      <c r="M9" s="26"/>
      <c r="N9" s="26"/>
      <c r="O9" s="26"/>
      <c r="P9" s="26"/>
    </row>
    <row r="10" spans="1:16" ht="15" customHeight="1" x14ac:dyDescent="0.25">
      <c r="A10" s="25" t="s">
        <v>79</v>
      </c>
      <c r="B10" s="25"/>
      <c r="C10" s="25"/>
      <c r="D10" s="25"/>
      <c r="E10" s="25"/>
      <c r="F10" s="25"/>
      <c r="G10" s="25"/>
      <c r="H10" s="25"/>
      <c r="I10" s="25"/>
      <c r="J10" s="25"/>
      <c r="K10" s="25"/>
      <c r="L10" s="25"/>
      <c r="M10" s="25"/>
      <c r="N10" s="25"/>
      <c r="O10" s="25"/>
      <c r="P10" s="25"/>
    </row>
    <row r="11" spans="1:16" ht="15" customHeight="1" x14ac:dyDescent="0.25"/>
    <row r="12" spans="1:16" ht="122.45" customHeight="1" x14ac:dyDescent="0.25">
      <c r="A12" s="2" t="s">
        <v>80</v>
      </c>
      <c r="B12" s="21" t="s">
        <v>81</v>
      </c>
      <c r="C12" s="21"/>
      <c r="D12" s="21"/>
      <c r="E12" s="21"/>
      <c r="F12" s="21"/>
      <c r="G12" s="21" t="s">
        <v>82</v>
      </c>
      <c r="H12" s="21"/>
      <c r="I12" s="21"/>
      <c r="J12" s="21"/>
      <c r="K12" s="21" t="s">
        <v>83</v>
      </c>
      <c r="L12" s="21"/>
      <c r="M12" s="21"/>
      <c r="N12" s="21"/>
      <c r="O12" s="21" t="s">
        <v>84</v>
      </c>
      <c r="P12" s="21"/>
    </row>
    <row r="13" spans="1:16" ht="15" customHeight="1" x14ac:dyDescent="0.25">
      <c r="A13" s="2">
        <v>1</v>
      </c>
      <c r="B13" s="21">
        <v>2</v>
      </c>
      <c r="C13" s="21"/>
      <c r="D13" s="21"/>
      <c r="E13" s="21"/>
      <c r="F13" s="21"/>
      <c r="G13" s="21">
        <v>3</v>
      </c>
      <c r="H13" s="21"/>
      <c r="I13" s="21"/>
      <c r="J13" s="21"/>
      <c r="K13" s="21">
        <v>4</v>
      </c>
      <c r="L13" s="21"/>
      <c r="M13" s="21"/>
      <c r="N13" s="21"/>
      <c r="O13" s="21">
        <v>5</v>
      </c>
      <c r="P13" s="21"/>
    </row>
    <row r="14" spans="1:16" ht="15" customHeight="1" x14ac:dyDescent="0.25">
      <c r="A14" s="3"/>
      <c r="B14" s="22" t="s">
        <v>85</v>
      </c>
      <c r="C14" s="22"/>
      <c r="D14" s="22"/>
      <c r="E14" s="22"/>
      <c r="F14" s="22"/>
      <c r="G14" s="22"/>
      <c r="H14" s="22"/>
      <c r="I14" s="22"/>
      <c r="J14" s="22"/>
      <c r="K14" s="22"/>
      <c r="L14" s="22"/>
      <c r="M14" s="22"/>
      <c r="N14" s="22"/>
      <c r="O14" s="22"/>
      <c r="P14" s="22"/>
    </row>
    <row r="15" spans="1:16" ht="135.94999999999999" customHeight="1" x14ac:dyDescent="0.25">
      <c r="A15" s="9" t="s">
        <v>23</v>
      </c>
      <c r="B15" s="28" t="s">
        <v>86</v>
      </c>
      <c r="C15" s="29"/>
      <c r="D15" s="29"/>
      <c r="E15" s="29"/>
      <c r="F15" s="29"/>
      <c r="G15" s="29" t="s">
        <v>87</v>
      </c>
      <c r="H15" s="29"/>
      <c r="I15" s="29"/>
      <c r="J15" s="29"/>
      <c r="K15" s="29" t="s">
        <v>88</v>
      </c>
      <c r="L15" s="29"/>
      <c r="M15" s="29"/>
      <c r="N15" s="29"/>
      <c r="O15" s="30">
        <f>ROUND(35837 * 8 * 1.29 * 0.5, 2)</f>
        <v>184918.92</v>
      </c>
      <c r="P15" s="29"/>
    </row>
    <row r="16" spans="1:16" ht="15" customHeight="1" x14ac:dyDescent="0.25">
      <c r="A16" s="10"/>
      <c r="B16" s="31" t="s">
        <v>89</v>
      </c>
      <c r="C16" s="31"/>
      <c r="D16" s="31"/>
      <c r="E16" s="31"/>
      <c r="F16" s="31"/>
      <c r="G16" s="31" t="s">
        <v>8</v>
      </c>
      <c r="H16" s="31"/>
      <c r="I16" s="31"/>
      <c r="J16" s="31"/>
      <c r="K16" s="31" t="s">
        <v>8</v>
      </c>
      <c r="L16" s="31"/>
      <c r="M16" s="31"/>
      <c r="N16" s="31"/>
      <c r="O16" s="31"/>
      <c r="P16" s="31"/>
    </row>
    <row r="17" spans="1:16" ht="40.9" customHeight="1" x14ac:dyDescent="0.25">
      <c r="A17" s="11"/>
      <c r="B17" s="32" t="s">
        <v>90</v>
      </c>
      <c r="C17" s="32"/>
      <c r="D17" s="32"/>
      <c r="E17" s="32"/>
      <c r="F17" s="32"/>
      <c r="G17" s="32" t="s">
        <v>91</v>
      </c>
      <c r="H17" s="32"/>
      <c r="I17" s="32"/>
      <c r="J17" s="32"/>
      <c r="K17" s="32" t="s">
        <v>8</v>
      </c>
      <c r="L17" s="32"/>
      <c r="M17" s="32"/>
      <c r="N17" s="32"/>
      <c r="O17" s="32"/>
      <c r="P17" s="32"/>
    </row>
    <row r="18" spans="1:16" ht="190.35" customHeight="1" x14ac:dyDescent="0.25">
      <c r="A18" s="11"/>
      <c r="B18" s="32" t="s">
        <v>92</v>
      </c>
      <c r="C18" s="32"/>
      <c r="D18" s="32"/>
      <c r="E18" s="32"/>
      <c r="F18" s="32"/>
      <c r="G18" s="32" t="s">
        <v>93</v>
      </c>
      <c r="H18" s="32"/>
      <c r="I18" s="32"/>
      <c r="J18" s="32"/>
      <c r="K18" s="32" t="s">
        <v>8</v>
      </c>
      <c r="L18" s="32"/>
      <c r="M18" s="32"/>
      <c r="N18" s="32"/>
      <c r="O18" s="32"/>
      <c r="P18" s="32"/>
    </row>
    <row r="19" spans="1:16" ht="149.65" customHeight="1" x14ac:dyDescent="0.25">
      <c r="A19" s="9" t="s">
        <v>26</v>
      </c>
      <c r="B19" s="28" t="s">
        <v>94</v>
      </c>
      <c r="C19" s="29"/>
      <c r="D19" s="29"/>
      <c r="E19" s="29"/>
      <c r="F19" s="29"/>
      <c r="G19" s="29" t="s">
        <v>95</v>
      </c>
      <c r="H19" s="29"/>
      <c r="I19" s="29"/>
      <c r="J19" s="29"/>
      <c r="K19" s="29" t="s">
        <v>96</v>
      </c>
      <c r="L19" s="29"/>
      <c r="M19" s="29"/>
      <c r="N19" s="29"/>
      <c r="O19" s="30">
        <f>ROUND(25608 * 8 * 1.29 * 0.78, 2)</f>
        <v>206134.16</v>
      </c>
      <c r="P19" s="29"/>
    </row>
    <row r="20" spans="1:16" ht="15" customHeight="1" x14ac:dyDescent="0.25">
      <c r="A20" s="10"/>
      <c r="B20" s="31" t="s">
        <v>89</v>
      </c>
      <c r="C20" s="31"/>
      <c r="D20" s="31"/>
      <c r="E20" s="31"/>
      <c r="F20" s="31"/>
      <c r="G20" s="31" t="s">
        <v>8</v>
      </c>
      <c r="H20" s="31"/>
      <c r="I20" s="31"/>
      <c r="J20" s="31"/>
      <c r="K20" s="31" t="s">
        <v>8</v>
      </c>
      <c r="L20" s="31"/>
      <c r="M20" s="31"/>
      <c r="N20" s="31"/>
      <c r="O20" s="31"/>
      <c r="P20" s="31"/>
    </row>
    <row r="21" spans="1:16" ht="40.9" customHeight="1" x14ac:dyDescent="0.25">
      <c r="A21" s="11"/>
      <c r="B21" s="32" t="s">
        <v>90</v>
      </c>
      <c r="C21" s="32"/>
      <c r="D21" s="32"/>
      <c r="E21" s="32"/>
      <c r="F21" s="32"/>
      <c r="G21" s="32" t="s">
        <v>91</v>
      </c>
      <c r="H21" s="32"/>
      <c r="I21" s="32"/>
      <c r="J21" s="32"/>
      <c r="K21" s="32" t="s">
        <v>8</v>
      </c>
      <c r="L21" s="32"/>
      <c r="M21" s="32"/>
      <c r="N21" s="32"/>
      <c r="O21" s="32"/>
      <c r="P21" s="32"/>
    </row>
    <row r="22" spans="1:16" ht="135.94999999999999" customHeight="1" x14ac:dyDescent="0.25">
      <c r="A22" s="11"/>
      <c r="B22" s="32" t="s">
        <v>97</v>
      </c>
      <c r="C22" s="32"/>
      <c r="D22" s="32"/>
      <c r="E22" s="32"/>
      <c r="F22" s="32"/>
      <c r="G22" s="32" t="s">
        <v>98</v>
      </c>
      <c r="H22" s="32"/>
      <c r="I22" s="32"/>
      <c r="J22" s="32"/>
      <c r="K22" s="32" t="s">
        <v>8</v>
      </c>
      <c r="L22" s="32"/>
      <c r="M22" s="32"/>
      <c r="N22" s="32"/>
      <c r="O22" s="32"/>
      <c r="P22" s="32"/>
    </row>
    <row r="23" spans="1:16" ht="108.75" customHeight="1" x14ac:dyDescent="0.25">
      <c r="A23" s="9" t="s">
        <v>28</v>
      </c>
      <c r="B23" s="28" t="s">
        <v>99</v>
      </c>
      <c r="C23" s="29"/>
      <c r="D23" s="29"/>
      <c r="E23" s="29"/>
      <c r="F23" s="29"/>
      <c r="G23" s="29" t="s">
        <v>100</v>
      </c>
      <c r="H23" s="29"/>
      <c r="I23" s="29"/>
      <c r="J23" s="29"/>
      <c r="K23" s="29" t="s">
        <v>101</v>
      </c>
      <c r="L23" s="29"/>
      <c r="M23" s="29"/>
      <c r="N23" s="29"/>
      <c r="O23" s="30">
        <f>ROUND(26188 * 8 * 1.29 * 0.78, 2)</f>
        <v>210802.92</v>
      </c>
      <c r="P23" s="29"/>
    </row>
    <row r="24" spans="1:16" ht="15" customHeight="1" x14ac:dyDescent="0.25">
      <c r="A24" s="10"/>
      <c r="B24" s="31" t="s">
        <v>89</v>
      </c>
      <c r="C24" s="31"/>
      <c r="D24" s="31"/>
      <c r="E24" s="31"/>
      <c r="F24" s="31"/>
      <c r="G24" s="31" t="s">
        <v>8</v>
      </c>
      <c r="H24" s="31"/>
      <c r="I24" s="31"/>
      <c r="J24" s="31"/>
      <c r="K24" s="31" t="s">
        <v>8</v>
      </c>
      <c r="L24" s="31"/>
      <c r="M24" s="31"/>
      <c r="N24" s="31"/>
      <c r="O24" s="31"/>
      <c r="P24" s="31"/>
    </row>
    <row r="25" spans="1:16" ht="40.9" customHeight="1" x14ac:dyDescent="0.25">
      <c r="A25" s="11"/>
      <c r="B25" s="32" t="s">
        <v>90</v>
      </c>
      <c r="C25" s="32"/>
      <c r="D25" s="32"/>
      <c r="E25" s="32"/>
      <c r="F25" s="32"/>
      <c r="G25" s="32" t="s">
        <v>91</v>
      </c>
      <c r="H25" s="32"/>
      <c r="I25" s="32"/>
      <c r="J25" s="32"/>
      <c r="K25" s="32" t="s">
        <v>8</v>
      </c>
      <c r="L25" s="32"/>
      <c r="M25" s="32"/>
      <c r="N25" s="32"/>
      <c r="O25" s="32"/>
      <c r="P25" s="32"/>
    </row>
    <row r="26" spans="1:16" ht="108.75" customHeight="1" x14ac:dyDescent="0.25">
      <c r="A26" s="11"/>
      <c r="B26" s="32" t="s">
        <v>102</v>
      </c>
      <c r="C26" s="32"/>
      <c r="D26" s="32"/>
      <c r="E26" s="32"/>
      <c r="F26" s="32"/>
      <c r="G26" s="32" t="s">
        <v>103</v>
      </c>
      <c r="H26" s="32"/>
      <c r="I26" s="32"/>
      <c r="J26" s="32"/>
      <c r="K26" s="32" t="s">
        <v>8</v>
      </c>
      <c r="L26" s="32"/>
      <c r="M26" s="32"/>
      <c r="N26" s="32"/>
      <c r="O26" s="32"/>
      <c r="P26" s="32"/>
    </row>
    <row r="27" spans="1:16" ht="190.35" customHeight="1" x14ac:dyDescent="0.25">
      <c r="A27" s="9" t="s">
        <v>30</v>
      </c>
      <c r="B27" s="28" t="s">
        <v>104</v>
      </c>
      <c r="C27" s="29"/>
      <c r="D27" s="29"/>
      <c r="E27" s="29"/>
      <c r="F27" s="29"/>
      <c r="G27" s="29" t="s">
        <v>105</v>
      </c>
      <c r="H27" s="29"/>
      <c r="I27" s="29"/>
      <c r="J27" s="29"/>
      <c r="K27" s="29" t="s">
        <v>106</v>
      </c>
      <c r="L27" s="29"/>
      <c r="M27" s="29"/>
      <c r="N27" s="29"/>
      <c r="O27" s="30">
        <f>ROUND(38848 * 24 * 1.29 * 0.9, 2)</f>
        <v>1082460.67</v>
      </c>
      <c r="P27" s="29"/>
    </row>
    <row r="28" spans="1:16" ht="15" customHeight="1" x14ac:dyDescent="0.25">
      <c r="A28" s="10"/>
      <c r="B28" s="31" t="s">
        <v>89</v>
      </c>
      <c r="C28" s="31"/>
      <c r="D28" s="31"/>
      <c r="E28" s="31"/>
      <c r="F28" s="31"/>
      <c r="G28" s="31" t="s">
        <v>8</v>
      </c>
      <c r="H28" s="31"/>
      <c r="I28" s="31"/>
      <c r="J28" s="31"/>
      <c r="K28" s="31" t="s">
        <v>8</v>
      </c>
      <c r="L28" s="31"/>
      <c r="M28" s="31"/>
      <c r="N28" s="31"/>
      <c r="O28" s="31"/>
      <c r="P28" s="31"/>
    </row>
    <row r="29" spans="1:16" ht="40.9" customHeight="1" x14ac:dyDescent="0.25">
      <c r="A29" s="11"/>
      <c r="B29" s="32" t="s">
        <v>90</v>
      </c>
      <c r="C29" s="32"/>
      <c r="D29" s="32"/>
      <c r="E29" s="32"/>
      <c r="F29" s="32"/>
      <c r="G29" s="32" t="s">
        <v>91</v>
      </c>
      <c r="H29" s="32"/>
      <c r="I29" s="32"/>
      <c r="J29" s="32"/>
      <c r="K29" s="32" t="s">
        <v>8</v>
      </c>
      <c r="L29" s="32"/>
      <c r="M29" s="32"/>
      <c r="N29" s="32"/>
      <c r="O29" s="32"/>
      <c r="P29" s="32"/>
    </row>
    <row r="30" spans="1:16" ht="108.75" customHeight="1" x14ac:dyDescent="0.25">
      <c r="A30" s="11"/>
      <c r="B30" s="32" t="s">
        <v>107</v>
      </c>
      <c r="C30" s="32"/>
      <c r="D30" s="32"/>
      <c r="E30" s="32"/>
      <c r="F30" s="32"/>
      <c r="G30" s="32" t="s">
        <v>108</v>
      </c>
      <c r="H30" s="32"/>
      <c r="I30" s="32"/>
      <c r="J30" s="32"/>
      <c r="K30" s="32" t="s">
        <v>8</v>
      </c>
      <c r="L30" s="32"/>
      <c r="M30" s="32"/>
      <c r="N30" s="32"/>
      <c r="O30" s="32"/>
      <c r="P30" s="32"/>
    </row>
    <row r="31" spans="1:16" ht="108.75" customHeight="1" x14ac:dyDescent="0.25">
      <c r="A31" s="9" t="s">
        <v>109</v>
      </c>
      <c r="B31" s="28" t="s">
        <v>110</v>
      </c>
      <c r="C31" s="29"/>
      <c r="D31" s="29"/>
      <c r="E31" s="29"/>
      <c r="F31" s="29"/>
      <c r="G31" s="29" t="s">
        <v>111</v>
      </c>
      <c r="H31" s="29"/>
      <c r="I31" s="29"/>
      <c r="J31" s="29"/>
      <c r="K31" s="29" t="s">
        <v>112</v>
      </c>
      <c r="L31" s="29"/>
      <c r="M31" s="29"/>
      <c r="N31" s="29"/>
      <c r="O31" s="30">
        <f>ROUND(1305671.84 * 29 / 100 * 1.29, 2)</f>
        <v>488451.84000000003</v>
      </c>
      <c r="P31" s="29"/>
    </row>
    <row r="32" spans="1:16" ht="15" customHeight="1" x14ac:dyDescent="0.25">
      <c r="A32" s="10"/>
      <c r="B32" s="31" t="s">
        <v>89</v>
      </c>
      <c r="C32" s="31"/>
      <c r="D32" s="31"/>
      <c r="E32" s="31"/>
      <c r="F32" s="31"/>
      <c r="G32" s="31" t="s">
        <v>8</v>
      </c>
      <c r="H32" s="31"/>
      <c r="I32" s="31"/>
      <c r="J32" s="31"/>
      <c r="K32" s="31" t="s">
        <v>8</v>
      </c>
      <c r="L32" s="31"/>
      <c r="M32" s="31"/>
      <c r="N32" s="31"/>
      <c r="O32" s="31"/>
      <c r="P32" s="31"/>
    </row>
    <row r="33" spans="1:16" ht="40.9" customHeight="1" x14ac:dyDescent="0.25">
      <c r="A33" s="11"/>
      <c r="B33" s="32" t="s">
        <v>90</v>
      </c>
      <c r="C33" s="32"/>
      <c r="D33" s="32"/>
      <c r="E33" s="32"/>
      <c r="F33" s="32"/>
      <c r="G33" s="32" t="s">
        <v>91</v>
      </c>
      <c r="H33" s="32"/>
      <c r="I33" s="32"/>
      <c r="J33" s="32"/>
      <c r="K33" s="32" t="s">
        <v>8</v>
      </c>
      <c r="L33" s="32"/>
      <c r="M33" s="32"/>
      <c r="N33" s="32"/>
      <c r="O33" s="32"/>
      <c r="P33" s="32"/>
    </row>
    <row r="34" spans="1:16" ht="163.15" customHeight="1" x14ac:dyDescent="0.25">
      <c r="A34" s="9" t="s">
        <v>113</v>
      </c>
      <c r="B34" s="28" t="s">
        <v>114</v>
      </c>
      <c r="C34" s="29"/>
      <c r="D34" s="29"/>
      <c r="E34" s="29"/>
      <c r="F34" s="29"/>
      <c r="G34" s="29" t="s">
        <v>115</v>
      </c>
      <c r="H34" s="29"/>
      <c r="I34" s="29"/>
      <c r="J34" s="29"/>
      <c r="K34" s="29" t="s">
        <v>116</v>
      </c>
      <c r="L34" s="29"/>
      <c r="M34" s="29"/>
      <c r="N34" s="29"/>
      <c r="O34" s="30">
        <f>ROUND((1305.67184 * ((23 + (6.6 - 23) / (3000 - 1000) * (1305.67184 - 1000)) / 100) * 1 * 1.29) * 1000, 2)</f>
        <v>345175.28</v>
      </c>
      <c r="P34" s="29"/>
    </row>
    <row r="35" spans="1:16" ht="15" customHeight="1" x14ac:dyDescent="0.25">
      <c r="A35" s="10"/>
      <c r="B35" s="31" t="s">
        <v>89</v>
      </c>
      <c r="C35" s="31"/>
      <c r="D35" s="31"/>
      <c r="E35" s="31"/>
      <c r="F35" s="31"/>
      <c r="G35" s="31" t="s">
        <v>8</v>
      </c>
      <c r="H35" s="31"/>
      <c r="I35" s="31"/>
      <c r="J35" s="31"/>
      <c r="K35" s="31" t="s">
        <v>8</v>
      </c>
      <c r="L35" s="31"/>
      <c r="M35" s="31"/>
      <c r="N35" s="31"/>
      <c r="O35" s="31"/>
      <c r="P35" s="31"/>
    </row>
    <row r="36" spans="1:16" ht="40.9" customHeight="1" x14ac:dyDescent="0.25">
      <c r="A36" s="11"/>
      <c r="B36" s="32" t="s">
        <v>90</v>
      </c>
      <c r="C36" s="32"/>
      <c r="D36" s="32"/>
      <c r="E36" s="32"/>
      <c r="F36" s="32"/>
      <c r="G36" s="32" t="s">
        <v>91</v>
      </c>
      <c r="H36" s="32"/>
      <c r="I36" s="32"/>
      <c r="J36" s="32"/>
      <c r="K36" s="32" t="s">
        <v>8</v>
      </c>
      <c r="L36" s="32"/>
      <c r="M36" s="32"/>
      <c r="N36" s="32"/>
      <c r="O36" s="32"/>
      <c r="P36" s="32"/>
    </row>
    <row r="37" spans="1:16" ht="15" customHeight="1" x14ac:dyDescent="0.25">
      <c r="A37" s="3"/>
      <c r="B37" s="22" t="s">
        <v>118</v>
      </c>
      <c r="C37" s="22"/>
      <c r="D37" s="22"/>
      <c r="E37" s="22"/>
      <c r="F37" s="22"/>
      <c r="G37" s="22"/>
      <c r="H37" s="22"/>
      <c r="I37" s="22"/>
      <c r="J37" s="22"/>
      <c r="K37" s="22" t="s">
        <v>8</v>
      </c>
      <c r="L37" s="22"/>
      <c r="M37" s="22"/>
      <c r="N37" s="22"/>
      <c r="O37" s="33">
        <f>ROUND(SUM($O$15:$O$34),2)</f>
        <v>2517943.79</v>
      </c>
      <c r="P37" s="22"/>
    </row>
    <row r="38" spans="1:16" ht="15" customHeight="1" x14ac:dyDescent="0.25">
      <c r="A38" s="3"/>
      <c r="B38" s="22" t="s">
        <v>120</v>
      </c>
      <c r="C38" s="22"/>
      <c r="D38" s="22"/>
      <c r="E38" s="22"/>
      <c r="F38" s="22"/>
      <c r="G38" s="22"/>
      <c r="H38" s="22"/>
      <c r="I38" s="22"/>
      <c r="J38" s="22"/>
      <c r="K38" s="22" t="s">
        <v>8</v>
      </c>
      <c r="L38" s="22"/>
      <c r="M38" s="22"/>
      <c r="N38" s="22"/>
      <c r="O38" s="33">
        <f>ROUND(($O$37),2)</f>
        <v>2517943.79</v>
      </c>
      <c r="P38" s="22"/>
    </row>
    <row r="39" spans="1:16" ht="15" customHeight="1" x14ac:dyDescent="0.25">
      <c r="A39" s="3"/>
      <c r="B39" s="22" t="s">
        <v>122</v>
      </c>
      <c r="C39" s="22"/>
      <c r="D39" s="22"/>
      <c r="E39" s="22"/>
      <c r="F39" s="22"/>
      <c r="G39" s="22"/>
      <c r="H39" s="22"/>
      <c r="I39" s="22"/>
      <c r="J39" s="22"/>
      <c r="K39" s="22"/>
      <c r="L39" s="22"/>
      <c r="M39" s="22"/>
      <c r="N39" s="22"/>
      <c r="O39" s="22"/>
      <c r="P39" s="22"/>
    </row>
    <row r="40" spans="1:16" ht="15" customHeight="1" x14ac:dyDescent="0.25">
      <c r="A40" s="3"/>
      <c r="B40" s="22" t="s">
        <v>123</v>
      </c>
      <c r="C40" s="22"/>
      <c r="D40" s="22"/>
      <c r="E40" s="22"/>
      <c r="F40" s="22"/>
      <c r="G40" s="22"/>
      <c r="H40" s="22"/>
      <c r="I40" s="22"/>
      <c r="J40" s="22"/>
      <c r="K40" s="22" t="s">
        <v>8</v>
      </c>
      <c r="L40" s="22"/>
      <c r="M40" s="22"/>
      <c r="N40" s="22"/>
      <c r="O40" s="33">
        <v>0</v>
      </c>
      <c r="P40" s="22"/>
    </row>
    <row r="41" spans="1:16" ht="15" customHeight="1" x14ac:dyDescent="0.25">
      <c r="A41" s="3"/>
      <c r="B41" s="22" t="s">
        <v>124</v>
      </c>
      <c r="C41" s="22"/>
      <c r="D41" s="22"/>
      <c r="E41" s="22"/>
      <c r="F41" s="22"/>
      <c r="G41" s="22"/>
      <c r="H41" s="22"/>
      <c r="I41" s="22"/>
      <c r="J41" s="22"/>
      <c r="K41" s="22" t="s">
        <v>8</v>
      </c>
      <c r="L41" s="22"/>
      <c r="M41" s="22"/>
      <c r="N41" s="22"/>
      <c r="O41" s="33">
        <f>ROUND(($O$40),2)</f>
        <v>0</v>
      </c>
      <c r="P41" s="22"/>
    </row>
    <row r="42" spans="1:16" ht="15" customHeight="1" x14ac:dyDescent="0.25">
      <c r="A42" s="3"/>
      <c r="B42" s="22" t="s">
        <v>125</v>
      </c>
      <c r="C42" s="22"/>
      <c r="D42" s="22"/>
      <c r="E42" s="22"/>
      <c r="F42" s="22"/>
      <c r="G42" s="22"/>
      <c r="H42" s="22"/>
      <c r="I42" s="22"/>
      <c r="J42" s="22"/>
      <c r="K42" s="22"/>
      <c r="L42" s="22"/>
      <c r="M42" s="22"/>
      <c r="N42" s="22"/>
      <c r="O42" s="22"/>
      <c r="P42" s="22"/>
    </row>
    <row r="43" spans="1:16" ht="163.15" customHeight="1" x14ac:dyDescent="0.25">
      <c r="A43" s="9" t="s">
        <v>40</v>
      </c>
      <c r="B43" s="28" t="s">
        <v>126</v>
      </c>
      <c r="C43" s="29"/>
      <c r="D43" s="29"/>
      <c r="E43" s="29"/>
      <c r="F43" s="29"/>
      <c r="G43" s="29" t="s">
        <v>127</v>
      </c>
      <c r="H43" s="29"/>
      <c r="I43" s="29"/>
      <c r="J43" s="29"/>
      <c r="K43" s="29" t="s">
        <v>128</v>
      </c>
      <c r="L43" s="29"/>
      <c r="M43" s="29"/>
      <c r="N43" s="29"/>
      <c r="O43" s="30">
        <f>ROUND(1714 * 8 * 1.29, 2)</f>
        <v>17688.48</v>
      </c>
      <c r="P43" s="29"/>
    </row>
    <row r="44" spans="1:16" ht="15" customHeight="1" x14ac:dyDescent="0.25">
      <c r="A44" s="10"/>
      <c r="B44" s="31" t="s">
        <v>89</v>
      </c>
      <c r="C44" s="31"/>
      <c r="D44" s="31"/>
      <c r="E44" s="31"/>
      <c r="F44" s="31"/>
      <c r="G44" s="31" t="s">
        <v>8</v>
      </c>
      <c r="H44" s="31"/>
      <c r="I44" s="31"/>
      <c r="J44" s="31"/>
      <c r="K44" s="31" t="s">
        <v>8</v>
      </c>
      <c r="L44" s="31"/>
      <c r="M44" s="31"/>
      <c r="N44" s="31"/>
      <c r="O44" s="31"/>
      <c r="P44" s="31"/>
    </row>
    <row r="45" spans="1:16" ht="40.9" customHeight="1" x14ac:dyDescent="0.25">
      <c r="A45" s="11"/>
      <c r="B45" s="32" t="s">
        <v>90</v>
      </c>
      <c r="C45" s="32"/>
      <c r="D45" s="32"/>
      <c r="E45" s="32"/>
      <c r="F45" s="32"/>
      <c r="G45" s="32" t="s">
        <v>91</v>
      </c>
      <c r="H45" s="32"/>
      <c r="I45" s="32"/>
      <c r="J45" s="32"/>
      <c r="K45" s="32" t="s">
        <v>8</v>
      </c>
      <c r="L45" s="32"/>
      <c r="M45" s="32"/>
      <c r="N45" s="32"/>
      <c r="O45" s="32"/>
      <c r="P45" s="32"/>
    </row>
    <row r="46" spans="1:16" ht="163.15" customHeight="1" x14ac:dyDescent="0.25">
      <c r="A46" s="9" t="s">
        <v>43</v>
      </c>
      <c r="B46" s="28" t="s">
        <v>129</v>
      </c>
      <c r="C46" s="29"/>
      <c r="D46" s="29"/>
      <c r="E46" s="29"/>
      <c r="F46" s="29"/>
      <c r="G46" s="29" t="s">
        <v>130</v>
      </c>
      <c r="H46" s="29"/>
      <c r="I46" s="29"/>
      <c r="J46" s="29"/>
      <c r="K46" s="29" t="s">
        <v>131</v>
      </c>
      <c r="L46" s="29"/>
      <c r="M46" s="29"/>
      <c r="N46" s="29"/>
      <c r="O46" s="30">
        <f>ROUND(1844 * 8 * 1.29, 2)</f>
        <v>19030.080000000002</v>
      </c>
      <c r="P46" s="29"/>
    </row>
    <row r="47" spans="1:16" ht="15" customHeight="1" x14ac:dyDescent="0.25">
      <c r="A47" s="10"/>
      <c r="B47" s="31" t="s">
        <v>89</v>
      </c>
      <c r="C47" s="31"/>
      <c r="D47" s="31"/>
      <c r="E47" s="31"/>
      <c r="F47" s="31"/>
      <c r="G47" s="31" t="s">
        <v>8</v>
      </c>
      <c r="H47" s="31"/>
      <c r="I47" s="31"/>
      <c r="J47" s="31"/>
      <c r="K47" s="31" t="s">
        <v>8</v>
      </c>
      <c r="L47" s="31"/>
      <c r="M47" s="31"/>
      <c r="N47" s="31"/>
      <c r="O47" s="31"/>
      <c r="P47" s="31"/>
    </row>
    <row r="48" spans="1:16" ht="40.9" customHeight="1" x14ac:dyDescent="0.25">
      <c r="A48" s="11"/>
      <c r="B48" s="32" t="s">
        <v>90</v>
      </c>
      <c r="C48" s="32"/>
      <c r="D48" s="32"/>
      <c r="E48" s="32"/>
      <c r="F48" s="32"/>
      <c r="G48" s="32" t="s">
        <v>91</v>
      </c>
      <c r="H48" s="32"/>
      <c r="I48" s="32"/>
      <c r="J48" s="32"/>
      <c r="K48" s="32" t="s">
        <v>8</v>
      </c>
      <c r="L48" s="32"/>
      <c r="M48" s="32"/>
      <c r="N48" s="32"/>
      <c r="O48" s="32"/>
      <c r="P48" s="32"/>
    </row>
    <row r="49" spans="1:16" ht="149.65" customHeight="1" x14ac:dyDescent="0.25">
      <c r="A49" s="9" t="s">
        <v>46</v>
      </c>
      <c r="B49" s="28" t="s">
        <v>132</v>
      </c>
      <c r="C49" s="29"/>
      <c r="D49" s="29"/>
      <c r="E49" s="29"/>
      <c r="F49" s="29"/>
      <c r="G49" s="29" t="s">
        <v>133</v>
      </c>
      <c r="H49" s="29"/>
      <c r="I49" s="29"/>
      <c r="J49" s="29"/>
      <c r="K49" s="29" t="s">
        <v>134</v>
      </c>
      <c r="L49" s="29"/>
      <c r="M49" s="29"/>
      <c r="N49" s="29"/>
      <c r="O49" s="30">
        <f>ROUND((7698 + 1700 * 24) * 1 * 1.29, 2)</f>
        <v>62562.42</v>
      </c>
      <c r="P49" s="29"/>
    </row>
    <row r="50" spans="1:16" ht="15" customHeight="1" x14ac:dyDescent="0.25">
      <c r="A50" s="10"/>
      <c r="B50" s="31" t="s">
        <v>89</v>
      </c>
      <c r="C50" s="31"/>
      <c r="D50" s="31"/>
      <c r="E50" s="31"/>
      <c r="F50" s="31"/>
      <c r="G50" s="31" t="s">
        <v>8</v>
      </c>
      <c r="H50" s="31"/>
      <c r="I50" s="31"/>
      <c r="J50" s="31"/>
      <c r="K50" s="31" t="s">
        <v>8</v>
      </c>
      <c r="L50" s="31"/>
      <c r="M50" s="31"/>
      <c r="N50" s="31"/>
      <c r="O50" s="31"/>
      <c r="P50" s="31"/>
    </row>
    <row r="51" spans="1:16" ht="40.9" customHeight="1" x14ac:dyDescent="0.25">
      <c r="A51" s="11"/>
      <c r="B51" s="32" t="s">
        <v>90</v>
      </c>
      <c r="C51" s="32"/>
      <c r="D51" s="32"/>
      <c r="E51" s="32"/>
      <c r="F51" s="32"/>
      <c r="G51" s="32" t="s">
        <v>91</v>
      </c>
      <c r="H51" s="32"/>
      <c r="I51" s="32"/>
      <c r="J51" s="32"/>
      <c r="K51" s="32" t="s">
        <v>8</v>
      </c>
      <c r="L51" s="32"/>
      <c r="M51" s="32"/>
      <c r="N51" s="32"/>
      <c r="O51" s="32"/>
      <c r="P51" s="32"/>
    </row>
    <row r="52" spans="1:16" ht="135.94999999999999" customHeight="1" x14ac:dyDescent="0.25">
      <c r="A52" s="9" t="s">
        <v>56</v>
      </c>
      <c r="B52" s="28" t="s">
        <v>135</v>
      </c>
      <c r="C52" s="29"/>
      <c r="D52" s="29"/>
      <c r="E52" s="29"/>
      <c r="F52" s="29"/>
      <c r="G52" s="29" t="s">
        <v>136</v>
      </c>
      <c r="H52" s="29"/>
      <c r="I52" s="29"/>
      <c r="J52" s="29"/>
      <c r="K52" s="29" t="s">
        <v>137</v>
      </c>
      <c r="L52" s="29"/>
      <c r="M52" s="29"/>
      <c r="N52" s="29"/>
      <c r="O52" s="30">
        <f>ROUND(547 * 1.58 * 1.29, 2)</f>
        <v>1114.9000000000001</v>
      </c>
      <c r="P52" s="29"/>
    </row>
    <row r="53" spans="1:16" x14ac:dyDescent="0.25">
      <c r="A53" s="10"/>
      <c r="B53" s="31" t="s">
        <v>89</v>
      </c>
      <c r="C53" s="31"/>
      <c r="D53" s="31"/>
      <c r="E53" s="31"/>
      <c r="F53" s="31"/>
      <c r="G53" s="31" t="s">
        <v>8</v>
      </c>
      <c r="H53" s="31"/>
      <c r="I53" s="31"/>
      <c r="J53" s="31"/>
      <c r="K53" s="31" t="s">
        <v>8</v>
      </c>
      <c r="L53" s="31"/>
      <c r="M53" s="31"/>
      <c r="N53" s="31"/>
      <c r="O53" s="31"/>
      <c r="P53" s="31"/>
    </row>
    <row r="54" spans="1:16" ht="40.9" customHeight="1" x14ac:dyDescent="0.25">
      <c r="A54" s="11"/>
      <c r="B54" s="32" t="s">
        <v>90</v>
      </c>
      <c r="C54" s="32"/>
      <c r="D54" s="32"/>
      <c r="E54" s="32"/>
      <c r="F54" s="32"/>
      <c r="G54" s="32" t="s">
        <v>91</v>
      </c>
      <c r="H54" s="32"/>
      <c r="I54" s="32"/>
      <c r="J54" s="32"/>
      <c r="K54" s="32" t="s">
        <v>8</v>
      </c>
      <c r="L54" s="32"/>
      <c r="M54" s="32"/>
      <c r="N54" s="32"/>
      <c r="O54" s="32"/>
      <c r="P54" s="32"/>
    </row>
    <row r="55" spans="1:16" ht="176.85" customHeight="1" x14ac:dyDescent="0.25">
      <c r="A55" s="9" t="s">
        <v>138</v>
      </c>
      <c r="B55" s="28" t="s">
        <v>139</v>
      </c>
      <c r="C55" s="29"/>
      <c r="D55" s="29"/>
      <c r="E55" s="29"/>
      <c r="F55" s="29"/>
      <c r="G55" s="29" t="s">
        <v>140</v>
      </c>
      <c r="H55" s="29"/>
      <c r="I55" s="29"/>
      <c r="J55" s="29"/>
      <c r="K55" s="29" t="s">
        <v>141</v>
      </c>
      <c r="L55" s="29"/>
      <c r="M55" s="29"/>
      <c r="N55" s="29"/>
      <c r="O55" s="30">
        <f>ROUND((1187 + 244 * 20) * 1 * 1.29, 2)</f>
        <v>7826.43</v>
      </c>
      <c r="P55" s="29"/>
    </row>
    <row r="56" spans="1:16" x14ac:dyDescent="0.25">
      <c r="A56" s="10"/>
      <c r="B56" s="31" t="s">
        <v>89</v>
      </c>
      <c r="C56" s="31"/>
      <c r="D56" s="31"/>
      <c r="E56" s="31"/>
      <c r="F56" s="31"/>
      <c r="G56" s="31" t="s">
        <v>8</v>
      </c>
      <c r="H56" s="31"/>
      <c r="I56" s="31"/>
      <c r="J56" s="31"/>
      <c r="K56" s="31" t="s">
        <v>8</v>
      </c>
      <c r="L56" s="31"/>
      <c r="M56" s="31"/>
      <c r="N56" s="31"/>
      <c r="O56" s="31"/>
      <c r="P56" s="31"/>
    </row>
    <row r="57" spans="1:16" ht="40.9" customHeight="1" x14ac:dyDescent="0.25">
      <c r="A57" s="11"/>
      <c r="B57" s="32" t="s">
        <v>90</v>
      </c>
      <c r="C57" s="32"/>
      <c r="D57" s="32"/>
      <c r="E57" s="32"/>
      <c r="F57" s="32"/>
      <c r="G57" s="32" t="s">
        <v>91</v>
      </c>
      <c r="H57" s="32"/>
      <c r="I57" s="32"/>
      <c r="J57" s="32"/>
      <c r="K57" s="32" t="s">
        <v>8</v>
      </c>
      <c r="L57" s="32"/>
      <c r="M57" s="32"/>
      <c r="N57" s="32"/>
      <c r="O57" s="32"/>
      <c r="P57" s="32"/>
    </row>
    <row r="58" spans="1:16" ht="176.85" customHeight="1" x14ac:dyDescent="0.25">
      <c r="A58" s="9" t="s">
        <v>142</v>
      </c>
      <c r="B58" s="28" t="s">
        <v>143</v>
      </c>
      <c r="C58" s="29"/>
      <c r="D58" s="29"/>
      <c r="E58" s="29"/>
      <c r="F58" s="29"/>
      <c r="G58" s="29" t="s">
        <v>144</v>
      </c>
      <c r="H58" s="29"/>
      <c r="I58" s="29"/>
      <c r="J58" s="29"/>
      <c r="K58" s="29" t="s">
        <v>145</v>
      </c>
      <c r="L58" s="29"/>
      <c r="M58" s="29"/>
      <c r="N58" s="29"/>
      <c r="O58" s="30">
        <v>114121.25</v>
      </c>
      <c r="P58" s="29"/>
    </row>
    <row r="59" spans="1:16" x14ac:dyDescent="0.25">
      <c r="A59" s="10"/>
      <c r="B59" s="31" t="s">
        <v>89</v>
      </c>
      <c r="C59" s="31"/>
      <c r="D59" s="31"/>
      <c r="E59" s="31"/>
      <c r="F59" s="31"/>
      <c r="G59" s="31" t="s">
        <v>8</v>
      </c>
      <c r="H59" s="31"/>
      <c r="I59" s="31"/>
      <c r="J59" s="31"/>
      <c r="K59" s="31" t="s">
        <v>8</v>
      </c>
      <c r="L59" s="31"/>
      <c r="M59" s="31"/>
      <c r="N59" s="31"/>
      <c r="O59" s="31"/>
      <c r="P59" s="31"/>
    </row>
    <row r="60" spans="1:16" ht="40.9" customHeight="1" x14ac:dyDescent="0.25">
      <c r="A60" s="11"/>
      <c r="B60" s="32" t="s">
        <v>90</v>
      </c>
      <c r="C60" s="32"/>
      <c r="D60" s="32"/>
      <c r="E60" s="32"/>
      <c r="F60" s="32"/>
      <c r="G60" s="32" t="s">
        <v>91</v>
      </c>
      <c r="H60" s="32"/>
      <c r="I60" s="32"/>
      <c r="J60" s="32"/>
      <c r="K60" s="32" t="s">
        <v>8</v>
      </c>
      <c r="L60" s="32"/>
      <c r="M60" s="32"/>
      <c r="N60" s="32"/>
      <c r="O60" s="32"/>
      <c r="P60" s="32"/>
    </row>
    <row r="61" spans="1:16" x14ac:dyDescent="0.25">
      <c r="A61" s="3"/>
      <c r="B61" s="22" t="s">
        <v>147</v>
      </c>
      <c r="C61" s="22"/>
      <c r="D61" s="22"/>
      <c r="E61" s="22"/>
      <c r="F61" s="22"/>
      <c r="G61" s="22"/>
      <c r="H61" s="22"/>
      <c r="I61" s="22"/>
      <c r="J61" s="22"/>
      <c r="K61" s="22" t="s">
        <v>8</v>
      </c>
      <c r="L61" s="22"/>
      <c r="M61" s="22"/>
      <c r="N61" s="22"/>
      <c r="O61" s="33">
        <f>ROUND(SUM($O$43:$O$58),2)</f>
        <v>222343.56</v>
      </c>
      <c r="P61" s="22"/>
    </row>
    <row r="62" spans="1:16" x14ac:dyDescent="0.25">
      <c r="A62" s="3"/>
      <c r="B62" s="22" t="s">
        <v>149</v>
      </c>
      <c r="C62" s="22"/>
      <c r="D62" s="22"/>
      <c r="E62" s="22"/>
      <c r="F62" s="22"/>
      <c r="G62" s="22"/>
      <c r="H62" s="22"/>
      <c r="I62" s="22"/>
      <c r="J62" s="22"/>
      <c r="K62" s="22" t="s">
        <v>8</v>
      </c>
      <c r="L62" s="22"/>
      <c r="M62" s="22"/>
      <c r="N62" s="22"/>
      <c r="O62" s="33">
        <f>ROUND(($O$61),2)</f>
        <v>222343.56</v>
      </c>
      <c r="P62" s="22"/>
    </row>
    <row r="63" spans="1:16" ht="27.2" customHeight="1" x14ac:dyDescent="0.25">
      <c r="A63" s="3"/>
      <c r="B63" s="22" t="s">
        <v>150</v>
      </c>
      <c r="C63" s="22"/>
      <c r="D63" s="22"/>
      <c r="E63" s="22"/>
      <c r="F63" s="22"/>
      <c r="G63" s="22"/>
      <c r="H63" s="22"/>
      <c r="I63" s="22"/>
      <c r="J63" s="22"/>
      <c r="K63" s="22"/>
      <c r="L63" s="22"/>
      <c r="M63" s="22"/>
      <c r="N63" s="22"/>
      <c r="O63" s="22"/>
      <c r="P63" s="22"/>
    </row>
    <row r="64" spans="1:16" ht="176.85" customHeight="1" x14ac:dyDescent="0.25">
      <c r="A64" s="9" t="s">
        <v>54</v>
      </c>
      <c r="B64" s="28" t="s">
        <v>151</v>
      </c>
      <c r="C64" s="29"/>
      <c r="D64" s="29"/>
      <c r="E64" s="29"/>
      <c r="F64" s="29"/>
      <c r="G64" s="29" t="s">
        <v>152</v>
      </c>
      <c r="H64" s="29"/>
      <c r="I64" s="29"/>
      <c r="J64" s="29"/>
      <c r="K64" s="29" t="s">
        <v>153</v>
      </c>
      <c r="L64" s="29"/>
      <c r="M64" s="29"/>
      <c r="N64" s="29"/>
      <c r="O64" s="30">
        <v>61568.29</v>
      </c>
      <c r="P64" s="29"/>
    </row>
    <row r="65" spans="1:16" x14ac:dyDescent="0.25">
      <c r="A65" s="10"/>
      <c r="B65" s="31" t="s">
        <v>89</v>
      </c>
      <c r="C65" s="31"/>
      <c r="D65" s="31"/>
      <c r="E65" s="31"/>
      <c r="F65" s="31"/>
      <c r="G65" s="31" t="s">
        <v>8</v>
      </c>
      <c r="H65" s="31"/>
      <c r="I65" s="31"/>
      <c r="J65" s="31"/>
      <c r="K65" s="31" t="s">
        <v>8</v>
      </c>
      <c r="L65" s="31"/>
      <c r="M65" s="31"/>
      <c r="N65" s="31"/>
      <c r="O65" s="31"/>
      <c r="P65" s="31"/>
    </row>
    <row r="66" spans="1:16" ht="40.9" customHeight="1" x14ac:dyDescent="0.25">
      <c r="A66" s="11"/>
      <c r="B66" s="32" t="s">
        <v>90</v>
      </c>
      <c r="C66" s="32"/>
      <c r="D66" s="32"/>
      <c r="E66" s="32"/>
      <c r="F66" s="32"/>
      <c r="G66" s="32" t="s">
        <v>91</v>
      </c>
      <c r="H66" s="32"/>
      <c r="I66" s="32"/>
      <c r="J66" s="32"/>
      <c r="K66" s="32" t="s">
        <v>8</v>
      </c>
      <c r="L66" s="32"/>
      <c r="M66" s="32"/>
      <c r="N66" s="32"/>
      <c r="O66" s="32"/>
      <c r="P66" s="32"/>
    </row>
    <row r="67" spans="1:16" ht="27.2" customHeight="1" x14ac:dyDescent="0.25">
      <c r="A67" s="3"/>
      <c r="B67" s="22" t="s">
        <v>154</v>
      </c>
      <c r="C67" s="22"/>
      <c r="D67" s="22"/>
      <c r="E67" s="22"/>
      <c r="F67" s="22"/>
      <c r="G67" s="22"/>
      <c r="H67" s="22"/>
      <c r="I67" s="22"/>
      <c r="J67" s="22"/>
      <c r="K67" s="22" t="s">
        <v>8</v>
      </c>
      <c r="L67" s="22"/>
      <c r="M67" s="22"/>
      <c r="N67" s="22"/>
      <c r="O67" s="33">
        <f>ROUND($O$64,2)</f>
        <v>61568.29</v>
      </c>
      <c r="P67" s="22"/>
    </row>
    <row r="68" spans="1:16" ht="27.2" customHeight="1" x14ac:dyDescent="0.25">
      <c r="A68" s="3"/>
      <c r="B68" s="22" t="s">
        <v>155</v>
      </c>
      <c r="C68" s="22"/>
      <c r="D68" s="22"/>
      <c r="E68" s="22"/>
      <c r="F68" s="22"/>
      <c r="G68" s="22"/>
      <c r="H68" s="22"/>
      <c r="I68" s="22"/>
      <c r="J68" s="22"/>
      <c r="K68" s="22" t="s">
        <v>8</v>
      </c>
      <c r="L68" s="22"/>
      <c r="M68" s="22"/>
      <c r="N68" s="22"/>
      <c r="O68" s="33">
        <f>ROUND(($O$67),2)</f>
        <v>61568.29</v>
      </c>
      <c r="P68" s="22"/>
    </row>
    <row r="69" spans="1:16" x14ac:dyDescent="0.25">
      <c r="A69" s="3" t="s">
        <v>61</v>
      </c>
      <c r="B69" s="22" t="s">
        <v>156</v>
      </c>
      <c r="C69" s="22"/>
      <c r="D69" s="22"/>
      <c r="E69" s="22"/>
      <c r="F69" s="22"/>
      <c r="G69" s="22"/>
      <c r="H69" s="22"/>
      <c r="I69" s="22"/>
      <c r="J69" s="22"/>
      <c r="K69" s="22" t="s">
        <v>8</v>
      </c>
      <c r="L69" s="22"/>
      <c r="M69" s="22"/>
      <c r="N69" s="22"/>
      <c r="O69" s="33">
        <f>ROUND($O$38+$O$41+$O$62+$O$68,2)</f>
        <v>2801855.64</v>
      </c>
      <c r="P69" s="22"/>
    </row>
    <row r="70" spans="1:16" x14ac:dyDescent="0.25">
      <c r="A70" s="3" t="s">
        <v>64</v>
      </c>
      <c r="B70" s="22" t="s">
        <v>157</v>
      </c>
      <c r="C70" s="22"/>
      <c r="D70" s="22"/>
      <c r="E70" s="22"/>
      <c r="F70" s="22"/>
      <c r="G70" s="22"/>
      <c r="H70" s="22"/>
      <c r="I70" s="22"/>
      <c r="J70" s="22"/>
      <c r="K70" s="22" t="s">
        <v>8</v>
      </c>
      <c r="L70" s="22"/>
      <c r="M70" s="22"/>
      <c r="N70" s="22"/>
      <c r="O70" s="33">
        <f>ROUND(($O$69),2)</f>
        <v>2801855.64</v>
      </c>
      <c r="P70" s="22"/>
    </row>
    <row r="72" spans="1:16" ht="30" customHeight="1" x14ac:dyDescent="0.25">
      <c r="A72" s="19" t="s">
        <v>158</v>
      </c>
      <c r="B72" s="19"/>
      <c r="C72" s="19"/>
      <c r="D72" s="19"/>
      <c r="E72" s="19"/>
      <c r="F72" s="34">
        <f>$O$70</f>
        <v>2801855.64</v>
      </c>
      <c r="G72" s="34"/>
      <c r="H72" s="34"/>
      <c r="I72" s="34"/>
      <c r="J72" s="34"/>
      <c r="K72" s="34"/>
      <c r="L72" s="34"/>
      <c r="M72" s="34"/>
      <c r="N72" s="34"/>
      <c r="O72" s="34"/>
      <c r="P72" s="34"/>
    </row>
  </sheetData>
  <mergeCells count="246">
    <mergeCell ref="B69:F69"/>
    <mergeCell ref="G69:J69"/>
    <mergeCell ref="K69:N69"/>
    <mergeCell ref="O69:P69"/>
    <mergeCell ref="B70:F70"/>
    <mergeCell ref="G70:J70"/>
    <mergeCell ref="K70:N70"/>
    <mergeCell ref="O70:P70"/>
    <mergeCell ref="A72:E72"/>
    <mergeCell ref="F72:P72"/>
    <mergeCell ref="B66:F66"/>
    <mergeCell ref="G66:J66"/>
    <mergeCell ref="K66:N66"/>
    <mergeCell ref="O66:P66"/>
    <mergeCell ref="B67:F67"/>
    <mergeCell ref="G67:J67"/>
    <mergeCell ref="K67:N67"/>
    <mergeCell ref="O67:P67"/>
    <mergeCell ref="B68:F68"/>
    <mergeCell ref="G68:J68"/>
    <mergeCell ref="K68:N68"/>
    <mergeCell ref="O68:P68"/>
    <mergeCell ref="B63:F63"/>
    <mergeCell ref="G63:J63"/>
    <mergeCell ref="K63:N63"/>
    <mergeCell ref="O63:P63"/>
    <mergeCell ref="B64:F64"/>
    <mergeCell ref="G64:J64"/>
    <mergeCell ref="K64:N64"/>
    <mergeCell ref="O64:P64"/>
    <mergeCell ref="B65:F65"/>
    <mergeCell ref="G65:J65"/>
    <mergeCell ref="K65:N65"/>
    <mergeCell ref="O65:P65"/>
    <mergeCell ref="B60:F60"/>
    <mergeCell ref="G60:J60"/>
    <mergeCell ref="K60:N60"/>
    <mergeCell ref="O60:P60"/>
    <mergeCell ref="B61:F61"/>
    <mergeCell ref="G61:J61"/>
    <mergeCell ref="K61:N61"/>
    <mergeCell ref="O61:P61"/>
    <mergeCell ref="B62:F62"/>
    <mergeCell ref="G62:J62"/>
    <mergeCell ref="K62:N62"/>
    <mergeCell ref="O62:P62"/>
    <mergeCell ref="B57:F57"/>
    <mergeCell ref="G57:J57"/>
    <mergeCell ref="K57:N57"/>
    <mergeCell ref="O57:P57"/>
    <mergeCell ref="B58:F58"/>
    <mergeCell ref="G58:J58"/>
    <mergeCell ref="K58:N58"/>
    <mergeCell ref="O58:P58"/>
    <mergeCell ref="B59:F59"/>
    <mergeCell ref="G59:J59"/>
    <mergeCell ref="K59:N59"/>
    <mergeCell ref="O59:P59"/>
    <mergeCell ref="B54:F54"/>
    <mergeCell ref="G54:J54"/>
    <mergeCell ref="K54:N54"/>
    <mergeCell ref="O54:P54"/>
    <mergeCell ref="B55:F55"/>
    <mergeCell ref="G55:J55"/>
    <mergeCell ref="K55:N55"/>
    <mergeCell ref="O55:P55"/>
    <mergeCell ref="B56:F56"/>
    <mergeCell ref="G56:J56"/>
    <mergeCell ref="K56:N56"/>
    <mergeCell ref="O56:P56"/>
    <mergeCell ref="B51:F51"/>
    <mergeCell ref="G51:J51"/>
    <mergeCell ref="K51:N51"/>
    <mergeCell ref="O51:P51"/>
    <mergeCell ref="B52:F52"/>
    <mergeCell ref="G52:J52"/>
    <mergeCell ref="K52:N52"/>
    <mergeCell ref="O52:P52"/>
    <mergeCell ref="B53:F53"/>
    <mergeCell ref="G53:J53"/>
    <mergeCell ref="K53:N53"/>
    <mergeCell ref="O53:P53"/>
    <mergeCell ref="B48:F48"/>
    <mergeCell ref="G48:J48"/>
    <mergeCell ref="K48:N48"/>
    <mergeCell ref="O48:P48"/>
    <mergeCell ref="B49:F49"/>
    <mergeCell ref="G49:J49"/>
    <mergeCell ref="K49:N49"/>
    <mergeCell ref="O49:P49"/>
    <mergeCell ref="B50:F50"/>
    <mergeCell ref="G50:J50"/>
    <mergeCell ref="K50:N50"/>
    <mergeCell ref="O50:P50"/>
    <mergeCell ref="B45:F45"/>
    <mergeCell ref="G45:J45"/>
    <mergeCell ref="K45:N45"/>
    <mergeCell ref="O45:P45"/>
    <mergeCell ref="B46:F46"/>
    <mergeCell ref="G46:J46"/>
    <mergeCell ref="K46:N46"/>
    <mergeCell ref="O46:P46"/>
    <mergeCell ref="B47:F47"/>
    <mergeCell ref="G47:J47"/>
    <mergeCell ref="K47:N47"/>
    <mergeCell ref="O47:P47"/>
    <mergeCell ref="B42:F42"/>
    <mergeCell ref="G42:J42"/>
    <mergeCell ref="K42:N42"/>
    <mergeCell ref="O42:P42"/>
    <mergeCell ref="B43:F43"/>
    <mergeCell ref="G43:J43"/>
    <mergeCell ref="K43:N43"/>
    <mergeCell ref="O43:P43"/>
    <mergeCell ref="B44:F44"/>
    <mergeCell ref="G44:J44"/>
    <mergeCell ref="K44:N44"/>
    <mergeCell ref="O44:P44"/>
    <mergeCell ref="B39:F39"/>
    <mergeCell ref="G39:J39"/>
    <mergeCell ref="K39:N39"/>
    <mergeCell ref="O39:P39"/>
    <mergeCell ref="B40:F40"/>
    <mergeCell ref="G40:J40"/>
    <mergeCell ref="K40:N40"/>
    <mergeCell ref="O40:P40"/>
    <mergeCell ref="B41:F41"/>
    <mergeCell ref="G41:J41"/>
    <mergeCell ref="K41:N41"/>
    <mergeCell ref="O41:P41"/>
    <mergeCell ref="B36:F36"/>
    <mergeCell ref="G36:J36"/>
    <mergeCell ref="K36:N36"/>
    <mergeCell ref="O36:P36"/>
    <mergeCell ref="B37:F37"/>
    <mergeCell ref="G37:J37"/>
    <mergeCell ref="K37:N37"/>
    <mergeCell ref="O37:P37"/>
    <mergeCell ref="B38:F38"/>
    <mergeCell ref="G38:J38"/>
    <mergeCell ref="K38:N38"/>
    <mergeCell ref="O38:P38"/>
    <mergeCell ref="B33:F33"/>
    <mergeCell ref="G33:J33"/>
    <mergeCell ref="K33:N33"/>
    <mergeCell ref="O33:P33"/>
    <mergeCell ref="B34:F34"/>
    <mergeCell ref="G34:J34"/>
    <mergeCell ref="K34:N34"/>
    <mergeCell ref="O34:P34"/>
    <mergeCell ref="B35:F35"/>
    <mergeCell ref="G35:J35"/>
    <mergeCell ref="K35:N35"/>
    <mergeCell ref="O35:P35"/>
    <mergeCell ref="B30:F30"/>
    <mergeCell ref="G30:J30"/>
    <mergeCell ref="K30:N30"/>
    <mergeCell ref="O30:P30"/>
    <mergeCell ref="B31:F31"/>
    <mergeCell ref="G31:J31"/>
    <mergeCell ref="K31:N31"/>
    <mergeCell ref="O31:P31"/>
    <mergeCell ref="B32:F32"/>
    <mergeCell ref="G32:J32"/>
    <mergeCell ref="K32:N32"/>
    <mergeCell ref="O32:P32"/>
    <mergeCell ref="B27:F27"/>
    <mergeCell ref="G27:J27"/>
    <mergeCell ref="K27:N27"/>
    <mergeCell ref="O27:P27"/>
    <mergeCell ref="B28:F28"/>
    <mergeCell ref="G28:J28"/>
    <mergeCell ref="K28:N28"/>
    <mergeCell ref="O28:P28"/>
    <mergeCell ref="B29:F29"/>
    <mergeCell ref="G29:J29"/>
    <mergeCell ref="K29:N29"/>
    <mergeCell ref="O29:P29"/>
    <mergeCell ref="B24:F24"/>
    <mergeCell ref="G24:J24"/>
    <mergeCell ref="K24:N24"/>
    <mergeCell ref="O24:P24"/>
    <mergeCell ref="B25:F25"/>
    <mergeCell ref="G25:J25"/>
    <mergeCell ref="K25:N25"/>
    <mergeCell ref="O25:P25"/>
    <mergeCell ref="B26:F26"/>
    <mergeCell ref="G26:J26"/>
    <mergeCell ref="K26:N26"/>
    <mergeCell ref="O26:P26"/>
    <mergeCell ref="B21:F21"/>
    <mergeCell ref="G21:J21"/>
    <mergeCell ref="K21:N21"/>
    <mergeCell ref="O21:P21"/>
    <mergeCell ref="B22:F22"/>
    <mergeCell ref="G22:J22"/>
    <mergeCell ref="K22:N22"/>
    <mergeCell ref="O22:P22"/>
    <mergeCell ref="B23:F23"/>
    <mergeCell ref="G23:J23"/>
    <mergeCell ref="K23:N23"/>
    <mergeCell ref="O23:P23"/>
    <mergeCell ref="B18:F18"/>
    <mergeCell ref="G18:J18"/>
    <mergeCell ref="K18:N18"/>
    <mergeCell ref="O18:P18"/>
    <mergeCell ref="B19:F19"/>
    <mergeCell ref="G19:J19"/>
    <mergeCell ref="K19:N19"/>
    <mergeCell ref="O19:P19"/>
    <mergeCell ref="B20:F20"/>
    <mergeCell ref="G20:J20"/>
    <mergeCell ref="K20:N20"/>
    <mergeCell ref="O20:P20"/>
    <mergeCell ref="B15:F15"/>
    <mergeCell ref="G15:J15"/>
    <mergeCell ref="K15:N15"/>
    <mergeCell ref="O15:P15"/>
    <mergeCell ref="B16:F16"/>
    <mergeCell ref="G16:J16"/>
    <mergeCell ref="K16:N16"/>
    <mergeCell ref="O16:P16"/>
    <mergeCell ref="B17:F17"/>
    <mergeCell ref="G17:J17"/>
    <mergeCell ref="K17:N17"/>
    <mergeCell ref="O17:P17"/>
    <mergeCell ref="B13:F13"/>
    <mergeCell ref="G12:J12"/>
    <mergeCell ref="G13:J13"/>
    <mergeCell ref="K12:N12"/>
    <mergeCell ref="K13:N13"/>
    <mergeCell ref="O12:P12"/>
    <mergeCell ref="O13:P13"/>
    <mergeCell ref="B14:F14"/>
    <mergeCell ref="G14:J14"/>
    <mergeCell ref="K14:N14"/>
    <mergeCell ref="O14:P14"/>
    <mergeCell ref="A1:D1"/>
    <mergeCell ref="E1:P1"/>
    <mergeCell ref="A3:P3"/>
    <mergeCell ref="A4:P4"/>
    <mergeCell ref="A6:P6"/>
    <mergeCell ref="A7:P7"/>
    <mergeCell ref="A9:P9"/>
    <mergeCell ref="A10:P10"/>
    <mergeCell ref="B12:F12"/>
  </mergeCells>
  <pageMargins left="0.23622047244094491" right="0.23622047244094491" top="0.74803149606299213" bottom="0.74803149606299213" header="0.31496062992125984" footer="0.31496062992125984"/>
  <pageSetup paperSize="9" scale="7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154"/>
  <sheetViews>
    <sheetView showRuler="0" topLeftCell="A145" zoomScale="85" zoomScaleNormal="85" workbookViewId="0">
      <selection activeCell="F154" sqref="A1:P154"/>
    </sheetView>
  </sheetViews>
  <sheetFormatPr defaultRowHeight="15" x14ac:dyDescent="0.25"/>
  <cols>
    <col min="1" max="1" width="6.42578125" style="1" customWidth="1"/>
    <col min="2" max="50" width="8" style="1" customWidth="1"/>
  </cols>
  <sheetData>
    <row r="1" spans="1:16" ht="27.2" customHeight="1" x14ac:dyDescent="0.25">
      <c r="A1" s="15" t="s">
        <v>0</v>
      </c>
      <c r="B1" s="15"/>
      <c r="C1" s="15"/>
      <c r="D1" s="15"/>
      <c r="E1" s="16" t="s">
        <v>75</v>
      </c>
      <c r="F1" s="16"/>
      <c r="G1" s="16"/>
      <c r="H1" s="16"/>
      <c r="I1" s="16"/>
      <c r="J1" s="16"/>
      <c r="K1" s="16"/>
      <c r="L1" s="16"/>
      <c r="M1" s="16"/>
      <c r="N1" s="16"/>
      <c r="O1" s="16"/>
      <c r="P1" s="16"/>
    </row>
    <row r="2" spans="1:16" ht="15" customHeight="1" x14ac:dyDescent="0.25"/>
    <row r="3" spans="1:16" ht="15" customHeight="1" x14ac:dyDescent="0.25">
      <c r="A3" s="26" t="s">
        <v>159</v>
      </c>
      <c r="B3" s="26"/>
      <c r="C3" s="26"/>
      <c r="D3" s="26"/>
      <c r="E3" s="26"/>
      <c r="F3" s="26"/>
      <c r="G3" s="26"/>
      <c r="H3" s="26"/>
      <c r="I3" s="26"/>
      <c r="J3" s="26"/>
      <c r="K3" s="26"/>
      <c r="L3" s="26"/>
      <c r="M3" s="26"/>
      <c r="N3" s="26"/>
      <c r="O3" s="26"/>
      <c r="P3" s="26"/>
    </row>
    <row r="4" spans="1:16" ht="15" customHeight="1" x14ac:dyDescent="0.25">
      <c r="A4" s="27" t="s">
        <v>160</v>
      </c>
      <c r="B4" s="27"/>
      <c r="C4" s="27"/>
      <c r="D4" s="27"/>
      <c r="E4" s="27"/>
      <c r="F4" s="27"/>
      <c r="G4" s="27"/>
      <c r="H4" s="27"/>
      <c r="I4" s="27"/>
      <c r="J4" s="27"/>
      <c r="K4" s="27"/>
      <c r="L4" s="27"/>
      <c r="M4" s="27"/>
      <c r="N4" s="27"/>
      <c r="O4" s="27"/>
      <c r="P4" s="27"/>
    </row>
    <row r="5" spans="1:16" ht="15" customHeight="1" x14ac:dyDescent="0.25"/>
    <row r="6" spans="1:16" ht="15" customHeight="1" x14ac:dyDescent="0.25">
      <c r="A6" s="26" t="s">
        <v>27</v>
      </c>
      <c r="B6" s="26"/>
      <c r="C6" s="26"/>
      <c r="D6" s="26"/>
      <c r="E6" s="26"/>
      <c r="F6" s="26"/>
      <c r="G6" s="26"/>
      <c r="H6" s="26"/>
      <c r="I6" s="26"/>
      <c r="J6" s="26"/>
      <c r="K6" s="26"/>
      <c r="L6" s="26"/>
      <c r="M6" s="26"/>
      <c r="N6" s="26"/>
      <c r="O6" s="26"/>
      <c r="P6" s="26"/>
    </row>
    <row r="7" spans="1:16" ht="15" customHeight="1" x14ac:dyDescent="0.25">
      <c r="A7" s="25" t="s">
        <v>78</v>
      </c>
      <c r="B7" s="25"/>
      <c r="C7" s="25"/>
      <c r="D7" s="25"/>
      <c r="E7" s="25"/>
      <c r="F7" s="25"/>
      <c r="G7" s="25"/>
      <c r="H7" s="25"/>
      <c r="I7" s="25"/>
      <c r="J7" s="25"/>
      <c r="K7" s="25"/>
      <c r="L7" s="25"/>
      <c r="M7" s="25"/>
      <c r="N7" s="25"/>
      <c r="O7" s="25"/>
      <c r="P7" s="25"/>
    </row>
    <row r="8" spans="1:16" ht="15" customHeight="1" x14ac:dyDescent="0.25"/>
    <row r="9" spans="1:16" ht="15" customHeight="1" x14ac:dyDescent="0.25">
      <c r="A9" s="26" t="s">
        <v>5</v>
      </c>
      <c r="B9" s="26"/>
      <c r="C9" s="26"/>
      <c r="D9" s="26"/>
      <c r="E9" s="26"/>
      <c r="F9" s="26"/>
      <c r="G9" s="26"/>
      <c r="H9" s="26"/>
      <c r="I9" s="26"/>
      <c r="J9" s="26"/>
      <c r="K9" s="26"/>
      <c r="L9" s="26"/>
      <c r="M9" s="26"/>
      <c r="N9" s="26"/>
      <c r="O9" s="26"/>
      <c r="P9" s="26"/>
    </row>
    <row r="10" spans="1:16" ht="15" customHeight="1" x14ac:dyDescent="0.25">
      <c r="A10" s="25" t="s">
        <v>79</v>
      </c>
      <c r="B10" s="25"/>
      <c r="C10" s="25"/>
      <c r="D10" s="25"/>
      <c r="E10" s="25"/>
      <c r="F10" s="25"/>
      <c r="G10" s="25"/>
      <c r="H10" s="25"/>
      <c r="I10" s="25"/>
      <c r="J10" s="25"/>
      <c r="K10" s="25"/>
      <c r="L10" s="25"/>
      <c r="M10" s="25"/>
      <c r="N10" s="25"/>
      <c r="O10" s="25"/>
      <c r="P10" s="25"/>
    </row>
    <row r="11" spans="1:16" ht="15" customHeight="1" x14ac:dyDescent="0.25"/>
    <row r="12" spans="1:16" ht="122.45" customHeight="1" x14ac:dyDescent="0.25">
      <c r="A12" s="2" t="s">
        <v>80</v>
      </c>
      <c r="B12" s="21" t="s">
        <v>81</v>
      </c>
      <c r="C12" s="21"/>
      <c r="D12" s="21"/>
      <c r="E12" s="21"/>
      <c r="F12" s="21"/>
      <c r="G12" s="21" t="s">
        <v>82</v>
      </c>
      <c r="H12" s="21"/>
      <c r="I12" s="21"/>
      <c r="J12" s="21"/>
      <c r="K12" s="21" t="s">
        <v>83</v>
      </c>
      <c r="L12" s="21"/>
      <c r="M12" s="21"/>
      <c r="N12" s="21"/>
      <c r="O12" s="21" t="s">
        <v>84</v>
      </c>
      <c r="P12" s="21"/>
    </row>
    <row r="13" spans="1:16" ht="15" customHeight="1" x14ac:dyDescent="0.25">
      <c r="A13" s="2">
        <v>1</v>
      </c>
      <c r="B13" s="21">
        <v>2</v>
      </c>
      <c r="C13" s="21"/>
      <c r="D13" s="21"/>
      <c r="E13" s="21"/>
      <c r="F13" s="21"/>
      <c r="G13" s="21">
        <v>3</v>
      </c>
      <c r="H13" s="21"/>
      <c r="I13" s="21"/>
      <c r="J13" s="21"/>
      <c r="K13" s="21">
        <v>4</v>
      </c>
      <c r="L13" s="21"/>
      <c r="M13" s="21"/>
      <c r="N13" s="21"/>
      <c r="O13" s="21">
        <v>5</v>
      </c>
      <c r="P13" s="21"/>
    </row>
    <row r="14" spans="1:16" ht="15" customHeight="1" x14ac:dyDescent="0.25">
      <c r="A14" s="3"/>
      <c r="B14" s="22" t="s">
        <v>85</v>
      </c>
      <c r="C14" s="22"/>
      <c r="D14" s="22"/>
      <c r="E14" s="22"/>
      <c r="F14" s="22"/>
      <c r="G14" s="22"/>
      <c r="H14" s="22"/>
      <c r="I14" s="22"/>
      <c r="J14" s="22"/>
      <c r="K14" s="22"/>
      <c r="L14" s="22"/>
      <c r="M14" s="22"/>
      <c r="N14" s="22"/>
      <c r="O14" s="22"/>
      <c r="P14" s="22"/>
    </row>
    <row r="15" spans="1:16" ht="135.94999999999999" customHeight="1" x14ac:dyDescent="0.25">
      <c r="A15" s="9" t="s">
        <v>23</v>
      </c>
      <c r="B15" s="28" t="s">
        <v>161</v>
      </c>
      <c r="C15" s="29"/>
      <c r="D15" s="29"/>
      <c r="E15" s="29"/>
      <c r="F15" s="29"/>
      <c r="G15" s="29" t="s">
        <v>162</v>
      </c>
      <c r="H15" s="29"/>
      <c r="I15" s="29"/>
      <c r="J15" s="29"/>
      <c r="K15" s="29" t="s">
        <v>163</v>
      </c>
      <c r="L15" s="29"/>
      <c r="M15" s="29"/>
      <c r="N15" s="29"/>
      <c r="O15" s="30">
        <f>ROUND((40243 + 2359 * 24) * 1 * 1.29, 2)</f>
        <v>124948.11</v>
      </c>
      <c r="P15" s="29"/>
    </row>
    <row r="16" spans="1:16" ht="15" customHeight="1" x14ac:dyDescent="0.25">
      <c r="A16" s="10"/>
      <c r="B16" s="31" t="s">
        <v>89</v>
      </c>
      <c r="C16" s="31"/>
      <c r="D16" s="31"/>
      <c r="E16" s="31"/>
      <c r="F16" s="31"/>
      <c r="G16" s="31" t="s">
        <v>8</v>
      </c>
      <c r="H16" s="31"/>
      <c r="I16" s="31"/>
      <c r="J16" s="31"/>
      <c r="K16" s="31" t="s">
        <v>8</v>
      </c>
      <c r="L16" s="31"/>
      <c r="M16" s="31"/>
      <c r="N16" s="31"/>
      <c r="O16" s="31"/>
      <c r="P16" s="31"/>
    </row>
    <row r="17" spans="1:16" ht="40.9" customHeight="1" x14ac:dyDescent="0.25">
      <c r="A17" s="11"/>
      <c r="B17" s="32" t="s">
        <v>90</v>
      </c>
      <c r="C17" s="32"/>
      <c r="D17" s="32"/>
      <c r="E17" s="32"/>
      <c r="F17" s="32"/>
      <c r="G17" s="32" t="s">
        <v>91</v>
      </c>
      <c r="H17" s="32"/>
      <c r="I17" s="32"/>
      <c r="J17" s="32"/>
      <c r="K17" s="32" t="s">
        <v>8</v>
      </c>
      <c r="L17" s="32"/>
      <c r="M17" s="32"/>
      <c r="N17" s="32"/>
      <c r="O17" s="32"/>
      <c r="P17" s="32"/>
    </row>
    <row r="18" spans="1:16" ht="108.75" customHeight="1" x14ac:dyDescent="0.25">
      <c r="A18" s="9" t="s">
        <v>26</v>
      </c>
      <c r="B18" s="28" t="s">
        <v>164</v>
      </c>
      <c r="C18" s="29"/>
      <c r="D18" s="29"/>
      <c r="E18" s="29"/>
      <c r="F18" s="29"/>
      <c r="G18" s="29" t="s">
        <v>165</v>
      </c>
      <c r="H18" s="29"/>
      <c r="I18" s="29"/>
      <c r="J18" s="29"/>
      <c r="K18" s="29" t="s">
        <v>166</v>
      </c>
      <c r="L18" s="29"/>
      <c r="M18" s="29"/>
      <c r="N18" s="29"/>
      <c r="O18" s="30">
        <f>ROUND(3300 * 160 * 1.29, 2)</f>
        <v>681120</v>
      </c>
      <c r="P18" s="29"/>
    </row>
    <row r="19" spans="1:16" ht="15" customHeight="1" x14ac:dyDescent="0.25">
      <c r="A19" s="10"/>
      <c r="B19" s="31" t="s">
        <v>89</v>
      </c>
      <c r="C19" s="31"/>
      <c r="D19" s="31"/>
      <c r="E19" s="31"/>
      <c r="F19" s="31"/>
      <c r="G19" s="31" t="s">
        <v>8</v>
      </c>
      <c r="H19" s="31"/>
      <c r="I19" s="31"/>
      <c r="J19" s="31"/>
      <c r="K19" s="31" t="s">
        <v>8</v>
      </c>
      <c r="L19" s="31"/>
      <c r="M19" s="31"/>
      <c r="N19" s="31"/>
      <c r="O19" s="31"/>
      <c r="P19" s="31"/>
    </row>
    <row r="20" spans="1:16" ht="40.9" customHeight="1" x14ac:dyDescent="0.25">
      <c r="A20" s="11"/>
      <c r="B20" s="32" t="s">
        <v>90</v>
      </c>
      <c r="C20" s="32"/>
      <c r="D20" s="32"/>
      <c r="E20" s="32"/>
      <c r="F20" s="32"/>
      <c r="G20" s="32" t="s">
        <v>91</v>
      </c>
      <c r="H20" s="32"/>
      <c r="I20" s="32"/>
      <c r="J20" s="32"/>
      <c r="K20" s="32" t="s">
        <v>8</v>
      </c>
      <c r="L20" s="32"/>
      <c r="M20" s="32"/>
      <c r="N20" s="32"/>
      <c r="O20" s="32"/>
      <c r="P20" s="32"/>
    </row>
    <row r="21" spans="1:16" ht="108.75" customHeight="1" x14ac:dyDescent="0.25">
      <c r="A21" s="9" t="s">
        <v>28</v>
      </c>
      <c r="B21" s="28" t="s">
        <v>167</v>
      </c>
      <c r="C21" s="29"/>
      <c r="D21" s="29"/>
      <c r="E21" s="29"/>
      <c r="F21" s="29"/>
      <c r="G21" s="29" t="s">
        <v>168</v>
      </c>
      <c r="H21" s="29"/>
      <c r="I21" s="29"/>
      <c r="J21" s="29"/>
      <c r="K21" s="29" t="s">
        <v>169</v>
      </c>
      <c r="L21" s="29"/>
      <c r="M21" s="29"/>
      <c r="N21" s="29"/>
      <c r="O21" s="30">
        <f>ROUND(1536 * 48 * 1.29, 2)</f>
        <v>95109.119999999995</v>
      </c>
      <c r="P21" s="29"/>
    </row>
    <row r="22" spans="1:16" ht="15" customHeight="1" x14ac:dyDescent="0.25">
      <c r="A22" s="10"/>
      <c r="B22" s="31" t="s">
        <v>89</v>
      </c>
      <c r="C22" s="31"/>
      <c r="D22" s="31"/>
      <c r="E22" s="31"/>
      <c r="F22" s="31"/>
      <c r="G22" s="31" t="s">
        <v>8</v>
      </c>
      <c r="H22" s="31"/>
      <c r="I22" s="31"/>
      <c r="J22" s="31"/>
      <c r="K22" s="31" t="s">
        <v>8</v>
      </c>
      <c r="L22" s="31"/>
      <c r="M22" s="31"/>
      <c r="N22" s="31"/>
      <c r="O22" s="31"/>
      <c r="P22" s="31"/>
    </row>
    <row r="23" spans="1:16" ht="40.9" customHeight="1" x14ac:dyDescent="0.25">
      <c r="A23" s="11"/>
      <c r="B23" s="32" t="s">
        <v>90</v>
      </c>
      <c r="C23" s="32"/>
      <c r="D23" s="32"/>
      <c r="E23" s="32"/>
      <c r="F23" s="32"/>
      <c r="G23" s="32" t="s">
        <v>91</v>
      </c>
      <c r="H23" s="32"/>
      <c r="I23" s="32"/>
      <c r="J23" s="32"/>
      <c r="K23" s="32" t="s">
        <v>8</v>
      </c>
      <c r="L23" s="32"/>
      <c r="M23" s="32"/>
      <c r="N23" s="32"/>
      <c r="O23" s="32"/>
      <c r="P23" s="32"/>
    </row>
    <row r="24" spans="1:16" ht="176.85" customHeight="1" x14ac:dyDescent="0.25">
      <c r="A24" s="9" t="s">
        <v>30</v>
      </c>
      <c r="B24" s="28" t="s">
        <v>170</v>
      </c>
      <c r="C24" s="29"/>
      <c r="D24" s="29"/>
      <c r="E24" s="29"/>
      <c r="F24" s="29"/>
      <c r="G24" s="29" t="s">
        <v>171</v>
      </c>
      <c r="H24" s="29"/>
      <c r="I24" s="29"/>
      <c r="J24" s="29"/>
      <c r="K24" s="29" t="s">
        <v>172</v>
      </c>
      <c r="L24" s="29"/>
      <c r="M24" s="29"/>
      <c r="N24" s="29"/>
      <c r="O24" s="30">
        <f>ROUND(983 * 16 * 1.29, 2)</f>
        <v>20289.12</v>
      </c>
      <c r="P24" s="29"/>
    </row>
    <row r="25" spans="1:16" ht="15" customHeight="1" x14ac:dyDescent="0.25">
      <c r="A25" s="10"/>
      <c r="B25" s="31" t="s">
        <v>89</v>
      </c>
      <c r="C25" s="31"/>
      <c r="D25" s="31"/>
      <c r="E25" s="31"/>
      <c r="F25" s="31"/>
      <c r="G25" s="31" t="s">
        <v>8</v>
      </c>
      <c r="H25" s="31"/>
      <c r="I25" s="31"/>
      <c r="J25" s="31"/>
      <c r="K25" s="31" t="s">
        <v>8</v>
      </c>
      <c r="L25" s="31"/>
      <c r="M25" s="31"/>
      <c r="N25" s="31"/>
      <c r="O25" s="31"/>
      <c r="P25" s="31"/>
    </row>
    <row r="26" spans="1:16" ht="40.9" customHeight="1" x14ac:dyDescent="0.25">
      <c r="A26" s="11"/>
      <c r="B26" s="32" t="s">
        <v>90</v>
      </c>
      <c r="C26" s="32"/>
      <c r="D26" s="32"/>
      <c r="E26" s="32"/>
      <c r="F26" s="32"/>
      <c r="G26" s="32" t="s">
        <v>91</v>
      </c>
      <c r="H26" s="32"/>
      <c r="I26" s="32"/>
      <c r="J26" s="32"/>
      <c r="K26" s="32" t="s">
        <v>8</v>
      </c>
      <c r="L26" s="32"/>
      <c r="M26" s="32"/>
      <c r="N26" s="32"/>
      <c r="O26" s="32"/>
      <c r="P26" s="32"/>
    </row>
    <row r="27" spans="1:16" ht="122.45" customHeight="1" x14ac:dyDescent="0.25">
      <c r="A27" s="9" t="s">
        <v>109</v>
      </c>
      <c r="B27" s="28" t="s">
        <v>173</v>
      </c>
      <c r="C27" s="29"/>
      <c r="D27" s="29"/>
      <c r="E27" s="29"/>
      <c r="F27" s="29"/>
      <c r="G27" s="29" t="s">
        <v>174</v>
      </c>
      <c r="H27" s="29"/>
      <c r="I27" s="29"/>
      <c r="J27" s="29"/>
      <c r="K27" s="29" t="s">
        <v>175</v>
      </c>
      <c r="L27" s="29"/>
      <c r="M27" s="29"/>
      <c r="N27" s="29"/>
      <c r="O27" s="30">
        <f>ROUND(3138 * 50 * 1.29 * 1.1, 2)</f>
        <v>222641.1</v>
      </c>
      <c r="P27" s="29"/>
    </row>
    <row r="28" spans="1:16" ht="15" customHeight="1" x14ac:dyDescent="0.25">
      <c r="A28" s="10"/>
      <c r="B28" s="31" t="s">
        <v>89</v>
      </c>
      <c r="C28" s="31"/>
      <c r="D28" s="31"/>
      <c r="E28" s="31"/>
      <c r="F28" s="31"/>
      <c r="G28" s="31" t="s">
        <v>8</v>
      </c>
      <c r="H28" s="31"/>
      <c r="I28" s="31"/>
      <c r="J28" s="31"/>
      <c r="K28" s="31" t="s">
        <v>8</v>
      </c>
      <c r="L28" s="31"/>
      <c r="M28" s="31"/>
      <c r="N28" s="31"/>
      <c r="O28" s="31"/>
      <c r="P28" s="31"/>
    </row>
    <row r="29" spans="1:16" ht="40.9" customHeight="1" x14ac:dyDescent="0.25">
      <c r="A29" s="11"/>
      <c r="B29" s="32" t="s">
        <v>90</v>
      </c>
      <c r="C29" s="32"/>
      <c r="D29" s="32"/>
      <c r="E29" s="32"/>
      <c r="F29" s="32"/>
      <c r="G29" s="32" t="s">
        <v>91</v>
      </c>
      <c r="H29" s="32"/>
      <c r="I29" s="32"/>
      <c r="J29" s="32"/>
      <c r="K29" s="32" t="s">
        <v>8</v>
      </c>
      <c r="L29" s="32"/>
      <c r="M29" s="32"/>
      <c r="N29" s="32"/>
      <c r="O29" s="32"/>
      <c r="P29" s="32"/>
    </row>
    <row r="30" spans="1:16" ht="149.65" customHeight="1" x14ac:dyDescent="0.25">
      <c r="A30" s="11"/>
      <c r="B30" s="32" t="s">
        <v>176</v>
      </c>
      <c r="C30" s="32"/>
      <c r="D30" s="32"/>
      <c r="E30" s="32"/>
      <c r="F30" s="32"/>
      <c r="G30" s="32" t="s">
        <v>177</v>
      </c>
      <c r="H30" s="32"/>
      <c r="I30" s="32"/>
      <c r="J30" s="32"/>
      <c r="K30" s="32" t="s">
        <v>8</v>
      </c>
      <c r="L30" s="32"/>
      <c r="M30" s="32"/>
      <c r="N30" s="32"/>
      <c r="O30" s="32"/>
      <c r="P30" s="32"/>
    </row>
    <row r="31" spans="1:16" ht="108.75" customHeight="1" x14ac:dyDescent="0.25">
      <c r="A31" s="9" t="s">
        <v>113</v>
      </c>
      <c r="B31" s="28" t="s">
        <v>178</v>
      </c>
      <c r="C31" s="29"/>
      <c r="D31" s="29"/>
      <c r="E31" s="29"/>
      <c r="F31" s="29"/>
      <c r="G31" s="29" t="s">
        <v>179</v>
      </c>
      <c r="H31" s="29"/>
      <c r="I31" s="29"/>
      <c r="J31" s="29"/>
      <c r="K31" s="29" t="s">
        <v>180</v>
      </c>
      <c r="L31" s="29"/>
      <c r="M31" s="29"/>
      <c r="N31" s="29"/>
      <c r="O31" s="30">
        <f>ROUND(886905 * 13 / 100 * 1.29, 2)</f>
        <v>148733.97</v>
      </c>
      <c r="P31" s="29"/>
    </row>
    <row r="32" spans="1:16" ht="15" customHeight="1" x14ac:dyDescent="0.25">
      <c r="A32" s="10"/>
      <c r="B32" s="31" t="s">
        <v>89</v>
      </c>
      <c r="C32" s="31"/>
      <c r="D32" s="31"/>
      <c r="E32" s="31"/>
      <c r="F32" s="31"/>
      <c r="G32" s="31" t="s">
        <v>8</v>
      </c>
      <c r="H32" s="31"/>
      <c r="I32" s="31"/>
      <c r="J32" s="31"/>
      <c r="K32" s="31" t="s">
        <v>8</v>
      </c>
      <c r="L32" s="31"/>
      <c r="M32" s="31"/>
      <c r="N32" s="31"/>
      <c r="O32" s="31"/>
      <c r="P32" s="31"/>
    </row>
    <row r="33" spans="1:16" ht="40.9" customHeight="1" x14ac:dyDescent="0.25">
      <c r="A33" s="11"/>
      <c r="B33" s="32" t="s">
        <v>90</v>
      </c>
      <c r="C33" s="32"/>
      <c r="D33" s="32"/>
      <c r="E33" s="32"/>
      <c r="F33" s="32"/>
      <c r="G33" s="32" t="s">
        <v>91</v>
      </c>
      <c r="H33" s="32"/>
      <c r="I33" s="32"/>
      <c r="J33" s="32"/>
      <c r="K33" s="32" t="s">
        <v>8</v>
      </c>
      <c r="L33" s="32"/>
      <c r="M33" s="32"/>
      <c r="N33" s="32"/>
      <c r="O33" s="32"/>
      <c r="P33" s="32"/>
    </row>
    <row r="34" spans="1:16" ht="122.45" customHeight="1" x14ac:dyDescent="0.25">
      <c r="A34" s="9" t="s">
        <v>117</v>
      </c>
      <c r="B34" s="28" t="s">
        <v>181</v>
      </c>
      <c r="C34" s="29"/>
      <c r="D34" s="29"/>
      <c r="E34" s="29"/>
      <c r="F34" s="29"/>
      <c r="G34" s="29" t="s">
        <v>182</v>
      </c>
      <c r="H34" s="29"/>
      <c r="I34" s="29"/>
      <c r="J34" s="29"/>
      <c r="K34" s="29" t="s">
        <v>183</v>
      </c>
      <c r="L34" s="29"/>
      <c r="M34" s="29"/>
      <c r="N34" s="29"/>
      <c r="O34" s="30">
        <f>ROUND(886905 * 25 / 100 * 1.29, 2)</f>
        <v>286026.86</v>
      </c>
      <c r="P34" s="29"/>
    </row>
    <row r="35" spans="1:16" ht="15" customHeight="1" x14ac:dyDescent="0.25">
      <c r="A35" s="10"/>
      <c r="B35" s="31" t="s">
        <v>89</v>
      </c>
      <c r="C35" s="31"/>
      <c r="D35" s="31"/>
      <c r="E35" s="31"/>
      <c r="F35" s="31"/>
      <c r="G35" s="31" t="s">
        <v>8</v>
      </c>
      <c r="H35" s="31"/>
      <c r="I35" s="31"/>
      <c r="J35" s="31"/>
      <c r="K35" s="31" t="s">
        <v>8</v>
      </c>
      <c r="L35" s="31"/>
      <c r="M35" s="31"/>
      <c r="N35" s="31"/>
      <c r="O35" s="31"/>
      <c r="P35" s="31"/>
    </row>
    <row r="36" spans="1:16" ht="40.9" customHeight="1" x14ac:dyDescent="0.25">
      <c r="A36" s="11"/>
      <c r="B36" s="32" t="s">
        <v>90</v>
      </c>
      <c r="C36" s="32"/>
      <c r="D36" s="32"/>
      <c r="E36" s="32"/>
      <c r="F36" s="32"/>
      <c r="G36" s="32" t="s">
        <v>91</v>
      </c>
      <c r="H36" s="32"/>
      <c r="I36" s="32"/>
      <c r="J36" s="32"/>
      <c r="K36" s="32" t="s">
        <v>8</v>
      </c>
      <c r="L36" s="32"/>
      <c r="M36" s="32"/>
      <c r="N36" s="32"/>
      <c r="O36" s="32"/>
      <c r="P36" s="32"/>
    </row>
    <row r="37" spans="1:16" ht="217.7" customHeight="1" x14ac:dyDescent="0.25">
      <c r="A37" s="9" t="s">
        <v>119</v>
      </c>
      <c r="B37" s="28" t="s">
        <v>184</v>
      </c>
      <c r="C37" s="29"/>
      <c r="D37" s="29"/>
      <c r="E37" s="29"/>
      <c r="F37" s="29"/>
      <c r="G37" s="29" t="s">
        <v>185</v>
      </c>
      <c r="H37" s="29"/>
      <c r="I37" s="29"/>
      <c r="J37" s="29"/>
      <c r="K37" s="29" t="s">
        <v>186</v>
      </c>
      <c r="L37" s="29"/>
      <c r="M37" s="29"/>
      <c r="N37" s="29"/>
      <c r="O37" s="30">
        <f>ROUND((871.215 * ((92.3 + (62.7 - 92.3) / (1000 - 300) * (871.215 - 300)) / 100) * 1 * 1.29) * 1000, 2)</f>
        <v>765868.01</v>
      </c>
      <c r="P37" s="29"/>
    </row>
    <row r="38" spans="1:16" ht="15" customHeight="1" x14ac:dyDescent="0.25">
      <c r="A38" s="10"/>
      <c r="B38" s="31" t="s">
        <v>89</v>
      </c>
      <c r="C38" s="31"/>
      <c r="D38" s="31"/>
      <c r="E38" s="31"/>
      <c r="F38" s="31"/>
      <c r="G38" s="31" t="s">
        <v>8</v>
      </c>
      <c r="H38" s="31"/>
      <c r="I38" s="31"/>
      <c r="J38" s="31"/>
      <c r="K38" s="31" t="s">
        <v>8</v>
      </c>
      <c r="L38" s="31"/>
      <c r="M38" s="31"/>
      <c r="N38" s="31"/>
      <c r="O38" s="31"/>
      <c r="P38" s="31"/>
    </row>
    <row r="39" spans="1:16" ht="40.9" customHeight="1" x14ac:dyDescent="0.25">
      <c r="A39" s="11"/>
      <c r="B39" s="32" t="s">
        <v>90</v>
      </c>
      <c r="C39" s="32"/>
      <c r="D39" s="32"/>
      <c r="E39" s="32"/>
      <c r="F39" s="32"/>
      <c r="G39" s="32" t="s">
        <v>91</v>
      </c>
      <c r="H39" s="32"/>
      <c r="I39" s="32"/>
      <c r="J39" s="32"/>
      <c r="K39" s="32" t="s">
        <v>8</v>
      </c>
      <c r="L39" s="32"/>
      <c r="M39" s="32"/>
      <c r="N39" s="32"/>
      <c r="O39" s="32"/>
      <c r="P39" s="32"/>
    </row>
    <row r="40" spans="1:16" ht="163.15" customHeight="1" x14ac:dyDescent="0.25">
      <c r="A40" s="9" t="s">
        <v>187</v>
      </c>
      <c r="B40" s="28" t="s">
        <v>188</v>
      </c>
      <c r="C40" s="29"/>
      <c r="D40" s="29"/>
      <c r="E40" s="29"/>
      <c r="F40" s="29"/>
      <c r="G40" s="29" t="s">
        <v>189</v>
      </c>
      <c r="H40" s="29"/>
      <c r="I40" s="29"/>
      <c r="J40" s="29"/>
      <c r="K40" s="29" t="s">
        <v>190</v>
      </c>
      <c r="L40" s="29"/>
      <c r="M40" s="29"/>
      <c r="N40" s="29"/>
      <c r="O40" s="30">
        <f>ROUND((871.215 * ((98.7 + (29.6 - 98.7) / (1000 - 300) * (871.215 - 300)) / 100) * 1 * 1.29) * 1000, 2)</f>
        <v>475541.08</v>
      </c>
      <c r="P40" s="29"/>
    </row>
    <row r="41" spans="1:16" ht="15" customHeight="1" x14ac:dyDescent="0.25">
      <c r="A41" s="10"/>
      <c r="B41" s="31" t="s">
        <v>89</v>
      </c>
      <c r="C41" s="31"/>
      <c r="D41" s="31"/>
      <c r="E41" s="31"/>
      <c r="F41" s="31"/>
      <c r="G41" s="31" t="s">
        <v>8</v>
      </c>
      <c r="H41" s="31"/>
      <c r="I41" s="31"/>
      <c r="J41" s="31"/>
      <c r="K41" s="31" t="s">
        <v>8</v>
      </c>
      <c r="L41" s="31"/>
      <c r="M41" s="31"/>
      <c r="N41" s="31"/>
      <c r="O41" s="31"/>
      <c r="P41" s="31"/>
    </row>
    <row r="42" spans="1:16" ht="40.9" customHeight="1" x14ac:dyDescent="0.25">
      <c r="A42" s="11"/>
      <c r="B42" s="32" t="s">
        <v>90</v>
      </c>
      <c r="C42" s="32"/>
      <c r="D42" s="32"/>
      <c r="E42" s="32"/>
      <c r="F42" s="32"/>
      <c r="G42" s="32" t="s">
        <v>91</v>
      </c>
      <c r="H42" s="32"/>
      <c r="I42" s="32"/>
      <c r="J42" s="32"/>
      <c r="K42" s="32" t="s">
        <v>8</v>
      </c>
      <c r="L42" s="32"/>
      <c r="M42" s="32"/>
      <c r="N42" s="32"/>
      <c r="O42" s="32"/>
      <c r="P42" s="32"/>
    </row>
    <row r="43" spans="1:16" ht="15" customHeight="1" x14ac:dyDescent="0.25">
      <c r="A43" s="3"/>
      <c r="B43" s="22" t="s">
        <v>118</v>
      </c>
      <c r="C43" s="22"/>
      <c r="D43" s="22"/>
      <c r="E43" s="22"/>
      <c r="F43" s="22"/>
      <c r="G43" s="22"/>
      <c r="H43" s="22"/>
      <c r="I43" s="22"/>
      <c r="J43" s="22"/>
      <c r="K43" s="22" t="s">
        <v>8</v>
      </c>
      <c r="L43" s="22"/>
      <c r="M43" s="22"/>
      <c r="N43" s="22"/>
      <c r="O43" s="33">
        <f>ROUND(SUM($O$15:$O$40),2)</f>
        <v>2820277.37</v>
      </c>
      <c r="P43" s="22"/>
    </row>
    <row r="44" spans="1:16" ht="15" customHeight="1" x14ac:dyDescent="0.25">
      <c r="A44" s="3"/>
      <c r="B44" s="22" t="s">
        <v>120</v>
      </c>
      <c r="C44" s="22"/>
      <c r="D44" s="22"/>
      <c r="E44" s="22"/>
      <c r="F44" s="22"/>
      <c r="G44" s="22"/>
      <c r="H44" s="22"/>
      <c r="I44" s="22"/>
      <c r="J44" s="22"/>
      <c r="K44" s="22" t="s">
        <v>8</v>
      </c>
      <c r="L44" s="22"/>
      <c r="M44" s="22"/>
      <c r="N44" s="22"/>
      <c r="O44" s="33">
        <f>ROUND(($O$43),2)</f>
        <v>2820277.37</v>
      </c>
      <c r="P44" s="22"/>
    </row>
    <row r="45" spans="1:16" ht="15" customHeight="1" x14ac:dyDescent="0.25">
      <c r="A45" s="3"/>
      <c r="B45" s="22" t="s">
        <v>122</v>
      </c>
      <c r="C45" s="22"/>
      <c r="D45" s="22"/>
      <c r="E45" s="22"/>
      <c r="F45" s="22"/>
      <c r="G45" s="22"/>
      <c r="H45" s="22"/>
      <c r="I45" s="22"/>
      <c r="J45" s="22"/>
      <c r="K45" s="22"/>
      <c r="L45" s="22"/>
      <c r="M45" s="22"/>
      <c r="N45" s="22"/>
      <c r="O45" s="22"/>
      <c r="P45" s="22"/>
    </row>
    <row r="46" spans="1:16" ht="135.94999999999999" customHeight="1" x14ac:dyDescent="0.25">
      <c r="A46" s="9" t="s">
        <v>35</v>
      </c>
      <c r="B46" s="28" t="s">
        <v>191</v>
      </c>
      <c r="C46" s="29"/>
      <c r="D46" s="29"/>
      <c r="E46" s="29"/>
      <c r="F46" s="29"/>
      <c r="G46" s="29" t="s">
        <v>192</v>
      </c>
      <c r="H46" s="29"/>
      <c r="I46" s="29"/>
      <c r="J46" s="29"/>
      <c r="K46" s="29" t="s">
        <v>193</v>
      </c>
      <c r="L46" s="29"/>
      <c r="M46" s="29"/>
      <c r="N46" s="29"/>
      <c r="O46" s="30">
        <f>ROUND(459 * 65 * 1.29, 2)</f>
        <v>38487.15</v>
      </c>
      <c r="P46" s="29"/>
    </row>
    <row r="47" spans="1:16" ht="15" customHeight="1" x14ac:dyDescent="0.25">
      <c r="A47" s="10"/>
      <c r="B47" s="31" t="s">
        <v>89</v>
      </c>
      <c r="C47" s="31"/>
      <c r="D47" s="31"/>
      <c r="E47" s="31"/>
      <c r="F47" s="31"/>
      <c r="G47" s="31" t="s">
        <v>8</v>
      </c>
      <c r="H47" s="31"/>
      <c r="I47" s="31"/>
      <c r="J47" s="31"/>
      <c r="K47" s="31" t="s">
        <v>8</v>
      </c>
      <c r="L47" s="31"/>
      <c r="M47" s="31"/>
      <c r="N47" s="31"/>
      <c r="O47" s="31"/>
      <c r="P47" s="31"/>
    </row>
    <row r="48" spans="1:16" ht="40.9" customHeight="1" x14ac:dyDescent="0.25">
      <c r="A48" s="11"/>
      <c r="B48" s="32" t="s">
        <v>90</v>
      </c>
      <c r="C48" s="32"/>
      <c r="D48" s="32"/>
      <c r="E48" s="32"/>
      <c r="F48" s="32"/>
      <c r="G48" s="32" t="s">
        <v>91</v>
      </c>
      <c r="H48" s="32"/>
      <c r="I48" s="32"/>
      <c r="J48" s="32"/>
      <c r="K48" s="32" t="s">
        <v>8</v>
      </c>
      <c r="L48" s="32"/>
      <c r="M48" s="32"/>
      <c r="N48" s="32"/>
      <c r="O48" s="32"/>
      <c r="P48" s="32"/>
    </row>
    <row r="49" spans="1:16" ht="135.94999999999999" customHeight="1" x14ac:dyDescent="0.25">
      <c r="A49" s="9" t="s">
        <v>38</v>
      </c>
      <c r="B49" s="28" t="s">
        <v>194</v>
      </c>
      <c r="C49" s="29"/>
      <c r="D49" s="29"/>
      <c r="E49" s="29"/>
      <c r="F49" s="29"/>
      <c r="G49" s="29" t="s">
        <v>195</v>
      </c>
      <c r="H49" s="29"/>
      <c r="I49" s="29"/>
      <c r="J49" s="29"/>
      <c r="K49" s="29" t="s">
        <v>196</v>
      </c>
      <c r="L49" s="29"/>
      <c r="M49" s="29"/>
      <c r="N49" s="29"/>
      <c r="O49" s="30">
        <f>ROUND(335 * 65 * 1.29, 2)</f>
        <v>28089.75</v>
      </c>
      <c r="P49" s="29"/>
    </row>
    <row r="50" spans="1:16" ht="15" customHeight="1" x14ac:dyDescent="0.25">
      <c r="A50" s="10"/>
      <c r="B50" s="31" t="s">
        <v>89</v>
      </c>
      <c r="C50" s="31"/>
      <c r="D50" s="31"/>
      <c r="E50" s="31"/>
      <c r="F50" s="31"/>
      <c r="G50" s="31" t="s">
        <v>8</v>
      </c>
      <c r="H50" s="31"/>
      <c r="I50" s="31"/>
      <c r="J50" s="31"/>
      <c r="K50" s="31" t="s">
        <v>8</v>
      </c>
      <c r="L50" s="31"/>
      <c r="M50" s="31"/>
      <c r="N50" s="31"/>
      <c r="O50" s="31"/>
      <c r="P50" s="31"/>
    </row>
    <row r="51" spans="1:16" ht="40.9" customHeight="1" x14ac:dyDescent="0.25">
      <c r="A51" s="11"/>
      <c r="B51" s="32" t="s">
        <v>90</v>
      </c>
      <c r="C51" s="32"/>
      <c r="D51" s="32"/>
      <c r="E51" s="32"/>
      <c r="F51" s="32"/>
      <c r="G51" s="32" t="s">
        <v>91</v>
      </c>
      <c r="H51" s="32"/>
      <c r="I51" s="32"/>
      <c r="J51" s="32"/>
      <c r="K51" s="32" t="s">
        <v>8</v>
      </c>
      <c r="L51" s="32"/>
      <c r="M51" s="32"/>
      <c r="N51" s="32"/>
      <c r="O51" s="32"/>
      <c r="P51" s="32"/>
    </row>
    <row r="52" spans="1:16" ht="135.94999999999999" customHeight="1" x14ac:dyDescent="0.25">
      <c r="A52" s="9" t="s">
        <v>41</v>
      </c>
      <c r="B52" s="28" t="s">
        <v>197</v>
      </c>
      <c r="C52" s="29"/>
      <c r="D52" s="29"/>
      <c r="E52" s="29"/>
      <c r="F52" s="29"/>
      <c r="G52" s="29" t="s">
        <v>198</v>
      </c>
      <c r="H52" s="29"/>
      <c r="I52" s="29"/>
      <c r="J52" s="29"/>
      <c r="K52" s="29" t="s">
        <v>199</v>
      </c>
      <c r="L52" s="29"/>
      <c r="M52" s="29"/>
      <c r="N52" s="29"/>
      <c r="O52" s="30">
        <f>ROUND(141 * 65 * 1.29, 2)</f>
        <v>11822.85</v>
      </c>
      <c r="P52" s="29"/>
    </row>
    <row r="53" spans="1:16" x14ac:dyDescent="0.25">
      <c r="A53" s="10"/>
      <c r="B53" s="31" t="s">
        <v>89</v>
      </c>
      <c r="C53" s="31"/>
      <c r="D53" s="31"/>
      <c r="E53" s="31"/>
      <c r="F53" s="31"/>
      <c r="G53" s="31" t="s">
        <v>8</v>
      </c>
      <c r="H53" s="31"/>
      <c r="I53" s="31"/>
      <c r="J53" s="31"/>
      <c r="K53" s="31" t="s">
        <v>8</v>
      </c>
      <c r="L53" s="31"/>
      <c r="M53" s="31"/>
      <c r="N53" s="31"/>
      <c r="O53" s="31"/>
      <c r="P53" s="31"/>
    </row>
    <row r="54" spans="1:16" ht="40.9" customHeight="1" x14ac:dyDescent="0.25">
      <c r="A54" s="11"/>
      <c r="B54" s="32" t="s">
        <v>90</v>
      </c>
      <c r="C54" s="32"/>
      <c r="D54" s="32"/>
      <c r="E54" s="32"/>
      <c r="F54" s="32"/>
      <c r="G54" s="32" t="s">
        <v>91</v>
      </c>
      <c r="H54" s="32"/>
      <c r="I54" s="32"/>
      <c r="J54" s="32"/>
      <c r="K54" s="32" t="s">
        <v>8</v>
      </c>
      <c r="L54" s="32"/>
      <c r="M54" s="32"/>
      <c r="N54" s="32"/>
      <c r="O54" s="32"/>
      <c r="P54" s="32"/>
    </row>
    <row r="55" spans="1:16" ht="108.75" customHeight="1" x14ac:dyDescent="0.25">
      <c r="A55" s="9" t="s">
        <v>44</v>
      </c>
      <c r="B55" s="28" t="s">
        <v>200</v>
      </c>
      <c r="C55" s="29"/>
      <c r="D55" s="29"/>
      <c r="E55" s="29"/>
      <c r="F55" s="29"/>
      <c r="G55" s="29" t="s">
        <v>201</v>
      </c>
      <c r="H55" s="29"/>
      <c r="I55" s="29"/>
      <c r="J55" s="29"/>
      <c r="K55" s="29" t="s">
        <v>202</v>
      </c>
      <c r="L55" s="29"/>
      <c r="M55" s="29"/>
      <c r="N55" s="29"/>
      <c r="O55" s="30">
        <f>ROUND(229 * 16 * 1.29, 2)</f>
        <v>4726.5600000000004</v>
      </c>
      <c r="P55" s="29"/>
    </row>
    <row r="56" spans="1:16" x14ac:dyDescent="0.25">
      <c r="A56" s="10"/>
      <c r="B56" s="31" t="s">
        <v>89</v>
      </c>
      <c r="C56" s="31"/>
      <c r="D56" s="31"/>
      <c r="E56" s="31"/>
      <c r="F56" s="31"/>
      <c r="G56" s="31" t="s">
        <v>8</v>
      </c>
      <c r="H56" s="31"/>
      <c r="I56" s="31"/>
      <c r="J56" s="31"/>
      <c r="K56" s="31" t="s">
        <v>8</v>
      </c>
      <c r="L56" s="31"/>
      <c r="M56" s="31"/>
      <c r="N56" s="31"/>
      <c r="O56" s="31"/>
      <c r="P56" s="31"/>
    </row>
    <row r="57" spans="1:16" ht="40.9" customHeight="1" x14ac:dyDescent="0.25">
      <c r="A57" s="11"/>
      <c r="B57" s="32" t="s">
        <v>90</v>
      </c>
      <c r="C57" s="32"/>
      <c r="D57" s="32"/>
      <c r="E57" s="32"/>
      <c r="F57" s="32"/>
      <c r="G57" s="32" t="s">
        <v>91</v>
      </c>
      <c r="H57" s="32"/>
      <c r="I57" s="32"/>
      <c r="J57" s="32"/>
      <c r="K57" s="32" t="s">
        <v>8</v>
      </c>
      <c r="L57" s="32"/>
      <c r="M57" s="32"/>
      <c r="N57" s="32"/>
      <c r="O57" s="32"/>
      <c r="P57" s="32"/>
    </row>
    <row r="58" spans="1:16" ht="108.75" customHeight="1" x14ac:dyDescent="0.25">
      <c r="A58" s="9" t="s">
        <v>47</v>
      </c>
      <c r="B58" s="28" t="s">
        <v>203</v>
      </c>
      <c r="C58" s="29"/>
      <c r="D58" s="29"/>
      <c r="E58" s="29"/>
      <c r="F58" s="29"/>
      <c r="G58" s="29" t="s">
        <v>204</v>
      </c>
      <c r="H58" s="29"/>
      <c r="I58" s="29"/>
      <c r="J58" s="29"/>
      <c r="K58" s="29" t="s">
        <v>205</v>
      </c>
      <c r="L58" s="29"/>
      <c r="M58" s="29"/>
      <c r="N58" s="29"/>
      <c r="O58" s="30">
        <f>ROUND(600 * 4 * 1.29, 2)</f>
        <v>3096</v>
      </c>
      <c r="P58" s="29"/>
    </row>
    <row r="59" spans="1:16" x14ac:dyDescent="0.25">
      <c r="A59" s="10"/>
      <c r="B59" s="31" t="s">
        <v>89</v>
      </c>
      <c r="C59" s="31"/>
      <c r="D59" s="31"/>
      <c r="E59" s="31"/>
      <c r="F59" s="31"/>
      <c r="G59" s="31" t="s">
        <v>8</v>
      </c>
      <c r="H59" s="31"/>
      <c r="I59" s="31"/>
      <c r="J59" s="31"/>
      <c r="K59" s="31" t="s">
        <v>8</v>
      </c>
      <c r="L59" s="31"/>
      <c r="M59" s="31"/>
      <c r="N59" s="31"/>
      <c r="O59" s="31"/>
      <c r="P59" s="31"/>
    </row>
    <row r="60" spans="1:16" ht="40.9" customHeight="1" x14ac:dyDescent="0.25">
      <c r="A60" s="11"/>
      <c r="B60" s="32" t="s">
        <v>90</v>
      </c>
      <c r="C60" s="32"/>
      <c r="D60" s="32"/>
      <c r="E60" s="32"/>
      <c r="F60" s="32"/>
      <c r="G60" s="32" t="s">
        <v>91</v>
      </c>
      <c r="H60" s="32"/>
      <c r="I60" s="32"/>
      <c r="J60" s="32"/>
      <c r="K60" s="32" t="s">
        <v>8</v>
      </c>
      <c r="L60" s="32"/>
      <c r="M60" s="32"/>
      <c r="N60" s="32"/>
      <c r="O60" s="32"/>
      <c r="P60" s="32"/>
    </row>
    <row r="61" spans="1:16" ht="108.75" customHeight="1" x14ac:dyDescent="0.25">
      <c r="A61" s="9" t="s">
        <v>49</v>
      </c>
      <c r="B61" s="28" t="s">
        <v>206</v>
      </c>
      <c r="C61" s="29"/>
      <c r="D61" s="29"/>
      <c r="E61" s="29"/>
      <c r="F61" s="29"/>
      <c r="G61" s="29" t="s">
        <v>207</v>
      </c>
      <c r="H61" s="29"/>
      <c r="I61" s="29"/>
      <c r="J61" s="29"/>
      <c r="K61" s="29" t="s">
        <v>208</v>
      </c>
      <c r="L61" s="29"/>
      <c r="M61" s="29"/>
      <c r="N61" s="29"/>
      <c r="O61" s="30">
        <f>ROUND(370 * 4 * 1.29, 2)</f>
        <v>1909.2</v>
      </c>
      <c r="P61" s="29"/>
    </row>
    <row r="62" spans="1:16" x14ac:dyDescent="0.25">
      <c r="A62" s="10"/>
      <c r="B62" s="31" t="s">
        <v>89</v>
      </c>
      <c r="C62" s="31"/>
      <c r="D62" s="31"/>
      <c r="E62" s="31"/>
      <c r="F62" s="31"/>
      <c r="G62" s="31" t="s">
        <v>8</v>
      </c>
      <c r="H62" s="31"/>
      <c r="I62" s="31"/>
      <c r="J62" s="31"/>
      <c r="K62" s="31" t="s">
        <v>8</v>
      </c>
      <c r="L62" s="31"/>
      <c r="M62" s="31"/>
      <c r="N62" s="31"/>
      <c r="O62" s="31"/>
      <c r="P62" s="31"/>
    </row>
    <row r="63" spans="1:16" ht="40.9" customHeight="1" x14ac:dyDescent="0.25">
      <c r="A63" s="11"/>
      <c r="B63" s="32" t="s">
        <v>90</v>
      </c>
      <c r="C63" s="32"/>
      <c r="D63" s="32"/>
      <c r="E63" s="32"/>
      <c r="F63" s="32"/>
      <c r="G63" s="32" t="s">
        <v>91</v>
      </c>
      <c r="H63" s="32"/>
      <c r="I63" s="32"/>
      <c r="J63" s="32"/>
      <c r="K63" s="32" t="s">
        <v>8</v>
      </c>
      <c r="L63" s="32"/>
      <c r="M63" s="32"/>
      <c r="N63" s="32"/>
      <c r="O63" s="32"/>
      <c r="P63" s="32"/>
    </row>
    <row r="64" spans="1:16" ht="163.15" customHeight="1" x14ac:dyDescent="0.25">
      <c r="A64" s="9" t="s">
        <v>209</v>
      </c>
      <c r="B64" s="28" t="s">
        <v>210</v>
      </c>
      <c r="C64" s="29"/>
      <c r="D64" s="29"/>
      <c r="E64" s="29"/>
      <c r="F64" s="29"/>
      <c r="G64" s="29" t="s">
        <v>211</v>
      </c>
      <c r="H64" s="29"/>
      <c r="I64" s="29"/>
      <c r="J64" s="29"/>
      <c r="K64" s="29" t="s">
        <v>212</v>
      </c>
      <c r="L64" s="29"/>
      <c r="M64" s="29"/>
      <c r="N64" s="29"/>
      <c r="O64" s="30">
        <f>ROUND(917 * 4 * 1.29, 2)</f>
        <v>4731.72</v>
      </c>
      <c r="P64" s="29"/>
    </row>
    <row r="65" spans="1:16" x14ac:dyDescent="0.25">
      <c r="A65" s="10"/>
      <c r="B65" s="31" t="s">
        <v>89</v>
      </c>
      <c r="C65" s="31"/>
      <c r="D65" s="31"/>
      <c r="E65" s="31"/>
      <c r="F65" s="31"/>
      <c r="G65" s="31" t="s">
        <v>8</v>
      </c>
      <c r="H65" s="31"/>
      <c r="I65" s="31"/>
      <c r="J65" s="31"/>
      <c r="K65" s="31" t="s">
        <v>8</v>
      </c>
      <c r="L65" s="31"/>
      <c r="M65" s="31"/>
      <c r="N65" s="31"/>
      <c r="O65" s="31"/>
      <c r="P65" s="31"/>
    </row>
    <row r="66" spans="1:16" ht="40.9" customHeight="1" x14ac:dyDescent="0.25">
      <c r="A66" s="11"/>
      <c r="B66" s="32" t="s">
        <v>90</v>
      </c>
      <c r="C66" s="32"/>
      <c r="D66" s="32"/>
      <c r="E66" s="32"/>
      <c r="F66" s="32"/>
      <c r="G66" s="32" t="s">
        <v>91</v>
      </c>
      <c r="H66" s="32"/>
      <c r="I66" s="32"/>
      <c r="J66" s="32"/>
      <c r="K66" s="32" t="s">
        <v>8</v>
      </c>
      <c r="L66" s="32"/>
      <c r="M66" s="32"/>
      <c r="N66" s="32"/>
      <c r="O66" s="32"/>
      <c r="P66" s="32"/>
    </row>
    <row r="67" spans="1:16" ht="176.85" customHeight="1" x14ac:dyDescent="0.25">
      <c r="A67" s="9" t="s">
        <v>213</v>
      </c>
      <c r="B67" s="28" t="s">
        <v>214</v>
      </c>
      <c r="C67" s="29"/>
      <c r="D67" s="29"/>
      <c r="E67" s="29"/>
      <c r="F67" s="29"/>
      <c r="G67" s="29" t="s">
        <v>215</v>
      </c>
      <c r="H67" s="29"/>
      <c r="I67" s="29"/>
      <c r="J67" s="29"/>
      <c r="K67" s="29" t="s">
        <v>216</v>
      </c>
      <c r="L67" s="29"/>
      <c r="M67" s="29"/>
      <c r="N67" s="29"/>
      <c r="O67" s="30">
        <f>ROUND(1852 * 4 * 1.29, 2)</f>
        <v>9556.32</v>
      </c>
      <c r="P67" s="29"/>
    </row>
    <row r="68" spans="1:16" x14ac:dyDescent="0.25">
      <c r="A68" s="10"/>
      <c r="B68" s="31" t="s">
        <v>89</v>
      </c>
      <c r="C68" s="31"/>
      <c r="D68" s="31"/>
      <c r="E68" s="31"/>
      <c r="F68" s="31"/>
      <c r="G68" s="31" t="s">
        <v>8</v>
      </c>
      <c r="H68" s="31"/>
      <c r="I68" s="31"/>
      <c r="J68" s="31"/>
      <c r="K68" s="31" t="s">
        <v>8</v>
      </c>
      <c r="L68" s="31"/>
      <c r="M68" s="31"/>
      <c r="N68" s="31"/>
      <c r="O68" s="31"/>
      <c r="P68" s="31"/>
    </row>
    <row r="69" spans="1:16" ht="40.9" customHeight="1" x14ac:dyDescent="0.25">
      <c r="A69" s="11"/>
      <c r="B69" s="32" t="s">
        <v>90</v>
      </c>
      <c r="C69" s="32"/>
      <c r="D69" s="32"/>
      <c r="E69" s="32"/>
      <c r="F69" s="32"/>
      <c r="G69" s="32" t="s">
        <v>91</v>
      </c>
      <c r="H69" s="32"/>
      <c r="I69" s="32"/>
      <c r="J69" s="32"/>
      <c r="K69" s="32" t="s">
        <v>8</v>
      </c>
      <c r="L69" s="32"/>
      <c r="M69" s="32"/>
      <c r="N69" s="32"/>
      <c r="O69" s="32"/>
      <c r="P69" s="32"/>
    </row>
    <row r="70" spans="1:16" ht="108.75" customHeight="1" x14ac:dyDescent="0.25">
      <c r="A70" s="9" t="s">
        <v>217</v>
      </c>
      <c r="B70" s="28" t="s">
        <v>218</v>
      </c>
      <c r="C70" s="29"/>
      <c r="D70" s="29"/>
      <c r="E70" s="29"/>
      <c r="F70" s="29"/>
      <c r="G70" s="29" t="s">
        <v>219</v>
      </c>
      <c r="H70" s="29"/>
      <c r="I70" s="29"/>
      <c r="J70" s="29"/>
      <c r="K70" s="29" t="s">
        <v>220</v>
      </c>
      <c r="L70" s="29"/>
      <c r="M70" s="29"/>
      <c r="N70" s="29"/>
      <c r="O70" s="30">
        <f>ROUND(4546 * 1 * 1.29, 2)</f>
        <v>5864.34</v>
      </c>
      <c r="P70" s="29"/>
    </row>
    <row r="71" spans="1:16" x14ac:dyDescent="0.25">
      <c r="A71" s="10"/>
      <c r="B71" s="31" t="s">
        <v>89</v>
      </c>
      <c r="C71" s="31"/>
      <c r="D71" s="31"/>
      <c r="E71" s="31"/>
      <c r="F71" s="31"/>
      <c r="G71" s="31" t="s">
        <v>8</v>
      </c>
      <c r="H71" s="31"/>
      <c r="I71" s="31"/>
      <c r="J71" s="31"/>
      <c r="K71" s="31" t="s">
        <v>8</v>
      </c>
      <c r="L71" s="31"/>
      <c r="M71" s="31"/>
      <c r="N71" s="31"/>
      <c r="O71" s="31"/>
      <c r="P71" s="31"/>
    </row>
    <row r="72" spans="1:16" ht="40.9" customHeight="1" x14ac:dyDescent="0.25">
      <c r="A72" s="11"/>
      <c r="B72" s="32" t="s">
        <v>90</v>
      </c>
      <c r="C72" s="32"/>
      <c r="D72" s="32"/>
      <c r="E72" s="32"/>
      <c r="F72" s="32"/>
      <c r="G72" s="32" t="s">
        <v>91</v>
      </c>
      <c r="H72" s="32"/>
      <c r="I72" s="32"/>
      <c r="J72" s="32"/>
      <c r="K72" s="32" t="s">
        <v>8</v>
      </c>
      <c r="L72" s="32"/>
      <c r="M72" s="32"/>
      <c r="N72" s="32"/>
      <c r="O72" s="32"/>
      <c r="P72" s="32"/>
    </row>
    <row r="73" spans="1:16" ht="108.75" customHeight="1" x14ac:dyDescent="0.25">
      <c r="A73" s="9" t="s">
        <v>221</v>
      </c>
      <c r="B73" s="28" t="s">
        <v>222</v>
      </c>
      <c r="C73" s="29"/>
      <c r="D73" s="29"/>
      <c r="E73" s="29"/>
      <c r="F73" s="29"/>
      <c r="G73" s="29" t="s">
        <v>223</v>
      </c>
      <c r="H73" s="29"/>
      <c r="I73" s="29"/>
      <c r="J73" s="29"/>
      <c r="K73" s="29" t="s">
        <v>224</v>
      </c>
      <c r="L73" s="29"/>
      <c r="M73" s="29"/>
      <c r="N73" s="29"/>
      <c r="O73" s="30">
        <f>ROUND(529 * 4 * 1.29, 2)</f>
        <v>2729.64</v>
      </c>
      <c r="P73" s="29"/>
    </row>
    <row r="74" spans="1:16" x14ac:dyDescent="0.25">
      <c r="A74" s="10"/>
      <c r="B74" s="31" t="s">
        <v>89</v>
      </c>
      <c r="C74" s="31"/>
      <c r="D74" s="31"/>
      <c r="E74" s="31"/>
      <c r="F74" s="31"/>
      <c r="G74" s="31" t="s">
        <v>8</v>
      </c>
      <c r="H74" s="31"/>
      <c r="I74" s="31"/>
      <c r="J74" s="31"/>
      <c r="K74" s="31" t="s">
        <v>8</v>
      </c>
      <c r="L74" s="31"/>
      <c r="M74" s="31"/>
      <c r="N74" s="31"/>
      <c r="O74" s="31"/>
      <c r="P74" s="31"/>
    </row>
    <row r="75" spans="1:16" ht="40.9" customHeight="1" x14ac:dyDescent="0.25">
      <c r="A75" s="11"/>
      <c r="B75" s="32" t="s">
        <v>90</v>
      </c>
      <c r="C75" s="32"/>
      <c r="D75" s="32"/>
      <c r="E75" s="32"/>
      <c r="F75" s="32"/>
      <c r="G75" s="32" t="s">
        <v>91</v>
      </c>
      <c r="H75" s="32"/>
      <c r="I75" s="32"/>
      <c r="J75" s="32"/>
      <c r="K75" s="32" t="s">
        <v>8</v>
      </c>
      <c r="L75" s="32"/>
      <c r="M75" s="32"/>
      <c r="N75" s="32"/>
      <c r="O75" s="32"/>
      <c r="P75" s="32"/>
    </row>
    <row r="76" spans="1:16" ht="135.94999999999999" customHeight="1" x14ac:dyDescent="0.25">
      <c r="A76" s="9" t="s">
        <v>225</v>
      </c>
      <c r="B76" s="28" t="s">
        <v>226</v>
      </c>
      <c r="C76" s="29"/>
      <c r="D76" s="29"/>
      <c r="E76" s="29"/>
      <c r="F76" s="29"/>
      <c r="G76" s="29" t="s">
        <v>227</v>
      </c>
      <c r="H76" s="29"/>
      <c r="I76" s="29"/>
      <c r="J76" s="29"/>
      <c r="K76" s="29" t="s">
        <v>228</v>
      </c>
      <c r="L76" s="29"/>
      <c r="M76" s="29"/>
      <c r="N76" s="29"/>
      <c r="O76" s="30">
        <f>ROUND(1676 * 4 * 1.29, 2)</f>
        <v>8648.16</v>
      </c>
      <c r="P76" s="29"/>
    </row>
    <row r="77" spans="1:16" x14ac:dyDescent="0.25">
      <c r="A77" s="10"/>
      <c r="B77" s="31" t="s">
        <v>89</v>
      </c>
      <c r="C77" s="31"/>
      <c r="D77" s="31"/>
      <c r="E77" s="31"/>
      <c r="F77" s="31"/>
      <c r="G77" s="31" t="s">
        <v>8</v>
      </c>
      <c r="H77" s="31"/>
      <c r="I77" s="31"/>
      <c r="J77" s="31"/>
      <c r="K77" s="31" t="s">
        <v>8</v>
      </c>
      <c r="L77" s="31"/>
      <c r="M77" s="31"/>
      <c r="N77" s="31"/>
      <c r="O77" s="31"/>
      <c r="P77" s="31"/>
    </row>
    <row r="78" spans="1:16" ht="40.9" customHeight="1" x14ac:dyDescent="0.25">
      <c r="A78" s="11"/>
      <c r="B78" s="32" t="s">
        <v>90</v>
      </c>
      <c r="C78" s="32"/>
      <c r="D78" s="32"/>
      <c r="E78" s="32"/>
      <c r="F78" s="32"/>
      <c r="G78" s="32" t="s">
        <v>91</v>
      </c>
      <c r="H78" s="32"/>
      <c r="I78" s="32"/>
      <c r="J78" s="32"/>
      <c r="K78" s="32" t="s">
        <v>8</v>
      </c>
      <c r="L78" s="32"/>
      <c r="M78" s="32"/>
      <c r="N78" s="32"/>
      <c r="O78" s="32"/>
      <c r="P78" s="32"/>
    </row>
    <row r="79" spans="1:16" ht="108.75" customHeight="1" x14ac:dyDescent="0.25">
      <c r="A79" s="9" t="s">
        <v>229</v>
      </c>
      <c r="B79" s="28" t="s">
        <v>230</v>
      </c>
      <c r="C79" s="29"/>
      <c r="D79" s="29"/>
      <c r="E79" s="29"/>
      <c r="F79" s="29"/>
      <c r="G79" s="29" t="s">
        <v>231</v>
      </c>
      <c r="H79" s="29"/>
      <c r="I79" s="29"/>
      <c r="J79" s="29"/>
      <c r="K79" s="29" t="s">
        <v>232</v>
      </c>
      <c r="L79" s="29"/>
      <c r="M79" s="29"/>
      <c r="N79" s="29"/>
      <c r="O79" s="30">
        <f>ROUND(512 * 6 * 1.29, 2)</f>
        <v>3962.88</v>
      </c>
      <c r="P79" s="29"/>
    </row>
    <row r="80" spans="1:16" x14ac:dyDescent="0.25">
      <c r="A80" s="10"/>
      <c r="B80" s="31" t="s">
        <v>89</v>
      </c>
      <c r="C80" s="31"/>
      <c r="D80" s="31"/>
      <c r="E80" s="31"/>
      <c r="F80" s="31"/>
      <c r="G80" s="31" t="s">
        <v>8</v>
      </c>
      <c r="H80" s="31"/>
      <c r="I80" s="31"/>
      <c r="J80" s="31"/>
      <c r="K80" s="31" t="s">
        <v>8</v>
      </c>
      <c r="L80" s="31"/>
      <c r="M80" s="31"/>
      <c r="N80" s="31"/>
      <c r="O80" s="31"/>
      <c r="P80" s="31"/>
    </row>
    <row r="81" spans="1:16" ht="40.9" customHeight="1" x14ac:dyDescent="0.25">
      <c r="A81" s="11"/>
      <c r="B81" s="32" t="s">
        <v>90</v>
      </c>
      <c r="C81" s="32"/>
      <c r="D81" s="32"/>
      <c r="E81" s="32"/>
      <c r="F81" s="32"/>
      <c r="G81" s="32" t="s">
        <v>91</v>
      </c>
      <c r="H81" s="32"/>
      <c r="I81" s="32"/>
      <c r="J81" s="32"/>
      <c r="K81" s="32" t="s">
        <v>8</v>
      </c>
      <c r="L81" s="32"/>
      <c r="M81" s="32"/>
      <c r="N81" s="32"/>
      <c r="O81" s="32"/>
      <c r="P81" s="32"/>
    </row>
    <row r="82" spans="1:16" ht="135.94999999999999" customHeight="1" x14ac:dyDescent="0.25">
      <c r="A82" s="9" t="s">
        <v>233</v>
      </c>
      <c r="B82" s="28" t="s">
        <v>234</v>
      </c>
      <c r="C82" s="29"/>
      <c r="D82" s="29"/>
      <c r="E82" s="29"/>
      <c r="F82" s="29"/>
      <c r="G82" s="29" t="s">
        <v>235</v>
      </c>
      <c r="H82" s="29"/>
      <c r="I82" s="29"/>
      <c r="J82" s="29"/>
      <c r="K82" s="29" t="s">
        <v>236</v>
      </c>
      <c r="L82" s="29"/>
      <c r="M82" s="29"/>
      <c r="N82" s="29"/>
      <c r="O82" s="30">
        <f>ROUND(10593 * 3 * 1.29, 2)</f>
        <v>40994.910000000003</v>
      </c>
      <c r="P82" s="29"/>
    </row>
    <row r="83" spans="1:16" x14ac:dyDescent="0.25">
      <c r="A83" s="10"/>
      <c r="B83" s="31" t="s">
        <v>89</v>
      </c>
      <c r="C83" s="31"/>
      <c r="D83" s="31"/>
      <c r="E83" s="31"/>
      <c r="F83" s="31"/>
      <c r="G83" s="31" t="s">
        <v>8</v>
      </c>
      <c r="H83" s="31"/>
      <c r="I83" s="31"/>
      <c r="J83" s="31"/>
      <c r="K83" s="31" t="s">
        <v>8</v>
      </c>
      <c r="L83" s="31"/>
      <c r="M83" s="31"/>
      <c r="N83" s="31"/>
      <c r="O83" s="31"/>
      <c r="P83" s="31"/>
    </row>
    <row r="84" spans="1:16" ht="40.9" customHeight="1" x14ac:dyDescent="0.25">
      <c r="A84" s="11"/>
      <c r="B84" s="32" t="s">
        <v>90</v>
      </c>
      <c r="C84" s="32"/>
      <c r="D84" s="32"/>
      <c r="E84" s="32"/>
      <c r="F84" s="32"/>
      <c r="G84" s="32" t="s">
        <v>91</v>
      </c>
      <c r="H84" s="32"/>
      <c r="I84" s="32"/>
      <c r="J84" s="32"/>
      <c r="K84" s="32" t="s">
        <v>8</v>
      </c>
      <c r="L84" s="32"/>
      <c r="M84" s="32"/>
      <c r="N84" s="32"/>
      <c r="O84" s="32"/>
      <c r="P84" s="32"/>
    </row>
    <row r="85" spans="1:16" ht="135.94999999999999" customHeight="1" x14ac:dyDescent="0.25">
      <c r="A85" s="9" t="s">
        <v>237</v>
      </c>
      <c r="B85" s="28" t="s">
        <v>238</v>
      </c>
      <c r="C85" s="29"/>
      <c r="D85" s="29"/>
      <c r="E85" s="29"/>
      <c r="F85" s="29"/>
      <c r="G85" s="29" t="s">
        <v>239</v>
      </c>
      <c r="H85" s="29"/>
      <c r="I85" s="29"/>
      <c r="J85" s="29"/>
      <c r="K85" s="29" t="s">
        <v>240</v>
      </c>
      <c r="L85" s="29"/>
      <c r="M85" s="29"/>
      <c r="N85" s="29"/>
      <c r="O85" s="30">
        <f>ROUND(8520 * 4 * 1.29, 2)</f>
        <v>43963.199999999997</v>
      </c>
      <c r="P85" s="29"/>
    </row>
    <row r="86" spans="1:16" x14ac:dyDescent="0.25">
      <c r="A86" s="10"/>
      <c r="B86" s="31" t="s">
        <v>89</v>
      </c>
      <c r="C86" s="31"/>
      <c r="D86" s="31"/>
      <c r="E86" s="31"/>
      <c r="F86" s="31"/>
      <c r="G86" s="31" t="s">
        <v>8</v>
      </c>
      <c r="H86" s="31"/>
      <c r="I86" s="31"/>
      <c r="J86" s="31"/>
      <c r="K86" s="31" t="s">
        <v>8</v>
      </c>
      <c r="L86" s="31"/>
      <c r="M86" s="31"/>
      <c r="N86" s="31"/>
      <c r="O86" s="31"/>
      <c r="P86" s="31"/>
    </row>
    <row r="87" spans="1:16" ht="40.9" customHeight="1" x14ac:dyDescent="0.25">
      <c r="A87" s="11"/>
      <c r="B87" s="32" t="s">
        <v>90</v>
      </c>
      <c r="C87" s="32"/>
      <c r="D87" s="32"/>
      <c r="E87" s="32"/>
      <c r="F87" s="32"/>
      <c r="G87" s="32" t="s">
        <v>91</v>
      </c>
      <c r="H87" s="32"/>
      <c r="I87" s="32"/>
      <c r="J87" s="32"/>
      <c r="K87" s="32" t="s">
        <v>8</v>
      </c>
      <c r="L87" s="32"/>
      <c r="M87" s="32"/>
      <c r="N87" s="32"/>
      <c r="O87" s="32"/>
      <c r="P87" s="32"/>
    </row>
    <row r="88" spans="1:16" ht="135.94999999999999" customHeight="1" x14ac:dyDescent="0.25">
      <c r="A88" s="9" t="s">
        <v>241</v>
      </c>
      <c r="B88" s="28" t="s">
        <v>242</v>
      </c>
      <c r="C88" s="29"/>
      <c r="D88" s="29"/>
      <c r="E88" s="29"/>
      <c r="F88" s="29"/>
      <c r="G88" s="29" t="s">
        <v>243</v>
      </c>
      <c r="H88" s="29"/>
      <c r="I88" s="29"/>
      <c r="J88" s="29"/>
      <c r="K88" s="29" t="s">
        <v>244</v>
      </c>
      <c r="L88" s="29"/>
      <c r="M88" s="29"/>
      <c r="N88" s="29"/>
      <c r="O88" s="30">
        <f>ROUND(9293 * 4 * 1.29, 2)</f>
        <v>47951.88</v>
      </c>
      <c r="P88" s="29"/>
    </row>
    <row r="89" spans="1:16" x14ac:dyDescent="0.25">
      <c r="A89" s="10"/>
      <c r="B89" s="31" t="s">
        <v>89</v>
      </c>
      <c r="C89" s="31"/>
      <c r="D89" s="31"/>
      <c r="E89" s="31"/>
      <c r="F89" s="31"/>
      <c r="G89" s="31" t="s">
        <v>8</v>
      </c>
      <c r="H89" s="31"/>
      <c r="I89" s="31"/>
      <c r="J89" s="31"/>
      <c r="K89" s="31" t="s">
        <v>8</v>
      </c>
      <c r="L89" s="31"/>
      <c r="M89" s="31"/>
      <c r="N89" s="31"/>
      <c r="O89" s="31"/>
      <c r="P89" s="31"/>
    </row>
    <row r="90" spans="1:16" ht="40.9" customHeight="1" x14ac:dyDescent="0.25">
      <c r="A90" s="11"/>
      <c r="B90" s="32" t="s">
        <v>90</v>
      </c>
      <c r="C90" s="32"/>
      <c r="D90" s="32"/>
      <c r="E90" s="32"/>
      <c r="F90" s="32"/>
      <c r="G90" s="32" t="s">
        <v>91</v>
      </c>
      <c r="H90" s="32"/>
      <c r="I90" s="32"/>
      <c r="J90" s="32"/>
      <c r="K90" s="32" t="s">
        <v>8</v>
      </c>
      <c r="L90" s="32"/>
      <c r="M90" s="32"/>
      <c r="N90" s="32"/>
      <c r="O90" s="32"/>
      <c r="P90" s="32"/>
    </row>
    <row r="91" spans="1:16" ht="122.45" customHeight="1" x14ac:dyDescent="0.25">
      <c r="A91" s="9" t="s">
        <v>245</v>
      </c>
      <c r="B91" s="28" t="s">
        <v>246</v>
      </c>
      <c r="C91" s="29"/>
      <c r="D91" s="29"/>
      <c r="E91" s="29"/>
      <c r="F91" s="29"/>
      <c r="G91" s="29" t="s">
        <v>247</v>
      </c>
      <c r="H91" s="29"/>
      <c r="I91" s="29"/>
      <c r="J91" s="29"/>
      <c r="K91" s="29" t="s">
        <v>248</v>
      </c>
      <c r="L91" s="29"/>
      <c r="M91" s="29"/>
      <c r="N91" s="29"/>
      <c r="O91" s="30">
        <f>ROUND(4593 * 2 * 1.29, 2)</f>
        <v>11849.94</v>
      </c>
      <c r="P91" s="29"/>
    </row>
    <row r="92" spans="1:16" x14ac:dyDescent="0.25">
      <c r="A92" s="10"/>
      <c r="B92" s="31" t="s">
        <v>89</v>
      </c>
      <c r="C92" s="31"/>
      <c r="D92" s="31"/>
      <c r="E92" s="31"/>
      <c r="F92" s="31"/>
      <c r="G92" s="31" t="s">
        <v>8</v>
      </c>
      <c r="H92" s="31"/>
      <c r="I92" s="31"/>
      <c r="J92" s="31"/>
      <c r="K92" s="31" t="s">
        <v>8</v>
      </c>
      <c r="L92" s="31"/>
      <c r="M92" s="31"/>
      <c r="N92" s="31"/>
      <c r="O92" s="31"/>
      <c r="P92" s="31"/>
    </row>
    <row r="93" spans="1:16" ht="40.9" customHeight="1" x14ac:dyDescent="0.25">
      <c r="A93" s="11"/>
      <c r="B93" s="32" t="s">
        <v>90</v>
      </c>
      <c r="C93" s="32"/>
      <c r="D93" s="32"/>
      <c r="E93" s="32"/>
      <c r="F93" s="32"/>
      <c r="G93" s="32" t="s">
        <v>91</v>
      </c>
      <c r="H93" s="32"/>
      <c r="I93" s="32"/>
      <c r="J93" s="32"/>
      <c r="K93" s="32" t="s">
        <v>8</v>
      </c>
      <c r="L93" s="32"/>
      <c r="M93" s="32"/>
      <c r="N93" s="32"/>
      <c r="O93" s="32"/>
      <c r="P93" s="32"/>
    </row>
    <row r="94" spans="1:16" ht="122.45" customHeight="1" x14ac:dyDescent="0.25">
      <c r="A94" s="9" t="s">
        <v>249</v>
      </c>
      <c r="B94" s="28" t="s">
        <v>250</v>
      </c>
      <c r="C94" s="29"/>
      <c r="D94" s="29"/>
      <c r="E94" s="29"/>
      <c r="F94" s="29"/>
      <c r="G94" s="29" t="s">
        <v>251</v>
      </c>
      <c r="H94" s="29"/>
      <c r="I94" s="29"/>
      <c r="J94" s="29"/>
      <c r="K94" s="29" t="s">
        <v>252</v>
      </c>
      <c r="L94" s="29"/>
      <c r="M94" s="29"/>
      <c r="N94" s="29"/>
      <c r="O94" s="30">
        <f>ROUND(6470 * 4 * 1.29, 2)</f>
        <v>33385.199999999997</v>
      </c>
      <c r="P94" s="29"/>
    </row>
    <row r="95" spans="1:16" x14ac:dyDescent="0.25">
      <c r="A95" s="10"/>
      <c r="B95" s="31" t="s">
        <v>89</v>
      </c>
      <c r="C95" s="31"/>
      <c r="D95" s="31"/>
      <c r="E95" s="31"/>
      <c r="F95" s="31"/>
      <c r="G95" s="31" t="s">
        <v>8</v>
      </c>
      <c r="H95" s="31"/>
      <c r="I95" s="31"/>
      <c r="J95" s="31"/>
      <c r="K95" s="31" t="s">
        <v>8</v>
      </c>
      <c r="L95" s="31"/>
      <c r="M95" s="31"/>
      <c r="N95" s="31"/>
      <c r="O95" s="31"/>
      <c r="P95" s="31"/>
    </row>
    <row r="96" spans="1:16" ht="40.9" customHeight="1" x14ac:dyDescent="0.25">
      <c r="A96" s="11"/>
      <c r="B96" s="32" t="s">
        <v>90</v>
      </c>
      <c r="C96" s="32"/>
      <c r="D96" s="32"/>
      <c r="E96" s="32"/>
      <c r="F96" s="32"/>
      <c r="G96" s="32" t="s">
        <v>91</v>
      </c>
      <c r="H96" s="32"/>
      <c r="I96" s="32"/>
      <c r="J96" s="32"/>
      <c r="K96" s="32" t="s">
        <v>8</v>
      </c>
      <c r="L96" s="32"/>
      <c r="M96" s="32"/>
      <c r="N96" s="32"/>
      <c r="O96" s="32"/>
      <c r="P96" s="32"/>
    </row>
    <row r="97" spans="1:16" ht="135.94999999999999" customHeight="1" x14ac:dyDescent="0.25">
      <c r="A97" s="9" t="s">
        <v>253</v>
      </c>
      <c r="B97" s="28" t="s">
        <v>254</v>
      </c>
      <c r="C97" s="29"/>
      <c r="D97" s="29"/>
      <c r="E97" s="29"/>
      <c r="F97" s="29"/>
      <c r="G97" s="29" t="s">
        <v>255</v>
      </c>
      <c r="H97" s="29"/>
      <c r="I97" s="29"/>
      <c r="J97" s="29"/>
      <c r="K97" s="29" t="s">
        <v>256</v>
      </c>
      <c r="L97" s="29"/>
      <c r="M97" s="29"/>
      <c r="N97" s="29"/>
      <c r="O97" s="30">
        <f>ROUND(3029 * 1 * 1.29, 2)</f>
        <v>3907.41</v>
      </c>
      <c r="P97" s="29"/>
    </row>
    <row r="98" spans="1:16" x14ac:dyDescent="0.25">
      <c r="A98" s="10"/>
      <c r="B98" s="31" t="s">
        <v>89</v>
      </c>
      <c r="C98" s="31"/>
      <c r="D98" s="31"/>
      <c r="E98" s="31"/>
      <c r="F98" s="31"/>
      <c r="G98" s="31" t="s">
        <v>8</v>
      </c>
      <c r="H98" s="31"/>
      <c r="I98" s="31"/>
      <c r="J98" s="31"/>
      <c r="K98" s="31" t="s">
        <v>8</v>
      </c>
      <c r="L98" s="31"/>
      <c r="M98" s="31"/>
      <c r="N98" s="31"/>
      <c r="O98" s="31"/>
      <c r="P98" s="31"/>
    </row>
    <row r="99" spans="1:16" ht="40.9" customHeight="1" x14ac:dyDescent="0.25">
      <c r="A99" s="11"/>
      <c r="B99" s="32" t="s">
        <v>90</v>
      </c>
      <c r="C99" s="32"/>
      <c r="D99" s="32"/>
      <c r="E99" s="32"/>
      <c r="F99" s="32"/>
      <c r="G99" s="32" t="s">
        <v>91</v>
      </c>
      <c r="H99" s="32"/>
      <c r="I99" s="32"/>
      <c r="J99" s="32"/>
      <c r="K99" s="32" t="s">
        <v>8</v>
      </c>
      <c r="L99" s="32"/>
      <c r="M99" s="32"/>
      <c r="N99" s="32"/>
      <c r="O99" s="32"/>
      <c r="P99" s="32"/>
    </row>
    <row r="100" spans="1:16" ht="163.15" customHeight="1" x14ac:dyDescent="0.25">
      <c r="A100" s="9" t="s">
        <v>257</v>
      </c>
      <c r="B100" s="28" t="s">
        <v>258</v>
      </c>
      <c r="C100" s="29"/>
      <c r="D100" s="29"/>
      <c r="E100" s="29"/>
      <c r="F100" s="29"/>
      <c r="G100" s="29" t="s">
        <v>259</v>
      </c>
      <c r="H100" s="29"/>
      <c r="I100" s="29"/>
      <c r="J100" s="29"/>
      <c r="K100" s="29" t="s">
        <v>260</v>
      </c>
      <c r="L100" s="29"/>
      <c r="M100" s="29"/>
      <c r="N100" s="29"/>
      <c r="O100" s="30">
        <f>ROUND(11731 * 3 * 1.29, 2)</f>
        <v>45398.97</v>
      </c>
      <c r="P100" s="29"/>
    </row>
    <row r="101" spans="1:16" x14ac:dyDescent="0.25">
      <c r="A101" s="10"/>
      <c r="B101" s="31" t="s">
        <v>89</v>
      </c>
      <c r="C101" s="31"/>
      <c r="D101" s="31"/>
      <c r="E101" s="31"/>
      <c r="F101" s="31"/>
      <c r="G101" s="31" t="s">
        <v>8</v>
      </c>
      <c r="H101" s="31"/>
      <c r="I101" s="31"/>
      <c r="J101" s="31"/>
      <c r="K101" s="31" t="s">
        <v>8</v>
      </c>
      <c r="L101" s="31"/>
      <c r="M101" s="31"/>
      <c r="N101" s="31"/>
      <c r="O101" s="31"/>
      <c r="P101" s="31"/>
    </row>
    <row r="102" spans="1:16" ht="40.9" customHeight="1" x14ac:dyDescent="0.25">
      <c r="A102" s="11"/>
      <c r="B102" s="32" t="s">
        <v>90</v>
      </c>
      <c r="C102" s="32"/>
      <c r="D102" s="32"/>
      <c r="E102" s="32"/>
      <c r="F102" s="32"/>
      <c r="G102" s="32" t="s">
        <v>91</v>
      </c>
      <c r="H102" s="32"/>
      <c r="I102" s="32"/>
      <c r="J102" s="32"/>
      <c r="K102" s="32" t="s">
        <v>8</v>
      </c>
      <c r="L102" s="32"/>
      <c r="M102" s="32"/>
      <c r="N102" s="32"/>
      <c r="O102" s="32"/>
      <c r="P102" s="32"/>
    </row>
    <row r="103" spans="1:16" ht="163.15" customHeight="1" x14ac:dyDescent="0.25">
      <c r="A103" s="9" t="s">
        <v>261</v>
      </c>
      <c r="B103" s="28" t="s">
        <v>262</v>
      </c>
      <c r="C103" s="29"/>
      <c r="D103" s="29"/>
      <c r="E103" s="29"/>
      <c r="F103" s="29"/>
      <c r="G103" s="29" t="s">
        <v>263</v>
      </c>
      <c r="H103" s="29"/>
      <c r="I103" s="29"/>
      <c r="J103" s="29"/>
      <c r="K103" s="29" t="s">
        <v>264</v>
      </c>
      <c r="L103" s="29"/>
      <c r="M103" s="29"/>
      <c r="N103" s="29"/>
      <c r="O103" s="30">
        <f>ROUND(9786 * 4 * 1.29, 2)</f>
        <v>50495.76</v>
      </c>
      <c r="P103" s="29"/>
    </row>
    <row r="104" spans="1:16" x14ac:dyDescent="0.25">
      <c r="A104" s="10"/>
      <c r="B104" s="31" t="s">
        <v>89</v>
      </c>
      <c r="C104" s="31"/>
      <c r="D104" s="31"/>
      <c r="E104" s="31"/>
      <c r="F104" s="31"/>
      <c r="G104" s="31" t="s">
        <v>8</v>
      </c>
      <c r="H104" s="31"/>
      <c r="I104" s="31"/>
      <c r="J104" s="31"/>
      <c r="K104" s="31" t="s">
        <v>8</v>
      </c>
      <c r="L104" s="31"/>
      <c r="M104" s="31"/>
      <c r="N104" s="31"/>
      <c r="O104" s="31"/>
      <c r="P104" s="31"/>
    </row>
    <row r="105" spans="1:16" ht="40.9" customHeight="1" x14ac:dyDescent="0.25">
      <c r="A105" s="11"/>
      <c r="B105" s="32" t="s">
        <v>90</v>
      </c>
      <c r="C105" s="32"/>
      <c r="D105" s="32"/>
      <c r="E105" s="32"/>
      <c r="F105" s="32"/>
      <c r="G105" s="32" t="s">
        <v>91</v>
      </c>
      <c r="H105" s="32"/>
      <c r="I105" s="32"/>
      <c r="J105" s="32"/>
      <c r="K105" s="32" t="s">
        <v>8</v>
      </c>
      <c r="L105" s="32"/>
      <c r="M105" s="32"/>
      <c r="N105" s="32"/>
      <c r="O105" s="32"/>
      <c r="P105" s="32"/>
    </row>
    <row r="106" spans="1:16" x14ac:dyDescent="0.25">
      <c r="A106" s="3"/>
      <c r="B106" s="22" t="s">
        <v>123</v>
      </c>
      <c r="C106" s="22"/>
      <c r="D106" s="22"/>
      <c r="E106" s="22"/>
      <c r="F106" s="22"/>
      <c r="G106" s="22"/>
      <c r="H106" s="22"/>
      <c r="I106" s="22"/>
      <c r="J106" s="22"/>
      <c r="K106" s="22" t="s">
        <v>8</v>
      </c>
      <c r="L106" s="22"/>
      <c r="M106" s="22"/>
      <c r="N106" s="22"/>
      <c r="O106" s="33">
        <f>ROUND(SUM($O$46:$O$103),2)</f>
        <v>401571.84000000003</v>
      </c>
      <c r="P106" s="22"/>
    </row>
    <row r="107" spans="1:16" ht="40.9" customHeight="1" x14ac:dyDescent="0.25">
      <c r="A107" s="3" t="s">
        <v>265</v>
      </c>
      <c r="B107" s="23" t="s">
        <v>121</v>
      </c>
      <c r="C107" s="23"/>
      <c r="D107" s="23"/>
      <c r="E107" s="23"/>
      <c r="F107" s="23"/>
      <c r="G107" s="23" t="s">
        <v>266</v>
      </c>
      <c r="H107" s="23"/>
      <c r="I107" s="23"/>
      <c r="J107" s="23"/>
      <c r="K107" s="23" t="s">
        <v>267</v>
      </c>
      <c r="L107" s="23"/>
      <c r="M107" s="23"/>
      <c r="N107" s="23"/>
      <c r="O107" s="35">
        <f>ROUND($O$106*(0.65*1.08+0.35-1),2)</f>
        <v>20881.740000000002</v>
      </c>
      <c r="P107" s="23"/>
    </row>
    <row r="108" spans="1:16" x14ac:dyDescent="0.25">
      <c r="A108" s="3"/>
      <c r="B108" s="22" t="s">
        <v>124</v>
      </c>
      <c r="C108" s="22"/>
      <c r="D108" s="22"/>
      <c r="E108" s="22"/>
      <c r="F108" s="22"/>
      <c r="G108" s="22"/>
      <c r="H108" s="22"/>
      <c r="I108" s="22"/>
      <c r="J108" s="22"/>
      <c r="K108" s="22" t="s">
        <v>8</v>
      </c>
      <c r="L108" s="22"/>
      <c r="M108" s="22"/>
      <c r="N108" s="22"/>
      <c r="O108" s="33">
        <f>ROUND((SUM($O$106:$O$107)),2)</f>
        <v>422453.58</v>
      </c>
      <c r="P108" s="22"/>
    </row>
    <row r="109" spans="1:16" x14ac:dyDescent="0.25">
      <c r="A109" s="3"/>
      <c r="B109" s="22" t="s">
        <v>125</v>
      </c>
      <c r="C109" s="22"/>
      <c r="D109" s="22"/>
      <c r="E109" s="22"/>
      <c r="F109" s="22"/>
      <c r="G109" s="22"/>
      <c r="H109" s="22"/>
      <c r="I109" s="22"/>
      <c r="J109" s="22"/>
      <c r="K109" s="22"/>
      <c r="L109" s="22"/>
      <c r="M109" s="22"/>
      <c r="N109" s="22"/>
      <c r="O109" s="22"/>
      <c r="P109" s="22"/>
    </row>
    <row r="110" spans="1:16" ht="122.45" customHeight="1" x14ac:dyDescent="0.25">
      <c r="A110" s="9" t="s">
        <v>40</v>
      </c>
      <c r="B110" s="28" t="s">
        <v>268</v>
      </c>
      <c r="C110" s="29"/>
      <c r="D110" s="29"/>
      <c r="E110" s="29"/>
      <c r="F110" s="29"/>
      <c r="G110" s="29" t="s">
        <v>269</v>
      </c>
      <c r="H110" s="29"/>
      <c r="I110" s="29"/>
      <c r="J110" s="29"/>
      <c r="K110" s="29" t="s">
        <v>270</v>
      </c>
      <c r="L110" s="29"/>
      <c r="M110" s="29"/>
      <c r="N110" s="29"/>
      <c r="O110" s="30">
        <f>ROUND(342 * 160 * 1.29, 2)</f>
        <v>70588.800000000003</v>
      </c>
      <c r="P110" s="29"/>
    </row>
    <row r="111" spans="1:16" x14ac:dyDescent="0.25">
      <c r="A111" s="10"/>
      <c r="B111" s="31" t="s">
        <v>89</v>
      </c>
      <c r="C111" s="31"/>
      <c r="D111" s="31"/>
      <c r="E111" s="31"/>
      <c r="F111" s="31"/>
      <c r="G111" s="31" t="s">
        <v>8</v>
      </c>
      <c r="H111" s="31"/>
      <c r="I111" s="31"/>
      <c r="J111" s="31"/>
      <c r="K111" s="31" t="s">
        <v>8</v>
      </c>
      <c r="L111" s="31"/>
      <c r="M111" s="31"/>
      <c r="N111" s="31"/>
      <c r="O111" s="31"/>
      <c r="P111" s="31"/>
    </row>
    <row r="112" spans="1:16" ht="40.9" customHeight="1" x14ac:dyDescent="0.25">
      <c r="A112" s="11"/>
      <c r="B112" s="32" t="s">
        <v>90</v>
      </c>
      <c r="C112" s="32"/>
      <c r="D112" s="32"/>
      <c r="E112" s="32"/>
      <c r="F112" s="32"/>
      <c r="G112" s="32" t="s">
        <v>91</v>
      </c>
      <c r="H112" s="32"/>
      <c r="I112" s="32"/>
      <c r="J112" s="32"/>
      <c r="K112" s="32" t="s">
        <v>8</v>
      </c>
      <c r="L112" s="32"/>
      <c r="M112" s="32"/>
      <c r="N112" s="32"/>
      <c r="O112" s="32"/>
      <c r="P112" s="32"/>
    </row>
    <row r="113" spans="1:16" ht="163.15" customHeight="1" x14ac:dyDescent="0.25">
      <c r="A113" s="9" t="s">
        <v>43</v>
      </c>
      <c r="B113" s="28" t="s">
        <v>271</v>
      </c>
      <c r="C113" s="29"/>
      <c r="D113" s="29"/>
      <c r="E113" s="29"/>
      <c r="F113" s="29"/>
      <c r="G113" s="29" t="s">
        <v>272</v>
      </c>
      <c r="H113" s="29"/>
      <c r="I113" s="29"/>
      <c r="J113" s="29"/>
      <c r="K113" s="29" t="s">
        <v>273</v>
      </c>
      <c r="L113" s="29"/>
      <c r="M113" s="29"/>
      <c r="N113" s="29"/>
      <c r="O113" s="30">
        <f>ROUND(173 * 500 * 1.29, 2)</f>
        <v>111585</v>
      </c>
      <c r="P113" s="29"/>
    </row>
    <row r="114" spans="1:16" x14ac:dyDescent="0.25">
      <c r="A114" s="10"/>
      <c r="B114" s="31" t="s">
        <v>89</v>
      </c>
      <c r="C114" s="31"/>
      <c r="D114" s="31"/>
      <c r="E114" s="31"/>
      <c r="F114" s="31"/>
      <c r="G114" s="31" t="s">
        <v>8</v>
      </c>
      <c r="H114" s="31"/>
      <c r="I114" s="31"/>
      <c r="J114" s="31"/>
      <c r="K114" s="31" t="s">
        <v>8</v>
      </c>
      <c r="L114" s="31"/>
      <c r="M114" s="31"/>
      <c r="N114" s="31"/>
      <c r="O114" s="31"/>
      <c r="P114" s="31"/>
    </row>
    <row r="115" spans="1:16" ht="40.9" customHeight="1" x14ac:dyDescent="0.25">
      <c r="A115" s="11"/>
      <c r="B115" s="32" t="s">
        <v>90</v>
      </c>
      <c r="C115" s="32"/>
      <c r="D115" s="32"/>
      <c r="E115" s="32"/>
      <c r="F115" s="32"/>
      <c r="G115" s="32" t="s">
        <v>91</v>
      </c>
      <c r="H115" s="32"/>
      <c r="I115" s="32"/>
      <c r="J115" s="32"/>
      <c r="K115" s="32" t="s">
        <v>8</v>
      </c>
      <c r="L115" s="32"/>
      <c r="M115" s="32"/>
      <c r="N115" s="32"/>
      <c r="O115" s="32"/>
      <c r="P115" s="32"/>
    </row>
    <row r="116" spans="1:16" ht="108.75" customHeight="1" x14ac:dyDescent="0.25">
      <c r="A116" s="9" t="s">
        <v>46</v>
      </c>
      <c r="B116" s="28" t="s">
        <v>274</v>
      </c>
      <c r="C116" s="29"/>
      <c r="D116" s="29"/>
      <c r="E116" s="29"/>
      <c r="F116" s="29"/>
      <c r="G116" s="29" t="s">
        <v>275</v>
      </c>
      <c r="H116" s="29"/>
      <c r="I116" s="29"/>
      <c r="J116" s="29"/>
      <c r="K116" s="29" t="s">
        <v>276</v>
      </c>
      <c r="L116" s="29"/>
      <c r="M116" s="29"/>
      <c r="N116" s="29"/>
      <c r="O116" s="30">
        <f>ROUND(320 * 4 * 1.29, 2)</f>
        <v>1651.2</v>
      </c>
      <c r="P116" s="29"/>
    </row>
    <row r="117" spans="1:16" x14ac:dyDescent="0.25">
      <c r="A117" s="10"/>
      <c r="B117" s="31" t="s">
        <v>89</v>
      </c>
      <c r="C117" s="31"/>
      <c r="D117" s="31"/>
      <c r="E117" s="31"/>
      <c r="F117" s="31"/>
      <c r="G117" s="31" t="s">
        <v>8</v>
      </c>
      <c r="H117" s="31"/>
      <c r="I117" s="31"/>
      <c r="J117" s="31"/>
      <c r="K117" s="31" t="s">
        <v>8</v>
      </c>
      <c r="L117" s="31"/>
      <c r="M117" s="31"/>
      <c r="N117" s="31"/>
      <c r="O117" s="31"/>
      <c r="P117" s="31"/>
    </row>
    <row r="118" spans="1:16" ht="40.9" customHeight="1" x14ac:dyDescent="0.25">
      <c r="A118" s="11"/>
      <c r="B118" s="32" t="s">
        <v>90</v>
      </c>
      <c r="C118" s="32"/>
      <c r="D118" s="32"/>
      <c r="E118" s="32"/>
      <c r="F118" s="32"/>
      <c r="G118" s="32" t="s">
        <v>91</v>
      </c>
      <c r="H118" s="32"/>
      <c r="I118" s="32"/>
      <c r="J118" s="32"/>
      <c r="K118" s="32" t="s">
        <v>8</v>
      </c>
      <c r="L118" s="32"/>
      <c r="M118" s="32"/>
      <c r="N118" s="32"/>
      <c r="O118" s="32"/>
      <c r="P118" s="32"/>
    </row>
    <row r="119" spans="1:16" ht="108.75" customHeight="1" x14ac:dyDescent="0.25">
      <c r="A119" s="9" t="s">
        <v>56</v>
      </c>
      <c r="B119" s="28" t="s">
        <v>277</v>
      </c>
      <c r="C119" s="29"/>
      <c r="D119" s="29"/>
      <c r="E119" s="29"/>
      <c r="F119" s="29"/>
      <c r="G119" s="29" t="s">
        <v>278</v>
      </c>
      <c r="H119" s="29"/>
      <c r="I119" s="29"/>
      <c r="J119" s="29"/>
      <c r="K119" s="29" t="s">
        <v>279</v>
      </c>
      <c r="L119" s="29"/>
      <c r="M119" s="29"/>
      <c r="N119" s="29"/>
      <c r="O119" s="30">
        <f>ROUND(381 * 4 * 1.29, 2)</f>
        <v>1965.96</v>
      </c>
      <c r="P119" s="29"/>
    </row>
    <row r="120" spans="1:16" x14ac:dyDescent="0.25">
      <c r="A120" s="10"/>
      <c r="B120" s="31" t="s">
        <v>89</v>
      </c>
      <c r="C120" s="31"/>
      <c r="D120" s="31"/>
      <c r="E120" s="31"/>
      <c r="F120" s="31"/>
      <c r="G120" s="31" t="s">
        <v>8</v>
      </c>
      <c r="H120" s="31"/>
      <c r="I120" s="31"/>
      <c r="J120" s="31"/>
      <c r="K120" s="31" t="s">
        <v>8</v>
      </c>
      <c r="L120" s="31"/>
      <c r="M120" s="31"/>
      <c r="N120" s="31"/>
      <c r="O120" s="31"/>
      <c r="P120" s="31"/>
    </row>
    <row r="121" spans="1:16" ht="40.9" customHeight="1" x14ac:dyDescent="0.25">
      <c r="A121" s="11"/>
      <c r="B121" s="32" t="s">
        <v>90</v>
      </c>
      <c r="C121" s="32"/>
      <c r="D121" s="32"/>
      <c r="E121" s="32"/>
      <c r="F121" s="32"/>
      <c r="G121" s="32" t="s">
        <v>91</v>
      </c>
      <c r="H121" s="32"/>
      <c r="I121" s="32"/>
      <c r="J121" s="32"/>
      <c r="K121" s="32" t="s">
        <v>8</v>
      </c>
      <c r="L121" s="32"/>
      <c r="M121" s="32"/>
      <c r="N121" s="32"/>
      <c r="O121" s="32"/>
      <c r="P121" s="32"/>
    </row>
    <row r="122" spans="1:16" ht="108.75" customHeight="1" x14ac:dyDescent="0.25">
      <c r="A122" s="9" t="s">
        <v>138</v>
      </c>
      <c r="B122" s="28" t="s">
        <v>280</v>
      </c>
      <c r="C122" s="29"/>
      <c r="D122" s="29"/>
      <c r="E122" s="29"/>
      <c r="F122" s="29"/>
      <c r="G122" s="29" t="s">
        <v>281</v>
      </c>
      <c r="H122" s="29"/>
      <c r="I122" s="29"/>
      <c r="J122" s="29"/>
      <c r="K122" s="29" t="s">
        <v>282</v>
      </c>
      <c r="L122" s="29"/>
      <c r="M122" s="29"/>
      <c r="N122" s="29"/>
      <c r="O122" s="30">
        <f>ROUND(316 * 4 * 1.29, 2)</f>
        <v>1630.56</v>
      </c>
      <c r="P122" s="29"/>
    </row>
    <row r="123" spans="1:16" x14ac:dyDescent="0.25">
      <c r="A123" s="10"/>
      <c r="B123" s="31" t="s">
        <v>89</v>
      </c>
      <c r="C123" s="31"/>
      <c r="D123" s="31"/>
      <c r="E123" s="31"/>
      <c r="F123" s="31"/>
      <c r="G123" s="31" t="s">
        <v>8</v>
      </c>
      <c r="H123" s="31"/>
      <c r="I123" s="31"/>
      <c r="J123" s="31"/>
      <c r="K123" s="31" t="s">
        <v>8</v>
      </c>
      <c r="L123" s="31"/>
      <c r="M123" s="31"/>
      <c r="N123" s="31"/>
      <c r="O123" s="31"/>
      <c r="P123" s="31"/>
    </row>
    <row r="124" spans="1:16" ht="40.9" customHeight="1" x14ac:dyDescent="0.25">
      <c r="A124" s="11"/>
      <c r="B124" s="32" t="s">
        <v>90</v>
      </c>
      <c r="C124" s="32"/>
      <c r="D124" s="32"/>
      <c r="E124" s="32"/>
      <c r="F124" s="32"/>
      <c r="G124" s="32" t="s">
        <v>91</v>
      </c>
      <c r="H124" s="32"/>
      <c r="I124" s="32"/>
      <c r="J124" s="32"/>
      <c r="K124" s="32" t="s">
        <v>8</v>
      </c>
      <c r="L124" s="32"/>
      <c r="M124" s="32"/>
      <c r="N124" s="32"/>
      <c r="O124" s="32"/>
      <c r="P124" s="32"/>
    </row>
    <row r="125" spans="1:16" ht="108.75" customHeight="1" x14ac:dyDescent="0.25">
      <c r="A125" s="9" t="s">
        <v>142</v>
      </c>
      <c r="B125" s="28" t="s">
        <v>283</v>
      </c>
      <c r="C125" s="29"/>
      <c r="D125" s="29"/>
      <c r="E125" s="29"/>
      <c r="F125" s="29"/>
      <c r="G125" s="29" t="s">
        <v>284</v>
      </c>
      <c r="H125" s="29"/>
      <c r="I125" s="29"/>
      <c r="J125" s="29"/>
      <c r="K125" s="29" t="s">
        <v>285</v>
      </c>
      <c r="L125" s="29"/>
      <c r="M125" s="29"/>
      <c r="N125" s="29"/>
      <c r="O125" s="30">
        <f>ROUND(693 * 6 * 1.29, 2)</f>
        <v>5363.82</v>
      </c>
      <c r="P125" s="29"/>
    </row>
    <row r="126" spans="1:16" x14ac:dyDescent="0.25">
      <c r="A126" s="10"/>
      <c r="B126" s="31" t="s">
        <v>89</v>
      </c>
      <c r="C126" s="31"/>
      <c r="D126" s="31"/>
      <c r="E126" s="31"/>
      <c r="F126" s="31"/>
      <c r="G126" s="31" t="s">
        <v>8</v>
      </c>
      <c r="H126" s="31"/>
      <c r="I126" s="31"/>
      <c r="J126" s="31"/>
      <c r="K126" s="31" t="s">
        <v>8</v>
      </c>
      <c r="L126" s="31"/>
      <c r="M126" s="31"/>
      <c r="N126" s="31"/>
      <c r="O126" s="31"/>
      <c r="P126" s="31"/>
    </row>
    <row r="127" spans="1:16" ht="40.9" customHeight="1" x14ac:dyDescent="0.25">
      <c r="A127" s="11"/>
      <c r="B127" s="32" t="s">
        <v>90</v>
      </c>
      <c r="C127" s="32"/>
      <c r="D127" s="32"/>
      <c r="E127" s="32"/>
      <c r="F127" s="32"/>
      <c r="G127" s="32" t="s">
        <v>91</v>
      </c>
      <c r="H127" s="32"/>
      <c r="I127" s="32"/>
      <c r="J127" s="32"/>
      <c r="K127" s="32" t="s">
        <v>8</v>
      </c>
      <c r="L127" s="32"/>
      <c r="M127" s="32"/>
      <c r="N127" s="32"/>
      <c r="O127" s="32"/>
      <c r="P127" s="32"/>
    </row>
    <row r="128" spans="1:16" ht="108.75" customHeight="1" x14ac:dyDescent="0.25">
      <c r="A128" s="9" t="s">
        <v>146</v>
      </c>
      <c r="B128" s="28" t="s">
        <v>286</v>
      </c>
      <c r="C128" s="29"/>
      <c r="D128" s="29"/>
      <c r="E128" s="29"/>
      <c r="F128" s="29"/>
      <c r="G128" s="29" t="s">
        <v>287</v>
      </c>
      <c r="H128" s="29"/>
      <c r="I128" s="29"/>
      <c r="J128" s="29"/>
      <c r="K128" s="29" t="s">
        <v>288</v>
      </c>
      <c r="L128" s="29"/>
      <c r="M128" s="29"/>
      <c r="N128" s="29"/>
      <c r="O128" s="30">
        <f>ROUND(730 * 9 * 1.29, 2)</f>
        <v>8475.2999999999993</v>
      </c>
      <c r="P128" s="29"/>
    </row>
    <row r="129" spans="1:16" x14ac:dyDescent="0.25">
      <c r="A129" s="10"/>
      <c r="B129" s="31" t="s">
        <v>89</v>
      </c>
      <c r="C129" s="31"/>
      <c r="D129" s="31"/>
      <c r="E129" s="31"/>
      <c r="F129" s="31"/>
      <c r="G129" s="31" t="s">
        <v>8</v>
      </c>
      <c r="H129" s="31"/>
      <c r="I129" s="31"/>
      <c r="J129" s="31"/>
      <c r="K129" s="31" t="s">
        <v>8</v>
      </c>
      <c r="L129" s="31"/>
      <c r="M129" s="31"/>
      <c r="N129" s="31"/>
      <c r="O129" s="31"/>
      <c r="P129" s="31"/>
    </row>
    <row r="130" spans="1:16" ht="40.9" customHeight="1" x14ac:dyDescent="0.25">
      <c r="A130" s="11"/>
      <c r="B130" s="32" t="s">
        <v>90</v>
      </c>
      <c r="C130" s="32"/>
      <c r="D130" s="32"/>
      <c r="E130" s="32"/>
      <c r="F130" s="32"/>
      <c r="G130" s="32" t="s">
        <v>91</v>
      </c>
      <c r="H130" s="32"/>
      <c r="I130" s="32"/>
      <c r="J130" s="32"/>
      <c r="K130" s="32" t="s">
        <v>8</v>
      </c>
      <c r="L130" s="32"/>
      <c r="M130" s="32"/>
      <c r="N130" s="32"/>
      <c r="O130" s="32"/>
      <c r="P130" s="32"/>
    </row>
    <row r="131" spans="1:16" ht="163.15" customHeight="1" x14ac:dyDescent="0.25">
      <c r="A131" s="9" t="s">
        <v>148</v>
      </c>
      <c r="B131" s="28" t="s">
        <v>289</v>
      </c>
      <c r="C131" s="29"/>
      <c r="D131" s="29"/>
      <c r="E131" s="29"/>
      <c r="F131" s="29"/>
      <c r="G131" s="29" t="s">
        <v>290</v>
      </c>
      <c r="H131" s="29"/>
      <c r="I131" s="29"/>
      <c r="J131" s="29"/>
      <c r="K131" s="29" t="s">
        <v>291</v>
      </c>
      <c r="L131" s="29"/>
      <c r="M131" s="29"/>
      <c r="N131" s="29"/>
      <c r="O131" s="30">
        <f>ROUND(385 * 3 * 1.29, 2)</f>
        <v>1489.95</v>
      </c>
      <c r="P131" s="29"/>
    </row>
    <row r="132" spans="1:16" x14ac:dyDescent="0.25">
      <c r="A132" s="10"/>
      <c r="B132" s="31" t="s">
        <v>89</v>
      </c>
      <c r="C132" s="31"/>
      <c r="D132" s="31"/>
      <c r="E132" s="31"/>
      <c r="F132" s="31"/>
      <c r="G132" s="31" t="s">
        <v>8</v>
      </c>
      <c r="H132" s="31"/>
      <c r="I132" s="31"/>
      <c r="J132" s="31"/>
      <c r="K132" s="31" t="s">
        <v>8</v>
      </c>
      <c r="L132" s="31"/>
      <c r="M132" s="31"/>
      <c r="N132" s="31"/>
      <c r="O132" s="31"/>
      <c r="P132" s="31"/>
    </row>
    <row r="133" spans="1:16" ht="40.9" customHeight="1" x14ac:dyDescent="0.25">
      <c r="A133" s="11"/>
      <c r="B133" s="32" t="s">
        <v>90</v>
      </c>
      <c r="C133" s="32"/>
      <c r="D133" s="32"/>
      <c r="E133" s="32"/>
      <c r="F133" s="32"/>
      <c r="G133" s="32" t="s">
        <v>91</v>
      </c>
      <c r="H133" s="32"/>
      <c r="I133" s="32"/>
      <c r="J133" s="32"/>
      <c r="K133" s="32" t="s">
        <v>8</v>
      </c>
      <c r="L133" s="32"/>
      <c r="M133" s="32"/>
      <c r="N133" s="32"/>
      <c r="O133" s="32"/>
      <c r="P133" s="32"/>
    </row>
    <row r="134" spans="1:16" ht="163.15" customHeight="1" x14ac:dyDescent="0.25">
      <c r="A134" s="9" t="s">
        <v>292</v>
      </c>
      <c r="B134" s="28" t="s">
        <v>293</v>
      </c>
      <c r="C134" s="29"/>
      <c r="D134" s="29"/>
      <c r="E134" s="29"/>
      <c r="F134" s="29"/>
      <c r="G134" s="29" t="s">
        <v>294</v>
      </c>
      <c r="H134" s="29"/>
      <c r="I134" s="29"/>
      <c r="J134" s="29"/>
      <c r="K134" s="29" t="s">
        <v>295</v>
      </c>
      <c r="L134" s="29"/>
      <c r="M134" s="29"/>
      <c r="N134" s="29"/>
      <c r="O134" s="30">
        <f>ROUND(352 * 4 * 1.29, 2)</f>
        <v>1816.32</v>
      </c>
      <c r="P134" s="29"/>
    </row>
    <row r="135" spans="1:16" x14ac:dyDescent="0.25">
      <c r="A135" s="10"/>
      <c r="B135" s="31" t="s">
        <v>89</v>
      </c>
      <c r="C135" s="31"/>
      <c r="D135" s="31"/>
      <c r="E135" s="31"/>
      <c r="F135" s="31"/>
      <c r="G135" s="31" t="s">
        <v>8</v>
      </c>
      <c r="H135" s="31"/>
      <c r="I135" s="31"/>
      <c r="J135" s="31"/>
      <c r="K135" s="31" t="s">
        <v>8</v>
      </c>
      <c r="L135" s="31"/>
      <c r="M135" s="31"/>
      <c r="N135" s="31"/>
      <c r="O135" s="31"/>
      <c r="P135" s="31"/>
    </row>
    <row r="136" spans="1:16" ht="40.9" customHeight="1" x14ac:dyDescent="0.25">
      <c r="A136" s="11"/>
      <c r="B136" s="32" t="s">
        <v>90</v>
      </c>
      <c r="C136" s="32"/>
      <c r="D136" s="32"/>
      <c r="E136" s="32"/>
      <c r="F136" s="32"/>
      <c r="G136" s="32" t="s">
        <v>91</v>
      </c>
      <c r="H136" s="32"/>
      <c r="I136" s="32"/>
      <c r="J136" s="32"/>
      <c r="K136" s="32" t="s">
        <v>8</v>
      </c>
      <c r="L136" s="32"/>
      <c r="M136" s="32"/>
      <c r="N136" s="32"/>
      <c r="O136" s="32"/>
      <c r="P136" s="32"/>
    </row>
    <row r="137" spans="1:16" ht="176.85" customHeight="1" x14ac:dyDescent="0.25">
      <c r="A137" s="9" t="s">
        <v>296</v>
      </c>
      <c r="B137" s="28" t="s">
        <v>297</v>
      </c>
      <c r="C137" s="29"/>
      <c r="D137" s="29"/>
      <c r="E137" s="29"/>
      <c r="F137" s="29"/>
      <c r="G137" s="29" t="s">
        <v>298</v>
      </c>
      <c r="H137" s="29"/>
      <c r="I137" s="29"/>
      <c r="J137" s="29"/>
      <c r="K137" s="29" t="s">
        <v>299</v>
      </c>
      <c r="L137" s="29"/>
      <c r="M137" s="29"/>
      <c r="N137" s="29"/>
      <c r="O137" s="30">
        <v>474849.81</v>
      </c>
      <c r="P137" s="29"/>
    </row>
    <row r="138" spans="1:16" x14ac:dyDescent="0.25">
      <c r="A138" s="10"/>
      <c r="B138" s="31" t="s">
        <v>89</v>
      </c>
      <c r="C138" s="31"/>
      <c r="D138" s="31"/>
      <c r="E138" s="31"/>
      <c r="F138" s="31"/>
      <c r="G138" s="31" t="s">
        <v>8</v>
      </c>
      <c r="H138" s="31"/>
      <c r="I138" s="31"/>
      <c r="J138" s="31"/>
      <c r="K138" s="31" t="s">
        <v>8</v>
      </c>
      <c r="L138" s="31"/>
      <c r="M138" s="31"/>
      <c r="N138" s="31"/>
      <c r="O138" s="31"/>
      <c r="P138" s="31"/>
    </row>
    <row r="139" spans="1:16" ht="40.9" customHeight="1" x14ac:dyDescent="0.25">
      <c r="A139" s="11"/>
      <c r="B139" s="32" t="s">
        <v>90</v>
      </c>
      <c r="C139" s="32"/>
      <c r="D139" s="32"/>
      <c r="E139" s="32"/>
      <c r="F139" s="32"/>
      <c r="G139" s="32" t="s">
        <v>91</v>
      </c>
      <c r="H139" s="32"/>
      <c r="I139" s="32"/>
      <c r="J139" s="32"/>
      <c r="K139" s="32" t="s">
        <v>8</v>
      </c>
      <c r="L139" s="32"/>
      <c r="M139" s="32"/>
      <c r="N139" s="32"/>
      <c r="O139" s="32"/>
      <c r="P139" s="32"/>
    </row>
    <row r="140" spans="1:16" ht="95.25" customHeight="1" x14ac:dyDescent="0.25">
      <c r="A140" s="11"/>
      <c r="B140" s="32" t="s">
        <v>300</v>
      </c>
      <c r="C140" s="32"/>
      <c r="D140" s="32"/>
      <c r="E140" s="32"/>
      <c r="F140" s="32"/>
      <c r="G140" s="32" t="s">
        <v>301</v>
      </c>
      <c r="H140" s="32"/>
      <c r="I140" s="32"/>
      <c r="J140" s="32"/>
      <c r="K140" s="32" t="s">
        <v>8</v>
      </c>
      <c r="L140" s="32"/>
      <c r="M140" s="32"/>
      <c r="N140" s="32"/>
      <c r="O140" s="32"/>
      <c r="P140" s="32"/>
    </row>
    <row r="141" spans="1:16" x14ac:dyDescent="0.25">
      <c r="A141" s="3"/>
      <c r="B141" s="22" t="s">
        <v>147</v>
      </c>
      <c r="C141" s="22"/>
      <c r="D141" s="22"/>
      <c r="E141" s="22"/>
      <c r="F141" s="22"/>
      <c r="G141" s="22"/>
      <c r="H141" s="22"/>
      <c r="I141" s="22"/>
      <c r="J141" s="22"/>
      <c r="K141" s="22" t="s">
        <v>8</v>
      </c>
      <c r="L141" s="22"/>
      <c r="M141" s="22"/>
      <c r="N141" s="22"/>
      <c r="O141" s="33">
        <f>ROUND(SUM($O$110:$O$137),2)</f>
        <v>679416.72</v>
      </c>
      <c r="P141" s="22"/>
    </row>
    <row r="142" spans="1:16" ht="40.9" customHeight="1" x14ac:dyDescent="0.25">
      <c r="A142" s="3" t="s">
        <v>302</v>
      </c>
      <c r="B142" s="23" t="s">
        <v>303</v>
      </c>
      <c r="C142" s="23"/>
      <c r="D142" s="23"/>
      <c r="E142" s="23"/>
      <c r="F142" s="23"/>
      <c r="G142" s="23" t="s">
        <v>266</v>
      </c>
      <c r="H142" s="23"/>
      <c r="I142" s="23"/>
      <c r="J142" s="23"/>
      <c r="K142" s="23" t="s">
        <v>304</v>
      </c>
      <c r="L142" s="23"/>
      <c r="M142" s="23"/>
      <c r="N142" s="23"/>
      <c r="O142" s="35">
        <f>ROUND($O$141*(0.73*1.08+0.27-1),2)</f>
        <v>39677.94</v>
      </c>
      <c r="P142" s="23"/>
    </row>
    <row r="143" spans="1:16" x14ac:dyDescent="0.25">
      <c r="A143" s="3" t="s">
        <v>305</v>
      </c>
      <c r="B143" s="23" t="s">
        <v>306</v>
      </c>
      <c r="C143" s="23"/>
      <c r="D143" s="23"/>
      <c r="E143" s="23"/>
      <c r="F143" s="23"/>
      <c r="G143" s="23" t="s">
        <v>8</v>
      </c>
      <c r="H143" s="23"/>
      <c r="I143" s="23"/>
      <c r="J143" s="23"/>
      <c r="K143" s="23" t="s">
        <v>307</v>
      </c>
      <c r="L143" s="23"/>
      <c r="M143" s="23"/>
      <c r="N143" s="23"/>
      <c r="O143" s="35">
        <f>ROUND(($O$141) * 1,2)</f>
        <v>679416.72</v>
      </c>
      <c r="P143" s="23"/>
    </row>
    <row r="144" spans="1:16" x14ac:dyDescent="0.25">
      <c r="A144" s="3"/>
      <c r="B144" s="22" t="s">
        <v>149</v>
      </c>
      <c r="C144" s="22"/>
      <c r="D144" s="22"/>
      <c r="E144" s="22"/>
      <c r="F144" s="22"/>
      <c r="G144" s="22"/>
      <c r="H144" s="22"/>
      <c r="I144" s="22"/>
      <c r="J144" s="22"/>
      <c r="K144" s="22" t="s">
        <v>8</v>
      </c>
      <c r="L144" s="22"/>
      <c r="M144" s="22"/>
      <c r="N144" s="22"/>
      <c r="O144" s="33">
        <f>ROUND((SUM($O$141:$O$143)),2)</f>
        <v>1398511.38</v>
      </c>
      <c r="P144" s="22"/>
    </row>
    <row r="145" spans="1:16" ht="27.2" customHeight="1" x14ac:dyDescent="0.25">
      <c r="A145" s="3"/>
      <c r="B145" s="22" t="s">
        <v>150</v>
      </c>
      <c r="C145" s="22"/>
      <c r="D145" s="22"/>
      <c r="E145" s="22"/>
      <c r="F145" s="22"/>
      <c r="G145" s="22"/>
      <c r="H145" s="22"/>
      <c r="I145" s="22"/>
      <c r="J145" s="22"/>
      <c r="K145" s="22"/>
      <c r="L145" s="22"/>
      <c r="M145" s="22"/>
      <c r="N145" s="22"/>
      <c r="O145" s="22"/>
      <c r="P145" s="22"/>
    </row>
    <row r="146" spans="1:16" ht="122.45" customHeight="1" x14ac:dyDescent="0.25">
      <c r="A146" s="9" t="s">
        <v>54</v>
      </c>
      <c r="B146" s="28" t="s">
        <v>308</v>
      </c>
      <c r="C146" s="29"/>
      <c r="D146" s="29"/>
      <c r="E146" s="29"/>
      <c r="F146" s="29"/>
      <c r="G146" s="29" t="s">
        <v>309</v>
      </c>
      <c r="H146" s="29"/>
      <c r="I146" s="29"/>
      <c r="J146" s="29"/>
      <c r="K146" s="29" t="s">
        <v>310</v>
      </c>
      <c r="L146" s="29"/>
      <c r="M146" s="29"/>
      <c r="N146" s="29"/>
      <c r="O146" s="30">
        <f>ROUND(157915 * 1 * 1.29, 2)</f>
        <v>203710.35</v>
      </c>
      <c r="P146" s="29"/>
    </row>
    <row r="147" spans="1:16" x14ac:dyDescent="0.25">
      <c r="A147" s="10"/>
      <c r="B147" s="31" t="s">
        <v>89</v>
      </c>
      <c r="C147" s="31"/>
      <c r="D147" s="31"/>
      <c r="E147" s="31"/>
      <c r="F147" s="31"/>
      <c r="G147" s="31" t="s">
        <v>8</v>
      </c>
      <c r="H147" s="31"/>
      <c r="I147" s="31"/>
      <c r="J147" s="31"/>
      <c r="K147" s="31" t="s">
        <v>8</v>
      </c>
      <c r="L147" s="31"/>
      <c r="M147" s="31"/>
      <c r="N147" s="31"/>
      <c r="O147" s="31"/>
      <c r="P147" s="31"/>
    </row>
    <row r="148" spans="1:16" ht="40.9" customHeight="1" x14ac:dyDescent="0.25">
      <c r="A148" s="11"/>
      <c r="B148" s="32" t="s">
        <v>90</v>
      </c>
      <c r="C148" s="32"/>
      <c r="D148" s="32"/>
      <c r="E148" s="32"/>
      <c r="F148" s="32"/>
      <c r="G148" s="32" t="s">
        <v>91</v>
      </c>
      <c r="H148" s="32"/>
      <c r="I148" s="32"/>
      <c r="J148" s="32"/>
      <c r="K148" s="32" t="s">
        <v>8</v>
      </c>
      <c r="L148" s="32"/>
      <c r="M148" s="32"/>
      <c r="N148" s="32"/>
      <c r="O148" s="32"/>
      <c r="P148" s="32"/>
    </row>
    <row r="149" spans="1:16" ht="27.2" customHeight="1" x14ac:dyDescent="0.25">
      <c r="A149" s="3"/>
      <c r="B149" s="22" t="s">
        <v>154</v>
      </c>
      <c r="C149" s="22"/>
      <c r="D149" s="22"/>
      <c r="E149" s="22"/>
      <c r="F149" s="22"/>
      <c r="G149" s="22"/>
      <c r="H149" s="22"/>
      <c r="I149" s="22"/>
      <c r="J149" s="22"/>
      <c r="K149" s="22" t="s">
        <v>8</v>
      </c>
      <c r="L149" s="22"/>
      <c r="M149" s="22"/>
      <c r="N149" s="22"/>
      <c r="O149" s="33">
        <f>ROUND($O$146,2)</f>
        <v>203710.35</v>
      </c>
      <c r="P149" s="22"/>
    </row>
    <row r="150" spans="1:16" ht="27.2" customHeight="1" x14ac:dyDescent="0.25">
      <c r="A150" s="3"/>
      <c r="B150" s="22" t="s">
        <v>155</v>
      </c>
      <c r="C150" s="22"/>
      <c r="D150" s="22"/>
      <c r="E150" s="22"/>
      <c r="F150" s="22"/>
      <c r="G150" s="22"/>
      <c r="H150" s="22"/>
      <c r="I150" s="22"/>
      <c r="J150" s="22"/>
      <c r="K150" s="22" t="s">
        <v>8</v>
      </c>
      <c r="L150" s="22"/>
      <c r="M150" s="22"/>
      <c r="N150" s="22"/>
      <c r="O150" s="33">
        <f>ROUND(($O$149),2)</f>
        <v>203710.35</v>
      </c>
      <c r="P150" s="22"/>
    </row>
    <row r="151" spans="1:16" x14ac:dyDescent="0.25">
      <c r="A151" s="3" t="s">
        <v>61</v>
      </c>
      <c r="B151" s="22" t="s">
        <v>156</v>
      </c>
      <c r="C151" s="22"/>
      <c r="D151" s="22"/>
      <c r="E151" s="22"/>
      <c r="F151" s="22"/>
      <c r="G151" s="22"/>
      <c r="H151" s="22"/>
      <c r="I151" s="22"/>
      <c r="J151" s="22"/>
      <c r="K151" s="22" t="s">
        <v>8</v>
      </c>
      <c r="L151" s="22"/>
      <c r="M151" s="22"/>
      <c r="N151" s="22"/>
      <c r="O151" s="33">
        <f>ROUND($O$44+$O$108+$O$144+$O$150,2)</f>
        <v>4844952.68</v>
      </c>
      <c r="P151" s="22"/>
    </row>
    <row r="152" spans="1:16" x14ac:dyDescent="0.25">
      <c r="A152" s="3" t="s">
        <v>64</v>
      </c>
      <c r="B152" s="22" t="s">
        <v>157</v>
      </c>
      <c r="C152" s="22"/>
      <c r="D152" s="22"/>
      <c r="E152" s="22"/>
      <c r="F152" s="22"/>
      <c r="G152" s="22"/>
      <c r="H152" s="22"/>
      <c r="I152" s="22"/>
      <c r="J152" s="22"/>
      <c r="K152" s="22" t="s">
        <v>8</v>
      </c>
      <c r="L152" s="22"/>
      <c r="M152" s="22"/>
      <c r="N152" s="22"/>
      <c r="O152" s="33">
        <f>ROUND(($O$151),2)</f>
        <v>4844952.68</v>
      </c>
      <c r="P152" s="22"/>
    </row>
    <row r="154" spans="1:16" ht="30" customHeight="1" x14ac:dyDescent="0.25">
      <c r="A154" s="19" t="s">
        <v>158</v>
      </c>
      <c r="B154" s="19"/>
      <c r="C154" s="19"/>
      <c r="D154" s="19"/>
      <c r="E154" s="19"/>
      <c r="F154" s="34">
        <f>$O$152</f>
        <v>4844952.68</v>
      </c>
      <c r="G154" s="34"/>
      <c r="H154" s="34"/>
      <c r="I154" s="34"/>
      <c r="J154" s="34"/>
      <c r="K154" s="34"/>
      <c r="L154" s="34"/>
      <c r="M154" s="34"/>
      <c r="N154" s="34"/>
      <c r="O154" s="34"/>
      <c r="P154" s="34"/>
    </row>
  </sheetData>
  <mergeCells count="574">
    <mergeCell ref="A154:E154"/>
    <mergeCell ref="F154:P154"/>
    <mergeCell ref="B150:F150"/>
    <mergeCell ref="G150:J150"/>
    <mergeCell ref="K150:N150"/>
    <mergeCell ref="O150:P150"/>
    <mergeCell ref="B151:F151"/>
    <mergeCell ref="G151:J151"/>
    <mergeCell ref="K151:N151"/>
    <mergeCell ref="O151:P151"/>
    <mergeCell ref="B152:F152"/>
    <mergeCell ref="G152:J152"/>
    <mergeCell ref="K152:N152"/>
    <mergeCell ref="O152:P152"/>
    <mergeCell ref="B147:F147"/>
    <mergeCell ref="G147:J147"/>
    <mergeCell ref="K147:N147"/>
    <mergeCell ref="O147:P147"/>
    <mergeCell ref="B148:F148"/>
    <mergeCell ref="G148:J148"/>
    <mergeCell ref="K148:N148"/>
    <mergeCell ref="O148:P148"/>
    <mergeCell ref="B149:F149"/>
    <mergeCell ref="G149:J149"/>
    <mergeCell ref="K149:N149"/>
    <mergeCell ref="O149:P149"/>
    <mergeCell ref="B144:F144"/>
    <mergeCell ref="G144:J144"/>
    <mergeCell ref="K144:N144"/>
    <mergeCell ref="O144:P144"/>
    <mergeCell ref="B145:F145"/>
    <mergeCell ref="G145:J145"/>
    <mergeCell ref="K145:N145"/>
    <mergeCell ref="O145:P145"/>
    <mergeCell ref="B146:F146"/>
    <mergeCell ref="G146:J146"/>
    <mergeCell ref="K146:N146"/>
    <mergeCell ref="O146:P146"/>
    <mergeCell ref="B141:F141"/>
    <mergeCell ref="G141:J141"/>
    <mergeCell ref="K141:N141"/>
    <mergeCell ref="O141:P141"/>
    <mergeCell ref="B142:F142"/>
    <mergeCell ref="G142:J142"/>
    <mergeCell ref="K142:N142"/>
    <mergeCell ref="O142:P142"/>
    <mergeCell ref="B143:F143"/>
    <mergeCell ref="G143:J143"/>
    <mergeCell ref="K143:N143"/>
    <mergeCell ref="O143:P143"/>
    <mergeCell ref="B138:F138"/>
    <mergeCell ref="G138:J138"/>
    <mergeCell ref="K138:N138"/>
    <mergeCell ref="O138:P138"/>
    <mergeCell ref="B139:F139"/>
    <mergeCell ref="G139:J139"/>
    <mergeCell ref="K139:N139"/>
    <mergeCell ref="O139:P139"/>
    <mergeCell ref="B140:F140"/>
    <mergeCell ref="G140:J140"/>
    <mergeCell ref="K140:N140"/>
    <mergeCell ref="O140:P140"/>
    <mergeCell ref="B135:F135"/>
    <mergeCell ref="G135:J135"/>
    <mergeCell ref="K135:N135"/>
    <mergeCell ref="O135:P135"/>
    <mergeCell ref="B136:F136"/>
    <mergeCell ref="G136:J136"/>
    <mergeCell ref="K136:N136"/>
    <mergeCell ref="O136:P136"/>
    <mergeCell ref="B137:F137"/>
    <mergeCell ref="G137:J137"/>
    <mergeCell ref="K137:N137"/>
    <mergeCell ref="O137:P137"/>
    <mergeCell ref="B132:F132"/>
    <mergeCell ref="G132:J132"/>
    <mergeCell ref="K132:N132"/>
    <mergeCell ref="O132:P132"/>
    <mergeCell ref="B133:F133"/>
    <mergeCell ref="G133:J133"/>
    <mergeCell ref="K133:N133"/>
    <mergeCell ref="O133:P133"/>
    <mergeCell ref="B134:F134"/>
    <mergeCell ref="G134:J134"/>
    <mergeCell ref="K134:N134"/>
    <mergeCell ref="O134:P134"/>
    <mergeCell ref="B129:F129"/>
    <mergeCell ref="G129:J129"/>
    <mergeCell ref="K129:N129"/>
    <mergeCell ref="O129:P129"/>
    <mergeCell ref="B130:F130"/>
    <mergeCell ref="G130:J130"/>
    <mergeCell ref="K130:N130"/>
    <mergeCell ref="O130:P130"/>
    <mergeCell ref="B131:F131"/>
    <mergeCell ref="G131:J131"/>
    <mergeCell ref="K131:N131"/>
    <mergeCell ref="O131:P131"/>
    <mergeCell ref="B126:F126"/>
    <mergeCell ref="G126:J126"/>
    <mergeCell ref="K126:N126"/>
    <mergeCell ref="O126:P126"/>
    <mergeCell ref="B127:F127"/>
    <mergeCell ref="G127:J127"/>
    <mergeCell ref="K127:N127"/>
    <mergeCell ref="O127:P127"/>
    <mergeCell ref="B128:F128"/>
    <mergeCell ref="G128:J128"/>
    <mergeCell ref="K128:N128"/>
    <mergeCell ref="O128:P128"/>
    <mergeCell ref="B123:F123"/>
    <mergeCell ref="G123:J123"/>
    <mergeCell ref="K123:N123"/>
    <mergeCell ref="O123:P123"/>
    <mergeCell ref="B124:F124"/>
    <mergeCell ref="G124:J124"/>
    <mergeCell ref="K124:N124"/>
    <mergeCell ref="O124:P124"/>
    <mergeCell ref="B125:F125"/>
    <mergeCell ref="G125:J125"/>
    <mergeCell ref="K125:N125"/>
    <mergeCell ref="O125:P125"/>
    <mergeCell ref="B120:F120"/>
    <mergeCell ref="G120:J120"/>
    <mergeCell ref="K120:N120"/>
    <mergeCell ref="O120:P120"/>
    <mergeCell ref="B121:F121"/>
    <mergeCell ref="G121:J121"/>
    <mergeCell ref="K121:N121"/>
    <mergeCell ref="O121:P121"/>
    <mergeCell ref="B122:F122"/>
    <mergeCell ref="G122:J122"/>
    <mergeCell ref="K122:N122"/>
    <mergeCell ref="O122:P122"/>
    <mergeCell ref="B117:F117"/>
    <mergeCell ref="G117:J117"/>
    <mergeCell ref="K117:N117"/>
    <mergeCell ref="O117:P117"/>
    <mergeCell ref="B118:F118"/>
    <mergeCell ref="G118:J118"/>
    <mergeCell ref="K118:N118"/>
    <mergeCell ref="O118:P118"/>
    <mergeCell ref="B119:F119"/>
    <mergeCell ref="G119:J119"/>
    <mergeCell ref="K119:N119"/>
    <mergeCell ref="O119:P119"/>
    <mergeCell ref="B114:F114"/>
    <mergeCell ref="G114:J114"/>
    <mergeCell ref="K114:N114"/>
    <mergeCell ref="O114:P114"/>
    <mergeCell ref="B115:F115"/>
    <mergeCell ref="G115:J115"/>
    <mergeCell ref="K115:N115"/>
    <mergeCell ref="O115:P115"/>
    <mergeCell ref="B116:F116"/>
    <mergeCell ref="G116:J116"/>
    <mergeCell ref="K116:N116"/>
    <mergeCell ref="O116:P116"/>
    <mergeCell ref="B111:F111"/>
    <mergeCell ref="G111:J111"/>
    <mergeCell ref="K111:N111"/>
    <mergeCell ref="O111:P111"/>
    <mergeCell ref="B112:F112"/>
    <mergeCell ref="G112:J112"/>
    <mergeCell ref="K112:N112"/>
    <mergeCell ref="O112:P112"/>
    <mergeCell ref="B113:F113"/>
    <mergeCell ref="G113:J113"/>
    <mergeCell ref="K113:N113"/>
    <mergeCell ref="O113:P113"/>
    <mergeCell ref="B108:F108"/>
    <mergeCell ref="G108:J108"/>
    <mergeCell ref="K108:N108"/>
    <mergeCell ref="O108:P108"/>
    <mergeCell ref="B109:F109"/>
    <mergeCell ref="G109:J109"/>
    <mergeCell ref="K109:N109"/>
    <mergeCell ref="O109:P109"/>
    <mergeCell ref="B110:F110"/>
    <mergeCell ref="G110:J110"/>
    <mergeCell ref="K110:N110"/>
    <mergeCell ref="O110:P110"/>
    <mergeCell ref="B105:F105"/>
    <mergeCell ref="G105:J105"/>
    <mergeCell ref="K105:N105"/>
    <mergeCell ref="O105:P105"/>
    <mergeCell ref="B106:F106"/>
    <mergeCell ref="G106:J106"/>
    <mergeCell ref="K106:N106"/>
    <mergeCell ref="O106:P106"/>
    <mergeCell ref="B107:F107"/>
    <mergeCell ref="G107:J107"/>
    <mergeCell ref="K107:N107"/>
    <mergeCell ref="O107:P107"/>
    <mergeCell ref="B102:F102"/>
    <mergeCell ref="G102:J102"/>
    <mergeCell ref="K102:N102"/>
    <mergeCell ref="O102:P102"/>
    <mergeCell ref="B103:F103"/>
    <mergeCell ref="G103:J103"/>
    <mergeCell ref="K103:N103"/>
    <mergeCell ref="O103:P103"/>
    <mergeCell ref="B104:F104"/>
    <mergeCell ref="G104:J104"/>
    <mergeCell ref="K104:N104"/>
    <mergeCell ref="O104:P104"/>
    <mergeCell ref="B99:F99"/>
    <mergeCell ref="G99:J99"/>
    <mergeCell ref="K99:N99"/>
    <mergeCell ref="O99:P99"/>
    <mergeCell ref="B100:F100"/>
    <mergeCell ref="G100:J100"/>
    <mergeCell ref="K100:N100"/>
    <mergeCell ref="O100:P100"/>
    <mergeCell ref="B101:F101"/>
    <mergeCell ref="G101:J101"/>
    <mergeCell ref="K101:N101"/>
    <mergeCell ref="O101:P101"/>
    <mergeCell ref="B96:F96"/>
    <mergeCell ref="G96:J96"/>
    <mergeCell ref="K96:N96"/>
    <mergeCell ref="O96:P96"/>
    <mergeCell ref="B97:F97"/>
    <mergeCell ref="G97:J97"/>
    <mergeCell ref="K97:N97"/>
    <mergeCell ref="O97:P97"/>
    <mergeCell ref="B98:F98"/>
    <mergeCell ref="G98:J98"/>
    <mergeCell ref="K98:N98"/>
    <mergeCell ref="O98:P98"/>
    <mergeCell ref="B93:F93"/>
    <mergeCell ref="G93:J93"/>
    <mergeCell ref="K93:N93"/>
    <mergeCell ref="O93:P93"/>
    <mergeCell ref="B94:F94"/>
    <mergeCell ref="G94:J94"/>
    <mergeCell ref="K94:N94"/>
    <mergeCell ref="O94:P94"/>
    <mergeCell ref="B95:F95"/>
    <mergeCell ref="G95:J95"/>
    <mergeCell ref="K95:N95"/>
    <mergeCell ref="O95:P95"/>
    <mergeCell ref="B90:F90"/>
    <mergeCell ref="G90:J90"/>
    <mergeCell ref="K90:N90"/>
    <mergeCell ref="O90:P90"/>
    <mergeCell ref="B91:F91"/>
    <mergeCell ref="G91:J91"/>
    <mergeCell ref="K91:N91"/>
    <mergeCell ref="O91:P91"/>
    <mergeCell ref="B92:F92"/>
    <mergeCell ref="G92:J92"/>
    <mergeCell ref="K92:N92"/>
    <mergeCell ref="O92:P92"/>
    <mergeCell ref="B87:F87"/>
    <mergeCell ref="G87:J87"/>
    <mergeCell ref="K87:N87"/>
    <mergeCell ref="O87:P87"/>
    <mergeCell ref="B88:F88"/>
    <mergeCell ref="G88:J88"/>
    <mergeCell ref="K88:N88"/>
    <mergeCell ref="O88:P88"/>
    <mergeCell ref="B89:F89"/>
    <mergeCell ref="G89:J89"/>
    <mergeCell ref="K89:N89"/>
    <mergeCell ref="O89:P89"/>
    <mergeCell ref="B84:F84"/>
    <mergeCell ref="G84:J84"/>
    <mergeCell ref="K84:N84"/>
    <mergeCell ref="O84:P84"/>
    <mergeCell ref="B85:F85"/>
    <mergeCell ref="G85:J85"/>
    <mergeCell ref="K85:N85"/>
    <mergeCell ref="O85:P85"/>
    <mergeCell ref="B86:F86"/>
    <mergeCell ref="G86:J86"/>
    <mergeCell ref="K86:N86"/>
    <mergeCell ref="O86:P86"/>
    <mergeCell ref="B81:F81"/>
    <mergeCell ref="G81:J81"/>
    <mergeCell ref="K81:N81"/>
    <mergeCell ref="O81:P81"/>
    <mergeCell ref="B82:F82"/>
    <mergeCell ref="G82:J82"/>
    <mergeCell ref="K82:N82"/>
    <mergeCell ref="O82:P82"/>
    <mergeCell ref="B83:F83"/>
    <mergeCell ref="G83:J83"/>
    <mergeCell ref="K83:N83"/>
    <mergeCell ref="O83:P83"/>
    <mergeCell ref="B78:F78"/>
    <mergeCell ref="G78:J78"/>
    <mergeCell ref="K78:N78"/>
    <mergeCell ref="O78:P78"/>
    <mergeCell ref="B79:F79"/>
    <mergeCell ref="G79:J79"/>
    <mergeCell ref="K79:N79"/>
    <mergeCell ref="O79:P79"/>
    <mergeCell ref="B80:F80"/>
    <mergeCell ref="G80:J80"/>
    <mergeCell ref="K80:N80"/>
    <mergeCell ref="O80:P80"/>
    <mergeCell ref="B75:F75"/>
    <mergeCell ref="G75:J75"/>
    <mergeCell ref="K75:N75"/>
    <mergeCell ref="O75:P75"/>
    <mergeCell ref="B76:F76"/>
    <mergeCell ref="G76:J76"/>
    <mergeCell ref="K76:N76"/>
    <mergeCell ref="O76:P76"/>
    <mergeCell ref="B77:F77"/>
    <mergeCell ref="G77:J77"/>
    <mergeCell ref="K77:N77"/>
    <mergeCell ref="O77:P77"/>
    <mergeCell ref="B72:F72"/>
    <mergeCell ref="G72:J72"/>
    <mergeCell ref="K72:N72"/>
    <mergeCell ref="O72:P72"/>
    <mergeCell ref="B73:F73"/>
    <mergeCell ref="G73:J73"/>
    <mergeCell ref="K73:N73"/>
    <mergeCell ref="O73:P73"/>
    <mergeCell ref="B74:F74"/>
    <mergeCell ref="G74:J74"/>
    <mergeCell ref="K74:N74"/>
    <mergeCell ref="O74:P74"/>
    <mergeCell ref="B69:F69"/>
    <mergeCell ref="G69:J69"/>
    <mergeCell ref="K69:N69"/>
    <mergeCell ref="O69:P69"/>
    <mergeCell ref="B70:F70"/>
    <mergeCell ref="G70:J70"/>
    <mergeCell ref="K70:N70"/>
    <mergeCell ref="O70:P70"/>
    <mergeCell ref="B71:F71"/>
    <mergeCell ref="G71:J71"/>
    <mergeCell ref="K71:N71"/>
    <mergeCell ref="O71:P71"/>
    <mergeCell ref="B66:F66"/>
    <mergeCell ref="G66:J66"/>
    <mergeCell ref="K66:N66"/>
    <mergeCell ref="O66:P66"/>
    <mergeCell ref="B67:F67"/>
    <mergeCell ref="G67:J67"/>
    <mergeCell ref="K67:N67"/>
    <mergeCell ref="O67:P67"/>
    <mergeCell ref="B68:F68"/>
    <mergeCell ref="G68:J68"/>
    <mergeCell ref="K68:N68"/>
    <mergeCell ref="O68:P68"/>
    <mergeCell ref="B63:F63"/>
    <mergeCell ref="G63:J63"/>
    <mergeCell ref="K63:N63"/>
    <mergeCell ref="O63:P63"/>
    <mergeCell ref="B64:F64"/>
    <mergeCell ref="G64:J64"/>
    <mergeCell ref="K64:N64"/>
    <mergeCell ref="O64:P64"/>
    <mergeCell ref="B65:F65"/>
    <mergeCell ref="G65:J65"/>
    <mergeCell ref="K65:N65"/>
    <mergeCell ref="O65:P65"/>
    <mergeCell ref="B60:F60"/>
    <mergeCell ref="G60:J60"/>
    <mergeCell ref="K60:N60"/>
    <mergeCell ref="O60:P60"/>
    <mergeCell ref="B61:F61"/>
    <mergeCell ref="G61:J61"/>
    <mergeCell ref="K61:N61"/>
    <mergeCell ref="O61:P61"/>
    <mergeCell ref="B62:F62"/>
    <mergeCell ref="G62:J62"/>
    <mergeCell ref="K62:N62"/>
    <mergeCell ref="O62:P62"/>
    <mergeCell ref="B57:F57"/>
    <mergeCell ref="G57:J57"/>
    <mergeCell ref="K57:N57"/>
    <mergeCell ref="O57:P57"/>
    <mergeCell ref="B58:F58"/>
    <mergeCell ref="G58:J58"/>
    <mergeCell ref="K58:N58"/>
    <mergeCell ref="O58:P58"/>
    <mergeCell ref="B59:F59"/>
    <mergeCell ref="G59:J59"/>
    <mergeCell ref="K59:N59"/>
    <mergeCell ref="O59:P59"/>
    <mergeCell ref="B54:F54"/>
    <mergeCell ref="G54:J54"/>
    <mergeCell ref="K54:N54"/>
    <mergeCell ref="O54:P54"/>
    <mergeCell ref="B55:F55"/>
    <mergeCell ref="G55:J55"/>
    <mergeCell ref="K55:N55"/>
    <mergeCell ref="O55:P55"/>
    <mergeCell ref="B56:F56"/>
    <mergeCell ref="G56:J56"/>
    <mergeCell ref="K56:N56"/>
    <mergeCell ref="O56:P56"/>
    <mergeCell ref="B51:F51"/>
    <mergeCell ref="G51:J51"/>
    <mergeCell ref="K51:N51"/>
    <mergeCell ref="O51:P51"/>
    <mergeCell ref="B52:F52"/>
    <mergeCell ref="G52:J52"/>
    <mergeCell ref="K52:N52"/>
    <mergeCell ref="O52:P52"/>
    <mergeCell ref="B53:F53"/>
    <mergeCell ref="G53:J53"/>
    <mergeCell ref="K53:N53"/>
    <mergeCell ref="O53:P53"/>
    <mergeCell ref="B48:F48"/>
    <mergeCell ref="G48:J48"/>
    <mergeCell ref="K48:N48"/>
    <mergeCell ref="O48:P48"/>
    <mergeCell ref="B49:F49"/>
    <mergeCell ref="G49:J49"/>
    <mergeCell ref="K49:N49"/>
    <mergeCell ref="O49:P49"/>
    <mergeCell ref="B50:F50"/>
    <mergeCell ref="G50:J50"/>
    <mergeCell ref="K50:N50"/>
    <mergeCell ref="O50:P50"/>
    <mergeCell ref="B45:F45"/>
    <mergeCell ref="G45:J45"/>
    <mergeCell ref="K45:N45"/>
    <mergeCell ref="O45:P45"/>
    <mergeCell ref="B46:F46"/>
    <mergeCell ref="G46:J46"/>
    <mergeCell ref="K46:N46"/>
    <mergeCell ref="O46:P46"/>
    <mergeCell ref="B47:F47"/>
    <mergeCell ref="G47:J47"/>
    <mergeCell ref="K47:N47"/>
    <mergeCell ref="O47:P47"/>
    <mergeCell ref="B42:F42"/>
    <mergeCell ref="G42:J42"/>
    <mergeCell ref="K42:N42"/>
    <mergeCell ref="O42:P42"/>
    <mergeCell ref="B43:F43"/>
    <mergeCell ref="G43:J43"/>
    <mergeCell ref="K43:N43"/>
    <mergeCell ref="O43:P43"/>
    <mergeCell ref="B44:F44"/>
    <mergeCell ref="G44:J44"/>
    <mergeCell ref="K44:N44"/>
    <mergeCell ref="O44:P44"/>
    <mergeCell ref="B39:F39"/>
    <mergeCell ref="G39:J39"/>
    <mergeCell ref="K39:N39"/>
    <mergeCell ref="O39:P39"/>
    <mergeCell ref="B40:F40"/>
    <mergeCell ref="G40:J40"/>
    <mergeCell ref="K40:N40"/>
    <mergeCell ref="O40:P40"/>
    <mergeCell ref="B41:F41"/>
    <mergeCell ref="G41:J41"/>
    <mergeCell ref="K41:N41"/>
    <mergeCell ref="O41:P41"/>
    <mergeCell ref="B36:F36"/>
    <mergeCell ref="G36:J36"/>
    <mergeCell ref="K36:N36"/>
    <mergeCell ref="O36:P36"/>
    <mergeCell ref="B37:F37"/>
    <mergeCell ref="G37:J37"/>
    <mergeCell ref="K37:N37"/>
    <mergeCell ref="O37:P37"/>
    <mergeCell ref="B38:F38"/>
    <mergeCell ref="G38:J38"/>
    <mergeCell ref="K38:N38"/>
    <mergeCell ref="O38:P38"/>
    <mergeCell ref="B33:F33"/>
    <mergeCell ref="G33:J33"/>
    <mergeCell ref="K33:N33"/>
    <mergeCell ref="O33:P33"/>
    <mergeCell ref="B34:F34"/>
    <mergeCell ref="G34:J34"/>
    <mergeCell ref="K34:N34"/>
    <mergeCell ref="O34:P34"/>
    <mergeCell ref="B35:F35"/>
    <mergeCell ref="G35:J35"/>
    <mergeCell ref="K35:N35"/>
    <mergeCell ref="O35:P35"/>
    <mergeCell ref="B30:F30"/>
    <mergeCell ref="G30:J30"/>
    <mergeCell ref="K30:N30"/>
    <mergeCell ref="O30:P30"/>
    <mergeCell ref="B31:F31"/>
    <mergeCell ref="G31:J31"/>
    <mergeCell ref="K31:N31"/>
    <mergeCell ref="O31:P31"/>
    <mergeCell ref="B32:F32"/>
    <mergeCell ref="G32:J32"/>
    <mergeCell ref="K32:N32"/>
    <mergeCell ref="O32:P32"/>
    <mergeCell ref="B27:F27"/>
    <mergeCell ref="G27:J27"/>
    <mergeCell ref="K27:N27"/>
    <mergeCell ref="O27:P27"/>
    <mergeCell ref="B28:F28"/>
    <mergeCell ref="G28:J28"/>
    <mergeCell ref="K28:N28"/>
    <mergeCell ref="O28:P28"/>
    <mergeCell ref="B29:F29"/>
    <mergeCell ref="G29:J29"/>
    <mergeCell ref="K29:N29"/>
    <mergeCell ref="O29:P29"/>
    <mergeCell ref="B24:F24"/>
    <mergeCell ref="G24:J24"/>
    <mergeCell ref="K24:N24"/>
    <mergeCell ref="O24:P24"/>
    <mergeCell ref="B25:F25"/>
    <mergeCell ref="G25:J25"/>
    <mergeCell ref="K25:N25"/>
    <mergeCell ref="O25:P25"/>
    <mergeCell ref="B26:F26"/>
    <mergeCell ref="G26:J26"/>
    <mergeCell ref="K26:N26"/>
    <mergeCell ref="O26:P26"/>
    <mergeCell ref="B21:F21"/>
    <mergeCell ref="G21:J21"/>
    <mergeCell ref="K21:N21"/>
    <mergeCell ref="O21:P21"/>
    <mergeCell ref="B22:F22"/>
    <mergeCell ref="G22:J22"/>
    <mergeCell ref="K22:N22"/>
    <mergeCell ref="O22:P22"/>
    <mergeCell ref="B23:F23"/>
    <mergeCell ref="G23:J23"/>
    <mergeCell ref="K23:N23"/>
    <mergeCell ref="O23:P23"/>
    <mergeCell ref="B18:F18"/>
    <mergeCell ref="G18:J18"/>
    <mergeCell ref="K18:N18"/>
    <mergeCell ref="O18:P18"/>
    <mergeCell ref="B19:F19"/>
    <mergeCell ref="G19:J19"/>
    <mergeCell ref="K19:N19"/>
    <mergeCell ref="O19:P19"/>
    <mergeCell ref="B20:F20"/>
    <mergeCell ref="G20:J20"/>
    <mergeCell ref="K20:N20"/>
    <mergeCell ref="O20:P20"/>
    <mergeCell ref="B15:F15"/>
    <mergeCell ref="G15:J15"/>
    <mergeCell ref="K15:N15"/>
    <mergeCell ref="O15:P15"/>
    <mergeCell ref="B16:F16"/>
    <mergeCell ref="G16:J16"/>
    <mergeCell ref="K16:N16"/>
    <mergeCell ref="O16:P16"/>
    <mergeCell ref="B17:F17"/>
    <mergeCell ref="G17:J17"/>
    <mergeCell ref="K17:N17"/>
    <mergeCell ref="O17:P17"/>
    <mergeCell ref="B13:F13"/>
    <mergeCell ref="G12:J12"/>
    <mergeCell ref="G13:J13"/>
    <mergeCell ref="K12:N12"/>
    <mergeCell ref="K13:N13"/>
    <mergeCell ref="O12:P12"/>
    <mergeCell ref="O13:P13"/>
    <mergeCell ref="B14:F14"/>
    <mergeCell ref="G14:J14"/>
    <mergeCell ref="K14:N14"/>
    <mergeCell ref="O14:P14"/>
    <mergeCell ref="A1:D1"/>
    <mergeCell ref="E1:P1"/>
    <mergeCell ref="A3:P3"/>
    <mergeCell ref="A4:P4"/>
    <mergeCell ref="A6:P6"/>
    <mergeCell ref="A7:P7"/>
    <mergeCell ref="A9:P9"/>
    <mergeCell ref="A10:P10"/>
    <mergeCell ref="B12:F12"/>
  </mergeCells>
  <pageMargins left="0.23622047244094491" right="0.23622047244094491" top="0.74803149606299213" bottom="0.74803149606299213" header="0.31496062992125984" footer="0.31496062992125984"/>
  <pageSetup paperSize="9" scale="78"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50"/>
  <sheetViews>
    <sheetView showRuler="0" zoomScale="85" zoomScaleNormal="85" workbookViewId="0">
      <selection activeCell="E31" sqref="A1:I31"/>
    </sheetView>
  </sheetViews>
  <sheetFormatPr defaultRowHeight="15" x14ac:dyDescent="0.25"/>
  <cols>
    <col min="1" max="1" width="8" style="1" customWidth="1"/>
    <col min="2" max="9" width="16" style="1" customWidth="1"/>
    <col min="10" max="50" width="8" style="1" customWidth="1"/>
  </cols>
  <sheetData>
    <row r="1" spans="1:9" ht="27.2" customHeight="1" x14ac:dyDescent="0.25">
      <c r="A1" s="15" t="s">
        <v>0</v>
      </c>
      <c r="B1" s="15"/>
      <c r="C1" s="15"/>
      <c r="D1" s="16" t="s">
        <v>311</v>
      </c>
      <c r="E1" s="16"/>
      <c r="F1" s="16"/>
      <c r="G1" s="16"/>
      <c r="H1" s="16"/>
      <c r="I1" s="16"/>
    </row>
    <row r="2" spans="1:9" ht="15" customHeight="1" x14ac:dyDescent="0.25"/>
    <row r="3" spans="1:9" ht="15" customHeight="1" x14ac:dyDescent="0.25">
      <c r="A3" s="17" t="s">
        <v>312</v>
      </c>
      <c r="B3" s="17"/>
      <c r="C3" s="17"/>
      <c r="D3" s="17"/>
      <c r="E3" s="17"/>
      <c r="F3" s="17"/>
      <c r="G3" s="17"/>
      <c r="H3" s="17"/>
      <c r="I3" s="17"/>
    </row>
    <row r="4" spans="1:9" ht="15" customHeight="1" x14ac:dyDescent="0.25">
      <c r="A4" s="18" t="s">
        <v>313</v>
      </c>
      <c r="B4" s="18"/>
      <c r="C4" s="18"/>
      <c r="D4" s="18"/>
      <c r="E4" s="18"/>
      <c r="F4" s="18"/>
      <c r="G4" s="18"/>
      <c r="H4" s="18"/>
      <c r="I4" s="18"/>
    </row>
    <row r="5" spans="1:9" ht="15" customHeight="1" x14ac:dyDescent="0.25"/>
    <row r="6" spans="1:9" ht="40.9" customHeight="1" x14ac:dyDescent="0.25">
      <c r="A6" s="19" t="s">
        <v>314</v>
      </c>
      <c r="B6" s="19"/>
      <c r="C6" s="19"/>
      <c r="D6" s="19"/>
      <c r="E6" s="36" t="s">
        <v>36</v>
      </c>
      <c r="F6" s="36"/>
      <c r="G6" s="36"/>
      <c r="H6" s="36"/>
      <c r="I6" s="36"/>
    </row>
    <row r="7" spans="1:9" ht="15" customHeight="1" x14ac:dyDescent="0.25"/>
    <row r="8" spans="1:9" ht="15" customHeight="1" x14ac:dyDescent="0.25">
      <c r="A8" s="19" t="s">
        <v>315</v>
      </c>
      <c r="B8" s="19"/>
      <c r="C8" s="19"/>
      <c r="D8" s="19"/>
      <c r="E8" s="36" t="s">
        <v>10</v>
      </c>
      <c r="F8" s="36"/>
      <c r="G8" s="36"/>
      <c r="H8" s="36"/>
      <c r="I8" s="36"/>
    </row>
    <row r="9" spans="1:9" ht="15" customHeight="1" x14ac:dyDescent="0.25"/>
    <row r="10" spans="1:9" ht="15" customHeight="1" x14ac:dyDescent="0.25">
      <c r="A10" s="19" t="s">
        <v>11</v>
      </c>
      <c r="B10" s="19"/>
      <c r="C10" s="19"/>
      <c r="D10" s="19"/>
      <c r="E10" s="36" t="s">
        <v>12</v>
      </c>
      <c r="F10" s="36"/>
      <c r="G10" s="36"/>
      <c r="H10" s="36"/>
      <c r="I10" s="36"/>
    </row>
    <row r="11" spans="1:9" ht="15" customHeight="1" x14ac:dyDescent="0.25"/>
    <row r="12" spans="1:9" ht="15" customHeight="1" x14ac:dyDescent="0.25">
      <c r="A12" s="37" t="s">
        <v>80</v>
      </c>
      <c r="B12" s="37" t="s">
        <v>14</v>
      </c>
      <c r="C12" s="37"/>
      <c r="D12" s="37"/>
      <c r="E12" s="37" t="s">
        <v>316</v>
      </c>
      <c r="F12" s="37"/>
      <c r="G12" s="37" t="s">
        <v>319</v>
      </c>
      <c r="H12" s="37" t="s">
        <v>320</v>
      </c>
      <c r="I12" s="37" t="s">
        <v>321</v>
      </c>
    </row>
    <row r="13" spans="1:9" ht="15" customHeight="1" x14ac:dyDescent="0.25">
      <c r="A13" s="37"/>
      <c r="B13" s="37"/>
      <c r="C13" s="37"/>
      <c r="D13" s="37"/>
      <c r="E13" s="13" t="s">
        <v>317</v>
      </c>
      <c r="F13" s="13" t="s">
        <v>318</v>
      </c>
      <c r="G13" s="37"/>
      <c r="H13" s="37"/>
      <c r="I13" s="37"/>
    </row>
    <row r="14" spans="1:9" ht="15" customHeight="1" x14ac:dyDescent="0.25">
      <c r="A14" s="13">
        <v>1</v>
      </c>
      <c r="B14" s="37">
        <v>2</v>
      </c>
      <c r="C14" s="37"/>
      <c r="D14" s="37"/>
      <c r="E14" s="13">
        <v>3</v>
      </c>
      <c r="F14" s="13">
        <v>4</v>
      </c>
      <c r="G14" s="13">
        <v>5</v>
      </c>
      <c r="H14" s="13">
        <v>6</v>
      </c>
      <c r="I14" s="13">
        <v>7</v>
      </c>
    </row>
    <row r="15" spans="1:9" ht="27.2" customHeight="1" x14ac:dyDescent="0.25">
      <c r="A15" s="23" t="s">
        <v>21</v>
      </c>
      <c r="B15" s="23" t="s">
        <v>322</v>
      </c>
      <c r="C15" s="23"/>
      <c r="D15" s="23"/>
      <c r="E15" s="14">
        <v>1</v>
      </c>
      <c r="F15" s="4" t="s">
        <v>72</v>
      </c>
      <c r="G15" s="14">
        <v>0.5</v>
      </c>
      <c r="H15" s="12">
        <v>22082</v>
      </c>
      <c r="I15" s="35">
        <f>ROUND((1 * 0.5 * 22082+1 * 0.5 * 17599+1 * 1 * 22082+1 * 2 * 14027),2)</f>
        <v>69976.5</v>
      </c>
    </row>
    <row r="16" spans="1:9" ht="27.2" customHeight="1" x14ac:dyDescent="0.25">
      <c r="A16" s="23"/>
      <c r="B16" s="23"/>
      <c r="C16" s="23"/>
      <c r="D16" s="23"/>
      <c r="E16" s="14">
        <v>1</v>
      </c>
      <c r="F16" s="4" t="s">
        <v>323</v>
      </c>
      <c r="G16" s="14">
        <v>0.5</v>
      </c>
      <c r="H16" s="12">
        <v>17599</v>
      </c>
      <c r="I16" s="35"/>
    </row>
    <row r="17" spans="1:9" ht="27.2" customHeight="1" x14ac:dyDescent="0.25">
      <c r="A17" s="23"/>
      <c r="B17" s="23"/>
      <c r="C17" s="23"/>
      <c r="D17" s="23"/>
      <c r="E17" s="14">
        <v>1</v>
      </c>
      <c r="F17" s="4" t="s">
        <v>324</v>
      </c>
      <c r="G17" s="14">
        <v>1</v>
      </c>
      <c r="H17" s="12">
        <v>22082</v>
      </c>
      <c r="I17" s="35"/>
    </row>
    <row r="18" spans="1:9" ht="27.2" customHeight="1" x14ac:dyDescent="0.25">
      <c r="A18" s="23"/>
      <c r="B18" s="23"/>
      <c r="C18" s="23"/>
      <c r="D18" s="23"/>
      <c r="E18" s="14">
        <v>1</v>
      </c>
      <c r="F18" s="4" t="s">
        <v>325</v>
      </c>
      <c r="G18" s="14">
        <v>2</v>
      </c>
      <c r="H18" s="12">
        <v>14027</v>
      </c>
      <c r="I18" s="35"/>
    </row>
    <row r="19" spans="1:9" ht="15" customHeight="1" x14ac:dyDescent="0.25">
      <c r="A19" s="4" t="s">
        <v>33</v>
      </c>
      <c r="B19" s="23" t="s">
        <v>156</v>
      </c>
      <c r="C19" s="23"/>
      <c r="D19" s="23"/>
      <c r="E19" s="4"/>
      <c r="F19" s="4"/>
      <c r="G19" s="4"/>
      <c r="H19" s="4"/>
      <c r="I19" s="12">
        <f>ROUND($I$15,2)</f>
        <v>69976.5</v>
      </c>
    </row>
    <row r="20" spans="1:9" ht="15" customHeight="1" x14ac:dyDescent="0.25"/>
    <row r="21" spans="1:9" ht="15" customHeight="1" x14ac:dyDescent="0.25"/>
    <row r="22" spans="1:9" ht="15" customHeight="1" x14ac:dyDescent="0.25">
      <c r="A22" s="19" t="s">
        <v>326</v>
      </c>
      <c r="B22" s="19"/>
      <c r="C22" s="19"/>
      <c r="D22" s="19"/>
      <c r="E22" s="19"/>
      <c r="F22" s="19"/>
      <c r="G22" s="19"/>
      <c r="H22" s="19"/>
      <c r="I22" s="19"/>
    </row>
    <row r="23" spans="1:9" ht="15" customHeight="1" x14ac:dyDescent="0.25"/>
    <row r="24" spans="1:9" ht="15" customHeight="1" x14ac:dyDescent="0.25"/>
    <row r="25" spans="1:9" ht="27.2" customHeight="1" x14ac:dyDescent="0.25">
      <c r="A25" s="4" t="s">
        <v>52</v>
      </c>
      <c r="B25" s="23" t="s">
        <v>327</v>
      </c>
      <c r="C25" s="23"/>
      <c r="D25" s="23"/>
      <c r="E25" s="23"/>
      <c r="F25" s="23"/>
      <c r="G25" s="23"/>
      <c r="H25" s="23"/>
      <c r="I25" s="12">
        <f>ROUND($I$19,2)</f>
        <v>69976.5</v>
      </c>
    </row>
    <row r="26" spans="1:9" ht="27.2" customHeight="1" x14ac:dyDescent="0.25">
      <c r="A26" s="4" t="s">
        <v>59</v>
      </c>
      <c r="B26" s="23" t="s">
        <v>328</v>
      </c>
      <c r="C26" s="23"/>
      <c r="D26" s="23"/>
      <c r="E26" s="23"/>
      <c r="F26" s="23"/>
      <c r="G26" s="23"/>
      <c r="H26" s="23"/>
      <c r="I26" s="12">
        <f>ROUND((($I$25) / 0.45),2)</f>
        <v>155503.32999999999</v>
      </c>
    </row>
    <row r="27" spans="1:9" ht="27.2" customHeight="1" x14ac:dyDescent="0.25">
      <c r="A27" s="4" t="s">
        <v>61</v>
      </c>
      <c r="B27" s="23" t="s">
        <v>329</v>
      </c>
      <c r="C27" s="23"/>
      <c r="D27" s="23"/>
      <c r="E27" s="23"/>
      <c r="F27" s="23"/>
      <c r="G27" s="23"/>
      <c r="H27" s="23"/>
      <c r="I27" s="12">
        <f>ROUND(($I$26) * (8/100),2)</f>
        <v>12440.27</v>
      </c>
    </row>
    <row r="28" spans="1:9" ht="27.2" customHeight="1" x14ac:dyDescent="0.25">
      <c r="A28" s="4" t="s">
        <v>64</v>
      </c>
      <c r="B28" s="23" t="s">
        <v>330</v>
      </c>
      <c r="C28" s="23"/>
      <c r="D28" s="23"/>
      <c r="E28" s="23"/>
      <c r="F28" s="23"/>
      <c r="G28" s="23"/>
      <c r="H28" s="23"/>
      <c r="I28" s="12">
        <f>ROUND(($I$26+$I$27),2)</f>
        <v>167943.6</v>
      </c>
    </row>
    <row r="29" spans="1:9" ht="15" customHeight="1" x14ac:dyDescent="0.25">
      <c r="A29" s="4" t="s">
        <v>331</v>
      </c>
      <c r="B29" s="23" t="s">
        <v>157</v>
      </c>
      <c r="C29" s="23"/>
      <c r="D29" s="23"/>
      <c r="E29" s="23"/>
      <c r="F29" s="23"/>
      <c r="G29" s="23"/>
      <c r="H29" s="23"/>
      <c r="I29" s="12">
        <f>ROUND(($I$28),2)</f>
        <v>167943.6</v>
      </c>
    </row>
    <row r="30" spans="1:9" ht="15" customHeight="1" x14ac:dyDescent="0.25"/>
    <row r="31" spans="1:9" ht="30" customHeight="1" x14ac:dyDescent="0.25">
      <c r="A31" s="19" t="s">
        <v>158</v>
      </c>
      <c r="B31" s="19"/>
      <c r="C31" s="19"/>
      <c r="D31" s="19"/>
      <c r="E31" s="34">
        <f>$I$29</f>
        <v>167943.6</v>
      </c>
      <c r="F31" s="34"/>
      <c r="G31" s="34"/>
      <c r="H31" s="34"/>
      <c r="I31" s="34"/>
    </row>
    <row r="32" spans="1:9"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29">
    <mergeCell ref="B29:H29"/>
    <mergeCell ref="A31:D31"/>
    <mergeCell ref="E31:I31"/>
    <mergeCell ref="A22:I22"/>
    <mergeCell ref="B25:H25"/>
    <mergeCell ref="B26:H26"/>
    <mergeCell ref="B27:H27"/>
    <mergeCell ref="B28:H28"/>
    <mergeCell ref="B14:D14"/>
    <mergeCell ref="A15:A18"/>
    <mergeCell ref="B15:D18"/>
    <mergeCell ref="I15:I18"/>
    <mergeCell ref="B19:D19"/>
    <mergeCell ref="A8:D8"/>
    <mergeCell ref="E8:I8"/>
    <mergeCell ref="A10:D10"/>
    <mergeCell ref="E10:I10"/>
    <mergeCell ref="A12:A13"/>
    <mergeCell ref="B12:D13"/>
    <mergeCell ref="E12:F12"/>
    <mergeCell ref="G12:G13"/>
    <mergeCell ref="H12:H13"/>
    <mergeCell ref="I12:I13"/>
    <mergeCell ref="A1:C1"/>
    <mergeCell ref="D1:I1"/>
    <mergeCell ref="A3:I3"/>
    <mergeCell ref="A4:I4"/>
    <mergeCell ref="A6:D6"/>
    <mergeCell ref="E6:I6"/>
  </mergeCells>
  <pageMargins left="0.23622047244094491" right="0.23622047244094491"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76"/>
  <sheetViews>
    <sheetView showRuler="0" topLeftCell="A67" zoomScale="70" zoomScaleNormal="70" workbookViewId="0">
      <selection activeCell="G95" sqref="G95"/>
    </sheetView>
  </sheetViews>
  <sheetFormatPr defaultRowHeight="15" x14ac:dyDescent="0.25"/>
  <cols>
    <col min="1" max="1" width="6.42578125" style="1" customWidth="1"/>
    <col min="2" max="50" width="8" style="1" customWidth="1"/>
  </cols>
  <sheetData>
    <row r="1" spans="1:16" ht="27.2" customHeight="1" x14ac:dyDescent="0.25">
      <c r="A1" s="15" t="s">
        <v>0</v>
      </c>
      <c r="B1" s="15"/>
      <c r="C1" s="15"/>
      <c r="D1" s="15"/>
      <c r="E1" s="16" t="s">
        <v>332</v>
      </c>
      <c r="F1" s="16"/>
      <c r="G1" s="16"/>
      <c r="H1" s="16"/>
      <c r="I1" s="16"/>
      <c r="J1" s="16"/>
      <c r="K1" s="16"/>
      <c r="L1" s="16"/>
      <c r="M1" s="16"/>
      <c r="N1" s="16"/>
      <c r="O1" s="16"/>
      <c r="P1" s="16"/>
    </row>
    <row r="2" spans="1:16" ht="15" customHeight="1" x14ac:dyDescent="0.25"/>
    <row r="3" spans="1:16" ht="15" customHeight="1" x14ac:dyDescent="0.25">
      <c r="A3" s="17" t="s">
        <v>333</v>
      </c>
      <c r="B3" s="17"/>
      <c r="C3" s="17"/>
      <c r="D3" s="17"/>
      <c r="E3" s="17"/>
      <c r="F3" s="17"/>
      <c r="G3" s="17"/>
      <c r="H3" s="17"/>
      <c r="I3" s="17"/>
      <c r="J3" s="17"/>
      <c r="K3" s="17"/>
      <c r="L3" s="17"/>
      <c r="M3" s="17"/>
      <c r="N3" s="17"/>
      <c r="O3" s="17"/>
      <c r="P3" s="17"/>
    </row>
    <row r="4" spans="1:16" ht="15" customHeight="1" x14ac:dyDescent="0.25">
      <c r="A4" s="18" t="s">
        <v>313</v>
      </c>
      <c r="B4" s="18"/>
      <c r="C4" s="18"/>
      <c r="D4" s="18"/>
      <c r="E4" s="18"/>
      <c r="F4" s="18"/>
      <c r="G4" s="18"/>
      <c r="H4" s="18"/>
      <c r="I4" s="18"/>
      <c r="J4" s="18"/>
      <c r="K4" s="18"/>
      <c r="L4" s="18"/>
      <c r="M4" s="18"/>
      <c r="N4" s="18"/>
      <c r="O4" s="18"/>
      <c r="P4" s="18"/>
    </row>
    <row r="5" spans="1:16" ht="15" customHeight="1" x14ac:dyDescent="0.25"/>
    <row r="6" spans="1:16" ht="54.4" customHeight="1" x14ac:dyDescent="0.25">
      <c r="A6" s="19" t="s">
        <v>314</v>
      </c>
      <c r="B6" s="19"/>
      <c r="C6" s="19"/>
      <c r="D6" s="19"/>
      <c r="E6" s="19"/>
      <c r="F6" s="36" t="s">
        <v>39</v>
      </c>
      <c r="G6" s="36"/>
      <c r="H6" s="36"/>
      <c r="I6" s="36"/>
      <c r="J6" s="36"/>
      <c r="K6" s="36"/>
      <c r="L6" s="36"/>
      <c r="M6" s="36"/>
      <c r="N6" s="36"/>
      <c r="O6" s="36"/>
      <c r="P6" s="36"/>
    </row>
    <row r="7" spans="1:16" ht="15" customHeight="1" x14ac:dyDescent="0.25"/>
    <row r="8" spans="1:16" ht="27.2" customHeight="1" x14ac:dyDescent="0.25">
      <c r="A8" s="19" t="s">
        <v>315</v>
      </c>
      <c r="B8" s="19"/>
      <c r="C8" s="19"/>
      <c r="D8" s="19"/>
      <c r="E8" s="19"/>
      <c r="F8" s="36" t="s">
        <v>10</v>
      </c>
      <c r="G8" s="36"/>
      <c r="H8" s="36"/>
      <c r="I8" s="36"/>
      <c r="J8" s="36"/>
      <c r="K8" s="36"/>
      <c r="L8" s="36"/>
      <c r="M8" s="36"/>
      <c r="N8" s="36"/>
      <c r="O8" s="36"/>
      <c r="P8" s="36"/>
    </row>
    <row r="9" spans="1:16" ht="15" customHeight="1" x14ac:dyDescent="0.25"/>
    <row r="10" spans="1:16" ht="15" customHeight="1" x14ac:dyDescent="0.25">
      <c r="A10" s="19" t="s">
        <v>11</v>
      </c>
      <c r="B10" s="19"/>
      <c r="C10" s="19"/>
      <c r="D10" s="19"/>
      <c r="E10" s="19"/>
      <c r="F10" s="36" t="s">
        <v>12</v>
      </c>
      <c r="G10" s="36"/>
      <c r="H10" s="36"/>
      <c r="I10" s="36"/>
      <c r="J10" s="36"/>
      <c r="K10" s="36"/>
      <c r="L10" s="36"/>
      <c r="M10" s="36"/>
      <c r="N10" s="36"/>
      <c r="O10" s="36"/>
      <c r="P10" s="36"/>
    </row>
    <row r="11" spans="1:16" ht="15" customHeight="1" x14ac:dyDescent="0.25"/>
    <row r="12" spans="1:16" ht="81.599999999999994" customHeight="1" x14ac:dyDescent="0.25">
      <c r="A12" s="2" t="s">
        <v>80</v>
      </c>
      <c r="B12" s="21" t="s">
        <v>334</v>
      </c>
      <c r="C12" s="21"/>
      <c r="D12" s="21"/>
      <c r="E12" s="21"/>
      <c r="F12" s="21"/>
      <c r="G12" s="21" t="s">
        <v>335</v>
      </c>
      <c r="H12" s="21"/>
      <c r="I12" s="21"/>
      <c r="J12" s="21"/>
      <c r="K12" s="21" t="s">
        <v>336</v>
      </c>
      <c r="L12" s="21"/>
      <c r="M12" s="21"/>
      <c r="N12" s="21"/>
      <c r="O12" s="21" t="s">
        <v>337</v>
      </c>
      <c r="P12" s="21"/>
    </row>
    <row r="13" spans="1:16" ht="15" customHeight="1" x14ac:dyDescent="0.25">
      <c r="A13" s="2">
        <v>1</v>
      </c>
      <c r="B13" s="21">
        <v>2</v>
      </c>
      <c r="C13" s="21"/>
      <c r="D13" s="21"/>
      <c r="E13" s="21"/>
      <c r="F13" s="21"/>
      <c r="G13" s="21">
        <v>3</v>
      </c>
      <c r="H13" s="21"/>
      <c r="I13" s="21"/>
      <c r="J13" s="21"/>
      <c r="K13" s="21">
        <v>4</v>
      </c>
      <c r="L13" s="21"/>
      <c r="M13" s="21"/>
      <c r="N13" s="21"/>
      <c r="O13" s="21">
        <v>5</v>
      </c>
      <c r="P13" s="21"/>
    </row>
    <row r="14" spans="1:16" ht="15" customHeight="1" x14ac:dyDescent="0.25">
      <c r="A14" s="23" t="s">
        <v>338</v>
      </c>
      <c r="B14" s="23"/>
      <c r="C14" s="23"/>
      <c r="D14" s="23"/>
      <c r="E14" s="23"/>
      <c r="F14" s="23"/>
      <c r="G14" s="23"/>
      <c r="H14" s="23"/>
      <c r="I14" s="23"/>
      <c r="J14" s="23"/>
      <c r="K14" s="23"/>
      <c r="L14" s="23"/>
      <c r="M14" s="23"/>
      <c r="N14" s="23"/>
      <c r="O14" s="23"/>
      <c r="P14" s="23"/>
    </row>
    <row r="15" spans="1:16" ht="163.15" customHeight="1" x14ac:dyDescent="0.25">
      <c r="A15" s="9" t="s">
        <v>21</v>
      </c>
      <c r="B15" s="28" t="s">
        <v>339</v>
      </c>
      <c r="C15" s="29"/>
      <c r="D15" s="29"/>
      <c r="E15" s="29"/>
      <c r="F15" s="29"/>
      <c r="G15" s="29" t="s">
        <v>340</v>
      </c>
      <c r="H15" s="29"/>
      <c r="I15" s="29"/>
      <c r="J15" s="29"/>
      <c r="K15" s="29" t="s">
        <v>341</v>
      </c>
      <c r="L15" s="29"/>
      <c r="M15" s="29"/>
      <c r="N15" s="29"/>
      <c r="O15" s="30">
        <f>ROUND((302600 + 1964970 * 0.427) * 1 * 1.4 * 0.4, 2)</f>
        <v>639319.63</v>
      </c>
      <c r="P15" s="29"/>
    </row>
    <row r="16" spans="1:16" ht="15" customHeight="1" x14ac:dyDescent="0.25">
      <c r="A16" s="10"/>
      <c r="B16" s="31" t="s">
        <v>89</v>
      </c>
      <c r="C16" s="31"/>
      <c r="D16" s="31"/>
      <c r="E16" s="31"/>
      <c r="F16" s="31"/>
      <c r="G16" s="31" t="s">
        <v>8</v>
      </c>
      <c r="H16" s="31"/>
      <c r="I16" s="31"/>
      <c r="J16" s="31"/>
      <c r="K16" s="31" t="s">
        <v>8</v>
      </c>
      <c r="L16" s="31"/>
      <c r="M16" s="31"/>
      <c r="N16" s="31"/>
      <c r="O16" s="31"/>
      <c r="P16" s="31"/>
    </row>
    <row r="17" spans="1:16" ht="15" customHeight="1" x14ac:dyDescent="0.25">
      <c r="A17" s="11"/>
      <c r="B17" s="32" t="s">
        <v>342</v>
      </c>
      <c r="C17" s="32"/>
      <c r="D17" s="32"/>
      <c r="E17" s="32"/>
      <c r="F17" s="32"/>
      <c r="G17" s="32" t="s">
        <v>343</v>
      </c>
      <c r="H17" s="32"/>
      <c r="I17" s="32"/>
      <c r="J17" s="32"/>
      <c r="K17" s="32" t="s">
        <v>8</v>
      </c>
      <c r="L17" s="32"/>
      <c r="M17" s="32"/>
      <c r="N17" s="32"/>
      <c r="O17" s="32"/>
      <c r="P17" s="32"/>
    </row>
    <row r="18" spans="1:16" ht="40.9" customHeight="1" x14ac:dyDescent="0.25">
      <c r="A18" s="11"/>
      <c r="B18" s="32" t="s">
        <v>344</v>
      </c>
      <c r="C18" s="32"/>
      <c r="D18" s="32"/>
      <c r="E18" s="32"/>
      <c r="F18" s="32"/>
      <c r="G18" s="32" t="s">
        <v>345</v>
      </c>
      <c r="H18" s="32"/>
      <c r="I18" s="32"/>
      <c r="J18" s="32"/>
      <c r="K18" s="32" t="s">
        <v>8</v>
      </c>
      <c r="L18" s="32"/>
      <c r="M18" s="32"/>
      <c r="N18" s="32"/>
      <c r="O18" s="32"/>
      <c r="P18" s="32"/>
    </row>
    <row r="19" spans="1:16" ht="15" customHeight="1" x14ac:dyDescent="0.25">
      <c r="A19" s="23" t="s">
        <v>346</v>
      </c>
      <c r="B19" s="23"/>
      <c r="C19" s="23"/>
      <c r="D19" s="23"/>
      <c r="E19" s="23"/>
      <c r="F19" s="23"/>
      <c r="G19" s="23"/>
      <c r="H19" s="23"/>
      <c r="I19" s="23"/>
      <c r="J19" s="23"/>
      <c r="K19" s="23"/>
      <c r="L19" s="23"/>
      <c r="M19" s="23"/>
      <c r="N19" s="23"/>
      <c r="O19" s="23"/>
      <c r="P19" s="23"/>
    </row>
    <row r="20" spans="1:16" ht="108.75" customHeight="1" x14ac:dyDescent="0.25">
      <c r="A20" s="9" t="s">
        <v>33</v>
      </c>
      <c r="B20" s="28" t="s">
        <v>347</v>
      </c>
      <c r="C20" s="29"/>
      <c r="D20" s="29"/>
      <c r="E20" s="29"/>
      <c r="F20" s="29"/>
      <c r="G20" s="29" t="s">
        <v>348</v>
      </c>
      <c r="H20" s="29"/>
      <c r="I20" s="29"/>
      <c r="J20" s="29"/>
      <c r="K20" s="29" t="s">
        <v>349</v>
      </c>
      <c r="L20" s="29"/>
      <c r="M20" s="29"/>
      <c r="N20" s="29"/>
      <c r="O20" s="30">
        <f>ROUND(1622600 * 1 * 1.4 * 0.4, 2)</f>
        <v>908656</v>
      </c>
      <c r="P20" s="29"/>
    </row>
    <row r="21" spans="1:16" ht="15" customHeight="1" x14ac:dyDescent="0.25">
      <c r="A21" s="10"/>
      <c r="B21" s="31" t="s">
        <v>89</v>
      </c>
      <c r="C21" s="31"/>
      <c r="D21" s="31"/>
      <c r="E21" s="31"/>
      <c r="F21" s="31"/>
      <c r="G21" s="31" t="s">
        <v>8</v>
      </c>
      <c r="H21" s="31"/>
      <c r="I21" s="31"/>
      <c r="J21" s="31"/>
      <c r="K21" s="31" t="s">
        <v>8</v>
      </c>
      <c r="L21" s="31"/>
      <c r="M21" s="31"/>
      <c r="N21" s="31"/>
      <c r="O21" s="31"/>
      <c r="P21" s="31"/>
    </row>
    <row r="22" spans="1:16" ht="15" customHeight="1" x14ac:dyDescent="0.25">
      <c r="A22" s="11"/>
      <c r="B22" s="32" t="s">
        <v>342</v>
      </c>
      <c r="C22" s="32"/>
      <c r="D22" s="32"/>
      <c r="E22" s="32"/>
      <c r="F22" s="32"/>
      <c r="G22" s="32" t="s">
        <v>343</v>
      </c>
      <c r="H22" s="32"/>
      <c r="I22" s="32"/>
      <c r="J22" s="32"/>
      <c r="K22" s="32" t="s">
        <v>8</v>
      </c>
      <c r="L22" s="32"/>
      <c r="M22" s="32"/>
      <c r="N22" s="32"/>
      <c r="O22" s="32"/>
      <c r="P22" s="32"/>
    </row>
    <row r="23" spans="1:16" ht="40.9" customHeight="1" x14ac:dyDescent="0.25">
      <c r="A23" s="11"/>
      <c r="B23" s="32" t="s">
        <v>344</v>
      </c>
      <c r="C23" s="32"/>
      <c r="D23" s="32"/>
      <c r="E23" s="32"/>
      <c r="F23" s="32"/>
      <c r="G23" s="32" t="s">
        <v>345</v>
      </c>
      <c r="H23" s="32"/>
      <c r="I23" s="32"/>
      <c r="J23" s="32"/>
      <c r="K23" s="32" t="s">
        <v>8</v>
      </c>
      <c r="L23" s="32"/>
      <c r="M23" s="32"/>
      <c r="N23" s="32"/>
      <c r="O23" s="32"/>
      <c r="P23" s="32"/>
    </row>
    <row r="24" spans="1:16" ht="15" customHeight="1" x14ac:dyDescent="0.25">
      <c r="A24" s="23" t="s">
        <v>350</v>
      </c>
      <c r="B24" s="23"/>
      <c r="C24" s="23"/>
      <c r="D24" s="23"/>
      <c r="E24" s="23"/>
      <c r="F24" s="23"/>
      <c r="G24" s="23"/>
      <c r="H24" s="23"/>
      <c r="I24" s="23"/>
      <c r="J24" s="23"/>
      <c r="K24" s="23"/>
      <c r="L24" s="23"/>
      <c r="M24" s="23"/>
      <c r="N24" s="23"/>
      <c r="O24" s="23"/>
      <c r="P24" s="23"/>
    </row>
    <row r="25" spans="1:16" ht="68.099999999999994" customHeight="1" x14ac:dyDescent="0.25">
      <c r="A25" s="9" t="s">
        <v>52</v>
      </c>
      <c r="B25" s="28" t="s">
        <v>351</v>
      </c>
      <c r="C25" s="29"/>
      <c r="D25" s="29"/>
      <c r="E25" s="29"/>
      <c r="F25" s="29"/>
      <c r="G25" s="29" t="s">
        <v>352</v>
      </c>
      <c r="H25" s="29"/>
      <c r="I25" s="29"/>
      <c r="J25" s="29"/>
      <c r="K25" s="29" t="s">
        <v>353</v>
      </c>
      <c r="L25" s="29"/>
      <c r="M25" s="29"/>
      <c r="N25" s="29"/>
      <c r="O25" s="30">
        <f>ROUND(91000 * 2 * 7.22 * 0.4, 2)</f>
        <v>525616</v>
      </c>
      <c r="P25" s="29"/>
    </row>
    <row r="26" spans="1:16" ht="15" customHeight="1" x14ac:dyDescent="0.25">
      <c r="A26" s="10"/>
      <c r="B26" s="31" t="s">
        <v>89</v>
      </c>
      <c r="C26" s="31"/>
      <c r="D26" s="31"/>
      <c r="E26" s="31"/>
      <c r="F26" s="31"/>
      <c r="G26" s="31" t="s">
        <v>8</v>
      </c>
      <c r="H26" s="31"/>
      <c r="I26" s="31"/>
      <c r="J26" s="31"/>
      <c r="K26" s="31" t="s">
        <v>8</v>
      </c>
      <c r="L26" s="31"/>
      <c r="M26" s="31"/>
      <c r="N26" s="31"/>
      <c r="O26" s="31"/>
      <c r="P26" s="31"/>
    </row>
    <row r="27" spans="1:16" ht="15" customHeight="1" x14ac:dyDescent="0.25">
      <c r="A27" s="11"/>
      <c r="B27" s="32" t="s">
        <v>342</v>
      </c>
      <c r="C27" s="32"/>
      <c r="D27" s="32"/>
      <c r="E27" s="32"/>
      <c r="F27" s="32"/>
      <c r="G27" s="32" t="s">
        <v>343</v>
      </c>
      <c r="H27" s="32"/>
      <c r="I27" s="32"/>
      <c r="J27" s="32"/>
      <c r="K27" s="32" t="s">
        <v>8</v>
      </c>
      <c r="L27" s="32"/>
      <c r="M27" s="32"/>
      <c r="N27" s="32"/>
      <c r="O27" s="32"/>
      <c r="P27" s="32"/>
    </row>
    <row r="28" spans="1:16" ht="40.9" customHeight="1" x14ac:dyDescent="0.25">
      <c r="A28" s="11"/>
      <c r="B28" s="32" t="s">
        <v>354</v>
      </c>
      <c r="C28" s="32"/>
      <c r="D28" s="32"/>
      <c r="E28" s="32"/>
      <c r="F28" s="32"/>
      <c r="G28" s="32" t="s">
        <v>355</v>
      </c>
      <c r="H28" s="32"/>
      <c r="I28" s="32"/>
      <c r="J28" s="32"/>
      <c r="K28" s="32" t="s">
        <v>8</v>
      </c>
      <c r="L28" s="32"/>
      <c r="M28" s="32"/>
      <c r="N28" s="32"/>
      <c r="O28" s="32"/>
      <c r="P28" s="32"/>
    </row>
    <row r="29" spans="1:16" ht="15" customHeight="1" x14ac:dyDescent="0.25">
      <c r="A29" s="23" t="s">
        <v>356</v>
      </c>
      <c r="B29" s="23"/>
      <c r="C29" s="23"/>
      <c r="D29" s="23"/>
      <c r="E29" s="23"/>
      <c r="F29" s="23"/>
      <c r="G29" s="23"/>
      <c r="H29" s="23"/>
      <c r="I29" s="23"/>
      <c r="J29" s="23"/>
      <c r="K29" s="23"/>
      <c r="L29" s="23"/>
      <c r="M29" s="23"/>
      <c r="N29" s="23"/>
      <c r="O29" s="23"/>
      <c r="P29" s="23"/>
    </row>
    <row r="30" spans="1:16" ht="95.25" customHeight="1" x14ac:dyDescent="0.25">
      <c r="A30" s="9" t="s">
        <v>59</v>
      </c>
      <c r="B30" s="28" t="s">
        <v>357</v>
      </c>
      <c r="C30" s="29"/>
      <c r="D30" s="29"/>
      <c r="E30" s="29"/>
      <c r="F30" s="29"/>
      <c r="G30" s="29" t="s">
        <v>358</v>
      </c>
      <c r="H30" s="29"/>
      <c r="I30" s="29"/>
      <c r="J30" s="29"/>
      <c r="K30" s="29" t="s">
        <v>359</v>
      </c>
      <c r="L30" s="29"/>
      <c r="M30" s="29"/>
      <c r="N30" s="29"/>
      <c r="O30" s="30">
        <f>ROUND((245000 + 326000 * 0.5) * 1 * 1.56 * 0.4 * 0.4, 2)</f>
        <v>101836.8</v>
      </c>
      <c r="P30" s="29"/>
    </row>
    <row r="31" spans="1:16" ht="15" customHeight="1" x14ac:dyDescent="0.25">
      <c r="A31" s="10"/>
      <c r="B31" s="31" t="s">
        <v>89</v>
      </c>
      <c r="C31" s="31"/>
      <c r="D31" s="31"/>
      <c r="E31" s="31"/>
      <c r="F31" s="31"/>
      <c r="G31" s="31" t="s">
        <v>8</v>
      </c>
      <c r="H31" s="31"/>
      <c r="I31" s="31"/>
      <c r="J31" s="31"/>
      <c r="K31" s="31" t="s">
        <v>8</v>
      </c>
      <c r="L31" s="31"/>
      <c r="M31" s="31"/>
      <c r="N31" s="31"/>
      <c r="O31" s="31"/>
      <c r="P31" s="31"/>
    </row>
    <row r="32" spans="1:16" ht="15" customHeight="1" x14ac:dyDescent="0.25">
      <c r="A32" s="11"/>
      <c r="B32" s="32" t="s">
        <v>342</v>
      </c>
      <c r="C32" s="32"/>
      <c r="D32" s="32"/>
      <c r="E32" s="32"/>
      <c r="F32" s="32"/>
      <c r="G32" s="32" t="s">
        <v>343</v>
      </c>
      <c r="H32" s="32"/>
      <c r="I32" s="32"/>
      <c r="J32" s="32"/>
      <c r="K32" s="32" t="s">
        <v>8</v>
      </c>
      <c r="L32" s="32"/>
      <c r="M32" s="32"/>
      <c r="N32" s="32"/>
      <c r="O32" s="32"/>
      <c r="P32" s="32"/>
    </row>
    <row r="33" spans="1:16" ht="40.9" customHeight="1" x14ac:dyDescent="0.25">
      <c r="A33" s="11"/>
      <c r="B33" s="32" t="s">
        <v>360</v>
      </c>
      <c r="C33" s="32"/>
      <c r="D33" s="32"/>
      <c r="E33" s="32"/>
      <c r="F33" s="32"/>
      <c r="G33" s="32" t="s">
        <v>361</v>
      </c>
      <c r="H33" s="32"/>
      <c r="I33" s="32"/>
      <c r="J33" s="32"/>
      <c r="K33" s="32" t="s">
        <v>8</v>
      </c>
      <c r="L33" s="32"/>
      <c r="M33" s="32"/>
      <c r="N33" s="32"/>
      <c r="O33" s="32"/>
      <c r="P33" s="32"/>
    </row>
    <row r="34" spans="1:16" ht="15" customHeight="1" x14ac:dyDescent="0.25">
      <c r="A34" s="10"/>
      <c r="B34" s="31" t="s">
        <v>362</v>
      </c>
      <c r="C34" s="31"/>
      <c r="D34" s="31"/>
      <c r="E34" s="31"/>
      <c r="F34" s="31"/>
      <c r="G34" s="31" t="s">
        <v>8</v>
      </c>
      <c r="H34" s="31"/>
      <c r="I34" s="31"/>
      <c r="J34" s="31"/>
      <c r="K34" s="31" t="s">
        <v>8</v>
      </c>
      <c r="L34" s="31"/>
      <c r="M34" s="31"/>
      <c r="N34" s="31"/>
      <c r="O34" s="31"/>
      <c r="P34" s="31"/>
    </row>
    <row r="35" spans="1:16" ht="15" customHeight="1" x14ac:dyDescent="0.25">
      <c r="A35" s="11"/>
      <c r="B35" s="32" t="s">
        <v>363</v>
      </c>
      <c r="C35" s="32"/>
      <c r="D35" s="32"/>
      <c r="E35" s="32"/>
      <c r="F35" s="32"/>
      <c r="G35" s="32" t="s">
        <v>364</v>
      </c>
      <c r="H35" s="32"/>
      <c r="I35" s="32"/>
      <c r="J35" s="32"/>
      <c r="K35" s="32" t="s">
        <v>8</v>
      </c>
      <c r="L35" s="32"/>
      <c r="M35" s="32"/>
      <c r="N35" s="32"/>
      <c r="O35" s="32"/>
      <c r="P35" s="32"/>
    </row>
    <row r="36" spans="1:16" ht="27.2" customHeight="1" x14ac:dyDescent="0.25">
      <c r="A36" s="11"/>
      <c r="B36" s="32" t="s">
        <v>365</v>
      </c>
      <c r="C36" s="32"/>
      <c r="D36" s="32"/>
      <c r="E36" s="32"/>
      <c r="F36" s="32"/>
      <c r="G36" s="32" t="s">
        <v>366</v>
      </c>
      <c r="H36" s="32"/>
      <c r="I36" s="32"/>
      <c r="J36" s="32"/>
      <c r="K36" s="32" t="s">
        <v>8</v>
      </c>
      <c r="L36" s="32"/>
      <c r="M36" s="32"/>
      <c r="N36" s="32"/>
      <c r="O36" s="32"/>
      <c r="P36" s="32"/>
    </row>
    <row r="37" spans="1:16" ht="15" customHeight="1" x14ac:dyDescent="0.25">
      <c r="A37" s="11"/>
      <c r="B37" s="32" t="s">
        <v>367</v>
      </c>
      <c r="C37" s="32"/>
      <c r="D37" s="32"/>
      <c r="E37" s="32"/>
      <c r="F37" s="32"/>
      <c r="G37" s="32" t="s">
        <v>368</v>
      </c>
      <c r="H37" s="32"/>
      <c r="I37" s="32"/>
      <c r="J37" s="32"/>
      <c r="K37" s="32" t="s">
        <v>8</v>
      </c>
      <c r="L37" s="32"/>
      <c r="M37" s="32"/>
      <c r="N37" s="32"/>
      <c r="O37" s="32"/>
      <c r="P37" s="32"/>
    </row>
    <row r="38" spans="1:16" ht="15" customHeight="1" x14ac:dyDescent="0.25">
      <c r="A38" s="11"/>
      <c r="B38" s="32" t="s">
        <v>369</v>
      </c>
      <c r="C38" s="32"/>
      <c r="D38" s="32"/>
      <c r="E38" s="32"/>
      <c r="F38" s="32"/>
      <c r="G38" s="32" t="s">
        <v>370</v>
      </c>
      <c r="H38" s="32"/>
      <c r="I38" s="32"/>
      <c r="J38" s="32"/>
      <c r="K38" s="32" t="s">
        <v>8</v>
      </c>
      <c r="L38" s="32"/>
      <c r="M38" s="32"/>
      <c r="N38" s="32"/>
      <c r="O38" s="32"/>
      <c r="P38" s="32"/>
    </row>
    <row r="39" spans="1:16" ht="27.2" customHeight="1" x14ac:dyDescent="0.25">
      <c r="A39" s="11"/>
      <c r="B39" s="32" t="s">
        <v>371</v>
      </c>
      <c r="C39" s="32"/>
      <c r="D39" s="32"/>
      <c r="E39" s="32"/>
      <c r="F39" s="32"/>
      <c r="G39" s="32" t="s">
        <v>372</v>
      </c>
      <c r="H39" s="32"/>
      <c r="I39" s="32"/>
      <c r="J39" s="32"/>
      <c r="K39" s="32" t="s">
        <v>8</v>
      </c>
      <c r="L39" s="32"/>
      <c r="M39" s="32"/>
      <c r="N39" s="32"/>
      <c r="O39" s="32"/>
      <c r="P39" s="32"/>
    </row>
    <row r="40" spans="1:16" ht="40.9" customHeight="1" x14ac:dyDescent="0.25">
      <c r="A40" s="11"/>
      <c r="B40" s="32" t="s">
        <v>373</v>
      </c>
      <c r="C40" s="32"/>
      <c r="D40" s="32"/>
      <c r="E40" s="32"/>
      <c r="F40" s="32"/>
      <c r="G40" s="32" t="s">
        <v>364</v>
      </c>
      <c r="H40" s="32"/>
      <c r="I40" s="32"/>
      <c r="J40" s="32"/>
      <c r="K40" s="32" t="s">
        <v>8</v>
      </c>
      <c r="L40" s="32"/>
      <c r="M40" s="32"/>
      <c r="N40" s="32"/>
      <c r="O40" s="32"/>
      <c r="P40" s="32"/>
    </row>
    <row r="41" spans="1:16" ht="40.9" customHeight="1" x14ac:dyDescent="0.25">
      <c r="A41" s="11"/>
      <c r="B41" s="32" t="s">
        <v>374</v>
      </c>
      <c r="C41" s="32"/>
      <c r="D41" s="32"/>
      <c r="E41" s="32"/>
      <c r="F41" s="32"/>
      <c r="G41" s="32" t="s">
        <v>375</v>
      </c>
      <c r="H41" s="32"/>
      <c r="I41" s="32"/>
      <c r="J41" s="32"/>
      <c r="K41" s="32" t="s">
        <v>8</v>
      </c>
      <c r="L41" s="32"/>
      <c r="M41" s="32"/>
      <c r="N41" s="32"/>
      <c r="O41" s="32"/>
      <c r="P41" s="32"/>
    </row>
    <row r="42" spans="1:16" ht="15" customHeight="1" x14ac:dyDescent="0.25">
      <c r="A42" s="10"/>
      <c r="B42" s="31" t="s">
        <v>376</v>
      </c>
      <c r="C42" s="31"/>
      <c r="D42" s="31"/>
      <c r="E42" s="31"/>
      <c r="F42" s="31"/>
      <c r="G42" s="31" t="s">
        <v>8</v>
      </c>
      <c r="H42" s="31"/>
      <c r="I42" s="31"/>
      <c r="J42" s="31"/>
      <c r="K42" s="31" t="s">
        <v>8</v>
      </c>
      <c r="L42" s="31"/>
      <c r="M42" s="31"/>
      <c r="N42" s="31"/>
      <c r="O42" s="31"/>
      <c r="P42" s="31"/>
    </row>
    <row r="43" spans="1:16" ht="27.2" customHeight="1" x14ac:dyDescent="0.25">
      <c r="A43" s="11"/>
      <c r="B43" s="32" t="s">
        <v>377</v>
      </c>
      <c r="C43" s="32"/>
      <c r="D43" s="32"/>
      <c r="E43" s="32"/>
      <c r="F43" s="32"/>
      <c r="G43" s="32" t="s">
        <v>8</v>
      </c>
      <c r="H43" s="32"/>
      <c r="I43" s="32"/>
      <c r="J43" s="32"/>
      <c r="K43" s="32" t="s">
        <v>8</v>
      </c>
      <c r="L43" s="32"/>
      <c r="M43" s="32"/>
      <c r="N43" s="32"/>
      <c r="O43" s="32"/>
      <c r="P43" s="32"/>
    </row>
    <row r="44" spans="1:16" ht="15" customHeight="1" x14ac:dyDescent="0.25">
      <c r="A44" s="11"/>
      <c r="B44" s="32" t="s">
        <v>378</v>
      </c>
      <c r="C44" s="32"/>
      <c r="D44" s="32"/>
      <c r="E44" s="32"/>
      <c r="F44" s="32"/>
      <c r="G44" s="32" t="s">
        <v>379</v>
      </c>
      <c r="H44" s="32"/>
      <c r="I44" s="32"/>
      <c r="J44" s="32"/>
      <c r="K44" s="32" t="s">
        <v>8</v>
      </c>
      <c r="L44" s="32"/>
      <c r="M44" s="32"/>
      <c r="N44" s="32"/>
      <c r="O44" s="32"/>
      <c r="P44" s="32"/>
    </row>
    <row r="45" spans="1:16" ht="27.2" customHeight="1" x14ac:dyDescent="0.25">
      <c r="A45" s="11"/>
      <c r="B45" s="32" t="s">
        <v>380</v>
      </c>
      <c r="C45" s="32"/>
      <c r="D45" s="32"/>
      <c r="E45" s="32"/>
      <c r="F45" s="32"/>
      <c r="G45" s="32" t="s">
        <v>381</v>
      </c>
      <c r="H45" s="32"/>
      <c r="I45" s="32"/>
      <c r="J45" s="32"/>
      <c r="K45" s="32" t="s">
        <v>8</v>
      </c>
      <c r="L45" s="32"/>
      <c r="M45" s="32"/>
      <c r="N45" s="32"/>
      <c r="O45" s="32"/>
      <c r="P45" s="32"/>
    </row>
    <row r="46" spans="1:16" ht="27.2" customHeight="1" x14ac:dyDescent="0.25">
      <c r="A46" s="11"/>
      <c r="B46" s="32" t="s">
        <v>382</v>
      </c>
      <c r="C46" s="32"/>
      <c r="D46" s="32"/>
      <c r="E46" s="32"/>
      <c r="F46" s="32"/>
      <c r="G46" s="32" t="s">
        <v>383</v>
      </c>
      <c r="H46" s="32"/>
      <c r="I46" s="32"/>
      <c r="J46" s="32"/>
      <c r="K46" s="32" t="s">
        <v>8</v>
      </c>
      <c r="L46" s="32"/>
      <c r="M46" s="32"/>
      <c r="N46" s="32"/>
      <c r="O46" s="32"/>
      <c r="P46" s="32"/>
    </row>
    <row r="47" spans="1:16" ht="15" customHeight="1" x14ac:dyDescent="0.25">
      <c r="A47" s="11"/>
      <c r="B47" s="32" t="s">
        <v>384</v>
      </c>
      <c r="C47" s="32"/>
      <c r="D47" s="32"/>
      <c r="E47" s="32"/>
      <c r="F47" s="32"/>
      <c r="G47" s="32" t="s">
        <v>375</v>
      </c>
      <c r="H47" s="32"/>
      <c r="I47" s="32"/>
      <c r="J47" s="32"/>
      <c r="K47" s="32" t="s">
        <v>8</v>
      </c>
      <c r="L47" s="32"/>
      <c r="M47" s="32"/>
      <c r="N47" s="32"/>
      <c r="O47" s="32"/>
      <c r="P47" s="32"/>
    </row>
    <row r="48" spans="1:16" ht="27.2" customHeight="1" x14ac:dyDescent="0.25">
      <c r="A48" s="11"/>
      <c r="B48" s="32" t="s">
        <v>385</v>
      </c>
      <c r="C48" s="32"/>
      <c r="D48" s="32"/>
      <c r="E48" s="32"/>
      <c r="F48" s="32"/>
      <c r="G48" s="32" t="s">
        <v>8</v>
      </c>
      <c r="H48" s="32"/>
      <c r="I48" s="32"/>
      <c r="J48" s="32"/>
      <c r="K48" s="32" t="s">
        <v>8</v>
      </c>
      <c r="L48" s="32"/>
      <c r="M48" s="32"/>
      <c r="N48" s="32"/>
      <c r="O48" s="32"/>
      <c r="P48" s="32"/>
    </row>
    <row r="49" spans="1:16" ht="15" customHeight="1" x14ac:dyDescent="0.25">
      <c r="A49" s="11"/>
      <c r="B49" s="32" t="s">
        <v>386</v>
      </c>
      <c r="C49" s="32"/>
      <c r="D49" s="32"/>
      <c r="E49" s="32"/>
      <c r="F49" s="32"/>
      <c r="G49" s="32" t="s">
        <v>372</v>
      </c>
      <c r="H49" s="32"/>
      <c r="I49" s="32"/>
      <c r="J49" s="32"/>
      <c r="K49" s="32" t="s">
        <v>8</v>
      </c>
      <c r="L49" s="32"/>
      <c r="M49" s="32"/>
      <c r="N49" s="32"/>
      <c r="O49" s="32"/>
      <c r="P49" s="32"/>
    </row>
    <row r="50" spans="1:16" ht="15" customHeight="1" x14ac:dyDescent="0.25">
      <c r="A50" s="11"/>
      <c r="B50" s="32" t="s">
        <v>387</v>
      </c>
      <c r="C50" s="32"/>
      <c r="D50" s="32"/>
      <c r="E50" s="32"/>
      <c r="F50" s="32"/>
      <c r="G50" s="32" t="s">
        <v>364</v>
      </c>
      <c r="H50" s="32"/>
      <c r="I50" s="32"/>
      <c r="J50" s="32"/>
      <c r="K50" s="32" t="s">
        <v>8</v>
      </c>
      <c r="L50" s="32"/>
      <c r="M50" s="32"/>
      <c r="N50" s="32"/>
      <c r="O50" s="32"/>
      <c r="P50" s="32"/>
    </row>
    <row r="51" spans="1:16" x14ac:dyDescent="0.25">
      <c r="A51" s="23" t="s">
        <v>388</v>
      </c>
      <c r="B51" s="23"/>
      <c r="C51" s="23"/>
      <c r="D51" s="23"/>
      <c r="E51" s="23"/>
      <c r="F51" s="23"/>
      <c r="G51" s="23"/>
      <c r="H51" s="23"/>
      <c r="I51" s="23"/>
      <c r="J51" s="23"/>
      <c r="K51" s="23"/>
      <c r="L51" s="23"/>
      <c r="M51" s="23"/>
      <c r="N51" s="23"/>
      <c r="O51" s="23"/>
      <c r="P51" s="23"/>
    </row>
    <row r="52" spans="1:16" ht="108.75" customHeight="1" x14ac:dyDescent="0.25">
      <c r="A52" s="9" t="s">
        <v>61</v>
      </c>
      <c r="B52" s="28" t="s">
        <v>389</v>
      </c>
      <c r="C52" s="29"/>
      <c r="D52" s="29"/>
      <c r="E52" s="29"/>
      <c r="F52" s="29"/>
      <c r="G52" s="29" t="s">
        <v>390</v>
      </c>
      <c r="H52" s="29"/>
      <c r="I52" s="29"/>
      <c r="J52" s="29"/>
      <c r="K52" s="29" t="s">
        <v>391</v>
      </c>
      <c r="L52" s="29"/>
      <c r="M52" s="29"/>
      <c r="N52" s="29"/>
      <c r="O52" s="30">
        <f>ROUND((5221 + 137561 * 0.5) * 1 * 7.22 * 0.4 * 1.1, 2)</f>
        <v>235087.97</v>
      </c>
      <c r="P52" s="29"/>
    </row>
    <row r="53" spans="1:16" x14ac:dyDescent="0.25">
      <c r="A53" s="10"/>
      <c r="B53" s="31" t="s">
        <v>89</v>
      </c>
      <c r="C53" s="31"/>
      <c r="D53" s="31"/>
      <c r="E53" s="31"/>
      <c r="F53" s="31"/>
      <c r="G53" s="31" t="s">
        <v>8</v>
      </c>
      <c r="H53" s="31"/>
      <c r="I53" s="31"/>
      <c r="J53" s="31"/>
      <c r="K53" s="31" t="s">
        <v>8</v>
      </c>
      <c r="L53" s="31"/>
      <c r="M53" s="31"/>
      <c r="N53" s="31"/>
      <c r="O53" s="31"/>
      <c r="P53" s="31"/>
    </row>
    <row r="54" spans="1:16" x14ac:dyDescent="0.25">
      <c r="A54" s="11"/>
      <c r="B54" s="32" t="s">
        <v>342</v>
      </c>
      <c r="C54" s="32"/>
      <c r="D54" s="32"/>
      <c r="E54" s="32"/>
      <c r="F54" s="32"/>
      <c r="G54" s="32" t="s">
        <v>343</v>
      </c>
      <c r="H54" s="32"/>
      <c r="I54" s="32"/>
      <c r="J54" s="32"/>
      <c r="K54" s="32" t="s">
        <v>8</v>
      </c>
      <c r="L54" s="32"/>
      <c r="M54" s="32"/>
      <c r="N54" s="32"/>
      <c r="O54" s="32"/>
      <c r="P54" s="32"/>
    </row>
    <row r="55" spans="1:16" ht="40.9" customHeight="1" x14ac:dyDescent="0.25">
      <c r="A55" s="11"/>
      <c r="B55" s="32" t="s">
        <v>354</v>
      </c>
      <c r="C55" s="32"/>
      <c r="D55" s="32"/>
      <c r="E55" s="32"/>
      <c r="F55" s="32"/>
      <c r="G55" s="32" t="s">
        <v>355</v>
      </c>
      <c r="H55" s="32"/>
      <c r="I55" s="32"/>
      <c r="J55" s="32"/>
      <c r="K55" s="32" t="s">
        <v>8</v>
      </c>
      <c r="L55" s="32"/>
      <c r="M55" s="32"/>
      <c r="N55" s="32"/>
      <c r="O55" s="32"/>
      <c r="P55" s="32"/>
    </row>
    <row r="56" spans="1:16" ht="68.099999999999994" customHeight="1" x14ac:dyDescent="0.25">
      <c r="A56" s="11"/>
      <c r="B56" s="32" t="s">
        <v>392</v>
      </c>
      <c r="C56" s="32"/>
      <c r="D56" s="32"/>
      <c r="E56" s="32"/>
      <c r="F56" s="32"/>
      <c r="G56" s="32" t="s">
        <v>393</v>
      </c>
      <c r="H56" s="32"/>
      <c r="I56" s="32"/>
      <c r="J56" s="32"/>
      <c r="K56" s="32" t="s">
        <v>8</v>
      </c>
      <c r="L56" s="32"/>
      <c r="M56" s="32"/>
      <c r="N56" s="32"/>
      <c r="O56" s="32"/>
      <c r="P56" s="32"/>
    </row>
    <row r="57" spans="1:16" x14ac:dyDescent="0.25">
      <c r="A57" s="23" t="s">
        <v>394</v>
      </c>
      <c r="B57" s="23"/>
      <c r="C57" s="23"/>
      <c r="D57" s="23"/>
      <c r="E57" s="23"/>
      <c r="F57" s="23"/>
      <c r="G57" s="23"/>
      <c r="H57" s="23"/>
      <c r="I57" s="23"/>
      <c r="J57" s="23"/>
      <c r="K57" s="23"/>
      <c r="L57" s="23"/>
      <c r="M57" s="23"/>
      <c r="N57" s="23"/>
      <c r="O57" s="23"/>
      <c r="P57" s="23"/>
    </row>
    <row r="58" spans="1:16" ht="54.4" customHeight="1" x14ac:dyDescent="0.25">
      <c r="A58" s="9" t="s">
        <v>64</v>
      </c>
      <c r="B58" s="28" t="s">
        <v>395</v>
      </c>
      <c r="C58" s="29"/>
      <c r="D58" s="29"/>
      <c r="E58" s="29"/>
      <c r="F58" s="29"/>
      <c r="G58" s="29" t="s">
        <v>396</v>
      </c>
      <c r="H58" s="29"/>
      <c r="I58" s="29"/>
      <c r="J58" s="29"/>
      <c r="K58" s="29" t="s">
        <v>397</v>
      </c>
      <c r="L58" s="29"/>
      <c r="M58" s="29"/>
      <c r="N58" s="29"/>
      <c r="O58" s="30">
        <f>ROUND(24500 * 1 * 7.22 * 0.4, 2)</f>
        <v>70756</v>
      </c>
      <c r="P58" s="29"/>
    </row>
    <row r="59" spans="1:16" x14ac:dyDescent="0.25">
      <c r="A59" s="10"/>
      <c r="B59" s="31" t="s">
        <v>89</v>
      </c>
      <c r="C59" s="31"/>
      <c r="D59" s="31"/>
      <c r="E59" s="31"/>
      <c r="F59" s="31"/>
      <c r="G59" s="31" t="s">
        <v>8</v>
      </c>
      <c r="H59" s="31"/>
      <c r="I59" s="31"/>
      <c r="J59" s="31"/>
      <c r="K59" s="31" t="s">
        <v>8</v>
      </c>
      <c r="L59" s="31"/>
      <c r="M59" s="31"/>
      <c r="N59" s="31"/>
      <c r="O59" s="31"/>
      <c r="P59" s="31"/>
    </row>
    <row r="60" spans="1:16" x14ac:dyDescent="0.25">
      <c r="A60" s="11"/>
      <c r="B60" s="32" t="s">
        <v>342</v>
      </c>
      <c r="C60" s="32"/>
      <c r="D60" s="32"/>
      <c r="E60" s="32"/>
      <c r="F60" s="32"/>
      <c r="G60" s="32" t="s">
        <v>343</v>
      </c>
      <c r="H60" s="32"/>
      <c r="I60" s="32"/>
      <c r="J60" s="32"/>
      <c r="K60" s="32" t="s">
        <v>8</v>
      </c>
      <c r="L60" s="32"/>
      <c r="M60" s="32"/>
      <c r="N60" s="32"/>
      <c r="O60" s="32"/>
      <c r="P60" s="32"/>
    </row>
    <row r="61" spans="1:16" ht="40.9" customHeight="1" x14ac:dyDescent="0.25">
      <c r="A61" s="11"/>
      <c r="B61" s="32" t="s">
        <v>354</v>
      </c>
      <c r="C61" s="32"/>
      <c r="D61" s="32"/>
      <c r="E61" s="32"/>
      <c r="F61" s="32"/>
      <c r="G61" s="32" t="s">
        <v>355</v>
      </c>
      <c r="H61" s="32"/>
      <c r="I61" s="32"/>
      <c r="J61" s="32"/>
      <c r="K61" s="32" t="s">
        <v>8</v>
      </c>
      <c r="L61" s="32"/>
      <c r="M61" s="32"/>
      <c r="N61" s="32"/>
      <c r="O61" s="32"/>
      <c r="P61" s="32"/>
    </row>
    <row r="62" spans="1:16" x14ac:dyDescent="0.25">
      <c r="A62" s="23" t="s">
        <v>398</v>
      </c>
      <c r="B62" s="23"/>
      <c r="C62" s="23"/>
      <c r="D62" s="23"/>
      <c r="E62" s="23"/>
      <c r="F62" s="23"/>
      <c r="G62" s="23"/>
      <c r="H62" s="23"/>
      <c r="I62" s="23"/>
      <c r="J62" s="23"/>
      <c r="K62" s="23"/>
      <c r="L62" s="23"/>
      <c r="M62" s="23"/>
      <c r="N62" s="23"/>
      <c r="O62" s="23"/>
      <c r="P62" s="23"/>
    </row>
    <row r="63" spans="1:16" ht="176.85" customHeight="1" x14ac:dyDescent="0.25">
      <c r="A63" s="9" t="s">
        <v>331</v>
      </c>
      <c r="B63" s="28" t="s">
        <v>399</v>
      </c>
      <c r="C63" s="29"/>
      <c r="D63" s="29"/>
      <c r="E63" s="29"/>
      <c r="F63" s="29"/>
      <c r="G63" s="29" t="s">
        <v>400</v>
      </c>
      <c r="H63" s="29"/>
      <c r="I63" s="29"/>
      <c r="J63" s="29"/>
      <c r="K63" s="29" t="s">
        <v>401</v>
      </c>
      <c r="L63" s="29"/>
      <c r="M63" s="29"/>
      <c r="N63" s="29"/>
      <c r="O63" s="30">
        <f>ROUND((81230 - (88690 - 81230) / (4 - 2) * (2 - 0) * 0.6) * 1 * 7.22 * 0.4, 2)</f>
        <v>221665.55</v>
      </c>
      <c r="P63" s="29"/>
    </row>
    <row r="64" spans="1:16" x14ac:dyDescent="0.25">
      <c r="A64" s="10"/>
      <c r="B64" s="31" t="s">
        <v>89</v>
      </c>
      <c r="C64" s="31"/>
      <c r="D64" s="31"/>
      <c r="E64" s="31"/>
      <c r="F64" s="31"/>
      <c r="G64" s="31" t="s">
        <v>8</v>
      </c>
      <c r="H64" s="31"/>
      <c r="I64" s="31"/>
      <c r="J64" s="31"/>
      <c r="K64" s="31" t="s">
        <v>8</v>
      </c>
      <c r="L64" s="31"/>
      <c r="M64" s="31"/>
      <c r="N64" s="31"/>
      <c r="O64" s="31"/>
      <c r="P64" s="31"/>
    </row>
    <row r="65" spans="1:16" x14ac:dyDescent="0.25">
      <c r="A65" s="11"/>
      <c r="B65" s="32" t="s">
        <v>342</v>
      </c>
      <c r="C65" s="32"/>
      <c r="D65" s="32"/>
      <c r="E65" s="32"/>
      <c r="F65" s="32"/>
      <c r="G65" s="32" t="s">
        <v>343</v>
      </c>
      <c r="H65" s="32"/>
      <c r="I65" s="32"/>
      <c r="J65" s="32"/>
      <c r="K65" s="32" t="s">
        <v>8</v>
      </c>
      <c r="L65" s="32"/>
      <c r="M65" s="32"/>
      <c r="N65" s="32"/>
      <c r="O65" s="32"/>
      <c r="P65" s="32"/>
    </row>
    <row r="66" spans="1:16" ht="40.9" customHeight="1" x14ac:dyDescent="0.25">
      <c r="A66" s="11"/>
      <c r="B66" s="32" t="s">
        <v>354</v>
      </c>
      <c r="C66" s="32"/>
      <c r="D66" s="32"/>
      <c r="E66" s="32"/>
      <c r="F66" s="32"/>
      <c r="G66" s="32" t="s">
        <v>355</v>
      </c>
      <c r="H66" s="32"/>
      <c r="I66" s="32"/>
      <c r="J66" s="32"/>
      <c r="K66" s="32" t="s">
        <v>8</v>
      </c>
      <c r="L66" s="32"/>
      <c r="M66" s="32"/>
      <c r="N66" s="32"/>
      <c r="O66" s="32"/>
      <c r="P66" s="32"/>
    </row>
    <row r="67" spans="1:16" ht="149.65" customHeight="1" x14ac:dyDescent="0.25">
      <c r="A67" s="9" t="s">
        <v>402</v>
      </c>
      <c r="B67" s="28" t="s">
        <v>403</v>
      </c>
      <c r="C67" s="29"/>
      <c r="D67" s="29"/>
      <c r="E67" s="29"/>
      <c r="F67" s="29"/>
      <c r="G67" s="29" t="s">
        <v>404</v>
      </c>
      <c r="H67" s="29"/>
      <c r="I67" s="29"/>
      <c r="J67" s="29"/>
      <c r="K67" s="29" t="s">
        <v>405</v>
      </c>
      <c r="L67" s="29"/>
      <c r="M67" s="29"/>
      <c r="N67" s="29"/>
      <c r="O67" s="30">
        <f>ROUND((75900 + 600 * 500) * 1 * 1.71 * 0.4, 2)</f>
        <v>257115.6</v>
      </c>
      <c r="P67" s="29"/>
    </row>
    <row r="68" spans="1:16" x14ac:dyDescent="0.25">
      <c r="A68" s="10"/>
      <c r="B68" s="31" t="s">
        <v>89</v>
      </c>
      <c r="C68" s="31"/>
      <c r="D68" s="31"/>
      <c r="E68" s="31"/>
      <c r="F68" s="31"/>
      <c r="G68" s="31" t="s">
        <v>8</v>
      </c>
      <c r="H68" s="31"/>
      <c r="I68" s="31"/>
      <c r="J68" s="31"/>
      <c r="K68" s="31" t="s">
        <v>8</v>
      </c>
      <c r="L68" s="31"/>
      <c r="M68" s="31"/>
      <c r="N68" s="31"/>
      <c r="O68" s="31"/>
      <c r="P68" s="31"/>
    </row>
    <row r="69" spans="1:16" x14ac:dyDescent="0.25">
      <c r="A69" s="11"/>
      <c r="B69" s="32" t="s">
        <v>342</v>
      </c>
      <c r="C69" s="32"/>
      <c r="D69" s="32"/>
      <c r="E69" s="32"/>
      <c r="F69" s="32"/>
      <c r="G69" s="32" t="s">
        <v>343</v>
      </c>
      <c r="H69" s="32"/>
      <c r="I69" s="32"/>
      <c r="J69" s="32"/>
      <c r="K69" s="32" t="s">
        <v>8</v>
      </c>
      <c r="L69" s="32"/>
      <c r="M69" s="32"/>
      <c r="N69" s="32"/>
      <c r="O69" s="32"/>
      <c r="P69" s="32"/>
    </row>
    <row r="70" spans="1:16" ht="40.9" customHeight="1" x14ac:dyDescent="0.25">
      <c r="A70" s="11"/>
      <c r="B70" s="32" t="s">
        <v>406</v>
      </c>
      <c r="C70" s="32"/>
      <c r="D70" s="32"/>
      <c r="E70" s="32"/>
      <c r="F70" s="32"/>
      <c r="G70" s="32" t="s">
        <v>407</v>
      </c>
      <c r="H70" s="32"/>
      <c r="I70" s="32"/>
      <c r="J70" s="32"/>
      <c r="K70" s="32" t="s">
        <v>8</v>
      </c>
      <c r="L70" s="32"/>
      <c r="M70" s="32"/>
      <c r="N70" s="32"/>
      <c r="O70" s="32"/>
      <c r="P70" s="32"/>
    </row>
    <row r="71" spans="1:16" x14ac:dyDescent="0.25">
      <c r="A71" s="3" t="s">
        <v>408</v>
      </c>
      <c r="B71" s="22" t="s">
        <v>156</v>
      </c>
      <c r="C71" s="22"/>
      <c r="D71" s="22"/>
      <c r="E71" s="22"/>
      <c r="F71" s="22"/>
      <c r="G71" s="22"/>
      <c r="H71" s="22"/>
      <c r="I71" s="22"/>
      <c r="J71" s="22"/>
      <c r="K71" s="22" t="s">
        <v>8</v>
      </c>
      <c r="L71" s="22"/>
      <c r="M71" s="22"/>
      <c r="N71" s="22"/>
      <c r="O71" s="33">
        <f>ROUND(SUM($O$15:$O$67),2)</f>
        <v>2960053.55</v>
      </c>
      <c r="P71" s="22"/>
    </row>
    <row r="72" spans="1:16" ht="40.9" customHeight="1" x14ac:dyDescent="0.25">
      <c r="A72" s="3" t="s">
        <v>409</v>
      </c>
      <c r="B72" s="23" t="s">
        <v>306</v>
      </c>
      <c r="C72" s="23"/>
      <c r="D72" s="23"/>
      <c r="E72" s="23"/>
      <c r="F72" s="23"/>
      <c r="G72" s="23" t="s">
        <v>410</v>
      </c>
      <c r="H72" s="23"/>
      <c r="I72" s="23"/>
      <c r="J72" s="23"/>
      <c r="K72" s="23" t="s">
        <v>411</v>
      </c>
      <c r="L72" s="23"/>
      <c r="M72" s="23"/>
      <c r="N72" s="23"/>
      <c r="O72" s="35">
        <f>ROUND(($O$71) * 1  * 0.6,2)</f>
        <v>1776032.13</v>
      </c>
      <c r="P72" s="23"/>
    </row>
    <row r="73" spans="1:16" ht="68.099999999999994" customHeight="1" x14ac:dyDescent="0.25">
      <c r="A73" s="3" t="s">
        <v>412</v>
      </c>
      <c r="B73" s="23" t="s">
        <v>306</v>
      </c>
      <c r="C73" s="23"/>
      <c r="D73" s="23"/>
      <c r="E73" s="23"/>
      <c r="F73" s="23"/>
      <c r="G73" s="23" t="s">
        <v>413</v>
      </c>
      <c r="H73" s="23"/>
      <c r="I73" s="23"/>
      <c r="J73" s="23"/>
      <c r="K73" s="23" t="s">
        <v>414</v>
      </c>
      <c r="L73" s="23"/>
      <c r="M73" s="23"/>
      <c r="N73" s="23"/>
      <c r="O73" s="35">
        <f>ROUND(($O$72) * 1  * 1.08,2)</f>
        <v>1918114.7</v>
      </c>
      <c r="P73" s="23"/>
    </row>
    <row r="74" spans="1:16" x14ac:dyDescent="0.25">
      <c r="A74" s="3" t="s">
        <v>415</v>
      </c>
      <c r="B74" s="22" t="s">
        <v>157</v>
      </c>
      <c r="C74" s="22"/>
      <c r="D74" s="22"/>
      <c r="E74" s="22"/>
      <c r="F74" s="22"/>
      <c r="G74" s="22"/>
      <c r="H74" s="22"/>
      <c r="I74" s="22"/>
      <c r="J74" s="22"/>
      <c r="K74" s="22" t="s">
        <v>8</v>
      </c>
      <c r="L74" s="22"/>
      <c r="M74" s="22"/>
      <c r="N74" s="22"/>
      <c r="O74" s="33">
        <f>ROUND(($O$73),2)</f>
        <v>1918114.7</v>
      </c>
      <c r="P74" s="22"/>
    </row>
    <row r="76" spans="1:16" ht="30" customHeight="1" x14ac:dyDescent="0.25">
      <c r="A76" s="19" t="s">
        <v>158</v>
      </c>
      <c r="B76" s="19"/>
      <c r="C76" s="19"/>
      <c r="D76" s="19"/>
      <c r="E76" s="19"/>
      <c r="F76" s="34">
        <f>$O$74</f>
        <v>1918114.7</v>
      </c>
      <c r="G76" s="34"/>
      <c r="H76" s="34"/>
      <c r="I76" s="34"/>
      <c r="J76" s="34"/>
      <c r="K76" s="34"/>
      <c r="L76" s="34"/>
      <c r="M76" s="34"/>
      <c r="N76" s="34"/>
      <c r="O76" s="34"/>
      <c r="P76" s="34"/>
    </row>
  </sheetData>
  <mergeCells count="243">
    <mergeCell ref="A76:E76"/>
    <mergeCell ref="F76:P76"/>
    <mergeCell ref="B72:F72"/>
    <mergeCell ref="G72:J72"/>
    <mergeCell ref="K72:N72"/>
    <mergeCell ref="O72:P72"/>
    <mergeCell ref="B73:F73"/>
    <mergeCell ref="G73:J73"/>
    <mergeCell ref="K73:N73"/>
    <mergeCell ref="O73:P73"/>
    <mergeCell ref="B74:F74"/>
    <mergeCell ref="G74:J74"/>
    <mergeCell ref="K74:N74"/>
    <mergeCell ref="O74:P74"/>
    <mergeCell ref="B69:F69"/>
    <mergeCell ref="G69:J69"/>
    <mergeCell ref="K69:N69"/>
    <mergeCell ref="O69:P69"/>
    <mergeCell ref="B70:F70"/>
    <mergeCell ref="G70:J70"/>
    <mergeCell ref="K70:N70"/>
    <mergeCell ref="O70:P70"/>
    <mergeCell ref="B71:F71"/>
    <mergeCell ref="G71:J71"/>
    <mergeCell ref="K71:N71"/>
    <mergeCell ref="O71:P71"/>
    <mergeCell ref="B66:F66"/>
    <mergeCell ref="G66:J66"/>
    <mergeCell ref="K66:N66"/>
    <mergeCell ref="O66:P66"/>
    <mergeCell ref="B67:F67"/>
    <mergeCell ref="G67:J67"/>
    <mergeCell ref="K67:N67"/>
    <mergeCell ref="O67:P67"/>
    <mergeCell ref="B68:F68"/>
    <mergeCell ref="G68:J68"/>
    <mergeCell ref="K68:N68"/>
    <mergeCell ref="O68:P68"/>
    <mergeCell ref="B63:F63"/>
    <mergeCell ref="G63:J63"/>
    <mergeCell ref="K63:N63"/>
    <mergeCell ref="O63:P63"/>
    <mergeCell ref="B64:F64"/>
    <mergeCell ref="G64:J64"/>
    <mergeCell ref="K64:N64"/>
    <mergeCell ref="O64:P64"/>
    <mergeCell ref="B65:F65"/>
    <mergeCell ref="G65:J65"/>
    <mergeCell ref="K65:N65"/>
    <mergeCell ref="O65:P65"/>
    <mergeCell ref="B60:F60"/>
    <mergeCell ref="G60:J60"/>
    <mergeCell ref="K60:N60"/>
    <mergeCell ref="O60:P60"/>
    <mergeCell ref="B61:F61"/>
    <mergeCell ref="G61:J61"/>
    <mergeCell ref="K61:N61"/>
    <mergeCell ref="O61:P61"/>
    <mergeCell ref="A62:P62"/>
    <mergeCell ref="A57:P57"/>
    <mergeCell ref="B58:F58"/>
    <mergeCell ref="G58:J58"/>
    <mergeCell ref="K58:N58"/>
    <mergeCell ref="O58:P58"/>
    <mergeCell ref="B59:F59"/>
    <mergeCell ref="G59:J59"/>
    <mergeCell ref="K59:N59"/>
    <mergeCell ref="O59:P59"/>
    <mergeCell ref="B54:F54"/>
    <mergeCell ref="G54:J54"/>
    <mergeCell ref="K54:N54"/>
    <mergeCell ref="O54:P54"/>
    <mergeCell ref="B55:F55"/>
    <mergeCell ref="G55:J55"/>
    <mergeCell ref="K55:N55"/>
    <mergeCell ref="O55:P55"/>
    <mergeCell ref="B56:F56"/>
    <mergeCell ref="G56:J56"/>
    <mergeCell ref="K56:N56"/>
    <mergeCell ref="O56:P56"/>
    <mergeCell ref="A51:P51"/>
    <mergeCell ref="B52:F52"/>
    <mergeCell ref="G52:J52"/>
    <mergeCell ref="K52:N52"/>
    <mergeCell ref="O52:P52"/>
    <mergeCell ref="B53:F53"/>
    <mergeCell ref="G53:J53"/>
    <mergeCell ref="K53:N53"/>
    <mergeCell ref="O53:P53"/>
    <mergeCell ref="B48:F48"/>
    <mergeCell ref="G48:J48"/>
    <mergeCell ref="K48:N48"/>
    <mergeCell ref="O48:P48"/>
    <mergeCell ref="B49:F49"/>
    <mergeCell ref="G49:J49"/>
    <mergeCell ref="K49:N49"/>
    <mergeCell ref="O49:P49"/>
    <mergeCell ref="B50:F50"/>
    <mergeCell ref="G50:J50"/>
    <mergeCell ref="K50:N50"/>
    <mergeCell ref="O50:P50"/>
    <mergeCell ref="B45:F45"/>
    <mergeCell ref="G45:J45"/>
    <mergeCell ref="K45:N45"/>
    <mergeCell ref="O45:P45"/>
    <mergeCell ref="B46:F46"/>
    <mergeCell ref="G46:J46"/>
    <mergeCell ref="K46:N46"/>
    <mergeCell ref="O46:P46"/>
    <mergeCell ref="B47:F47"/>
    <mergeCell ref="G47:J47"/>
    <mergeCell ref="K47:N47"/>
    <mergeCell ref="O47:P47"/>
    <mergeCell ref="B42:F42"/>
    <mergeCell ref="G42:J42"/>
    <mergeCell ref="K42:N42"/>
    <mergeCell ref="O42:P42"/>
    <mergeCell ref="B43:F43"/>
    <mergeCell ref="G43:J43"/>
    <mergeCell ref="K43:N43"/>
    <mergeCell ref="O43:P43"/>
    <mergeCell ref="B44:F44"/>
    <mergeCell ref="G44:J44"/>
    <mergeCell ref="K44:N44"/>
    <mergeCell ref="O44:P44"/>
    <mergeCell ref="B39:F39"/>
    <mergeCell ref="G39:J39"/>
    <mergeCell ref="K39:N39"/>
    <mergeCell ref="O39:P39"/>
    <mergeCell ref="B40:F40"/>
    <mergeCell ref="G40:J40"/>
    <mergeCell ref="K40:N40"/>
    <mergeCell ref="O40:P40"/>
    <mergeCell ref="B41:F41"/>
    <mergeCell ref="G41:J41"/>
    <mergeCell ref="K41:N41"/>
    <mergeCell ref="O41:P41"/>
    <mergeCell ref="B36:F36"/>
    <mergeCell ref="G36:J36"/>
    <mergeCell ref="K36:N36"/>
    <mergeCell ref="O36:P36"/>
    <mergeCell ref="B37:F37"/>
    <mergeCell ref="G37:J37"/>
    <mergeCell ref="K37:N37"/>
    <mergeCell ref="O37:P37"/>
    <mergeCell ref="B38:F38"/>
    <mergeCell ref="G38:J38"/>
    <mergeCell ref="K38:N38"/>
    <mergeCell ref="O38:P38"/>
    <mergeCell ref="B33:F33"/>
    <mergeCell ref="G33:J33"/>
    <mergeCell ref="K33:N33"/>
    <mergeCell ref="O33:P33"/>
    <mergeCell ref="B34:F34"/>
    <mergeCell ref="G34:J34"/>
    <mergeCell ref="K34:N34"/>
    <mergeCell ref="O34:P34"/>
    <mergeCell ref="B35:F35"/>
    <mergeCell ref="G35:J35"/>
    <mergeCell ref="K35:N35"/>
    <mergeCell ref="O35:P35"/>
    <mergeCell ref="B30:F30"/>
    <mergeCell ref="G30:J30"/>
    <mergeCell ref="K30:N30"/>
    <mergeCell ref="O30:P30"/>
    <mergeCell ref="B31:F31"/>
    <mergeCell ref="G31:J31"/>
    <mergeCell ref="K31:N31"/>
    <mergeCell ref="O31:P31"/>
    <mergeCell ref="B32:F32"/>
    <mergeCell ref="G32:J32"/>
    <mergeCell ref="K32:N32"/>
    <mergeCell ref="O32:P32"/>
    <mergeCell ref="B27:F27"/>
    <mergeCell ref="G27:J27"/>
    <mergeCell ref="K27:N27"/>
    <mergeCell ref="O27:P27"/>
    <mergeCell ref="B28:F28"/>
    <mergeCell ref="G28:J28"/>
    <mergeCell ref="K28:N28"/>
    <mergeCell ref="O28:P28"/>
    <mergeCell ref="A29:P29"/>
    <mergeCell ref="A24:P24"/>
    <mergeCell ref="B25:F25"/>
    <mergeCell ref="G25:J25"/>
    <mergeCell ref="K25:N25"/>
    <mergeCell ref="O25:P25"/>
    <mergeCell ref="B26:F26"/>
    <mergeCell ref="G26:J26"/>
    <mergeCell ref="K26:N26"/>
    <mergeCell ref="O26:P26"/>
    <mergeCell ref="B21:F21"/>
    <mergeCell ref="G21:J21"/>
    <mergeCell ref="K21:N21"/>
    <mergeCell ref="O21:P21"/>
    <mergeCell ref="B22:F22"/>
    <mergeCell ref="G22:J22"/>
    <mergeCell ref="K22:N22"/>
    <mergeCell ref="O22:P22"/>
    <mergeCell ref="B23:F23"/>
    <mergeCell ref="G23:J23"/>
    <mergeCell ref="K23:N23"/>
    <mergeCell ref="O23:P23"/>
    <mergeCell ref="B18:F18"/>
    <mergeCell ref="G18:J18"/>
    <mergeCell ref="K18:N18"/>
    <mergeCell ref="O18:P18"/>
    <mergeCell ref="A19:P19"/>
    <mergeCell ref="B20:F20"/>
    <mergeCell ref="G20:J20"/>
    <mergeCell ref="K20:N20"/>
    <mergeCell ref="O20:P20"/>
    <mergeCell ref="B15:F15"/>
    <mergeCell ref="G15:J15"/>
    <mergeCell ref="K15:N15"/>
    <mergeCell ref="O15:P15"/>
    <mergeCell ref="B16:F16"/>
    <mergeCell ref="G16:J16"/>
    <mergeCell ref="K16:N16"/>
    <mergeCell ref="O16:P16"/>
    <mergeCell ref="B17:F17"/>
    <mergeCell ref="G17:J17"/>
    <mergeCell ref="K17:N17"/>
    <mergeCell ref="O17:P17"/>
    <mergeCell ref="B12:F12"/>
    <mergeCell ref="B13:F13"/>
    <mergeCell ref="G12:J12"/>
    <mergeCell ref="G13:J13"/>
    <mergeCell ref="K12:N12"/>
    <mergeCell ref="K13:N13"/>
    <mergeCell ref="O12:P12"/>
    <mergeCell ref="O13:P13"/>
    <mergeCell ref="A14:P14"/>
    <mergeCell ref="A1:D1"/>
    <mergeCell ref="E1:P1"/>
    <mergeCell ref="A3:P3"/>
    <mergeCell ref="A4:P4"/>
    <mergeCell ref="A6:E6"/>
    <mergeCell ref="F6:P6"/>
    <mergeCell ref="A8:E8"/>
    <mergeCell ref="F8:P8"/>
    <mergeCell ref="A10:E10"/>
    <mergeCell ref="F10:P10"/>
  </mergeCells>
  <pageMargins left="0.23622047244094491" right="0.23622047244094491" top="0.74803149606299213" bottom="0.74803149606299213" header="0.31496062992125984" footer="0.31496062992125984"/>
  <pageSetup paperSize="9" scale="78"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50"/>
  <sheetViews>
    <sheetView showRuler="0" topLeftCell="A38" zoomScale="85" zoomScaleNormal="85" workbookViewId="0">
      <selection activeCell="F47" sqref="A1:P47"/>
    </sheetView>
  </sheetViews>
  <sheetFormatPr defaultRowHeight="15" x14ac:dyDescent="0.25"/>
  <cols>
    <col min="1" max="1" width="6.42578125" style="1" customWidth="1"/>
    <col min="2" max="50" width="8" style="1" customWidth="1"/>
  </cols>
  <sheetData>
    <row r="1" spans="1:16" ht="27.2" customHeight="1" x14ac:dyDescent="0.25">
      <c r="A1" s="15" t="s">
        <v>0</v>
      </c>
      <c r="B1" s="15"/>
      <c r="C1" s="15"/>
      <c r="D1" s="15"/>
      <c r="E1" s="16" t="s">
        <v>332</v>
      </c>
      <c r="F1" s="16"/>
      <c r="G1" s="16"/>
      <c r="H1" s="16"/>
      <c r="I1" s="16"/>
      <c r="J1" s="16"/>
      <c r="K1" s="16"/>
      <c r="L1" s="16"/>
      <c r="M1" s="16"/>
      <c r="N1" s="16"/>
      <c r="O1" s="16"/>
      <c r="P1" s="16"/>
    </row>
    <row r="2" spans="1:16" ht="15" customHeight="1" x14ac:dyDescent="0.25"/>
    <row r="3" spans="1:16" ht="15" customHeight="1" x14ac:dyDescent="0.25">
      <c r="A3" s="17" t="s">
        <v>416</v>
      </c>
      <c r="B3" s="17"/>
      <c r="C3" s="17"/>
      <c r="D3" s="17"/>
      <c r="E3" s="17"/>
      <c r="F3" s="17"/>
      <c r="G3" s="17"/>
      <c r="H3" s="17"/>
      <c r="I3" s="17"/>
      <c r="J3" s="17"/>
      <c r="K3" s="17"/>
      <c r="L3" s="17"/>
      <c r="M3" s="17"/>
      <c r="N3" s="17"/>
      <c r="O3" s="17"/>
      <c r="P3" s="17"/>
    </row>
    <row r="4" spans="1:16" ht="15" customHeight="1" x14ac:dyDescent="0.25">
      <c r="A4" s="18" t="s">
        <v>313</v>
      </c>
      <c r="B4" s="18"/>
      <c r="C4" s="18"/>
      <c r="D4" s="18"/>
      <c r="E4" s="18"/>
      <c r="F4" s="18"/>
      <c r="G4" s="18"/>
      <c r="H4" s="18"/>
      <c r="I4" s="18"/>
      <c r="J4" s="18"/>
      <c r="K4" s="18"/>
      <c r="L4" s="18"/>
      <c r="M4" s="18"/>
      <c r="N4" s="18"/>
      <c r="O4" s="18"/>
      <c r="P4" s="18"/>
    </row>
    <row r="5" spans="1:16" ht="15" customHeight="1" x14ac:dyDescent="0.25"/>
    <row r="6" spans="1:16" ht="54.4" customHeight="1" x14ac:dyDescent="0.25">
      <c r="A6" s="19" t="s">
        <v>314</v>
      </c>
      <c r="B6" s="19"/>
      <c r="C6" s="19"/>
      <c r="D6" s="19"/>
      <c r="E6" s="19"/>
      <c r="F6" s="36" t="s">
        <v>42</v>
      </c>
      <c r="G6" s="36"/>
      <c r="H6" s="36"/>
      <c r="I6" s="36"/>
      <c r="J6" s="36"/>
      <c r="K6" s="36"/>
      <c r="L6" s="36"/>
      <c r="M6" s="36"/>
      <c r="N6" s="36"/>
      <c r="O6" s="36"/>
      <c r="P6" s="36"/>
    </row>
    <row r="7" spans="1:16" ht="15" customHeight="1" x14ac:dyDescent="0.25"/>
    <row r="8" spans="1:16" ht="27.2" customHeight="1" x14ac:dyDescent="0.25">
      <c r="A8" s="19" t="s">
        <v>315</v>
      </c>
      <c r="B8" s="19"/>
      <c r="C8" s="19"/>
      <c r="D8" s="19"/>
      <c r="E8" s="19"/>
      <c r="F8" s="36" t="s">
        <v>10</v>
      </c>
      <c r="G8" s="36"/>
      <c r="H8" s="36"/>
      <c r="I8" s="36"/>
      <c r="J8" s="36"/>
      <c r="K8" s="36"/>
      <c r="L8" s="36"/>
      <c r="M8" s="36"/>
      <c r="N8" s="36"/>
      <c r="O8" s="36"/>
      <c r="P8" s="36"/>
    </row>
    <row r="9" spans="1:16" ht="15" customHeight="1" x14ac:dyDescent="0.25"/>
    <row r="10" spans="1:16" ht="15" customHeight="1" x14ac:dyDescent="0.25">
      <c r="A10" s="19" t="s">
        <v>11</v>
      </c>
      <c r="B10" s="19"/>
      <c r="C10" s="19"/>
      <c r="D10" s="19"/>
      <c r="E10" s="19"/>
      <c r="F10" s="36" t="s">
        <v>12</v>
      </c>
      <c r="G10" s="36"/>
      <c r="H10" s="36"/>
      <c r="I10" s="36"/>
      <c r="J10" s="36"/>
      <c r="K10" s="36"/>
      <c r="L10" s="36"/>
      <c r="M10" s="36"/>
      <c r="N10" s="36"/>
      <c r="O10" s="36"/>
      <c r="P10" s="36"/>
    </row>
    <row r="11" spans="1:16" ht="15" customHeight="1" x14ac:dyDescent="0.25"/>
    <row r="12" spans="1:16" ht="81.599999999999994" customHeight="1" x14ac:dyDescent="0.25">
      <c r="A12" s="2" t="s">
        <v>80</v>
      </c>
      <c r="B12" s="21" t="s">
        <v>334</v>
      </c>
      <c r="C12" s="21"/>
      <c r="D12" s="21"/>
      <c r="E12" s="21"/>
      <c r="F12" s="21"/>
      <c r="G12" s="21" t="s">
        <v>335</v>
      </c>
      <c r="H12" s="21"/>
      <c r="I12" s="21"/>
      <c r="J12" s="21"/>
      <c r="K12" s="21" t="s">
        <v>336</v>
      </c>
      <c r="L12" s="21"/>
      <c r="M12" s="21"/>
      <c r="N12" s="21"/>
      <c r="O12" s="21" t="s">
        <v>337</v>
      </c>
      <c r="P12" s="21"/>
    </row>
    <row r="13" spans="1:16" ht="15" customHeight="1" x14ac:dyDescent="0.25">
      <c r="A13" s="2">
        <v>1</v>
      </c>
      <c r="B13" s="21">
        <v>2</v>
      </c>
      <c r="C13" s="21"/>
      <c r="D13" s="21"/>
      <c r="E13" s="21"/>
      <c r="F13" s="21"/>
      <c r="G13" s="21">
        <v>3</v>
      </c>
      <c r="H13" s="21"/>
      <c r="I13" s="21"/>
      <c r="J13" s="21"/>
      <c r="K13" s="21">
        <v>4</v>
      </c>
      <c r="L13" s="21"/>
      <c r="M13" s="21"/>
      <c r="N13" s="21"/>
      <c r="O13" s="21">
        <v>5</v>
      </c>
      <c r="P13" s="21"/>
    </row>
    <row r="14" spans="1:16" ht="108.75" customHeight="1" x14ac:dyDescent="0.25">
      <c r="A14" s="9" t="s">
        <v>21</v>
      </c>
      <c r="B14" s="28" t="s">
        <v>417</v>
      </c>
      <c r="C14" s="29"/>
      <c r="D14" s="29"/>
      <c r="E14" s="29"/>
      <c r="F14" s="29"/>
      <c r="G14" s="29" t="s">
        <v>418</v>
      </c>
      <c r="H14" s="29"/>
      <c r="I14" s="29"/>
      <c r="J14" s="29"/>
      <c r="K14" s="29" t="s">
        <v>419</v>
      </c>
      <c r="L14" s="29"/>
      <c r="M14" s="29"/>
      <c r="N14" s="29"/>
      <c r="O14" s="30">
        <f>ROUND((2450 + 3680 * 4) * 1 * 7.22 * 0.5, 2)</f>
        <v>61983.7</v>
      </c>
      <c r="P14" s="29"/>
    </row>
    <row r="15" spans="1:16" ht="15" customHeight="1" x14ac:dyDescent="0.25">
      <c r="A15" s="10"/>
      <c r="B15" s="31" t="s">
        <v>89</v>
      </c>
      <c r="C15" s="31"/>
      <c r="D15" s="31"/>
      <c r="E15" s="31"/>
      <c r="F15" s="31"/>
      <c r="G15" s="31" t="s">
        <v>8</v>
      </c>
      <c r="H15" s="31"/>
      <c r="I15" s="31"/>
      <c r="J15" s="31"/>
      <c r="K15" s="31" t="s">
        <v>8</v>
      </c>
      <c r="L15" s="31"/>
      <c r="M15" s="31"/>
      <c r="N15" s="31"/>
      <c r="O15" s="31"/>
      <c r="P15" s="31"/>
    </row>
    <row r="16" spans="1:16" ht="15" customHeight="1" x14ac:dyDescent="0.25">
      <c r="A16" s="11"/>
      <c r="B16" s="32" t="s">
        <v>342</v>
      </c>
      <c r="C16" s="32"/>
      <c r="D16" s="32"/>
      <c r="E16" s="32"/>
      <c r="F16" s="32"/>
      <c r="G16" s="32" t="s">
        <v>420</v>
      </c>
      <c r="H16" s="32"/>
      <c r="I16" s="32"/>
      <c r="J16" s="32"/>
      <c r="K16" s="32" t="s">
        <v>8</v>
      </c>
      <c r="L16" s="32"/>
      <c r="M16" s="32"/>
      <c r="N16" s="32"/>
      <c r="O16" s="32"/>
      <c r="P16" s="32"/>
    </row>
    <row r="17" spans="1:16" ht="40.9" customHeight="1" x14ac:dyDescent="0.25">
      <c r="A17" s="11"/>
      <c r="B17" s="32" t="s">
        <v>354</v>
      </c>
      <c r="C17" s="32"/>
      <c r="D17" s="32"/>
      <c r="E17" s="32"/>
      <c r="F17" s="32"/>
      <c r="G17" s="32" t="s">
        <v>355</v>
      </c>
      <c r="H17" s="32"/>
      <c r="I17" s="32"/>
      <c r="J17" s="32"/>
      <c r="K17" s="32" t="s">
        <v>8</v>
      </c>
      <c r="L17" s="32"/>
      <c r="M17" s="32"/>
      <c r="N17" s="32"/>
      <c r="O17" s="32"/>
      <c r="P17" s="32"/>
    </row>
    <row r="18" spans="1:16" ht="95.25" customHeight="1" x14ac:dyDescent="0.25">
      <c r="A18" s="9" t="s">
        <v>33</v>
      </c>
      <c r="B18" s="28" t="s">
        <v>421</v>
      </c>
      <c r="C18" s="29"/>
      <c r="D18" s="29"/>
      <c r="E18" s="29"/>
      <c r="F18" s="29"/>
      <c r="G18" s="29" t="s">
        <v>422</v>
      </c>
      <c r="H18" s="29"/>
      <c r="I18" s="29"/>
      <c r="J18" s="29"/>
      <c r="K18" s="29" t="s">
        <v>423</v>
      </c>
      <c r="L18" s="29"/>
      <c r="M18" s="29"/>
      <c r="N18" s="29"/>
      <c r="O18" s="30">
        <f>ROUND(85450 * 1 * 7.22 * 0.5, 2)</f>
        <v>308474.5</v>
      </c>
      <c r="P18" s="29"/>
    </row>
    <row r="19" spans="1:16" ht="15" customHeight="1" x14ac:dyDescent="0.25">
      <c r="A19" s="10"/>
      <c r="B19" s="31" t="s">
        <v>89</v>
      </c>
      <c r="C19" s="31"/>
      <c r="D19" s="31"/>
      <c r="E19" s="31"/>
      <c r="F19" s="31"/>
      <c r="G19" s="31" t="s">
        <v>8</v>
      </c>
      <c r="H19" s="31"/>
      <c r="I19" s="31"/>
      <c r="J19" s="31"/>
      <c r="K19" s="31" t="s">
        <v>8</v>
      </c>
      <c r="L19" s="31"/>
      <c r="M19" s="31"/>
      <c r="N19" s="31"/>
      <c r="O19" s="31"/>
      <c r="P19" s="31"/>
    </row>
    <row r="20" spans="1:16" ht="15" customHeight="1" x14ac:dyDescent="0.25">
      <c r="A20" s="11"/>
      <c r="B20" s="32" t="s">
        <v>342</v>
      </c>
      <c r="C20" s="32"/>
      <c r="D20" s="32"/>
      <c r="E20" s="32"/>
      <c r="F20" s="32"/>
      <c r="G20" s="32" t="s">
        <v>420</v>
      </c>
      <c r="H20" s="32"/>
      <c r="I20" s="32"/>
      <c r="J20" s="32"/>
      <c r="K20" s="32" t="s">
        <v>8</v>
      </c>
      <c r="L20" s="32"/>
      <c r="M20" s="32"/>
      <c r="N20" s="32"/>
      <c r="O20" s="32"/>
      <c r="P20" s="32"/>
    </row>
    <row r="21" spans="1:16" ht="40.9" customHeight="1" x14ac:dyDescent="0.25">
      <c r="A21" s="11"/>
      <c r="B21" s="32" t="s">
        <v>354</v>
      </c>
      <c r="C21" s="32"/>
      <c r="D21" s="32"/>
      <c r="E21" s="32"/>
      <c r="F21" s="32"/>
      <c r="G21" s="32" t="s">
        <v>355</v>
      </c>
      <c r="H21" s="32"/>
      <c r="I21" s="32"/>
      <c r="J21" s="32"/>
      <c r="K21" s="32" t="s">
        <v>8</v>
      </c>
      <c r="L21" s="32"/>
      <c r="M21" s="32"/>
      <c r="N21" s="32"/>
      <c r="O21" s="32"/>
      <c r="P21" s="32"/>
    </row>
    <row r="22" spans="1:16" ht="122.45" customHeight="1" x14ac:dyDescent="0.25">
      <c r="A22" s="9" t="s">
        <v>52</v>
      </c>
      <c r="B22" s="28" t="s">
        <v>424</v>
      </c>
      <c r="C22" s="29"/>
      <c r="D22" s="29"/>
      <c r="E22" s="29"/>
      <c r="F22" s="29"/>
      <c r="G22" s="29" t="s">
        <v>425</v>
      </c>
      <c r="H22" s="29"/>
      <c r="I22" s="29"/>
      <c r="J22" s="29"/>
      <c r="K22" s="29" t="s">
        <v>426</v>
      </c>
      <c r="L22" s="29"/>
      <c r="M22" s="29"/>
      <c r="N22" s="29"/>
      <c r="O22" s="30">
        <f>ROUND((36610 + 4570 * 6) * 1 * 7.22 * 0.5, 2)</f>
        <v>231148.3</v>
      </c>
      <c r="P22" s="29"/>
    </row>
    <row r="23" spans="1:16" ht="15" customHeight="1" x14ac:dyDescent="0.25">
      <c r="A23" s="10"/>
      <c r="B23" s="31" t="s">
        <v>89</v>
      </c>
      <c r="C23" s="31"/>
      <c r="D23" s="31"/>
      <c r="E23" s="31"/>
      <c r="F23" s="31"/>
      <c r="G23" s="31" t="s">
        <v>8</v>
      </c>
      <c r="H23" s="31"/>
      <c r="I23" s="31"/>
      <c r="J23" s="31"/>
      <c r="K23" s="31" t="s">
        <v>8</v>
      </c>
      <c r="L23" s="31"/>
      <c r="M23" s="31"/>
      <c r="N23" s="31"/>
      <c r="O23" s="31"/>
      <c r="P23" s="31"/>
    </row>
    <row r="24" spans="1:16" ht="15" customHeight="1" x14ac:dyDescent="0.25">
      <c r="A24" s="11"/>
      <c r="B24" s="32" t="s">
        <v>342</v>
      </c>
      <c r="C24" s="32"/>
      <c r="D24" s="32"/>
      <c r="E24" s="32"/>
      <c r="F24" s="32"/>
      <c r="G24" s="32" t="s">
        <v>420</v>
      </c>
      <c r="H24" s="32"/>
      <c r="I24" s="32"/>
      <c r="J24" s="32"/>
      <c r="K24" s="32" t="s">
        <v>8</v>
      </c>
      <c r="L24" s="32"/>
      <c r="M24" s="32"/>
      <c r="N24" s="32"/>
      <c r="O24" s="32"/>
      <c r="P24" s="32"/>
    </row>
    <row r="25" spans="1:16" ht="40.9" customHeight="1" x14ac:dyDescent="0.25">
      <c r="A25" s="11"/>
      <c r="B25" s="32" t="s">
        <v>354</v>
      </c>
      <c r="C25" s="32"/>
      <c r="D25" s="32"/>
      <c r="E25" s="32"/>
      <c r="F25" s="32"/>
      <c r="G25" s="32" t="s">
        <v>355</v>
      </c>
      <c r="H25" s="32"/>
      <c r="I25" s="32"/>
      <c r="J25" s="32"/>
      <c r="K25" s="32" t="s">
        <v>8</v>
      </c>
      <c r="L25" s="32"/>
      <c r="M25" s="32"/>
      <c r="N25" s="32"/>
      <c r="O25" s="32"/>
      <c r="P25" s="32"/>
    </row>
    <row r="26" spans="1:16" ht="81.599999999999994" customHeight="1" x14ac:dyDescent="0.25">
      <c r="A26" s="9" t="s">
        <v>59</v>
      </c>
      <c r="B26" s="28" t="s">
        <v>427</v>
      </c>
      <c r="C26" s="29"/>
      <c r="D26" s="29"/>
      <c r="E26" s="29"/>
      <c r="F26" s="29"/>
      <c r="G26" s="29" t="s">
        <v>428</v>
      </c>
      <c r="H26" s="29"/>
      <c r="I26" s="29"/>
      <c r="J26" s="29"/>
      <c r="K26" s="29" t="s">
        <v>429</v>
      </c>
      <c r="L26" s="29"/>
      <c r="M26" s="29"/>
      <c r="N26" s="29"/>
      <c r="O26" s="30">
        <f>ROUND((2290 + 5510 * 1) * 1 * 7.22 * 0.38, 2)</f>
        <v>21400.080000000002</v>
      </c>
      <c r="P26" s="29"/>
    </row>
    <row r="27" spans="1:16" ht="15" customHeight="1" x14ac:dyDescent="0.25">
      <c r="A27" s="10"/>
      <c r="B27" s="31" t="s">
        <v>89</v>
      </c>
      <c r="C27" s="31"/>
      <c r="D27" s="31"/>
      <c r="E27" s="31"/>
      <c r="F27" s="31"/>
      <c r="G27" s="31" t="s">
        <v>8</v>
      </c>
      <c r="H27" s="31"/>
      <c r="I27" s="31"/>
      <c r="J27" s="31"/>
      <c r="K27" s="31" t="s">
        <v>8</v>
      </c>
      <c r="L27" s="31"/>
      <c r="M27" s="31"/>
      <c r="N27" s="31"/>
      <c r="O27" s="31"/>
      <c r="P27" s="31"/>
    </row>
    <row r="28" spans="1:16" ht="15" customHeight="1" x14ac:dyDescent="0.25">
      <c r="A28" s="11"/>
      <c r="B28" s="32" t="s">
        <v>342</v>
      </c>
      <c r="C28" s="32"/>
      <c r="D28" s="32"/>
      <c r="E28" s="32"/>
      <c r="F28" s="32"/>
      <c r="G28" s="32" t="s">
        <v>430</v>
      </c>
      <c r="H28" s="32"/>
      <c r="I28" s="32"/>
      <c r="J28" s="32"/>
      <c r="K28" s="32" t="s">
        <v>8</v>
      </c>
      <c r="L28" s="32"/>
      <c r="M28" s="32"/>
      <c r="N28" s="32"/>
      <c r="O28" s="32"/>
      <c r="P28" s="32"/>
    </row>
    <row r="29" spans="1:16" ht="40.9" customHeight="1" x14ac:dyDescent="0.25">
      <c r="A29" s="11"/>
      <c r="B29" s="32" t="s">
        <v>354</v>
      </c>
      <c r="C29" s="32"/>
      <c r="D29" s="32"/>
      <c r="E29" s="32"/>
      <c r="F29" s="32"/>
      <c r="G29" s="32" t="s">
        <v>355</v>
      </c>
      <c r="H29" s="32"/>
      <c r="I29" s="32"/>
      <c r="J29" s="32"/>
      <c r="K29" s="32" t="s">
        <v>8</v>
      </c>
      <c r="L29" s="32"/>
      <c r="M29" s="32"/>
      <c r="N29" s="32"/>
      <c r="O29" s="32"/>
      <c r="P29" s="32"/>
    </row>
    <row r="30" spans="1:16" ht="122.45" customHeight="1" x14ac:dyDescent="0.25">
      <c r="A30" s="9" t="s">
        <v>61</v>
      </c>
      <c r="B30" s="28" t="s">
        <v>431</v>
      </c>
      <c r="C30" s="29"/>
      <c r="D30" s="29"/>
      <c r="E30" s="29"/>
      <c r="F30" s="29"/>
      <c r="G30" s="29" t="s">
        <v>432</v>
      </c>
      <c r="H30" s="29"/>
      <c r="I30" s="29"/>
      <c r="J30" s="29"/>
      <c r="K30" s="29" t="s">
        <v>433</v>
      </c>
      <c r="L30" s="29"/>
      <c r="M30" s="29"/>
      <c r="N30" s="29"/>
      <c r="O30" s="30">
        <f>ROUND((36610 + 4570 * 2) * 1 * 7.22 * 0.5, 2)</f>
        <v>165157.5</v>
      </c>
      <c r="P30" s="29"/>
    </row>
    <row r="31" spans="1:16" ht="15" customHeight="1" x14ac:dyDescent="0.25">
      <c r="A31" s="10"/>
      <c r="B31" s="31" t="s">
        <v>89</v>
      </c>
      <c r="C31" s="31"/>
      <c r="D31" s="31"/>
      <c r="E31" s="31"/>
      <c r="F31" s="31"/>
      <c r="G31" s="31" t="s">
        <v>8</v>
      </c>
      <c r="H31" s="31"/>
      <c r="I31" s="31"/>
      <c r="J31" s="31"/>
      <c r="K31" s="31" t="s">
        <v>8</v>
      </c>
      <c r="L31" s="31"/>
      <c r="M31" s="31"/>
      <c r="N31" s="31"/>
      <c r="O31" s="31"/>
      <c r="P31" s="31"/>
    </row>
    <row r="32" spans="1:16" ht="15" customHeight="1" x14ac:dyDescent="0.25">
      <c r="A32" s="11"/>
      <c r="B32" s="32" t="s">
        <v>342</v>
      </c>
      <c r="C32" s="32"/>
      <c r="D32" s="32"/>
      <c r="E32" s="32"/>
      <c r="F32" s="32"/>
      <c r="G32" s="32" t="s">
        <v>420</v>
      </c>
      <c r="H32" s="32"/>
      <c r="I32" s="32"/>
      <c r="J32" s="32"/>
      <c r="K32" s="32" t="s">
        <v>8</v>
      </c>
      <c r="L32" s="32"/>
      <c r="M32" s="32"/>
      <c r="N32" s="32"/>
      <c r="O32" s="32"/>
      <c r="P32" s="32"/>
    </row>
    <row r="33" spans="1:16" ht="40.9" customHeight="1" x14ac:dyDescent="0.25">
      <c r="A33" s="11"/>
      <c r="B33" s="32" t="s">
        <v>354</v>
      </c>
      <c r="C33" s="32"/>
      <c r="D33" s="32"/>
      <c r="E33" s="32"/>
      <c r="F33" s="32"/>
      <c r="G33" s="32" t="s">
        <v>355</v>
      </c>
      <c r="H33" s="32"/>
      <c r="I33" s="32"/>
      <c r="J33" s="32"/>
      <c r="K33" s="32" t="s">
        <v>8</v>
      </c>
      <c r="L33" s="32"/>
      <c r="M33" s="32"/>
      <c r="N33" s="32"/>
      <c r="O33" s="32"/>
      <c r="P33" s="32"/>
    </row>
    <row r="34" spans="1:16" ht="68.099999999999994" customHeight="1" x14ac:dyDescent="0.25">
      <c r="A34" s="9" t="s">
        <v>64</v>
      </c>
      <c r="B34" s="28" t="s">
        <v>434</v>
      </c>
      <c r="C34" s="29"/>
      <c r="D34" s="29"/>
      <c r="E34" s="29"/>
      <c r="F34" s="29"/>
      <c r="G34" s="29" t="s">
        <v>435</v>
      </c>
      <c r="H34" s="29"/>
      <c r="I34" s="29"/>
      <c r="J34" s="29"/>
      <c r="K34" s="29" t="s">
        <v>436</v>
      </c>
      <c r="L34" s="29"/>
      <c r="M34" s="29"/>
      <c r="N34" s="29"/>
      <c r="O34" s="30">
        <f>ROUND(39000 * 1 * 7.22 * 0.36, 2)</f>
        <v>101368.8</v>
      </c>
      <c r="P34" s="29"/>
    </row>
    <row r="35" spans="1:16" ht="15" customHeight="1" x14ac:dyDescent="0.25">
      <c r="A35" s="10"/>
      <c r="B35" s="31" t="s">
        <v>89</v>
      </c>
      <c r="C35" s="31"/>
      <c r="D35" s="31"/>
      <c r="E35" s="31"/>
      <c r="F35" s="31"/>
      <c r="G35" s="31" t="s">
        <v>8</v>
      </c>
      <c r="H35" s="31"/>
      <c r="I35" s="31"/>
      <c r="J35" s="31"/>
      <c r="K35" s="31" t="s">
        <v>8</v>
      </c>
      <c r="L35" s="31"/>
      <c r="M35" s="31"/>
      <c r="N35" s="31"/>
      <c r="O35" s="31"/>
      <c r="P35" s="31"/>
    </row>
    <row r="36" spans="1:16" ht="15" customHeight="1" x14ac:dyDescent="0.25">
      <c r="A36" s="11"/>
      <c r="B36" s="32" t="s">
        <v>342</v>
      </c>
      <c r="C36" s="32"/>
      <c r="D36" s="32"/>
      <c r="E36" s="32"/>
      <c r="F36" s="32"/>
      <c r="G36" s="32" t="s">
        <v>437</v>
      </c>
      <c r="H36" s="32"/>
      <c r="I36" s="32"/>
      <c r="J36" s="32"/>
      <c r="K36" s="32" t="s">
        <v>8</v>
      </c>
      <c r="L36" s="32"/>
      <c r="M36" s="32"/>
      <c r="N36" s="32"/>
      <c r="O36" s="32"/>
      <c r="P36" s="32"/>
    </row>
    <row r="37" spans="1:16" ht="40.9" customHeight="1" x14ac:dyDescent="0.25">
      <c r="A37" s="11"/>
      <c r="B37" s="32" t="s">
        <v>354</v>
      </c>
      <c r="C37" s="32"/>
      <c r="D37" s="32"/>
      <c r="E37" s="32"/>
      <c r="F37" s="32"/>
      <c r="G37" s="32" t="s">
        <v>355</v>
      </c>
      <c r="H37" s="32"/>
      <c r="I37" s="32"/>
      <c r="J37" s="32"/>
      <c r="K37" s="32" t="s">
        <v>8</v>
      </c>
      <c r="L37" s="32"/>
      <c r="M37" s="32"/>
      <c r="N37" s="32"/>
      <c r="O37" s="32"/>
      <c r="P37" s="32"/>
    </row>
    <row r="38" spans="1:16" ht="81.599999999999994" customHeight="1" x14ac:dyDescent="0.25">
      <c r="A38" s="9" t="s">
        <v>331</v>
      </c>
      <c r="B38" s="28" t="s">
        <v>438</v>
      </c>
      <c r="C38" s="29"/>
      <c r="D38" s="29"/>
      <c r="E38" s="29"/>
      <c r="F38" s="29"/>
      <c r="G38" s="29" t="s">
        <v>439</v>
      </c>
      <c r="H38" s="29"/>
      <c r="I38" s="29"/>
      <c r="J38" s="29"/>
      <c r="K38" s="29" t="s">
        <v>440</v>
      </c>
      <c r="L38" s="29"/>
      <c r="M38" s="29"/>
      <c r="N38" s="29"/>
      <c r="O38" s="30">
        <f>ROUND((23000 + 32 * 500) * 1 * 7.22 * 0.36, 2)</f>
        <v>101368.8</v>
      </c>
      <c r="P38" s="29"/>
    </row>
    <row r="39" spans="1:16" ht="15" customHeight="1" x14ac:dyDescent="0.25">
      <c r="A39" s="10"/>
      <c r="B39" s="31" t="s">
        <v>89</v>
      </c>
      <c r="C39" s="31"/>
      <c r="D39" s="31"/>
      <c r="E39" s="31"/>
      <c r="F39" s="31"/>
      <c r="G39" s="31" t="s">
        <v>8</v>
      </c>
      <c r="H39" s="31"/>
      <c r="I39" s="31"/>
      <c r="J39" s="31"/>
      <c r="K39" s="31" t="s">
        <v>8</v>
      </c>
      <c r="L39" s="31"/>
      <c r="M39" s="31"/>
      <c r="N39" s="31"/>
      <c r="O39" s="31"/>
      <c r="P39" s="31"/>
    </row>
    <row r="40" spans="1:16" ht="15" customHeight="1" x14ac:dyDescent="0.25">
      <c r="A40" s="11"/>
      <c r="B40" s="32" t="s">
        <v>342</v>
      </c>
      <c r="C40" s="32"/>
      <c r="D40" s="32"/>
      <c r="E40" s="32"/>
      <c r="F40" s="32"/>
      <c r="G40" s="32" t="s">
        <v>437</v>
      </c>
      <c r="H40" s="32"/>
      <c r="I40" s="32"/>
      <c r="J40" s="32"/>
      <c r="K40" s="32" t="s">
        <v>8</v>
      </c>
      <c r="L40" s="32"/>
      <c r="M40" s="32"/>
      <c r="N40" s="32"/>
      <c r="O40" s="32"/>
      <c r="P40" s="32"/>
    </row>
    <row r="41" spans="1:16" ht="40.9" customHeight="1" x14ac:dyDescent="0.25">
      <c r="A41" s="11"/>
      <c r="B41" s="32" t="s">
        <v>354</v>
      </c>
      <c r="C41" s="32"/>
      <c r="D41" s="32"/>
      <c r="E41" s="32"/>
      <c r="F41" s="32"/>
      <c r="G41" s="32" t="s">
        <v>355</v>
      </c>
      <c r="H41" s="32"/>
      <c r="I41" s="32"/>
      <c r="J41" s="32"/>
      <c r="K41" s="32" t="s">
        <v>8</v>
      </c>
      <c r="L41" s="32"/>
      <c r="M41" s="32"/>
      <c r="N41" s="32"/>
      <c r="O41" s="32"/>
      <c r="P41" s="32"/>
    </row>
    <row r="42" spans="1:16" ht="15" customHeight="1" x14ac:dyDescent="0.25">
      <c r="A42" s="3" t="s">
        <v>402</v>
      </c>
      <c r="B42" s="22" t="s">
        <v>156</v>
      </c>
      <c r="C42" s="22"/>
      <c r="D42" s="22"/>
      <c r="E42" s="22"/>
      <c r="F42" s="22"/>
      <c r="G42" s="22"/>
      <c r="H42" s="22"/>
      <c r="I42" s="22"/>
      <c r="J42" s="22"/>
      <c r="K42" s="22" t="s">
        <v>8</v>
      </c>
      <c r="L42" s="22"/>
      <c r="M42" s="22"/>
      <c r="N42" s="22"/>
      <c r="O42" s="33">
        <f>ROUND(SUM($O$14:$O$38),2)</f>
        <v>990901.68</v>
      </c>
      <c r="P42" s="22"/>
    </row>
    <row r="43" spans="1:16" ht="40.9" customHeight="1" x14ac:dyDescent="0.25">
      <c r="A43" s="3" t="s">
        <v>408</v>
      </c>
      <c r="B43" s="23" t="s">
        <v>306</v>
      </c>
      <c r="C43" s="23"/>
      <c r="D43" s="23"/>
      <c r="E43" s="23"/>
      <c r="F43" s="23"/>
      <c r="G43" s="23" t="s">
        <v>410</v>
      </c>
      <c r="H43" s="23"/>
      <c r="I43" s="23"/>
      <c r="J43" s="23"/>
      <c r="K43" s="23" t="s">
        <v>441</v>
      </c>
      <c r="L43" s="23"/>
      <c r="M43" s="23"/>
      <c r="N43" s="23"/>
      <c r="O43" s="35">
        <f>ROUND(($O$42) * 1  * 0.6,2)</f>
        <v>594541.01</v>
      </c>
      <c r="P43" s="23"/>
    </row>
    <row r="44" spans="1:16" ht="68.099999999999994" customHeight="1" x14ac:dyDescent="0.25">
      <c r="A44" s="3" t="s">
        <v>409</v>
      </c>
      <c r="B44" s="23" t="s">
        <v>306</v>
      </c>
      <c r="C44" s="23"/>
      <c r="D44" s="23"/>
      <c r="E44" s="23"/>
      <c r="F44" s="23"/>
      <c r="G44" s="23" t="s">
        <v>413</v>
      </c>
      <c r="H44" s="23"/>
      <c r="I44" s="23"/>
      <c r="J44" s="23"/>
      <c r="K44" s="23" t="s">
        <v>442</v>
      </c>
      <c r="L44" s="23"/>
      <c r="M44" s="23"/>
      <c r="N44" s="23"/>
      <c r="O44" s="35">
        <f>ROUND(($O$43) * 1  * 1.08,2)</f>
        <v>642104.29</v>
      </c>
      <c r="P44" s="23"/>
    </row>
    <row r="45" spans="1:16" ht="15" customHeight="1" x14ac:dyDescent="0.25">
      <c r="A45" s="3" t="s">
        <v>412</v>
      </c>
      <c r="B45" s="22" t="s">
        <v>157</v>
      </c>
      <c r="C45" s="22"/>
      <c r="D45" s="22"/>
      <c r="E45" s="22"/>
      <c r="F45" s="22"/>
      <c r="G45" s="22"/>
      <c r="H45" s="22"/>
      <c r="I45" s="22"/>
      <c r="J45" s="22"/>
      <c r="K45" s="22" t="s">
        <v>8</v>
      </c>
      <c r="L45" s="22"/>
      <c r="M45" s="22"/>
      <c r="N45" s="22"/>
      <c r="O45" s="33">
        <f>ROUND(($O$44),2)</f>
        <v>642104.29</v>
      </c>
      <c r="P45" s="22"/>
    </row>
    <row r="46" spans="1:16" ht="15" customHeight="1" x14ac:dyDescent="0.25"/>
    <row r="47" spans="1:16" ht="30" customHeight="1" x14ac:dyDescent="0.25">
      <c r="A47" s="19" t="s">
        <v>158</v>
      </c>
      <c r="B47" s="19"/>
      <c r="C47" s="19"/>
      <c r="D47" s="19"/>
      <c r="E47" s="19"/>
      <c r="F47" s="34">
        <f>$O$45</f>
        <v>642104.29</v>
      </c>
      <c r="G47" s="34"/>
      <c r="H47" s="34"/>
      <c r="I47" s="34"/>
      <c r="J47" s="34"/>
      <c r="K47" s="34"/>
      <c r="L47" s="34"/>
      <c r="M47" s="34"/>
      <c r="N47" s="34"/>
      <c r="O47" s="34"/>
      <c r="P47" s="34"/>
    </row>
    <row r="48" spans="1:16" ht="15" customHeight="1" x14ac:dyDescent="0.25"/>
    <row r="49" ht="15" customHeight="1" x14ac:dyDescent="0.25"/>
    <row r="50" ht="15" customHeight="1" x14ac:dyDescent="0.25"/>
  </sheetData>
  <mergeCells count="148">
    <mergeCell ref="B45:F45"/>
    <mergeCell ref="G45:J45"/>
    <mergeCell ref="K45:N45"/>
    <mergeCell ref="O45:P45"/>
    <mergeCell ref="A47:E47"/>
    <mergeCell ref="F47:P47"/>
    <mergeCell ref="B42:F42"/>
    <mergeCell ref="G42:J42"/>
    <mergeCell ref="K42:N42"/>
    <mergeCell ref="O42:P42"/>
    <mergeCell ref="B43:F43"/>
    <mergeCell ref="G43:J43"/>
    <mergeCell ref="K43:N43"/>
    <mergeCell ref="O43:P43"/>
    <mergeCell ref="B44:F44"/>
    <mergeCell ref="G44:J44"/>
    <mergeCell ref="K44:N44"/>
    <mergeCell ref="O44:P44"/>
    <mergeCell ref="B39:F39"/>
    <mergeCell ref="G39:J39"/>
    <mergeCell ref="K39:N39"/>
    <mergeCell ref="O39:P39"/>
    <mergeCell ref="B40:F40"/>
    <mergeCell ref="G40:J40"/>
    <mergeCell ref="K40:N40"/>
    <mergeCell ref="O40:P40"/>
    <mergeCell ref="B41:F41"/>
    <mergeCell ref="G41:J41"/>
    <mergeCell ref="K41:N41"/>
    <mergeCell ref="O41:P41"/>
    <mergeCell ref="B36:F36"/>
    <mergeCell ref="G36:J36"/>
    <mergeCell ref="K36:N36"/>
    <mergeCell ref="O36:P36"/>
    <mergeCell ref="B37:F37"/>
    <mergeCell ref="G37:J37"/>
    <mergeCell ref="K37:N37"/>
    <mergeCell ref="O37:P37"/>
    <mergeCell ref="B38:F38"/>
    <mergeCell ref="G38:J38"/>
    <mergeCell ref="K38:N38"/>
    <mergeCell ref="O38:P38"/>
    <mergeCell ref="B33:F33"/>
    <mergeCell ref="G33:J33"/>
    <mergeCell ref="K33:N33"/>
    <mergeCell ref="O33:P33"/>
    <mergeCell ref="B34:F34"/>
    <mergeCell ref="G34:J34"/>
    <mergeCell ref="K34:N34"/>
    <mergeCell ref="O34:P34"/>
    <mergeCell ref="B35:F35"/>
    <mergeCell ref="G35:J35"/>
    <mergeCell ref="K35:N35"/>
    <mergeCell ref="O35:P35"/>
    <mergeCell ref="B30:F30"/>
    <mergeCell ref="G30:J30"/>
    <mergeCell ref="K30:N30"/>
    <mergeCell ref="O30:P30"/>
    <mergeCell ref="B31:F31"/>
    <mergeCell ref="G31:J31"/>
    <mergeCell ref="K31:N31"/>
    <mergeCell ref="O31:P31"/>
    <mergeCell ref="B32:F32"/>
    <mergeCell ref="G32:J32"/>
    <mergeCell ref="K32:N32"/>
    <mergeCell ref="O32:P32"/>
    <mergeCell ref="B27:F27"/>
    <mergeCell ref="G27:J27"/>
    <mergeCell ref="K27:N27"/>
    <mergeCell ref="O27:P27"/>
    <mergeCell ref="B28:F28"/>
    <mergeCell ref="G28:J28"/>
    <mergeCell ref="K28:N28"/>
    <mergeCell ref="O28:P28"/>
    <mergeCell ref="B29:F29"/>
    <mergeCell ref="G29:J29"/>
    <mergeCell ref="K29:N29"/>
    <mergeCell ref="O29:P29"/>
    <mergeCell ref="B24:F24"/>
    <mergeCell ref="G24:J24"/>
    <mergeCell ref="K24:N24"/>
    <mergeCell ref="O24:P24"/>
    <mergeCell ref="B25:F25"/>
    <mergeCell ref="G25:J25"/>
    <mergeCell ref="K25:N25"/>
    <mergeCell ref="O25:P25"/>
    <mergeCell ref="B26:F26"/>
    <mergeCell ref="G26:J26"/>
    <mergeCell ref="K26:N26"/>
    <mergeCell ref="O26:P26"/>
    <mergeCell ref="B21:F21"/>
    <mergeCell ref="G21:J21"/>
    <mergeCell ref="K21:N21"/>
    <mergeCell ref="O21:P21"/>
    <mergeCell ref="B22:F22"/>
    <mergeCell ref="G22:J22"/>
    <mergeCell ref="K22:N22"/>
    <mergeCell ref="O22:P22"/>
    <mergeCell ref="B23:F23"/>
    <mergeCell ref="G23:J23"/>
    <mergeCell ref="K23:N23"/>
    <mergeCell ref="O23:P23"/>
    <mergeCell ref="B18:F18"/>
    <mergeCell ref="G18:J18"/>
    <mergeCell ref="K18:N18"/>
    <mergeCell ref="O18:P18"/>
    <mergeCell ref="B19:F19"/>
    <mergeCell ref="G19:J19"/>
    <mergeCell ref="K19:N19"/>
    <mergeCell ref="O19:P19"/>
    <mergeCell ref="B20:F20"/>
    <mergeCell ref="G20:J20"/>
    <mergeCell ref="K20:N20"/>
    <mergeCell ref="O20:P20"/>
    <mergeCell ref="B15:F15"/>
    <mergeCell ref="G15:J15"/>
    <mergeCell ref="K15:N15"/>
    <mergeCell ref="O15:P15"/>
    <mergeCell ref="B16:F16"/>
    <mergeCell ref="G16:J16"/>
    <mergeCell ref="K16:N16"/>
    <mergeCell ref="O16:P16"/>
    <mergeCell ref="B17:F17"/>
    <mergeCell ref="G17:J17"/>
    <mergeCell ref="K17:N17"/>
    <mergeCell ref="O17:P17"/>
    <mergeCell ref="B12:F12"/>
    <mergeCell ref="B13:F13"/>
    <mergeCell ref="G12:J12"/>
    <mergeCell ref="G13:J13"/>
    <mergeCell ref="K12:N12"/>
    <mergeCell ref="K13:N13"/>
    <mergeCell ref="O12:P12"/>
    <mergeCell ref="O13:P13"/>
    <mergeCell ref="B14:F14"/>
    <mergeCell ref="G14:J14"/>
    <mergeCell ref="K14:N14"/>
    <mergeCell ref="O14:P14"/>
    <mergeCell ref="A1:D1"/>
    <mergeCell ref="E1:P1"/>
    <mergeCell ref="A3:P3"/>
    <mergeCell ref="A4:P4"/>
    <mergeCell ref="A6:E6"/>
    <mergeCell ref="F6:P6"/>
    <mergeCell ref="A8:E8"/>
    <mergeCell ref="F8:P8"/>
    <mergeCell ref="A10:E10"/>
    <mergeCell ref="F10:P10"/>
  </mergeCells>
  <pageMargins left="0.23622047244094491" right="0.23622047244094491" top="0.74803149606299213" bottom="0.74803149606299213" header="0.31496062992125984" footer="0.31496062992125984"/>
  <pageSetup paperSize="9" scale="78"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67"/>
  <sheetViews>
    <sheetView showRuler="0" topLeftCell="A16" zoomScale="85" zoomScaleNormal="85" workbookViewId="0">
      <selection activeCell="K18" sqref="K18:N18"/>
    </sheetView>
  </sheetViews>
  <sheetFormatPr defaultRowHeight="15" x14ac:dyDescent="0.25"/>
  <cols>
    <col min="1" max="1" width="6.42578125" style="1" customWidth="1"/>
    <col min="2" max="50" width="8" style="1" customWidth="1"/>
  </cols>
  <sheetData>
    <row r="1" spans="1:16" ht="27.2" customHeight="1" x14ac:dyDescent="0.25">
      <c r="A1" s="15" t="s">
        <v>0</v>
      </c>
      <c r="B1" s="15"/>
      <c r="C1" s="15"/>
      <c r="D1" s="15"/>
      <c r="E1" s="16" t="s">
        <v>332</v>
      </c>
      <c r="F1" s="16"/>
      <c r="G1" s="16"/>
      <c r="H1" s="16"/>
      <c r="I1" s="16"/>
      <c r="J1" s="16"/>
      <c r="K1" s="16"/>
      <c r="L1" s="16"/>
      <c r="M1" s="16"/>
      <c r="N1" s="16"/>
      <c r="O1" s="16"/>
      <c r="P1" s="16"/>
    </row>
    <row r="2" spans="1:16" ht="15" customHeight="1" x14ac:dyDescent="0.25"/>
    <row r="3" spans="1:16" ht="15" customHeight="1" x14ac:dyDescent="0.25">
      <c r="A3" s="17" t="s">
        <v>443</v>
      </c>
      <c r="B3" s="17"/>
      <c r="C3" s="17"/>
      <c r="D3" s="17"/>
      <c r="E3" s="17"/>
      <c r="F3" s="17"/>
      <c r="G3" s="17"/>
      <c r="H3" s="17"/>
      <c r="I3" s="17"/>
      <c r="J3" s="17"/>
      <c r="K3" s="17"/>
      <c r="L3" s="17"/>
      <c r="M3" s="17"/>
      <c r="N3" s="17"/>
      <c r="O3" s="17"/>
      <c r="P3" s="17"/>
    </row>
    <row r="4" spans="1:16" ht="15" customHeight="1" x14ac:dyDescent="0.25">
      <c r="A4" s="18" t="s">
        <v>313</v>
      </c>
      <c r="B4" s="18"/>
      <c r="C4" s="18"/>
      <c r="D4" s="18"/>
      <c r="E4" s="18"/>
      <c r="F4" s="18"/>
      <c r="G4" s="18"/>
      <c r="H4" s="18"/>
      <c r="I4" s="18"/>
      <c r="J4" s="18"/>
      <c r="K4" s="18"/>
      <c r="L4" s="18"/>
      <c r="M4" s="18"/>
      <c r="N4" s="18"/>
      <c r="O4" s="18"/>
      <c r="P4" s="18"/>
    </row>
    <row r="5" spans="1:16" ht="15" customHeight="1" x14ac:dyDescent="0.25"/>
    <row r="6" spans="1:16" ht="54.4" customHeight="1" x14ac:dyDescent="0.25">
      <c r="A6" s="19" t="s">
        <v>314</v>
      </c>
      <c r="B6" s="19"/>
      <c r="C6" s="19"/>
      <c r="D6" s="19"/>
      <c r="E6" s="19"/>
      <c r="F6" s="36" t="s">
        <v>39</v>
      </c>
      <c r="G6" s="36"/>
      <c r="H6" s="36"/>
      <c r="I6" s="36"/>
      <c r="J6" s="36"/>
      <c r="K6" s="36"/>
      <c r="L6" s="36"/>
      <c r="M6" s="36"/>
      <c r="N6" s="36"/>
      <c r="O6" s="36"/>
      <c r="P6" s="36"/>
    </row>
    <row r="7" spans="1:16" ht="15" customHeight="1" x14ac:dyDescent="0.25"/>
    <row r="8" spans="1:16" ht="27.2" customHeight="1" x14ac:dyDescent="0.25">
      <c r="A8" s="19" t="s">
        <v>315</v>
      </c>
      <c r="B8" s="19"/>
      <c r="C8" s="19"/>
      <c r="D8" s="19"/>
      <c r="E8" s="19"/>
      <c r="F8" s="36" t="s">
        <v>10</v>
      </c>
      <c r="G8" s="36"/>
      <c r="H8" s="36"/>
      <c r="I8" s="36"/>
      <c r="J8" s="36"/>
      <c r="K8" s="36"/>
      <c r="L8" s="36"/>
      <c r="M8" s="36"/>
      <c r="N8" s="36"/>
      <c r="O8" s="36"/>
      <c r="P8" s="36"/>
    </row>
    <row r="9" spans="1:16" ht="15" customHeight="1" x14ac:dyDescent="0.25"/>
    <row r="10" spans="1:16" ht="15" customHeight="1" x14ac:dyDescent="0.25">
      <c r="A10" s="19" t="s">
        <v>11</v>
      </c>
      <c r="B10" s="19"/>
      <c r="C10" s="19"/>
      <c r="D10" s="19"/>
      <c r="E10" s="19"/>
      <c r="F10" s="36" t="s">
        <v>12</v>
      </c>
      <c r="G10" s="36"/>
      <c r="H10" s="36"/>
      <c r="I10" s="36"/>
      <c r="J10" s="36"/>
      <c r="K10" s="36"/>
      <c r="L10" s="36"/>
      <c r="M10" s="36"/>
      <c r="N10" s="36"/>
      <c r="O10" s="36"/>
      <c r="P10" s="36"/>
    </row>
    <row r="11" spans="1:16" ht="15" customHeight="1" x14ac:dyDescent="0.25"/>
    <row r="12" spans="1:16" ht="81.599999999999994" customHeight="1" x14ac:dyDescent="0.25">
      <c r="A12" s="2" t="s">
        <v>80</v>
      </c>
      <c r="B12" s="21" t="s">
        <v>334</v>
      </c>
      <c r="C12" s="21"/>
      <c r="D12" s="21"/>
      <c r="E12" s="21"/>
      <c r="F12" s="21"/>
      <c r="G12" s="21" t="s">
        <v>335</v>
      </c>
      <c r="H12" s="21"/>
      <c r="I12" s="21"/>
      <c r="J12" s="21"/>
      <c r="K12" s="21" t="s">
        <v>336</v>
      </c>
      <c r="L12" s="21"/>
      <c r="M12" s="21"/>
      <c r="N12" s="21"/>
      <c r="O12" s="21" t="s">
        <v>337</v>
      </c>
      <c r="P12" s="21"/>
    </row>
    <row r="13" spans="1:16" ht="15" customHeight="1" x14ac:dyDescent="0.25">
      <c r="A13" s="2">
        <v>1</v>
      </c>
      <c r="B13" s="21">
        <v>2</v>
      </c>
      <c r="C13" s="21"/>
      <c r="D13" s="21"/>
      <c r="E13" s="21"/>
      <c r="F13" s="21"/>
      <c r="G13" s="21">
        <v>3</v>
      </c>
      <c r="H13" s="21"/>
      <c r="I13" s="21"/>
      <c r="J13" s="21"/>
      <c r="K13" s="21">
        <v>4</v>
      </c>
      <c r="L13" s="21"/>
      <c r="M13" s="21"/>
      <c r="N13" s="21"/>
      <c r="O13" s="21">
        <v>5</v>
      </c>
      <c r="P13" s="21"/>
    </row>
    <row r="14" spans="1:16" ht="15" customHeight="1" x14ac:dyDescent="0.25">
      <c r="A14" s="23" t="s">
        <v>338</v>
      </c>
      <c r="B14" s="23"/>
      <c r="C14" s="23"/>
      <c r="D14" s="23"/>
      <c r="E14" s="23"/>
      <c r="F14" s="23"/>
      <c r="G14" s="23"/>
      <c r="H14" s="23"/>
      <c r="I14" s="23"/>
      <c r="J14" s="23"/>
      <c r="K14" s="23"/>
      <c r="L14" s="23"/>
      <c r="M14" s="23"/>
      <c r="N14" s="23"/>
      <c r="O14" s="23"/>
      <c r="P14" s="23"/>
    </row>
    <row r="15" spans="1:16" ht="163.15" customHeight="1" x14ac:dyDescent="0.25">
      <c r="A15" s="9" t="s">
        <v>21</v>
      </c>
      <c r="B15" s="28" t="s">
        <v>339</v>
      </c>
      <c r="C15" s="29"/>
      <c r="D15" s="29"/>
      <c r="E15" s="29"/>
      <c r="F15" s="29"/>
      <c r="G15" s="29" t="s">
        <v>340</v>
      </c>
      <c r="H15" s="29"/>
      <c r="I15" s="29"/>
      <c r="J15" s="29"/>
      <c r="K15" s="29" t="s">
        <v>444</v>
      </c>
      <c r="L15" s="29"/>
      <c r="M15" s="29"/>
      <c r="N15" s="29"/>
      <c r="O15" s="30">
        <f>ROUND((302600 + 1964970 * 0.427) * 1 * 1.4 * 0.6, 2)</f>
        <v>958979.44</v>
      </c>
      <c r="P15" s="29"/>
    </row>
    <row r="16" spans="1:16" ht="15" customHeight="1" x14ac:dyDescent="0.25">
      <c r="A16" s="10"/>
      <c r="B16" s="31" t="s">
        <v>89</v>
      </c>
      <c r="C16" s="31"/>
      <c r="D16" s="31"/>
      <c r="E16" s="31"/>
      <c r="F16" s="31"/>
      <c r="G16" s="31" t="s">
        <v>8</v>
      </c>
      <c r="H16" s="31"/>
      <c r="I16" s="31"/>
      <c r="J16" s="31"/>
      <c r="K16" s="31" t="s">
        <v>8</v>
      </c>
      <c r="L16" s="31"/>
      <c r="M16" s="31"/>
      <c r="N16" s="31"/>
      <c r="O16" s="31"/>
      <c r="P16" s="31"/>
    </row>
    <row r="17" spans="1:16" ht="15" customHeight="1" x14ac:dyDescent="0.25">
      <c r="A17" s="11"/>
      <c r="B17" s="32" t="s">
        <v>445</v>
      </c>
      <c r="C17" s="32"/>
      <c r="D17" s="32"/>
      <c r="E17" s="32"/>
      <c r="F17" s="32"/>
      <c r="G17" s="32" t="s">
        <v>446</v>
      </c>
      <c r="H17" s="32"/>
      <c r="I17" s="32"/>
      <c r="J17" s="32"/>
      <c r="K17" s="32" t="s">
        <v>8</v>
      </c>
      <c r="L17" s="32"/>
      <c r="M17" s="32"/>
      <c r="N17" s="32"/>
      <c r="O17" s="32"/>
      <c r="P17" s="32"/>
    </row>
    <row r="18" spans="1:16" ht="40.9" customHeight="1" x14ac:dyDescent="0.25">
      <c r="A18" s="11"/>
      <c r="B18" s="32" t="s">
        <v>344</v>
      </c>
      <c r="C18" s="32"/>
      <c r="D18" s="32"/>
      <c r="E18" s="32"/>
      <c r="F18" s="32"/>
      <c r="G18" s="32" t="s">
        <v>345</v>
      </c>
      <c r="H18" s="32"/>
      <c r="I18" s="32"/>
      <c r="J18" s="32"/>
      <c r="K18" s="32" t="s">
        <v>8</v>
      </c>
      <c r="L18" s="32"/>
      <c r="M18" s="32"/>
      <c r="N18" s="32"/>
      <c r="O18" s="32"/>
      <c r="P18" s="32"/>
    </row>
    <row r="19" spans="1:16" ht="15" customHeight="1" x14ac:dyDescent="0.25">
      <c r="A19" s="23" t="s">
        <v>346</v>
      </c>
      <c r="B19" s="23"/>
      <c r="C19" s="23"/>
      <c r="D19" s="23"/>
      <c r="E19" s="23"/>
      <c r="F19" s="23"/>
      <c r="G19" s="23"/>
      <c r="H19" s="23"/>
      <c r="I19" s="23"/>
      <c r="J19" s="23"/>
      <c r="K19" s="23"/>
      <c r="L19" s="23"/>
      <c r="M19" s="23"/>
      <c r="N19" s="23"/>
      <c r="O19" s="23"/>
      <c r="P19" s="23"/>
    </row>
    <row r="20" spans="1:16" ht="108.75" customHeight="1" x14ac:dyDescent="0.25">
      <c r="A20" s="9" t="s">
        <v>33</v>
      </c>
      <c r="B20" s="28" t="s">
        <v>347</v>
      </c>
      <c r="C20" s="29"/>
      <c r="D20" s="29"/>
      <c r="E20" s="29"/>
      <c r="F20" s="29"/>
      <c r="G20" s="29" t="s">
        <v>348</v>
      </c>
      <c r="H20" s="29"/>
      <c r="I20" s="29"/>
      <c r="J20" s="29"/>
      <c r="K20" s="29" t="s">
        <v>447</v>
      </c>
      <c r="L20" s="29"/>
      <c r="M20" s="29"/>
      <c r="N20" s="29"/>
      <c r="O20" s="30">
        <f>ROUND(1622600 * 1 * 1.4 * 0.6, 2)</f>
        <v>1362984</v>
      </c>
      <c r="P20" s="29"/>
    </row>
    <row r="21" spans="1:16" ht="15" customHeight="1" x14ac:dyDescent="0.25">
      <c r="A21" s="10"/>
      <c r="B21" s="31" t="s">
        <v>89</v>
      </c>
      <c r="C21" s="31"/>
      <c r="D21" s="31"/>
      <c r="E21" s="31"/>
      <c r="F21" s="31"/>
      <c r="G21" s="31" t="s">
        <v>8</v>
      </c>
      <c r="H21" s="31"/>
      <c r="I21" s="31"/>
      <c r="J21" s="31"/>
      <c r="K21" s="31" t="s">
        <v>8</v>
      </c>
      <c r="L21" s="31"/>
      <c r="M21" s="31"/>
      <c r="N21" s="31"/>
      <c r="O21" s="31"/>
      <c r="P21" s="31"/>
    </row>
    <row r="22" spans="1:16" ht="15" customHeight="1" x14ac:dyDescent="0.25">
      <c r="A22" s="11"/>
      <c r="B22" s="32" t="s">
        <v>445</v>
      </c>
      <c r="C22" s="32"/>
      <c r="D22" s="32"/>
      <c r="E22" s="32"/>
      <c r="F22" s="32"/>
      <c r="G22" s="32" t="s">
        <v>446</v>
      </c>
      <c r="H22" s="32"/>
      <c r="I22" s="32"/>
      <c r="J22" s="32"/>
      <c r="K22" s="32" t="s">
        <v>8</v>
      </c>
      <c r="L22" s="32"/>
      <c r="M22" s="32"/>
      <c r="N22" s="32"/>
      <c r="O22" s="32"/>
      <c r="P22" s="32"/>
    </row>
    <row r="23" spans="1:16" ht="40.9" customHeight="1" x14ac:dyDescent="0.25">
      <c r="A23" s="11"/>
      <c r="B23" s="32" t="s">
        <v>344</v>
      </c>
      <c r="C23" s="32"/>
      <c r="D23" s="32"/>
      <c r="E23" s="32"/>
      <c r="F23" s="32"/>
      <c r="G23" s="32" t="s">
        <v>345</v>
      </c>
      <c r="H23" s="32"/>
      <c r="I23" s="32"/>
      <c r="J23" s="32"/>
      <c r="K23" s="32" t="s">
        <v>8</v>
      </c>
      <c r="L23" s="32"/>
      <c r="M23" s="32"/>
      <c r="N23" s="32"/>
      <c r="O23" s="32"/>
      <c r="P23" s="32"/>
    </row>
    <row r="24" spans="1:16" ht="15" customHeight="1" x14ac:dyDescent="0.25">
      <c r="A24" s="23" t="s">
        <v>350</v>
      </c>
      <c r="B24" s="23"/>
      <c r="C24" s="23"/>
      <c r="D24" s="23"/>
      <c r="E24" s="23"/>
      <c r="F24" s="23"/>
      <c r="G24" s="23"/>
      <c r="H24" s="23"/>
      <c r="I24" s="23"/>
      <c r="J24" s="23"/>
      <c r="K24" s="23"/>
      <c r="L24" s="23"/>
      <c r="M24" s="23"/>
      <c r="N24" s="23"/>
      <c r="O24" s="23"/>
      <c r="P24" s="23"/>
    </row>
    <row r="25" spans="1:16" ht="68.099999999999994" customHeight="1" x14ac:dyDescent="0.25">
      <c r="A25" s="9" t="s">
        <v>52</v>
      </c>
      <c r="B25" s="28" t="s">
        <v>351</v>
      </c>
      <c r="C25" s="29"/>
      <c r="D25" s="29"/>
      <c r="E25" s="29"/>
      <c r="F25" s="29"/>
      <c r="G25" s="29" t="s">
        <v>352</v>
      </c>
      <c r="H25" s="29"/>
      <c r="I25" s="29"/>
      <c r="J25" s="29"/>
      <c r="K25" s="29" t="s">
        <v>448</v>
      </c>
      <c r="L25" s="29"/>
      <c r="M25" s="29"/>
      <c r="N25" s="29"/>
      <c r="O25" s="30">
        <f>ROUND(91000 * 2 * 7.22 * 0.6, 2)</f>
        <v>788424</v>
      </c>
      <c r="P25" s="29"/>
    </row>
    <row r="26" spans="1:16" ht="15" customHeight="1" x14ac:dyDescent="0.25">
      <c r="A26" s="10"/>
      <c r="B26" s="31" t="s">
        <v>89</v>
      </c>
      <c r="C26" s="31"/>
      <c r="D26" s="31"/>
      <c r="E26" s="31"/>
      <c r="F26" s="31"/>
      <c r="G26" s="31" t="s">
        <v>8</v>
      </c>
      <c r="H26" s="31"/>
      <c r="I26" s="31"/>
      <c r="J26" s="31"/>
      <c r="K26" s="31" t="s">
        <v>8</v>
      </c>
      <c r="L26" s="31"/>
      <c r="M26" s="31"/>
      <c r="N26" s="31"/>
      <c r="O26" s="31"/>
      <c r="P26" s="31"/>
    </row>
    <row r="27" spans="1:16" ht="15" customHeight="1" x14ac:dyDescent="0.25">
      <c r="A27" s="11"/>
      <c r="B27" s="32" t="s">
        <v>445</v>
      </c>
      <c r="C27" s="32"/>
      <c r="D27" s="32"/>
      <c r="E27" s="32"/>
      <c r="F27" s="32"/>
      <c r="G27" s="32" t="s">
        <v>446</v>
      </c>
      <c r="H27" s="32"/>
      <c r="I27" s="32"/>
      <c r="J27" s="32"/>
      <c r="K27" s="32" t="s">
        <v>8</v>
      </c>
      <c r="L27" s="32"/>
      <c r="M27" s="32"/>
      <c r="N27" s="32"/>
      <c r="O27" s="32"/>
      <c r="P27" s="32"/>
    </row>
    <row r="28" spans="1:16" ht="40.9" customHeight="1" x14ac:dyDescent="0.25">
      <c r="A28" s="11"/>
      <c r="B28" s="32" t="s">
        <v>354</v>
      </c>
      <c r="C28" s="32"/>
      <c r="D28" s="32"/>
      <c r="E28" s="32"/>
      <c r="F28" s="32"/>
      <c r="G28" s="32" t="s">
        <v>355</v>
      </c>
      <c r="H28" s="32"/>
      <c r="I28" s="32"/>
      <c r="J28" s="32"/>
      <c r="K28" s="32" t="s">
        <v>8</v>
      </c>
      <c r="L28" s="32"/>
      <c r="M28" s="32"/>
      <c r="N28" s="32"/>
      <c r="O28" s="32"/>
      <c r="P28" s="32"/>
    </row>
    <row r="29" spans="1:16" ht="15" customHeight="1" x14ac:dyDescent="0.25">
      <c r="A29" s="23" t="s">
        <v>356</v>
      </c>
      <c r="B29" s="23"/>
      <c r="C29" s="23"/>
      <c r="D29" s="23"/>
      <c r="E29" s="23"/>
      <c r="F29" s="23"/>
      <c r="G29" s="23"/>
      <c r="H29" s="23"/>
      <c r="I29" s="23"/>
      <c r="J29" s="23"/>
      <c r="K29" s="23"/>
      <c r="L29" s="23"/>
      <c r="M29" s="23"/>
      <c r="N29" s="23"/>
      <c r="O29" s="23"/>
      <c r="P29" s="23"/>
    </row>
    <row r="30" spans="1:16" ht="95.25" customHeight="1" x14ac:dyDescent="0.25">
      <c r="A30" s="9" t="s">
        <v>59</v>
      </c>
      <c r="B30" s="28" t="s">
        <v>357</v>
      </c>
      <c r="C30" s="29"/>
      <c r="D30" s="29"/>
      <c r="E30" s="29"/>
      <c r="F30" s="29"/>
      <c r="G30" s="29" t="s">
        <v>358</v>
      </c>
      <c r="H30" s="29"/>
      <c r="I30" s="29"/>
      <c r="J30" s="29"/>
      <c r="K30" s="29" t="s">
        <v>449</v>
      </c>
      <c r="L30" s="29"/>
      <c r="M30" s="29"/>
      <c r="N30" s="29"/>
      <c r="O30" s="30">
        <f>ROUND((245000 + 326000 * 0.5) * 1 * 1.56 * 0.6 * 0.32, 2)</f>
        <v>122204.16</v>
      </c>
      <c r="P30" s="29"/>
    </row>
    <row r="31" spans="1:16" ht="15" customHeight="1" x14ac:dyDescent="0.25">
      <c r="A31" s="10"/>
      <c r="B31" s="31" t="s">
        <v>89</v>
      </c>
      <c r="C31" s="31"/>
      <c r="D31" s="31"/>
      <c r="E31" s="31"/>
      <c r="F31" s="31"/>
      <c r="G31" s="31" t="s">
        <v>8</v>
      </c>
      <c r="H31" s="31"/>
      <c r="I31" s="31"/>
      <c r="J31" s="31"/>
      <c r="K31" s="31" t="s">
        <v>8</v>
      </c>
      <c r="L31" s="31"/>
      <c r="M31" s="31"/>
      <c r="N31" s="31"/>
      <c r="O31" s="31"/>
      <c r="P31" s="31"/>
    </row>
    <row r="32" spans="1:16" ht="15" customHeight="1" x14ac:dyDescent="0.25">
      <c r="A32" s="11"/>
      <c r="B32" s="32" t="s">
        <v>445</v>
      </c>
      <c r="C32" s="32"/>
      <c r="D32" s="32"/>
      <c r="E32" s="32"/>
      <c r="F32" s="32"/>
      <c r="G32" s="32" t="s">
        <v>446</v>
      </c>
      <c r="H32" s="32"/>
      <c r="I32" s="32"/>
      <c r="J32" s="32"/>
      <c r="K32" s="32" t="s">
        <v>8</v>
      </c>
      <c r="L32" s="32"/>
      <c r="M32" s="32"/>
      <c r="N32" s="32"/>
      <c r="O32" s="32"/>
      <c r="P32" s="32"/>
    </row>
    <row r="33" spans="1:16" ht="40.9" customHeight="1" x14ac:dyDescent="0.25">
      <c r="A33" s="11"/>
      <c r="B33" s="32" t="s">
        <v>360</v>
      </c>
      <c r="C33" s="32"/>
      <c r="D33" s="32"/>
      <c r="E33" s="32"/>
      <c r="F33" s="32"/>
      <c r="G33" s="32" t="s">
        <v>361</v>
      </c>
      <c r="H33" s="32"/>
      <c r="I33" s="32"/>
      <c r="J33" s="32"/>
      <c r="K33" s="32" t="s">
        <v>8</v>
      </c>
      <c r="L33" s="32"/>
      <c r="M33" s="32"/>
      <c r="N33" s="32"/>
      <c r="O33" s="32"/>
      <c r="P33" s="32"/>
    </row>
    <row r="34" spans="1:16" ht="15" customHeight="1" x14ac:dyDescent="0.25">
      <c r="A34" s="10"/>
      <c r="B34" s="31" t="s">
        <v>376</v>
      </c>
      <c r="C34" s="31"/>
      <c r="D34" s="31"/>
      <c r="E34" s="31"/>
      <c r="F34" s="31"/>
      <c r="G34" s="31" t="s">
        <v>8</v>
      </c>
      <c r="H34" s="31"/>
      <c r="I34" s="31"/>
      <c r="J34" s="31"/>
      <c r="K34" s="31" t="s">
        <v>8</v>
      </c>
      <c r="L34" s="31"/>
      <c r="M34" s="31"/>
      <c r="N34" s="31"/>
      <c r="O34" s="31"/>
      <c r="P34" s="31"/>
    </row>
    <row r="35" spans="1:16" ht="27.2" customHeight="1" x14ac:dyDescent="0.25">
      <c r="A35" s="11"/>
      <c r="B35" s="32" t="s">
        <v>377</v>
      </c>
      <c r="C35" s="32"/>
      <c r="D35" s="32"/>
      <c r="E35" s="32"/>
      <c r="F35" s="32"/>
      <c r="G35" s="32" t="s">
        <v>8</v>
      </c>
      <c r="H35" s="32"/>
      <c r="I35" s="32"/>
      <c r="J35" s="32"/>
      <c r="K35" s="32" t="s">
        <v>8</v>
      </c>
      <c r="L35" s="32"/>
      <c r="M35" s="32"/>
      <c r="N35" s="32"/>
      <c r="O35" s="32"/>
      <c r="P35" s="32"/>
    </row>
    <row r="36" spans="1:16" ht="15" customHeight="1" x14ac:dyDescent="0.25">
      <c r="A36" s="11"/>
      <c r="B36" s="32" t="s">
        <v>378</v>
      </c>
      <c r="C36" s="32"/>
      <c r="D36" s="32"/>
      <c r="E36" s="32"/>
      <c r="F36" s="32"/>
      <c r="G36" s="32" t="s">
        <v>450</v>
      </c>
      <c r="H36" s="32"/>
      <c r="I36" s="32"/>
      <c r="J36" s="32"/>
      <c r="K36" s="32" t="s">
        <v>8</v>
      </c>
      <c r="L36" s="32"/>
      <c r="M36" s="32"/>
      <c r="N36" s="32"/>
      <c r="O36" s="32"/>
      <c r="P36" s="32"/>
    </row>
    <row r="37" spans="1:16" ht="27.2" customHeight="1" x14ac:dyDescent="0.25">
      <c r="A37" s="11"/>
      <c r="B37" s="32" t="s">
        <v>380</v>
      </c>
      <c r="C37" s="32"/>
      <c r="D37" s="32"/>
      <c r="E37" s="32"/>
      <c r="F37" s="32"/>
      <c r="G37" s="32" t="s">
        <v>451</v>
      </c>
      <c r="H37" s="32"/>
      <c r="I37" s="32"/>
      <c r="J37" s="32"/>
      <c r="K37" s="32" t="s">
        <v>8</v>
      </c>
      <c r="L37" s="32"/>
      <c r="M37" s="32"/>
      <c r="N37" s="32"/>
      <c r="O37" s="32"/>
      <c r="P37" s="32"/>
    </row>
    <row r="38" spans="1:16" ht="27.2" customHeight="1" x14ac:dyDescent="0.25">
      <c r="A38" s="11"/>
      <c r="B38" s="32" t="s">
        <v>382</v>
      </c>
      <c r="C38" s="32"/>
      <c r="D38" s="32"/>
      <c r="E38" s="32"/>
      <c r="F38" s="32"/>
      <c r="G38" s="32" t="s">
        <v>452</v>
      </c>
      <c r="H38" s="32"/>
      <c r="I38" s="32"/>
      <c r="J38" s="32"/>
      <c r="K38" s="32" t="s">
        <v>8</v>
      </c>
      <c r="L38" s="32"/>
      <c r="M38" s="32"/>
      <c r="N38" s="32"/>
      <c r="O38" s="32"/>
      <c r="P38" s="32"/>
    </row>
    <row r="39" spans="1:16" ht="15" customHeight="1" x14ac:dyDescent="0.25">
      <c r="A39" s="11"/>
      <c r="B39" s="32" t="s">
        <v>384</v>
      </c>
      <c r="C39" s="32"/>
      <c r="D39" s="32"/>
      <c r="E39" s="32"/>
      <c r="F39" s="32"/>
      <c r="G39" s="32" t="s">
        <v>370</v>
      </c>
      <c r="H39" s="32"/>
      <c r="I39" s="32"/>
      <c r="J39" s="32"/>
      <c r="K39" s="32" t="s">
        <v>8</v>
      </c>
      <c r="L39" s="32"/>
      <c r="M39" s="32"/>
      <c r="N39" s="32"/>
      <c r="O39" s="32"/>
      <c r="P39" s="32"/>
    </row>
    <row r="40" spans="1:16" ht="27.2" customHeight="1" x14ac:dyDescent="0.25">
      <c r="A40" s="11"/>
      <c r="B40" s="32" t="s">
        <v>385</v>
      </c>
      <c r="C40" s="32"/>
      <c r="D40" s="32"/>
      <c r="E40" s="32"/>
      <c r="F40" s="32"/>
      <c r="G40" s="32" t="s">
        <v>8</v>
      </c>
      <c r="H40" s="32"/>
      <c r="I40" s="32"/>
      <c r="J40" s="32"/>
      <c r="K40" s="32" t="s">
        <v>8</v>
      </c>
      <c r="L40" s="32"/>
      <c r="M40" s="32"/>
      <c r="N40" s="32"/>
      <c r="O40" s="32"/>
      <c r="P40" s="32"/>
    </row>
    <row r="41" spans="1:16" ht="15" customHeight="1" x14ac:dyDescent="0.25">
      <c r="A41" s="11"/>
      <c r="B41" s="32" t="s">
        <v>386</v>
      </c>
      <c r="C41" s="32"/>
      <c r="D41" s="32"/>
      <c r="E41" s="32"/>
      <c r="F41" s="32"/>
      <c r="G41" s="32" t="s">
        <v>453</v>
      </c>
      <c r="H41" s="32"/>
      <c r="I41" s="32"/>
      <c r="J41" s="32"/>
      <c r="K41" s="32" t="s">
        <v>8</v>
      </c>
      <c r="L41" s="32"/>
      <c r="M41" s="32"/>
      <c r="N41" s="32"/>
      <c r="O41" s="32"/>
      <c r="P41" s="32"/>
    </row>
    <row r="42" spans="1:16" ht="15" customHeight="1" x14ac:dyDescent="0.25">
      <c r="A42" s="11"/>
      <c r="B42" s="32" t="s">
        <v>387</v>
      </c>
      <c r="C42" s="32"/>
      <c r="D42" s="32"/>
      <c r="E42" s="32"/>
      <c r="F42" s="32"/>
      <c r="G42" s="32" t="s">
        <v>454</v>
      </c>
      <c r="H42" s="32"/>
      <c r="I42" s="32"/>
      <c r="J42" s="32"/>
      <c r="K42" s="32" t="s">
        <v>8</v>
      </c>
      <c r="L42" s="32"/>
      <c r="M42" s="32"/>
      <c r="N42" s="32"/>
      <c r="O42" s="32"/>
      <c r="P42" s="32"/>
    </row>
    <row r="43" spans="1:16" ht="15" customHeight="1" x14ac:dyDescent="0.25">
      <c r="A43" s="23" t="s">
        <v>388</v>
      </c>
      <c r="B43" s="23"/>
      <c r="C43" s="23"/>
      <c r="D43" s="23"/>
      <c r="E43" s="23"/>
      <c r="F43" s="23"/>
      <c r="G43" s="23"/>
      <c r="H43" s="23"/>
      <c r="I43" s="23"/>
      <c r="J43" s="23"/>
      <c r="K43" s="23"/>
      <c r="L43" s="23"/>
      <c r="M43" s="23"/>
      <c r="N43" s="23"/>
      <c r="O43" s="23"/>
      <c r="P43" s="23"/>
    </row>
    <row r="44" spans="1:16" ht="108.75" customHeight="1" x14ac:dyDescent="0.25">
      <c r="A44" s="9" t="s">
        <v>61</v>
      </c>
      <c r="B44" s="28" t="s">
        <v>389</v>
      </c>
      <c r="C44" s="29"/>
      <c r="D44" s="29"/>
      <c r="E44" s="29"/>
      <c r="F44" s="29"/>
      <c r="G44" s="29" t="s">
        <v>390</v>
      </c>
      <c r="H44" s="29"/>
      <c r="I44" s="29"/>
      <c r="J44" s="29"/>
      <c r="K44" s="29" t="s">
        <v>455</v>
      </c>
      <c r="L44" s="29"/>
      <c r="M44" s="29"/>
      <c r="N44" s="29"/>
      <c r="O44" s="30">
        <f>ROUND((5221 + 137561 * 0.5) * 1 * 7.22 * 0.6 * 1.1, 2)</f>
        <v>352631.95</v>
      </c>
      <c r="P44" s="29"/>
    </row>
    <row r="45" spans="1:16" ht="15" customHeight="1" x14ac:dyDescent="0.25">
      <c r="A45" s="10"/>
      <c r="B45" s="31" t="s">
        <v>89</v>
      </c>
      <c r="C45" s="31"/>
      <c r="D45" s="31"/>
      <c r="E45" s="31"/>
      <c r="F45" s="31"/>
      <c r="G45" s="31" t="s">
        <v>8</v>
      </c>
      <c r="H45" s="31"/>
      <c r="I45" s="31"/>
      <c r="J45" s="31"/>
      <c r="K45" s="31" t="s">
        <v>8</v>
      </c>
      <c r="L45" s="31"/>
      <c r="M45" s="31"/>
      <c r="N45" s="31"/>
      <c r="O45" s="31"/>
      <c r="P45" s="31"/>
    </row>
    <row r="46" spans="1:16" ht="15" customHeight="1" x14ac:dyDescent="0.25">
      <c r="A46" s="11"/>
      <c r="B46" s="32" t="s">
        <v>445</v>
      </c>
      <c r="C46" s="32"/>
      <c r="D46" s="32"/>
      <c r="E46" s="32"/>
      <c r="F46" s="32"/>
      <c r="G46" s="32" t="s">
        <v>446</v>
      </c>
      <c r="H46" s="32"/>
      <c r="I46" s="32"/>
      <c r="J46" s="32"/>
      <c r="K46" s="32" t="s">
        <v>8</v>
      </c>
      <c r="L46" s="32"/>
      <c r="M46" s="32"/>
      <c r="N46" s="32"/>
      <c r="O46" s="32"/>
      <c r="P46" s="32"/>
    </row>
    <row r="47" spans="1:16" ht="40.9" customHeight="1" x14ac:dyDescent="0.25">
      <c r="A47" s="11"/>
      <c r="B47" s="32" t="s">
        <v>354</v>
      </c>
      <c r="C47" s="32"/>
      <c r="D47" s="32"/>
      <c r="E47" s="32"/>
      <c r="F47" s="32"/>
      <c r="G47" s="32" t="s">
        <v>355</v>
      </c>
      <c r="H47" s="32"/>
      <c r="I47" s="32"/>
      <c r="J47" s="32"/>
      <c r="K47" s="32" t="s">
        <v>8</v>
      </c>
      <c r="L47" s="32"/>
      <c r="M47" s="32"/>
      <c r="N47" s="32"/>
      <c r="O47" s="32"/>
      <c r="P47" s="32"/>
    </row>
    <row r="48" spans="1:16" ht="68.099999999999994" customHeight="1" x14ac:dyDescent="0.25">
      <c r="A48" s="11"/>
      <c r="B48" s="32" t="s">
        <v>392</v>
      </c>
      <c r="C48" s="32"/>
      <c r="D48" s="32"/>
      <c r="E48" s="32"/>
      <c r="F48" s="32"/>
      <c r="G48" s="32" t="s">
        <v>393</v>
      </c>
      <c r="H48" s="32"/>
      <c r="I48" s="32"/>
      <c r="J48" s="32"/>
      <c r="K48" s="32" t="s">
        <v>8</v>
      </c>
      <c r="L48" s="32"/>
      <c r="M48" s="32"/>
      <c r="N48" s="32"/>
      <c r="O48" s="32"/>
      <c r="P48" s="32"/>
    </row>
    <row r="49" spans="1:16" ht="15" customHeight="1" x14ac:dyDescent="0.25">
      <c r="A49" s="23" t="s">
        <v>394</v>
      </c>
      <c r="B49" s="23"/>
      <c r="C49" s="23"/>
      <c r="D49" s="23"/>
      <c r="E49" s="23"/>
      <c r="F49" s="23"/>
      <c r="G49" s="23"/>
      <c r="H49" s="23"/>
      <c r="I49" s="23"/>
      <c r="J49" s="23"/>
      <c r="K49" s="23"/>
      <c r="L49" s="23"/>
      <c r="M49" s="23"/>
      <c r="N49" s="23"/>
      <c r="O49" s="23"/>
      <c r="P49" s="23"/>
    </row>
    <row r="50" spans="1:16" ht="54.4" customHeight="1" x14ac:dyDescent="0.25">
      <c r="A50" s="9" t="s">
        <v>64</v>
      </c>
      <c r="B50" s="28" t="s">
        <v>395</v>
      </c>
      <c r="C50" s="29"/>
      <c r="D50" s="29"/>
      <c r="E50" s="29"/>
      <c r="F50" s="29"/>
      <c r="G50" s="29" t="s">
        <v>396</v>
      </c>
      <c r="H50" s="29"/>
      <c r="I50" s="29"/>
      <c r="J50" s="29"/>
      <c r="K50" s="29" t="s">
        <v>456</v>
      </c>
      <c r="L50" s="29"/>
      <c r="M50" s="29"/>
      <c r="N50" s="29"/>
      <c r="O50" s="30">
        <f>ROUND(24500 * 1 * 7.22 * 0.6, 2)</f>
        <v>106134</v>
      </c>
      <c r="P50" s="29"/>
    </row>
    <row r="51" spans="1:16" x14ac:dyDescent="0.25">
      <c r="A51" s="10"/>
      <c r="B51" s="31" t="s">
        <v>89</v>
      </c>
      <c r="C51" s="31"/>
      <c r="D51" s="31"/>
      <c r="E51" s="31"/>
      <c r="F51" s="31"/>
      <c r="G51" s="31" t="s">
        <v>8</v>
      </c>
      <c r="H51" s="31"/>
      <c r="I51" s="31"/>
      <c r="J51" s="31"/>
      <c r="K51" s="31" t="s">
        <v>8</v>
      </c>
      <c r="L51" s="31"/>
      <c r="M51" s="31"/>
      <c r="N51" s="31"/>
      <c r="O51" s="31"/>
      <c r="P51" s="31"/>
    </row>
    <row r="52" spans="1:16" x14ac:dyDescent="0.25">
      <c r="A52" s="11"/>
      <c r="B52" s="32" t="s">
        <v>445</v>
      </c>
      <c r="C52" s="32"/>
      <c r="D52" s="32"/>
      <c r="E52" s="32"/>
      <c r="F52" s="32"/>
      <c r="G52" s="32" t="s">
        <v>446</v>
      </c>
      <c r="H52" s="32"/>
      <c r="I52" s="32"/>
      <c r="J52" s="32"/>
      <c r="K52" s="32" t="s">
        <v>8</v>
      </c>
      <c r="L52" s="32"/>
      <c r="M52" s="32"/>
      <c r="N52" s="32"/>
      <c r="O52" s="32"/>
      <c r="P52" s="32"/>
    </row>
    <row r="53" spans="1:16" ht="40.9" customHeight="1" x14ac:dyDescent="0.25">
      <c r="A53" s="11"/>
      <c r="B53" s="32" t="s">
        <v>354</v>
      </c>
      <c r="C53" s="32"/>
      <c r="D53" s="32"/>
      <c r="E53" s="32"/>
      <c r="F53" s="32"/>
      <c r="G53" s="32" t="s">
        <v>355</v>
      </c>
      <c r="H53" s="32"/>
      <c r="I53" s="32"/>
      <c r="J53" s="32"/>
      <c r="K53" s="32" t="s">
        <v>8</v>
      </c>
      <c r="L53" s="32"/>
      <c r="M53" s="32"/>
      <c r="N53" s="32"/>
      <c r="O53" s="32"/>
      <c r="P53" s="32"/>
    </row>
    <row r="54" spans="1:16" x14ac:dyDescent="0.25">
      <c r="A54" s="23" t="s">
        <v>398</v>
      </c>
      <c r="B54" s="23"/>
      <c r="C54" s="23"/>
      <c r="D54" s="23"/>
      <c r="E54" s="23"/>
      <c r="F54" s="23"/>
      <c r="G54" s="23"/>
      <c r="H54" s="23"/>
      <c r="I54" s="23"/>
      <c r="J54" s="23"/>
      <c r="K54" s="23"/>
      <c r="L54" s="23"/>
      <c r="M54" s="23"/>
      <c r="N54" s="23"/>
      <c r="O54" s="23"/>
      <c r="P54" s="23"/>
    </row>
    <row r="55" spans="1:16" ht="176.85" customHeight="1" x14ac:dyDescent="0.25">
      <c r="A55" s="9" t="s">
        <v>331</v>
      </c>
      <c r="B55" s="28" t="s">
        <v>399</v>
      </c>
      <c r="C55" s="29"/>
      <c r="D55" s="29"/>
      <c r="E55" s="29"/>
      <c r="F55" s="29"/>
      <c r="G55" s="29" t="s">
        <v>400</v>
      </c>
      <c r="H55" s="29"/>
      <c r="I55" s="29"/>
      <c r="J55" s="29"/>
      <c r="K55" s="29" t="s">
        <v>457</v>
      </c>
      <c r="L55" s="29"/>
      <c r="M55" s="29"/>
      <c r="N55" s="29"/>
      <c r="O55" s="30">
        <f>ROUND((81230 - (88690 - 81230) / (4 - 2) * (2 - 0) * 0.6) * 1 * 7.22 * 0.6, 2)</f>
        <v>332498.33</v>
      </c>
      <c r="P55" s="29"/>
    </row>
    <row r="56" spans="1:16" x14ac:dyDescent="0.25">
      <c r="A56" s="10"/>
      <c r="B56" s="31" t="s">
        <v>89</v>
      </c>
      <c r="C56" s="31"/>
      <c r="D56" s="31"/>
      <c r="E56" s="31"/>
      <c r="F56" s="31"/>
      <c r="G56" s="31" t="s">
        <v>8</v>
      </c>
      <c r="H56" s="31"/>
      <c r="I56" s="31"/>
      <c r="J56" s="31"/>
      <c r="K56" s="31" t="s">
        <v>8</v>
      </c>
      <c r="L56" s="31"/>
      <c r="M56" s="31"/>
      <c r="N56" s="31"/>
      <c r="O56" s="31"/>
      <c r="P56" s="31"/>
    </row>
    <row r="57" spans="1:16" x14ac:dyDescent="0.25">
      <c r="A57" s="11"/>
      <c r="B57" s="32" t="s">
        <v>445</v>
      </c>
      <c r="C57" s="32"/>
      <c r="D57" s="32"/>
      <c r="E57" s="32"/>
      <c r="F57" s="32"/>
      <c r="G57" s="32" t="s">
        <v>446</v>
      </c>
      <c r="H57" s="32"/>
      <c r="I57" s="32"/>
      <c r="J57" s="32"/>
      <c r="K57" s="32" t="s">
        <v>8</v>
      </c>
      <c r="L57" s="32"/>
      <c r="M57" s="32"/>
      <c r="N57" s="32"/>
      <c r="O57" s="32"/>
      <c r="P57" s="32"/>
    </row>
    <row r="58" spans="1:16" ht="40.9" customHeight="1" x14ac:dyDescent="0.25">
      <c r="A58" s="11"/>
      <c r="B58" s="32" t="s">
        <v>354</v>
      </c>
      <c r="C58" s="32"/>
      <c r="D58" s="32"/>
      <c r="E58" s="32"/>
      <c r="F58" s="32"/>
      <c r="G58" s="32" t="s">
        <v>355</v>
      </c>
      <c r="H58" s="32"/>
      <c r="I58" s="32"/>
      <c r="J58" s="32"/>
      <c r="K58" s="32" t="s">
        <v>8</v>
      </c>
      <c r="L58" s="32"/>
      <c r="M58" s="32"/>
      <c r="N58" s="32"/>
      <c r="O58" s="32"/>
      <c r="P58" s="32"/>
    </row>
    <row r="59" spans="1:16" ht="149.65" customHeight="1" x14ac:dyDescent="0.25">
      <c r="A59" s="9" t="s">
        <v>402</v>
      </c>
      <c r="B59" s="28" t="s">
        <v>403</v>
      </c>
      <c r="C59" s="29"/>
      <c r="D59" s="29"/>
      <c r="E59" s="29"/>
      <c r="F59" s="29"/>
      <c r="G59" s="29" t="s">
        <v>404</v>
      </c>
      <c r="H59" s="29"/>
      <c r="I59" s="29"/>
      <c r="J59" s="29"/>
      <c r="K59" s="29" t="s">
        <v>458</v>
      </c>
      <c r="L59" s="29"/>
      <c r="M59" s="29"/>
      <c r="N59" s="29"/>
      <c r="O59" s="30">
        <f>ROUND((75900 + 600 * 500) * 1 * 1.71 * 0.6, 2)</f>
        <v>385673.4</v>
      </c>
      <c r="P59" s="29"/>
    </row>
    <row r="60" spans="1:16" x14ac:dyDescent="0.25">
      <c r="A60" s="10"/>
      <c r="B60" s="31" t="s">
        <v>89</v>
      </c>
      <c r="C60" s="31"/>
      <c r="D60" s="31"/>
      <c r="E60" s="31"/>
      <c r="F60" s="31"/>
      <c r="G60" s="31" t="s">
        <v>8</v>
      </c>
      <c r="H60" s="31"/>
      <c r="I60" s="31"/>
      <c r="J60" s="31"/>
      <c r="K60" s="31" t="s">
        <v>8</v>
      </c>
      <c r="L60" s="31"/>
      <c r="M60" s="31"/>
      <c r="N60" s="31"/>
      <c r="O60" s="31"/>
      <c r="P60" s="31"/>
    </row>
    <row r="61" spans="1:16" x14ac:dyDescent="0.25">
      <c r="A61" s="11"/>
      <c r="B61" s="32" t="s">
        <v>445</v>
      </c>
      <c r="C61" s="32"/>
      <c r="D61" s="32"/>
      <c r="E61" s="32"/>
      <c r="F61" s="32"/>
      <c r="G61" s="32" t="s">
        <v>446</v>
      </c>
      <c r="H61" s="32"/>
      <c r="I61" s="32"/>
      <c r="J61" s="32"/>
      <c r="K61" s="32" t="s">
        <v>8</v>
      </c>
      <c r="L61" s="32"/>
      <c r="M61" s="32"/>
      <c r="N61" s="32"/>
      <c r="O61" s="32"/>
      <c r="P61" s="32"/>
    </row>
    <row r="62" spans="1:16" ht="40.9" customHeight="1" x14ac:dyDescent="0.25">
      <c r="A62" s="11"/>
      <c r="B62" s="32" t="s">
        <v>406</v>
      </c>
      <c r="C62" s="32"/>
      <c r="D62" s="32"/>
      <c r="E62" s="32"/>
      <c r="F62" s="32"/>
      <c r="G62" s="32" t="s">
        <v>407</v>
      </c>
      <c r="H62" s="32"/>
      <c r="I62" s="32"/>
      <c r="J62" s="32"/>
      <c r="K62" s="32" t="s">
        <v>8</v>
      </c>
      <c r="L62" s="32"/>
      <c r="M62" s="32"/>
      <c r="N62" s="32"/>
      <c r="O62" s="32"/>
      <c r="P62" s="32"/>
    </row>
    <row r="63" spans="1:16" x14ac:dyDescent="0.25">
      <c r="A63" s="3" t="s">
        <v>408</v>
      </c>
      <c r="B63" s="22" t="s">
        <v>156</v>
      </c>
      <c r="C63" s="22"/>
      <c r="D63" s="22"/>
      <c r="E63" s="22"/>
      <c r="F63" s="22"/>
      <c r="G63" s="22"/>
      <c r="H63" s="22"/>
      <c r="I63" s="22"/>
      <c r="J63" s="22"/>
      <c r="K63" s="22" t="s">
        <v>8</v>
      </c>
      <c r="L63" s="22"/>
      <c r="M63" s="22"/>
      <c r="N63" s="22"/>
      <c r="O63" s="33">
        <f>ROUND(SUM($O$15:$O$59),2)</f>
        <v>4409529.28</v>
      </c>
      <c r="P63" s="22"/>
    </row>
    <row r="64" spans="1:16" ht="68.099999999999994" customHeight="1" x14ac:dyDescent="0.25">
      <c r="A64" s="3" t="s">
        <v>409</v>
      </c>
      <c r="B64" s="23" t="s">
        <v>306</v>
      </c>
      <c r="C64" s="23"/>
      <c r="D64" s="23"/>
      <c r="E64" s="23"/>
      <c r="F64" s="23"/>
      <c r="G64" s="23" t="s">
        <v>413</v>
      </c>
      <c r="H64" s="23"/>
      <c r="I64" s="23"/>
      <c r="J64" s="23"/>
      <c r="K64" s="23" t="s">
        <v>442</v>
      </c>
      <c r="L64" s="23"/>
      <c r="M64" s="23"/>
      <c r="N64" s="23"/>
      <c r="O64" s="35">
        <f>ROUND(($O$63) * 1  * 1.08,2)</f>
        <v>4762291.62</v>
      </c>
      <c r="P64" s="23"/>
    </row>
    <row r="65" spans="1:16" x14ac:dyDescent="0.25">
      <c r="A65" s="3" t="s">
        <v>412</v>
      </c>
      <c r="B65" s="22" t="s">
        <v>157</v>
      </c>
      <c r="C65" s="22"/>
      <c r="D65" s="22"/>
      <c r="E65" s="22"/>
      <c r="F65" s="22"/>
      <c r="G65" s="22"/>
      <c r="H65" s="22"/>
      <c r="I65" s="22"/>
      <c r="J65" s="22"/>
      <c r="K65" s="22" t="s">
        <v>8</v>
      </c>
      <c r="L65" s="22"/>
      <c r="M65" s="22"/>
      <c r="N65" s="22"/>
      <c r="O65" s="33">
        <f>ROUND(($O$64),2)</f>
        <v>4762291.62</v>
      </c>
      <c r="P65" s="22"/>
    </row>
    <row r="67" spans="1:16" ht="30" customHeight="1" x14ac:dyDescent="0.25">
      <c r="A67" s="19" t="s">
        <v>158</v>
      </c>
      <c r="B67" s="19"/>
      <c r="C67" s="19"/>
      <c r="D67" s="19"/>
      <c r="E67" s="19"/>
      <c r="F67" s="34">
        <f>$O$65</f>
        <v>4762291.62</v>
      </c>
      <c r="G67" s="34"/>
      <c r="H67" s="34"/>
      <c r="I67" s="34"/>
      <c r="J67" s="34"/>
      <c r="K67" s="34"/>
      <c r="L67" s="34"/>
      <c r="M67" s="34"/>
      <c r="N67" s="34"/>
      <c r="O67" s="34"/>
      <c r="P67" s="34"/>
    </row>
  </sheetData>
  <mergeCells count="207">
    <mergeCell ref="A67:E67"/>
    <mergeCell ref="F67:P67"/>
    <mergeCell ref="B63:F63"/>
    <mergeCell ref="G63:J63"/>
    <mergeCell ref="K63:N63"/>
    <mergeCell ref="O63:P63"/>
    <mergeCell ref="B64:F64"/>
    <mergeCell ref="G64:J64"/>
    <mergeCell ref="K64:N64"/>
    <mergeCell ref="O64:P64"/>
    <mergeCell ref="B65:F65"/>
    <mergeCell ref="G65:J65"/>
    <mergeCell ref="K65:N65"/>
    <mergeCell ref="O65:P65"/>
    <mergeCell ref="B60:F60"/>
    <mergeCell ref="G60:J60"/>
    <mergeCell ref="K60:N60"/>
    <mergeCell ref="O60:P60"/>
    <mergeCell ref="B61:F61"/>
    <mergeCell ref="G61:J61"/>
    <mergeCell ref="K61:N61"/>
    <mergeCell ref="O61:P61"/>
    <mergeCell ref="B62:F62"/>
    <mergeCell ref="G62:J62"/>
    <mergeCell ref="K62:N62"/>
    <mergeCell ref="O62:P62"/>
    <mergeCell ref="B57:F57"/>
    <mergeCell ref="G57:J57"/>
    <mergeCell ref="K57:N57"/>
    <mergeCell ref="O57:P57"/>
    <mergeCell ref="B58:F58"/>
    <mergeCell ref="G58:J58"/>
    <mergeCell ref="K58:N58"/>
    <mergeCell ref="O58:P58"/>
    <mergeCell ref="B59:F59"/>
    <mergeCell ref="G59:J59"/>
    <mergeCell ref="K59:N59"/>
    <mergeCell ref="O59:P59"/>
    <mergeCell ref="A54:P54"/>
    <mergeCell ref="B55:F55"/>
    <mergeCell ref="G55:J55"/>
    <mergeCell ref="K55:N55"/>
    <mergeCell ref="O55:P55"/>
    <mergeCell ref="B56:F56"/>
    <mergeCell ref="G56:J56"/>
    <mergeCell ref="K56:N56"/>
    <mergeCell ref="O56:P56"/>
    <mergeCell ref="B51:F51"/>
    <mergeCell ref="G51:J51"/>
    <mergeCell ref="K51:N51"/>
    <mergeCell ref="O51:P51"/>
    <mergeCell ref="B52:F52"/>
    <mergeCell ref="G52:J52"/>
    <mergeCell ref="K52:N52"/>
    <mergeCell ref="O52:P52"/>
    <mergeCell ref="B53:F53"/>
    <mergeCell ref="G53:J53"/>
    <mergeCell ref="K53:N53"/>
    <mergeCell ref="O53:P53"/>
    <mergeCell ref="B48:F48"/>
    <mergeCell ref="G48:J48"/>
    <mergeCell ref="K48:N48"/>
    <mergeCell ref="O48:P48"/>
    <mergeCell ref="A49:P49"/>
    <mergeCell ref="B50:F50"/>
    <mergeCell ref="G50:J50"/>
    <mergeCell ref="K50:N50"/>
    <mergeCell ref="O50:P50"/>
    <mergeCell ref="B45:F45"/>
    <mergeCell ref="G45:J45"/>
    <mergeCell ref="K45:N45"/>
    <mergeCell ref="O45:P45"/>
    <mergeCell ref="B46:F46"/>
    <mergeCell ref="G46:J46"/>
    <mergeCell ref="K46:N46"/>
    <mergeCell ref="O46:P46"/>
    <mergeCell ref="B47:F47"/>
    <mergeCell ref="G47:J47"/>
    <mergeCell ref="K47:N47"/>
    <mergeCell ref="O47:P47"/>
    <mergeCell ref="B42:F42"/>
    <mergeCell ref="G42:J42"/>
    <mergeCell ref="K42:N42"/>
    <mergeCell ref="O42:P42"/>
    <mergeCell ref="A43:P43"/>
    <mergeCell ref="B44:F44"/>
    <mergeCell ref="G44:J44"/>
    <mergeCell ref="K44:N44"/>
    <mergeCell ref="O44:P44"/>
    <mergeCell ref="B39:F39"/>
    <mergeCell ref="G39:J39"/>
    <mergeCell ref="K39:N39"/>
    <mergeCell ref="O39:P39"/>
    <mergeCell ref="B40:F40"/>
    <mergeCell ref="G40:J40"/>
    <mergeCell ref="K40:N40"/>
    <mergeCell ref="O40:P40"/>
    <mergeCell ref="B41:F41"/>
    <mergeCell ref="G41:J41"/>
    <mergeCell ref="K41:N41"/>
    <mergeCell ref="O41:P41"/>
    <mergeCell ref="B36:F36"/>
    <mergeCell ref="G36:J36"/>
    <mergeCell ref="K36:N36"/>
    <mergeCell ref="O36:P36"/>
    <mergeCell ref="B37:F37"/>
    <mergeCell ref="G37:J37"/>
    <mergeCell ref="K37:N37"/>
    <mergeCell ref="O37:P37"/>
    <mergeCell ref="B38:F38"/>
    <mergeCell ref="G38:J38"/>
    <mergeCell ref="K38:N38"/>
    <mergeCell ref="O38:P38"/>
    <mergeCell ref="B33:F33"/>
    <mergeCell ref="G33:J33"/>
    <mergeCell ref="K33:N33"/>
    <mergeCell ref="O33:P33"/>
    <mergeCell ref="B34:F34"/>
    <mergeCell ref="G34:J34"/>
    <mergeCell ref="K34:N34"/>
    <mergeCell ref="O34:P34"/>
    <mergeCell ref="B35:F35"/>
    <mergeCell ref="G35:J35"/>
    <mergeCell ref="K35:N35"/>
    <mergeCell ref="O35:P35"/>
    <mergeCell ref="B30:F30"/>
    <mergeCell ref="G30:J30"/>
    <mergeCell ref="K30:N30"/>
    <mergeCell ref="O30:P30"/>
    <mergeCell ref="B31:F31"/>
    <mergeCell ref="G31:J31"/>
    <mergeCell ref="K31:N31"/>
    <mergeCell ref="O31:P31"/>
    <mergeCell ref="B32:F32"/>
    <mergeCell ref="G32:J32"/>
    <mergeCell ref="K32:N32"/>
    <mergeCell ref="O32:P32"/>
    <mergeCell ref="B27:F27"/>
    <mergeCell ref="G27:J27"/>
    <mergeCell ref="K27:N27"/>
    <mergeCell ref="O27:P27"/>
    <mergeCell ref="B28:F28"/>
    <mergeCell ref="G28:J28"/>
    <mergeCell ref="K28:N28"/>
    <mergeCell ref="O28:P28"/>
    <mergeCell ref="A29:P29"/>
    <mergeCell ref="A24:P24"/>
    <mergeCell ref="B25:F25"/>
    <mergeCell ref="G25:J25"/>
    <mergeCell ref="K25:N25"/>
    <mergeCell ref="O25:P25"/>
    <mergeCell ref="B26:F26"/>
    <mergeCell ref="G26:J26"/>
    <mergeCell ref="K26:N26"/>
    <mergeCell ref="O26:P26"/>
    <mergeCell ref="B21:F21"/>
    <mergeCell ref="G21:J21"/>
    <mergeCell ref="K21:N21"/>
    <mergeCell ref="O21:P21"/>
    <mergeCell ref="B22:F22"/>
    <mergeCell ref="G22:J22"/>
    <mergeCell ref="K22:N22"/>
    <mergeCell ref="O22:P22"/>
    <mergeCell ref="B23:F23"/>
    <mergeCell ref="G23:J23"/>
    <mergeCell ref="K23:N23"/>
    <mergeCell ref="O23:P23"/>
    <mergeCell ref="B18:F18"/>
    <mergeCell ref="G18:J18"/>
    <mergeCell ref="K18:N18"/>
    <mergeCell ref="O18:P18"/>
    <mergeCell ref="A19:P19"/>
    <mergeCell ref="B20:F20"/>
    <mergeCell ref="G20:J20"/>
    <mergeCell ref="K20:N20"/>
    <mergeCell ref="O20:P20"/>
    <mergeCell ref="B15:F15"/>
    <mergeCell ref="G15:J15"/>
    <mergeCell ref="K15:N15"/>
    <mergeCell ref="O15:P15"/>
    <mergeCell ref="B16:F16"/>
    <mergeCell ref="G16:J16"/>
    <mergeCell ref="K16:N16"/>
    <mergeCell ref="O16:P16"/>
    <mergeCell ref="B17:F17"/>
    <mergeCell ref="G17:J17"/>
    <mergeCell ref="K17:N17"/>
    <mergeCell ref="O17:P17"/>
    <mergeCell ref="B12:F12"/>
    <mergeCell ref="B13:F13"/>
    <mergeCell ref="G12:J12"/>
    <mergeCell ref="G13:J13"/>
    <mergeCell ref="K12:N12"/>
    <mergeCell ref="K13:N13"/>
    <mergeCell ref="O12:P12"/>
    <mergeCell ref="O13:P13"/>
    <mergeCell ref="A14:P14"/>
    <mergeCell ref="A1:D1"/>
    <mergeCell ref="E1:P1"/>
    <mergeCell ref="A3:P3"/>
    <mergeCell ref="A4:P4"/>
    <mergeCell ref="A6:E6"/>
    <mergeCell ref="F6:P6"/>
    <mergeCell ref="A8:E8"/>
    <mergeCell ref="F8:P8"/>
    <mergeCell ref="A10:E10"/>
    <mergeCell ref="F10:P10"/>
  </mergeCells>
  <pageMargins left="0.23622047244094491" right="0.23622047244094491" top="0.74803149606299213" bottom="0.74803149606299213" header="0.31496062992125984" footer="0.31496062992125984"/>
  <pageSetup paperSize="9" scale="78"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50"/>
  <sheetViews>
    <sheetView showRuler="0" topLeftCell="A37" zoomScale="85" zoomScaleNormal="85" workbookViewId="0">
      <selection activeCell="F46" sqref="A1:P46"/>
    </sheetView>
  </sheetViews>
  <sheetFormatPr defaultRowHeight="15" x14ac:dyDescent="0.25"/>
  <cols>
    <col min="1" max="1" width="6.42578125" style="1" customWidth="1"/>
    <col min="2" max="50" width="8" style="1" customWidth="1"/>
  </cols>
  <sheetData>
    <row r="1" spans="1:16" ht="27.2" customHeight="1" x14ac:dyDescent="0.25">
      <c r="A1" s="15" t="s">
        <v>0</v>
      </c>
      <c r="B1" s="15"/>
      <c r="C1" s="15"/>
      <c r="D1" s="15"/>
      <c r="E1" s="16" t="s">
        <v>332</v>
      </c>
      <c r="F1" s="16"/>
      <c r="G1" s="16"/>
      <c r="H1" s="16"/>
      <c r="I1" s="16"/>
      <c r="J1" s="16"/>
      <c r="K1" s="16"/>
      <c r="L1" s="16"/>
      <c r="M1" s="16"/>
      <c r="N1" s="16"/>
      <c r="O1" s="16"/>
      <c r="P1" s="16"/>
    </row>
    <row r="2" spans="1:16" ht="15" customHeight="1" x14ac:dyDescent="0.25"/>
    <row r="3" spans="1:16" ht="15" customHeight="1" x14ac:dyDescent="0.25">
      <c r="A3" s="17" t="s">
        <v>416</v>
      </c>
      <c r="B3" s="17"/>
      <c r="C3" s="17"/>
      <c r="D3" s="17"/>
      <c r="E3" s="17"/>
      <c r="F3" s="17"/>
      <c r="G3" s="17"/>
      <c r="H3" s="17"/>
      <c r="I3" s="17"/>
      <c r="J3" s="17"/>
      <c r="K3" s="17"/>
      <c r="L3" s="17"/>
      <c r="M3" s="17"/>
      <c r="N3" s="17"/>
      <c r="O3" s="17"/>
      <c r="P3" s="17"/>
    </row>
    <row r="4" spans="1:16" ht="15" customHeight="1" x14ac:dyDescent="0.25">
      <c r="A4" s="18" t="s">
        <v>313</v>
      </c>
      <c r="B4" s="18"/>
      <c r="C4" s="18"/>
      <c r="D4" s="18"/>
      <c r="E4" s="18"/>
      <c r="F4" s="18"/>
      <c r="G4" s="18"/>
      <c r="H4" s="18"/>
      <c r="I4" s="18"/>
      <c r="J4" s="18"/>
      <c r="K4" s="18"/>
      <c r="L4" s="18"/>
      <c r="M4" s="18"/>
      <c r="N4" s="18"/>
      <c r="O4" s="18"/>
      <c r="P4" s="18"/>
    </row>
    <row r="5" spans="1:16" ht="15" customHeight="1" x14ac:dyDescent="0.25"/>
    <row r="6" spans="1:16" ht="54.4" customHeight="1" x14ac:dyDescent="0.25">
      <c r="A6" s="19" t="s">
        <v>314</v>
      </c>
      <c r="B6" s="19"/>
      <c r="C6" s="19"/>
      <c r="D6" s="19"/>
      <c r="E6" s="19"/>
      <c r="F6" s="36" t="s">
        <v>42</v>
      </c>
      <c r="G6" s="36"/>
      <c r="H6" s="36"/>
      <c r="I6" s="36"/>
      <c r="J6" s="36"/>
      <c r="K6" s="36"/>
      <c r="L6" s="36"/>
      <c r="M6" s="36"/>
      <c r="N6" s="36"/>
      <c r="O6" s="36"/>
      <c r="P6" s="36"/>
    </row>
    <row r="7" spans="1:16" ht="15" customHeight="1" x14ac:dyDescent="0.25"/>
    <row r="8" spans="1:16" ht="27.2" customHeight="1" x14ac:dyDescent="0.25">
      <c r="A8" s="19" t="s">
        <v>315</v>
      </c>
      <c r="B8" s="19"/>
      <c r="C8" s="19"/>
      <c r="D8" s="19"/>
      <c r="E8" s="19"/>
      <c r="F8" s="36" t="s">
        <v>10</v>
      </c>
      <c r="G8" s="36"/>
      <c r="H8" s="36"/>
      <c r="I8" s="36"/>
      <c r="J8" s="36"/>
      <c r="K8" s="36"/>
      <c r="L8" s="36"/>
      <c r="M8" s="36"/>
      <c r="N8" s="36"/>
      <c r="O8" s="36"/>
      <c r="P8" s="36"/>
    </row>
    <row r="9" spans="1:16" ht="15" customHeight="1" x14ac:dyDescent="0.25"/>
    <row r="10" spans="1:16" ht="15" customHeight="1" x14ac:dyDescent="0.25">
      <c r="A10" s="19" t="s">
        <v>11</v>
      </c>
      <c r="B10" s="19"/>
      <c r="C10" s="19"/>
      <c r="D10" s="19"/>
      <c r="E10" s="19"/>
      <c r="F10" s="36" t="s">
        <v>12</v>
      </c>
      <c r="G10" s="36"/>
      <c r="H10" s="36"/>
      <c r="I10" s="36"/>
      <c r="J10" s="36"/>
      <c r="K10" s="36"/>
      <c r="L10" s="36"/>
      <c r="M10" s="36"/>
      <c r="N10" s="36"/>
      <c r="O10" s="36"/>
      <c r="P10" s="36"/>
    </row>
    <row r="11" spans="1:16" ht="15" customHeight="1" x14ac:dyDescent="0.25"/>
    <row r="12" spans="1:16" ht="81.599999999999994" customHeight="1" x14ac:dyDescent="0.25">
      <c r="A12" s="2" t="s">
        <v>80</v>
      </c>
      <c r="B12" s="21" t="s">
        <v>334</v>
      </c>
      <c r="C12" s="21"/>
      <c r="D12" s="21"/>
      <c r="E12" s="21"/>
      <c r="F12" s="21"/>
      <c r="G12" s="21" t="s">
        <v>335</v>
      </c>
      <c r="H12" s="21"/>
      <c r="I12" s="21"/>
      <c r="J12" s="21"/>
      <c r="K12" s="21" t="s">
        <v>336</v>
      </c>
      <c r="L12" s="21"/>
      <c r="M12" s="21"/>
      <c r="N12" s="21"/>
      <c r="O12" s="21" t="s">
        <v>337</v>
      </c>
      <c r="P12" s="21"/>
    </row>
    <row r="13" spans="1:16" ht="15" customHeight="1" x14ac:dyDescent="0.25">
      <c r="A13" s="2">
        <v>1</v>
      </c>
      <c r="B13" s="21">
        <v>2</v>
      </c>
      <c r="C13" s="21"/>
      <c r="D13" s="21"/>
      <c r="E13" s="21"/>
      <c r="F13" s="21"/>
      <c r="G13" s="21">
        <v>3</v>
      </c>
      <c r="H13" s="21"/>
      <c r="I13" s="21"/>
      <c r="J13" s="21"/>
      <c r="K13" s="21">
        <v>4</v>
      </c>
      <c r="L13" s="21"/>
      <c r="M13" s="21"/>
      <c r="N13" s="21"/>
      <c r="O13" s="21">
        <v>5</v>
      </c>
      <c r="P13" s="21"/>
    </row>
    <row r="14" spans="1:16" ht="108.75" customHeight="1" x14ac:dyDescent="0.25">
      <c r="A14" s="9" t="s">
        <v>21</v>
      </c>
      <c r="B14" s="28" t="s">
        <v>417</v>
      </c>
      <c r="C14" s="29"/>
      <c r="D14" s="29"/>
      <c r="E14" s="29"/>
      <c r="F14" s="29"/>
      <c r="G14" s="29" t="s">
        <v>418</v>
      </c>
      <c r="H14" s="29"/>
      <c r="I14" s="29"/>
      <c r="J14" s="29"/>
      <c r="K14" s="29" t="s">
        <v>419</v>
      </c>
      <c r="L14" s="29"/>
      <c r="M14" s="29"/>
      <c r="N14" s="29"/>
      <c r="O14" s="30">
        <f>ROUND((2450 + 3680 * 4) * 1 * 7.22 * 0.5, 2)</f>
        <v>61983.7</v>
      </c>
      <c r="P14" s="29"/>
    </row>
    <row r="15" spans="1:16" ht="15" customHeight="1" x14ac:dyDescent="0.25">
      <c r="A15" s="10"/>
      <c r="B15" s="31" t="s">
        <v>89</v>
      </c>
      <c r="C15" s="31"/>
      <c r="D15" s="31"/>
      <c r="E15" s="31"/>
      <c r="F15" s="31"/>
      <c r="G15" s="31" t="s">
        <v>8</v>
      </c>
      <c r="H15" s="31"/>
      <c r="I15" s="31"/>
      <c r="J15" s="31"/>
      <c r="K15" s="31" t="s">
        <v>8</v>
      </c>
      <c r="L15" s="31"/>
      <c r="M15" s="31"/>
      <c r="N15" s="31"/>
      <c r="O15" s="31"/>
      <c r="P15" s="31"/>
    </row>
    <row r="16" spans="1:16" ht="15" customHeight="1" x14ac:dyDescent="0.25">
      <c r="A16" s="11"/>
      <c r="B16" s="32" t="s">
        <v>445</v>
      </c>
      <c r="C16" s="32"/>
      <c r="D16" s="32"/>
      <c r="E16" s="32"/>
      <c r="F16" s="32"/>
      <c r="G16" s="32" t="s">
        <v>420</v>
      </c>
      <c r="H16" s="32"/>
      <c r="I16" s="32"/>
      <c r="J16" s="32"/>
      <c r="K16" s="32" t="s">
        <v>8</v>
      </c>
      <c r="L16" s="32"/>
      <c r="M16" s="32"/>
      <c r="N16" s="32"/>
      <c r="O16" s="32"/>
      <c r="P16" s="32"/>
    </row>
    <row r="17" spans="1:16" ht="40.9" customHeight="1" x14ac:dyDescent="0.25">
      <c r="A17" s="11"/>
      <c r="B17" s="32" t="s">
        <v>354</v>
      </c>
      <c r="C17" s="32"/>
      <c r="D17" s="32"/>
      <c r="E17" s="32"/>
      <c r="F17" s="32"/>
      <c r="G17" s="32" t="s">
        <v>355</v>
      </c>
      <c r="H17" s="32"/>
      <c r="I17" s="32"/>
      <c r="J17" s="32"/>
      <c r="K17" s="32" t="s">
        <v>8</v>
      </c>
      <c r="L17" s="32"/>
      <c r="M17" s="32"/>
      <c r="N17" s="32"/>
      <c r="O17" s="32"/>
      <c r="P17" s="32"/>
    </row>
    <row r="18" spans="1:16" ht="95.25" customHeight="1" x14ac:dyDescent="0.25">
      <c r="A18" s="9" t="s">
        <v>33</v>
      </c>
      <c r="B18" s="28" t="s">
        <v>421</v>
      </c>
      <c r="C18" s="29"/>
      <c r="D18" s="29"/>
      <c r="E18" s="29"/>
      <c r="F18" s="29"/>
      <c r="G18" s="29" t="s">
        <v>422</v>
      </c>
      <c r="H18" s="29"/>
      <c r="I18" s="29"/>
      <c r="J18" s="29"/>
      <c r="K18" s="29" t="s">
        <v>423</v>
      </c>
      <c r="L18" s="29"/>
      <c r="M18" s="29"/>
      <c r="N18" s="29"/>
      <c r="O18" s="30">
        <f>ROUND(85450 * 1 * 7.22 * 0.5, 2)</f>
        <v>308474.5</v>
      </c>
      <c r="P18" s="29"/>
    </row>
    <row r="19" spans="1:16" ht="15" customHeight="1" x14ac:dyDescent="0.25">
      <c r="A19" s="10"/>
      <c r="B19" s="31" t="s">
        <v>89</v>
      </c>
      <c r="C19" s="31"/>
      <c r="D19" s="31"/>
      <c r="E19" s="31"/>
      <c r="F19" s="31"/>
      <c r="G19" s="31" t="s">
        <v>8</v>
      </c>
      <c r="H19" s="31"/>
      <c r="I19" s="31"/>
      <c r="J19" s="31"/>
      <c r="K19" s="31" t="s">
        <v>8</v>
      </c>
      <c r="L19" s="31"/>
      <c r="M19" s="31"/>
      <c r="N19" s="31"/>
      <c r="O19" s="31"/>
      <c r="P19" s="31"/>
    </row>
    <row r="20" spans="1:16" ht="15" customHeight="1" x14ac:dyDescent="0.25">
      <c r="A20" s="11"/>
      <c r="B20" s="32" t="s">
        <v>445</v>
      </c>
      <c r="C20" s="32"/>
      <c r="D20" s="32"/>
      <c r="E20" s="32"/>
      <c r="F20" s="32"/>
      <c r="G20" s="32" t="s">
        <v>420</v>
      </c>
      <c r="H20" s="32"/>
      <c r="I20" s="32"/>
      <c r="J20" s="32"/>
      <c r="K20" s="32" t="s">
        <v>8</v>
      </c>
      <c r="L20" s="32"/>
      <c r="M20" s="32"/>
      <c r="N20" s="32"/>
      <c r="O20" s="32"/>
      <c r="P20" s="32"/>
    </row>
    <row r="21" spans="1:16" ht="40.9" customHeight="1" x14ac:dyDescent="0.25">
      <c r="A21" s="11"/>
      <c r="B21" s="32" t="s">
        <v>354</v>
      </c>
      <c r="C21" s="32"/>
      <c r="D21" s="32"/>
      <c r="E21" s="32"/>
      <c r="F21" s="32"/>
      <c r="G21" s="32" t="s">
        <v>355</v>
      </c>
      <c r="H21" s="32"/>
      <c r="I21" s="32"/>
      <c r="J21" s="32"/>
      <c r="K21" s="32" t="s">
        <v>8</v>
      </c>
      <c r="L21" s="32"/>
      <c r="M21" s="32"/>
      <c r="N21" s="32"/>
      <c r="O21" s="32"/>
      <c r="P21" s="32"/>
    </row>
    <row r="22" spans="1:16" ht="122.45" customHeight="1" x14ac:dyDescent="0.25">
      <c r="A22" s="9" t="s">
        <v>52</v>
      </c>
      <c r="B22" s="28" t="s">
        <v>424</v>
      </c>
      <c r="C22" s="29"/>
      <c r="D22" s="29"/>
      <c r="E22" s="29"/>
      <c r="F22" s="29"/>
      <c r="G22" s="29" t="s">
        <v>425</v>
      </c>
      <c r="H22" s="29"/>
      <c r="I22" s="29"/>
      <c r="J22" s="29"/>
      <c r="K22" s="29" t="s">
        <v>426</v>
      </c>
      <c r="L22" s="29"/>
      <c r="M22" s="29"/>
      <c r="N22" s="29"/>
      <c r="O22" s="30">
        <f>ROUND((36610 + 4570 * 6) * 1 * 7.22 * 0.5, 2)</f>
        <v>231148.3</v>
      </c>
      <c r="P22" s="29"/>
    </row>
    <row r="23" spans="1:16" ht="15" customHeight="1" x14ac:dyDescent="0.25">
      <c r="A23" s="10"/>
      <c r="B23" s="31" t="s">
        <v>89</v>
      </c>
      <c r="C23" s="31"/>
      <c r="D23" s="31"/>
      <c r="E23" s="31"/>
      <c r="F23" s="31"/>
      <c r="G23" s="31" t="s">
        <v>8</v>
      </c>
      <c r="H23" s="31"/>
      <c r="I23" s="31"/>
      <c r="J23" s="31"/>
      <c r="K23" s="31" t="s">
        <v>8</v>
      </c>
      <c r="L23" s="31"/>
      <c r="M23" s="31"/>
      <c r="N23" s="31"/>
      <c r="O23" s="31"/>
      <c r="P23" s="31"/>
    </row>
    <row r="24" spans="1:16" ht="15" customHeight="1" x14ac:dyDescent="0.25">
      <c r="A24" s="11"/>
      <c r="B24" s="32" t="s">
        <v>445</v>
      </c>
      <c r="C24" s="32"/>
      <c r="D24" s="32"/>
      <c r="E24" s="32"/>
      <c r="F24" s="32"/>
      <c r="G24" s="32" t="s">
        <v>420</v>
      </c>
      <c r="H24" s="32"/>
      <c r="I24" s="32"/>
      <c r="J24" s="32"/>
      <c r="K24" s="32" t="s">
        <v>8</v>
      </c>
      <c r="L24" s="32"/>
      <c r="M24" s="32"/>
      <c r="N24" s="32"/>
      <c r="O24" s="32"/>
      <c r="P24" s="32"/>
    </row>
    <row r="25" spans="1:16" ht="40.9" customHeight="1" x14ac:dyDescent="0.25">
      <c r="A25" s="11"/>
      <c r="B25" s="32" t="s">
        <v>354</v>
      </c>
      <c r="C25" s="32"/>
      <c r="D25" s="32"/>
      <c r="E25" s="32"/>
      <c r="F25" s="32"/>
      <c r="G25" s="32" t="s">
        <v>355</v>
      </c>
      <c r="H25" s="32"/>
      <c r="I25" s="32"/>
      <c r="J25" s="32"/>
      <c r="K25" s="32" t="s">
        <v>8</v>
      </c>
      <c r="L25" s="32"/>
      <c r="M25" s="32"/>
      <c r="N25" s="32"/>
      <c r="O25" s="32"/>
      <c r="P25" s="32"/>
    </row>
    <row r="26" spans="1:16" ht="81.599999999999994" customHeight="1" x14ac:dyDescent="0.25">
      <c r="A26" s="9" t="s">
        <v>59</v>
      </c>
      <c r="B26" s="28" t="s">
        <v>427</v>
      </c>
      <c r="C26" s="29"/>
      <c r="D26" s="29"/>
      <c r="E26" s="29"/>
      <c r="F26" s="29"/>
      <c r="G26" s="29" t="s">
        <v>428</v>
      </c>
      <c r="H26" s="29"/>
      <c r="I26" s="29"/>
      <c r="J26" s="29"/>
      <c r="K26" s="29" t="s">
        <v>459</v>
      </c>
      <c r="L26" s="29"/>
      <c r="M26" s="29"/>
      <c r="N26" s="29"/>
      <c r="O26" s="30">
        <f>ROUND((2290 + 5510 * 1) * 1 * 7.22 * 0.62, 2)</f>
        <v>34915.919999999998</v>
      </c>
      <c r="P26" s="29"/>
    </row>
    <row r="27" spans="1:16" ht="15" customHeight="1" x14ac:dyDescent="0.25">
      <c r="A27" s="10"/>
      <c r="B27" s="31" t="s">
        <v>89</v>
      </c>
      <c r="C27" s="31"/>
      <c r="D27" s="31"/>
      <c r="E27" s="31"/>
      <c r="F27" s="31"/>
      <c r="G27" s="31" t="s">
        <v>8</v>
      </c>
      <c r="H27" s="31"/>
      <c r="I27" s="31"/>
      <c r="J27" s="31"/>
      <c r="K27" s="31" t="s">
        <v>8</v>
      </c>
      <c r="L27" s="31"/>
      <c r="M27" s="31"/>
      <c r="N27" s="31"/>
      <c r="O27" s="31"/>
      <c r="P27" s="31"/>
    </row>
    <row r="28" spans="1:16" ht="15" customHeight="1" x14ac:dyDescent="0.25">
      <c r="A28" s="11"/>
      <c r="B28" s="32" t="s">
        <v>445</v>
      </c>
      <c r="C28" s="32"/>
      <c r="D28" s="32"/>
      <c r="E28" s="32"/>
      <c r="F28" s="32"/>
      <c r="G28" s="32" t="s">
        <v>460</v>
      </c>
      <c r="H28" s="32"/>
      <c r="I28" s="32"/>
      <c r="J28" s="32"/>
      <c r="K28" s="32" t="s">
        <v>8</v>
      </c>
      <c r="L28" s="32"/>
      <c r="M28" s="32"/>
      <c r="N28" s="32"/>
      <c r="O28" s="32"/>
      <c r="P28" s="32"/>
    </row>
    <row r="29" spans="1:16" ht="40.9" customHeight="1" x14ac:dyDescent="0.25">
      <c r="A29" s="11"/>
      <c r="B29" s="32" t="s">
        <v>354</v>
      </c>
      <c r="C29" s="32"/>
      <c r="D29" s="32"/>
      <c r="E29" s="32"/>
      <c r="F29" s="32"/>
      <c r="G29" s="32" t="s">
        <v>355</v>
      </c>
      <c r="H29" s="32"/>
      <c r="I29" s="32"/>
      <c r="J29" s="32"/>
      <c r="K29" s="32" t="s">
        <v>8</v>
      </c>
      <c r="L29" s="32"/>
      <c r="M29" s="32"/>
      <c r="N29" s="32"/>
      <c r="O29" s="32"/>
      <c r="P29" s="32"/>
    </row>
    <row r="30" spans="1:16" ht="122.45" customHeight="1" x14ac:dyDescent="0.25">
      <c r="A30" s="9" t="s">
        <v>61</v>
      </c>
      <c r="B30" s="28" t="s">
        <v>431</v>
      </c>
      <c r="C30" s="29"/>
      <c r="D30" s="29"/>
      <c r="E30" s="29"/>
      <c r="F30" s="29"/>
      <c r="G30" s="29" t="s">
        <v>432</v>
      </c>
      <c r="H30" s="29"/>
      <c r="I30" s="29"/>
      <c r="J30" s="29"/>
      <c r="K30" s="29" t="s">
        <v>433</v>
      </c>
      <c r="L30" s="29"/>
      <c r="M30" s="29"/>
      <c r="N30" s="29"/>
      <c r="O30" s="30">
        <f>ROUND((36610 + 4570 * 2) * 1 * 7.22 * 0.5, 2)</f>
        <v>165157.5</v>
      </c>
      <c r="P30" s="29"/>
    </row>
    <row r="31" spans="1:16" ht="15" customHeight="1" x14ac:dyDescent="0.25">
      <c r="A31" s="10"/>
      <c r="B31" s="31" t="s">
        <v>89</v>
      </c>
      <c r="C31" s="31"/>
      <c r="D31" s="31"/>
      <c r="E31" s="31"/>
      <c r="F31" s="31"/>
      <c r="G31" s="31" t="s">
        <v>8</v>
      </c>
      <c r="H31" s="31"/>
      <c r="I31" s="31"/>
      <c r="J31" s="31"/>
      <c r="K31" s="31" t="s">
        <v>8</v>
      </c>
      <c r="L31" s="31"/>
      <c r="M31" s="31"/>
      <c r="N31" s="31"/>
      <c r="O31" s="31"/>
      <c r="P31" s="31"/>
    </row>
    <row r="32" spans="1:16" ht="15" customHeight="1" x14ac:dyDescent="0.25">
      <c r="A32" s="11"/>
      <c r="B32" s="32" t="s">
        <v>445</v>
      </c>
      <c r="C32" s="32"/>
      <c r="D32" s="32"/>
      <c r="E32" s="32"/>
      <c r="F32" s="32"/>
      <c r="G32" s="32" t="s">
        <v>420</v>
      </c>
      <c r="H32" s="32"/>
      <c r="I32" s="32"/>
      <c r="J32" s="32"/>
      <c r="K32" s="32" t="s">
        <v>8</v>
      </c>
      <c r="L32" s="32"/>
      <c r="M32" s="32"/>
      <c r="N32" s="32"/>
      <c r="O32" s="32"/>
      <c r="P32" s="32"/>
    </row>
    <row r="33" spans="1:16" ht="40.9" customHeight="1" x14ac:dyDescent="0.25">
      <c r="A33" s="11"/>
      <c r="B33" s="32" t="s">
        <v>354</v>
      </c>
      <c r="C33" s="32"/>
      <c r="D33" s="32"/>
      <c r="E33" s="32"/>
      <c r="F33" s="32"/>
      <c r="G33" s="32" t="s">
        <v>355</v>
      </c>
      <c r="H33" s="32"/>
      <c r="I33" s="32"/>
      <c r="J33" s="32"/>
      <c r="K33" s="32" t="s">
        <v>8</v>
      </c>
      <c r="L33" s="32"/>
      <c r="M33" s="32"/>
      <c r="N33" s="32"/>
      <c r="O33" s="32"/>
      <c r="P33" s="32"/>
    </row>
    <row r="34" spans="1:16" ht="68.099999999999994" customHeight="1" x14ac:dyDescent="0.25">
      <c r="A34" s="9" t="s">
        <v>64</v>
      </c>
      <c r="B34" s="28" t="s">
        <v>434</v>
      </c>
      <c r="C34" s="29"/>
      <c r="D34" s="29"/>
      <c r="E34" s="29"/>
      <c r="F34" s="29"/>
      <c r="G34" s="29" t="s">
        <v>435</v>
      </c>
      <c r="H34" s="29"/>
      <c r="I34" s="29"/>
      <c r="J34" s="29"/>
      <c r="K34" s="29" t="s">
        <v>461</v>
      </c>
      <c r="L34" s="29"/>
      <c r="M34" s="29"/>
      <c r="N34" s="29"/>
      <c r="O34" s="30">
        <f>ROUND(39000 * 1 * 7.22 * 0.64, 2)</f>
        <v>180211.20000000001</v>
      </c>
      <c r="P34" s="29"/>
    </row>
    <row r="35" spans="1:16" ht="15" customHeight="1" x14ac:dyDescent="0.25">
      <c r="A35" s="10"/>
      <c r="B35" s="31" t="s">
        <v>89</v>
      </c>
      <c r="C35" s="31"/>
      <c r="D35" s="31"/>
      <c r="E35" s="31"/>
      <c r="F35" s="31"/>
      <c r="G35" s="31" t="s">
        <v>8</v>
      </c>
      <c r="H35" s="31"/>
      <c r="I35" s="31"/>
      <c r="J35" s="31"/>
      <c r="K35" s="31" t="s">
        <v>8</v>
      </c>
      <c r="L35" s="31"/>
      <c r="M35" s="31"/>
      <c r="N35" s="31"/>
      <c r="O35" s="31"/>
      <c r="P35" s="31"/>
    </row>
    <row r="36" spans="1:16" ht="15" customHeight="1" x14ac:dyDescent="0.25">
      <c r="A36" s="11"/>
      <c r="B36" s="32" t="s">
        <v>445</v>
      </c>
      <c r="C36" s="32"/>
      <c r="D36" s="32"/>
      <c r="E36" s="32"/>
      <c r="F36" s="32"/>
      <c r="G36" s="32" t="s">
        <v>462</v>
      </c>
      <c r="H36" s="32"/>
      <c r="I36" s="32"/>
      <c r="J36" s="32"/>
      <c r="K36" s="32" t="s">
        <v>8</v>
      </c>
      <c r="L36" s="32"/>
      <c r="M36" s="32"/>
      <c r="N36" s="32"/>
      <c r="O36" s="32"/>
      <c r="P36" s="32"/>
    </row>
    <row r="37" spans="1:16" ht="40.9" customHeight="1" x14ac:dyDescent="0.25">
      <c r="A37" s="11"/>
      <c r="B37" s="32" t="s">
        <v>354</v>
      </c>
      <c r="C37" s="32"/>
      <c r="D37" s="32"/>
      <c r="E37" s="32"/>
      <c r="F37" s="32"/>
      <c r="G37" s="32" t="s">
        <v>355</v>
      </c>
      <c r="H37" s="32"/>
      <c r="I37" s="32"/>
      <c r="J37" s="32"/>
      <c r="K37" s="32" t="s">
        <v>8</v>
      </c>
      <c r="L37" s="32"/>
      <c r="M37" s="32"/>
      <c r="N37" s="32"/>
      <c r="O37" s="32"/>
      <c r="P37" s="32"/>
    </row>
    <row r="38" spans="1:16" ht="81.599999999999994" customHeight="1" x14ac:dyDescent="0.25">
      <c r="A38" s="9" t="s">
        <v>331</v>
      </c>
      <c r="B38" s="28" t="s">
        <v>438</v>
      </c>
      <c r="C38" s="29"/>
      <c r="D38" s="29"/>
      <c r="E38" s="29"/>
      <c r="F38" s="29"/>
      <c r="G38" s="29" t="s">
        <v>439</v>
      </c>
      <c r="H38" s="29"/>
      <c r="I38" s="29"/>
      <c r="J38" s="29"/>
      <c r="K38" s="29" t="s">
        <v>463</v>
      </c>
      <c r="L38" s="29"/>
      <c r="M38" s="29"/>
      <c r="N38" s="29"/>
      <c r="O38" s="30">
        <f>ROUND((23000 + 32 * 500) * 1 * 7.22 * 0.64, 2)</f>
        <v>180211.20000000001</v>
      </c>
      <c r="P38" s="29"/>
    </row>
    <row r="39" spans="1:16" ht="15" customHeight="1" x14ac:dyDescent="0.25">
      <c r="A39" s="10"/>
      <c r="B39" s="31" t="s">
        <v>89</v>
      </c>
      <c r="C39" s="31"/>
      <c r="D39" s="31"/>
      <c r="E39" s="31"/>
      <c r="F39" s="31"/>
      <c r="G39" s="31" t="s">
        <v>8</v>
      </c>
      <c r="H39" s="31"/>
      <c r="I39" s="31"/>
      <c r="J39" s="31"/>
      <c r="K39" s="31" t="s">
        <v>8</v>
      </c>
      <c r="L39" s="31"/>
      <c r="M39" s="31"/>
      <c r="N39" s="31"/>
      <c r="O39" s="31"/>
      <c r="P39" s="31"/>
    </row>
    <row r="40" spans="1:16" ht="15" customHeight="1" x14ac:dyDescent="0.25">
      <c r="A40" s="11"/>
      <c r="B40" s="32" t="s">
        <v>445</v>
      </c>
      <c r="C40" s="32"/>
      <c r="D40" s="32"/>
      <c r="E40" s="32"/>
      <c r="F40" s="32"/>
      <c r="G40" s="32" t="s">
        <v>462</v>
      </c>
      <c r="H40" s="32"/>
      <c r="I40" s="32"/>
      <c r="J40" s="32"/>
      <c r="K40" s="32" t="s">
        <v>8</v>
      </c>
      <c r="L40" s="32"/>
      <c r="M40" s="32"/>
      <c r="N40" s="32"/>
      <c r="O40" s="32"/>
      <c r="P40" s="32"/>
    </row>
    <row r="41" spans="1:16" ht="40.9" customHeight="1" x14ac:dyDescent="0.25">
      <c r="A41" s="11"/>
      <c r="B41" s="32" t="s">
        <v>354</v>
      </c>
      <c r="C41" s="32"/>
      <c r="D41" s="32"/>
      <c r="E41" s="32"/>
      <c r="F41" s="32"/>
      <c r="G41" s="32" t="s">
        <v>355</v>
      </c>
      <c r="H41" s="32"/>
      <c r="I41" s="32"/>
      <c r="J41" s="32"/>
      <c r="K41" s="32" t="s">
        <v>8</v>
      </c>
      <c r="L41" s="32"/>
      <c r="M41" s="32"/>
      <c r="N41" s="32"/>
      <c r="O41" s="32"/>
      <c r="P41" s="32"/>
    </row>
    <row r="42" spans="1:16" ht="15" customHeight="1" x14ac:dyDescent="0.25">
      <c r="A42" s="3" t="s">
        <v>402</v>
      </c>
      <c r="B42" s="22" t="s">
        <v>156</v>
      </c>
      <c r="C42" s="22"/>
      <c r="D42" s="22"/>
      <c r="E42" s="22"/>
      <c r="F42" s="22"/>
      <c r="G42" s="22"/>
      <c r="H42" s="22"/>
      <c r="I42" s="22"/>
      <c r="J42" s="22"/>
      <c r="K42" s="22" t="s">
        <v>8</v>
      </c>
      <c r="L42" s="22"/>
      <c r="M42" s="22"/>
      <c r="N42" s="22"/>
      <c r="O42" s="33">
        <f>ROUND(SUM($O$14:$O$38),2)</f>
        <v>1162102.32</v>
      </c>
      <c r="P42" s="22"/>
    </row>
    <row r="43" spans="1:16" ht="68.099999999999994" customHeight="1" x14ac:dyDescent="0.25">
      <c r="A43" s="3" t="s">
        <v>408</v>
      </c>
      <c r="B43" s="23" t="s">
        <v>306</v>
      </c>
      <c r="C43" s="23"/>
      <c r="D43" s="23"/>
      <c r="E43" s="23"/>
      <c r="F43" s="23"/>
      <c r="G43" s="23" t="s">
        <v>413</v>
      </c>
      <c r="H43" s="23"/>
      <c r="I43" s="23"/>
      <c r="J43" s="23"/>
      <c r="K43" s="23" t="s">
        <v>464</v>
      </c>
      <c r="L43" s="23"/>
      <c r="M43" s="23"/>
      <c r="N43" s="23"/>
      <c r="O43" s="35">
        <f>ROUND(($O$42) * 1  * 1.08,2)</f>
        <v>1255070.51</v>
      </c>
      <c r="P43" s="23"/>
    </row>
    <row r="44" spans="1:16" ht="15" customHeight="1" x14ac:dyDescent="0.25">
      <c r="A44" s="3" t="s">
        <v>409</v>
      </c>
      <c r="B44" s="22" t="s">
        <v>157</v>
      </c>
      <c r="C44" s="22"/>
      <c r="D44" s="22"/>
      <c r="E44" s="22"/>
      <c r="F44" s="22"/>
      <c r="G44" s="22"/>
      <c r="H44" s="22"/>
      <c r="I44" s="22"/>
      <c r="J44" s="22"/>
      <c r="K44" s="22" t="s">
        <v>8</v>
      </c>
      <c r="L44" s="22"/>
      <c r="M44" s="22"/>
      <c r="N44" s="22"/>
      <c r="O44" s="33">
        <f>ROUND(($O$43),2)</f>
        <v>1255070.51</v>
      </c>
      <c r="P44" s="22"/>
    </row>
    <row r="45" spans="1:16" ht="15" customHeight="1" x14ac:dyDescent="0.25"/>
    <row r="46" spans="1:16" ht="30" customHeight="1" x14ac:dyDescent="0.25">
      <c r="A46" s="19" t="s">
        <v>158</v>
      </c>
      <c r="B46" s="19"/>
      <c r="C46" s="19"/>
      <c r="D46" s="19"/>
      <c r="E46" s="19"/>
      <c r="F46" s="34">
        <f>$O$44</f>
        <v>1255070.51</v>
      </c>
      <c r="G46" s="34"/>
      <c r="H46" s="34"/>
      <c r="I46" s="34"/>
      <c r="J46" s="34"/>
      <c r="K46" s="34"/>
      <c r="L46" s="34"/>
      <c r="M46" s="34"/>
      <c r="N46" s="34"/>
      <c r="O46" s="34"/>
      <c r="P46" s="34"/>
    </row>
    <row r="47" spans="1:16" ht="15" customHeight="1" x14ac:dyDescent="0.25"/>
    <row r="48" spans="1:16" ht="15" customHeight="1" x14ac:dyDescent="0.25"/>
    <row r="49" ht="15" customHeight="1" x14ac:dyDescent="0.25"/>
    <row r="50" ht="15" customHeight="1" x14ac:dyDescent="0.25"/>
  </sheetData>
  <mergeCells count="144">
    <mergeCell ref="A46:E46"/>
    <mergeCell ref="F46:P46"/>
    <mergeCell ref="B42:F42"/>
    <mergeCell ref="G42:J42"/>
    <mergeCell ref="K42:N42"/>
    <mergeCell ref="O42:P42"/>
    <mergeCell ref="B43:F43"/>
    <mergeCell ref="G43:J43"/>
    <mergeCell ref="K43:N43"/>
    <mergeCell ref="O43:P43"/>
    <mergeCell ref="B44:F44"/>
    <mergeCell ref="G44:J44"/>
    <mergeCell ref="K44:N44"/>
    <mergeCell ref="O44:P44"/>
    <mergeCell ref="B39:F39"/>
    <mergeCell ref="G39:J39"/>
    <mergeCell ref="K39:N39"/>
    <mergeCell ref="O39:P39"/>
    <mergeCell ref="B40:F40"/>
    <mergeCell ref="G40:J40"/>
    <mergeCell ref="K40:N40"/>
    <mergeCell ref="O40:P40"/>
    <mergeCell ref="B41:F41"/>
    <mergeCell ref="G41:J41"/>
    <mergeCell ref="K41:N41"/>
    <mergeCell ref="O41:P41"/>
    <mergeCell ref="B36:F36"/>
    <mergeCell ref="G36:J36"/>
    <mergeCell ref="K36:N36"/>
    <mergeCell ref="O36:P36"/>
    <mergeCell ref="B37:F37"/>
    <mergeCell ref="G37:J37"/>
    <mergeCell ref="K37:N37"/>
    <mergeCell ref="O37:P37"/>
    <mergeCell ref="B38:F38"/>
    <mergeCell ref="G38:J38"/>
    <mergeCell ref="K38:N38"/>
    <mergeCell ref="O38:P38"/>
    <mergeCell ref="B33:F33"/>
    <mergeCell ref="G33:J33"/>
    <mergeCell ref="K33:N33"/>
    <mergeCell ref="O33:P33"/>
    <mergeCell ref="B34:F34"/>
    <mergeCell ref="G34:J34"/>
    <mergeCell ref="K34:N34"/>
    <mergeCell ref="O34:P34"/>
    <mergeCell ref="B35:F35"/>
    <mergeCell ref="G35:J35"/>
    <mergeCell ref="K35:N35"/>
    <mergeCell ref="O35:P35"/>
    <mergeCell ref="B30:F30"/>
    <mergeCell ref="G30:J30"/>
    <mergeCell ref="K30:N30"/>
    <mergeCell ref="O30:P30"/>
    <mergeCell ref="B31:F31"/>
    <mergeCell ref="G31:J31"/>
    <mergeCell ref="K31:N31"/>
    <mergeCell ref="O31:P31"/>
    <mergeCell ref="B32:F32"/>
    <mergeCell ref="G32:J32"/>
    <mergeCell ref="K32:N32"/>
    <mergeCell ref="O32:P32"/>
    <mergeCell ref="B27:F27"/>
    <mergeCell ref="G27:J27"/>
    <mergeCell ref="K27:N27"/>
    <mergeCell ref="O27:P27"/>
    <mergeCell ref="B28:F28"/>
    <mergeCell ref="G28:J28"/>
    <mergeCell ref="K28:N28"/>
    <mergeCell ref="O28:P28"/>
    <mergeCell ref="B29:F29"/>
    <mergeCell ref="G29:J29"/>
    <mergeCell ref="K29:N29"/>
    <mergeCell ref="O29:P29"/>
    <mergeCell ref="B24:F24"/>
    <mergeCell ref="G24:J24"/>
    <mergeCell ref="K24:N24"/>
    <mergeCell ref="O24:P24"/>
    <mergeCell ref="B25:F25"/>
    <mergeCell ref="G25:J25"/>
    <mergeCell ref="K25:N25"/>
    <mergeCell ref="O25:P25"/>
    <mergeCell ref="B26:F26"/>
    <mergeCell ref="G26:J26"/>
    <mergeCell ref="K26:N26"/>
    <mergeCell ref="O26:P26"/>
    <mergeCell ref="B21:F21"/>
    <mergeCell ref="G21:J21"/>
    <mergeCell ref="K21:N21"/>
    <mergeCell ref="O21:P21"/>
    <mergeCell ref="B22:F22"/>
    <mergeCell ref="G22:J22"/>
    <mergeCell ref="K22:N22"/>
    <mergeCell ref="O22:P22"/>
    <mergeCell ref="B23:F23"/>
    <mergeCell ref="G23:J23"/>
    <mergeCell ref="K23:N23"/>
    <mergeCell ref="O23:P23"/>
    <mergeCell ref="B18:F18"/>
    <mergeCell ref="G18:J18"/>
    <mergeCell ref="K18:N18"/>
    <mergeCell ref="O18:P18"/>
    <mergeCell ref="B19:F19"/>
    <mergeCell ref="G19:J19"/>
    <mergeCell ref="K19:N19"/>
    <mergeCell ref="O19:P19"/>
    <mergeCell ref="B20:F20"/>
    <mergeCell ref="G20:J20"/>
    <mergeCell ref="K20:N20"/>
    <mergeCell ref="O20:P20"/>
    <mergeCell ref="B15:F15"/>
    <mergeCell ref="G15:J15"/>
    <mergeCell ref="K15:N15"/>
    <mergeCell ref="O15:P15"/>
    <mergeCell ref="B16:F16"/>
    <mergeCell ref="G16:J16"/>
    <mergeCell ref="K16:N16"/>
    <mergeCell ref="O16:P16"/>
    <mergeCell ref="B17:F17"/>
    <mergeCell ref="G17:J17"/>
    <mergeCell ref="K17:N17"/>
    <mergeCell ref="O17:P17"/>
    <mergeCell ref="B12:F12"/>
    <mergeCell ref="B13:F13"/>
    <mergeCell ref="G12:J12"/>
    <mergeCell ref="G13:J13"/>
    <mergeCell ref="K12:N12"/>
    <mergeCell ref="K13:N13"/>
    <mergeCell ref="O12:P12"/>
    <mergeCell ref="O13:P13"/>
    <mergeCell ref="B14:F14"/>
    <mergeCell ref="G14:J14"/>
    <mergeCell ref="K14:N14"/>
    <mergeCell ref="O14:P14"/>
    <mergeCell ref="A1:D1"/>
    <mergeCell ref="E1:P1"/>
    <mergeCell ref="A3:P3"/>
    <mergeCell ref="A4:P4"/>
    <mergeCell ref="A6:E6"/>
    <mergeCell ref="F6:P6"/>
    <mergeCell ref="A8:E8"/>
    <mergeCell ref="F8:P8"/>
    <mergeCell ref="A10:E10"/>
    <mergeCell ref="F10:P10"/>
  </mergeCells>
  <pageMargins left="0.23622047244094491" right="0.23622047244094491" top="0.74803149606299213" bottom="0.74803149606299213" header="0.31496062992125984" footer="0.31496062992125984"/>
  <pageSetup paperSize="9" scale="7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7</vt:i4>
      </vt:variant>
    </vt:vector>
  </HeadingPairs>
  <TitlesOfParts>
    <vt:vector size="15" baseType="lpstr">
      <vt:lpstr>Св.смета_№1_Техническое перево</vt:lpstr>
      <vt:lpstr>Смета_№1.1_ИГДИ</vt:lpstr>
      <vt:lpstr>Смета_№1.2_ИГИ</vt:lpstr>
      <vt:lpstr>Смета_№2.1_СИД</vt:lpstr>
      <vt:lpstr>Смета_№3.1_А Д+ГП+ТХ</vt:lpstr>
      <vt:lpstr>Смета_№3.2_Видео</vt:lpstr>
      <vt:lpstr>Смета_№4.1_А Д+ГП+ТХ</vt:lpstr>
      <vt:lpstr>Смета_№3.2_Видео(3)</vt:lpstr>
      <vt:lpstr>'Св.смета_№1_Техническое перево'!Область_печати</vt:lpstr>
      <vt:lpstr>Смета_№1.1_ИГДИ!Область_печати</vt:lpstr>
      <vt:lpstr>Смета_№1.2_ИГИ!Область_печати</vt:lpstr>
      <vt:lpstr>Смета_№2.1_СИД!Область_печати</vt:lpstr>
      <vt:lpstr>'Смета_№3.1_А Д+ГП+ТХ'!Область_печати</vt:lpstr>
      <vt:lpstr>Смета_№3.2_Видео!Область_печати</vt:lpstr>
      <vt:lpstr>'Смета_№3.2_Видео(3)'!Область_печати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Степаненко Марина Юрьевна</cp:lastModifiedBy>
  <cp:lastPrinted>2026-08-26T10:58:54Z</cp:lastPrinted>
  <dcterms:created xsi:type="dcterms:W3CDTF">2026-08-26T16:42:55Z</dcterms:created>
  <dcterms:modified xsi:type="dcterms:W3CDTF">2026-08-26T11:05:02Z</dcterms:modified>
</cp:coreProperties>
</file>