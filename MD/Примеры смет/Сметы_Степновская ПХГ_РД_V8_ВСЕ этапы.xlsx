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O:\_ТЕНДЕРЫ_М.Степаненко\2026-08_Степновская ПХГ_РД_ГИП Ефименко\"/>
    </mc:Choice>
  </mc:AlternateContent>
  <bookViews>
    <workbookView xWindow="360" yWindow="15" windowWidth="20955" windowHeight="9720" tabRatio="904" activeTab="1"/>
  </bookViews>
  <sheets>
    <sheet name="РНМЦ" sheetId="1" r:id="rId1"/>
    <sheet name="СВОД" sheetId="2" r:id="rId2"/>
    <sheet name="1.1.1 ИГДИ" sheetId="3" r:id="rId3"/>
    <sheet name="1.1.2 ИГДИ" sheetId="4" r:id="rId4"/>
    <sheet name="1.1.3 ИГДИ" sheetId="5" r:id="rId5"/>
    <sheet name="1.1.4 ИГДИ+" sheetId="6" r:id="rId6"/>
    <sheet name="1.2.1 ИГИ" sheetId="7" r:id="rId7"/>
    <sheet name="1.2.2 ИГИ+" sheetId="8" r:id="rId8"/>
    <sheet name="1.3 МЛС" sheetId="9" r:id="rId9"/>
    <sheet name="Смета_№2.1_Обслед" sheetId="52" r:id="rId10"/>
    <sheet name="Расчет КР" sheetId="11" r:id="rId11"/>
    <sheet name="2.2 ТехДок+ " sheetId="12" r:id="rId12"/>
    <sheet name="2.3 СИД " sheetId="13" r:id="rId13"/>
    <sheet name="РД 3.1 ГП++" sheetId="14" r:id="rId14"/>
    <sheet name="3.2 Автодороги++" sheetId="15" r:id="rId15"/>
    <sheet name="3.3 ТХ++" sheetId="16" r:id="rId16"/>
    <sheet name="3.4 ОВ++" sheetId="17" r:id="rId17"/>
    <sheet name="3.5.1 АСУТП этап12" sheetId="18" r:id="rId18"/>
    <sheet name="3.5.2 АСУТП этап15" sheetId="19" r:id="rId19"/>
    <sheet name="3.5.3 АСУТП этап16" sheetId="20" r:id="rId20"/>
    <sheet name="3.5.4 АСУТП этап27" sheetId="21" r:id="rId21"/>
    <sheet name="3.5.5 АСУТП этап2+" sheetId="22" r:id="rId22"/>
    <sheet name="3.5.6 АСУТП этап3++" sheetId="23" r:id="rId23"/>
    <sheet name="3.6.1 АСУЭ этап2" sheetId="24" r:id="rId24"/>
    <sheet name="3.6.2 АСУЭ этап15" sheetId="25" r:id="rId25"/>
    <sheet name="3.6.3 АСУЭ этап16" sheetId="26" r:id="rId26"/>
    <sheet name="3.6.4 АСУЭ этап27" sheetId="27" r:id="rId27"/>
    <sheet name="3.6.5 АСУЭ этап3++" sheetId="28" r:id="rId28"/>
    <sheet name="3.7.1 АЭО этап15" sheetId="29" r:id="rId29"/>
    <sheet name="3.7.2 АЭО этап16" sheetId="30" r:id="rId30"/>
    <sheet name="3.7.3 АЭО этап3++" sheetId="31" r:id="rId31"/>
    <sheet name="3.8.1 СПБА этап12" sheetId="32" r:id="rId32"/>
    <sheet name="3.8.2 СПБА этап15" sheetId="33" r:id="rId33"/>
    <sheet name="3.8.3 СПБА этап16" sheetId="34" r:id="rId34"/>
    <sheet name="3.8.4 СПБА этап27" sheetId="35" r:id="rId35"/>
    <sheet name="3.8.5 СПБА этап2+" sheetId="36" r:id="rId36"/>
    <sheet name="3.8.6 СПБА этап3++" sheetId="37" r:id="rId37"/>
    <sheet name="3.9.1 этап12 СС" sheetId="38" r:id="rId38"/>
    <sheet name="3.9.2 этап13 СС" sheetId="39" r:id="rId39"/>
    <sheet name="3.9.3 этап 15 СС" sheetId="40" r:id="rId40"/>
    <sheet name="3.9.4 этап16 СС" sheetId="41" r:id="rId41"/>
    <sheet name="3.9.5 этап17 СС" sheetId="42" r:id="rId42"/>
    <sheet name="3.9.6 этап27 СС" sheetId="43" r:id="rId43"/>
    <sheet name="3.9.7 СС ЭТАП3++" sheetId="44" r:id="rId44"/>
    <sheet name="3.10 ЭС++" sheetId="45" r:id="rId45"/>
    <sheet name="3.11 ЭХЗ+" sheetId="46" r:id="rId46"/>
    <sheet name="3.12 ВК++" sheetId="47" r:id="rId47"/>
    <sheet name="3.13 АС" sheetId="48" r:id="rId48"/>
    <sheet name="3.14 ЛЧ++" sheetId="49" r:id="rId49"/>
    <sheet name="3.15.1 Бурение+ " sheetId="50" r:id="rId50"/>
    <sheet name="3.15.2 ПроектБур+ " sheetId="51" r:id="rId51"/>
  </sheets>
  <externalReferences>
    <externalReference r:id="rId52"/>
    <externalReference r:id="rId53"/>
  </externalReferences>
  <definedNames>
    <definedName name="_" localSheetId="11" hidden="1">#REF!</definedName>
    <definedName name="_" localSheetId="12" hidden="1">#REF!</definedName>
    <definedName name="_" localSheetId="48" hidden="1">#REF!</definedName>
    <definedName name="_" localSheetId="49" hidden="1">#REF!</definedName>
    <definedName name="_" localSheetId="50" hidden="1">#REF!</definedName>
    <definedName name="_" localSheetId="43" hidden="1">#REF!</definedName>
    <definedName name="_" hidden="1">#REF!</definedName>
    <definedName name="____xlfn.BAHTTEXT" hidden="1">#NAME?</definedName>
    <definedName name="___xlfn.BAHTTEXT" hidden="1">#NAME?</definedName>
    <definedName name="__xlfn.BAHTTEXT" hidden="1">#NAME?</definedName>
    <definedName name="_FilterDatabase" localSheetId="11" hidden="1">#REF!</definedName>
    <definedName name="_FilterDatabase" localSheetId="12" hidden="1">#REF!</definedName>
    <definedName name="_FilterDatabase" localSheetId="48" hidden="1">#REF!</definedName>
    <definedName name="_FilterDatabase" localSheetId="49" hidden="1">#REF!</definedName>
    <definedName name="_FilterDatabase" localSheetId="50" hidden="1">#REF!</definedName>
    <definedName name="_FilterDatabase" localSheetId="43" hidden="1">#REF!</definedName>
    <definedName name="_FilterDatabase" hidden="1">#REF!</definedName>
    <definedName name="_xlnm._FilterDatabase" localSheetId="11" hidden="1">#REF!</definedName>
    <definedName name="_xlnm._FilterDatabase" localSheetId="12" hidden="1">'2.3 СИД '!$A$17:$G$46</definedName>
    <definedName name="_xlnm._FilterDatabase" localSheetId="48" hidden="1">#REF!</definedName>
    <definedName name="_xlnm._FilterDatabase" localSheetId="49" hidden="1">#REF!</definedName>
    <definedName name="_xlnm._FilterDatabase" localSheetId="50" hidden="1">#REF!</definedName>
    <definedName name="_xlnm._FilterDatabase" localSheetId="43" hidden="1">#REF!</definedName>
    <definedName name="_xlnm._FilterDatabase" hidden="1">#REF!</definedName>
    <definedName name="ccc" localSheetId="48" hidden="1">{#N/A,#N/A,TRUE,"Смета на пасс. обор. №1"}</definedName>
    <definedName name="ccc" localSheetId="50" hidden="1">{#N/A,#N/A,TRUE,"Смета на пасс. обор. №1"}</definedName>
    <definedName name="ccc" localSheetId="43" hidden="1">{#N/A,#N/A,TRUE,"Смета на пасс. обор. №1"}</definedName>
    <definedName name="ccc" hidden="1">{#N/A,#N/A,TRUE,"Смета на пасс. обор. №1"}</definedName>
    <definedName name="d" localSheetId="48" hidden="1">{#N/A,#N/A,FALSE,"Акт-Смета"}</definedName>
    <definedName name="d" localSheetId="50" hidden="1">{#N/A,#N/A,FALSE,"Акт-Смета"}</definedName>
    <definedName name="d" localSheetId="43" hidden="1">{#N/A,#N/A,FALSE,"Акт-Смета"}</definedName>
    <definedName name="d" hidden="1">{#N/A,#N/A,FALSE,"Акт-Смета"}</definedName>
    <definedName name="f" localSheetId="48" hidden="1">{#N/A,#N/A,FALSE,"Акт-Смета"}</definedName>
    <definedName name="f" localSheetId="50" hidden="1">{#N/A,#N/A,FALSE,"Акт-Смета"}</definedName>
    <definedName name="f" localSheetId="43" hidden="1">{#N/A,#N/A,FALSE,"Акт-Смета"}</definedName>
    <definedName name="f" hidden="1">{#N/A,#N/A,FALSE,"Акт-Смета"}</definedName>
    <definedName name="gh" localSheetId="48" hidden="1">{#N/A,#N/A,FALSE,"Акт-Смета"}</definedName>
    <definedName name="gh" localSheetId="50" hidden="1">{#N/A,#N/A,FALSE,"Акт-Смета"}</definedName>
    <definedName name="gh" localSheetId="43" hidden="1">{#N/A,#N/A,FALSE,"Акт-Смета"}</definedName>
    <definedName name="gh" hidden="1">{#N/A,#N/A,FALSE,"Акт-Смета"}</definedName>
    <definedName name="Header2" localSheetId="11" hidden="1">#NAME?</definedName>
    <definedName name="Header2" localSheetId="12" hidden="1">#NAME?</definedName>
    <definedName name="Header2" localSheetId="48" hidden="1">#NAME?</definedName>
    <definedName name="Header2" localSheetId="49" hidden="1">#NAME?</definedName>
    <definedName name="Header2" localSheetId="50" hidden="1">#NAME?</definedName>
    <definedName name="Header2" localSheetId="43" hidden="1">#NAME?</definedName>
    <definedName name="Header2" hidden="1">#NAME?</definedName>
    <definedName name="hg" localSheetId="48" hidden="1">{#N/A,#N/A,FALSE,"Акт-Смета"}</definedName>
    <definedName name="hg" localSheetId="50" hidden="1">{#N/A,#N/A,FALSE,"Акт-Смета"}</definedName>
    <definedName name="hg" localSheetId="43" hidden="1">{#N/A,#N/A,FALSE,"Акт-Смета"}</definedName>
    <definedName name="hg" hidden="1">{#N/A,#N/A,FALSE,"Акт-Смета"}</definedName>
    <definedName name="HTML_CodePage" hidden="1">1251</definedName>
    <definedName name="HTML_Control" localSheetId="48" hidden="1">{"'UPGRADE'!$A$1:$S$79"}</definedName>
    <definedName name="HTML_Control" localSheetId="50" hidden="1">{"'UPGRADE'!$A$1:$S$79"}</definedName>
    <definedName name="HTML_Control" localSheetId="43" hidden="1">{"'UPGRADE'!$A$1:$S$79"}</definedName>
    <definedName name="HTML_Control" hidden="1">{"'UPGRADE'!$A$1:$S$79"}</definedName>
    <definedName name="HTML_Controll" localSheetId="48" hidden="1">{"'UPGRADE'!$A$1:$S$79"}</definedName>
    <definedName name="HTML_Controll" localSheetId="50" hidden="1">{"'UPGRADE'!$A$1:$S$79"}</definedName>
    <definedName name="HTML_Controll" localSheetId="43" hidden="1">{"'UPGRADE'!$A$1:$S$79"}</definedName>
    <definedName name="HTML_Controll" hidden="1">{"'UPGRADE'!$A$1:$S$79"}</definedName>
    <definedName name="HTML_Description" hidden="1">""</definedName>
    <definedName name="HTML_Email" hidden="1">""</definedName>
    <definedName name="HTML_Header" hidden="1">"Upgrade"</definedName>
    <definedName name="HTML_LastUpdate" hidden="1">"26-июл-99"</definedName>
    <definedName name="HTML_LineAfter" hidden="1">FALSE</definedName>
    <definedName name="HTML_LineBefore" hidden="1">FALSE</definedName>
    <definedName name="HTML_Name" hidden="1">"Boris Panin"</definedName>
    <definedName name="HTML_OBDlg2" hidden="1">TRUE</definedName>
    <definedName name="HTML_OBDlg3" hidden="1">TRUE</definedName>
    <definedName name="HTML_OBDlg4" hidden="1">TRUE</definedName>
    <definedName name="HTML_OS" hidden="1">0</definedName>
    <definedName name="HTML_PathFile" hidden="1">"C:\My WEB Server\Content\onhyphennt\Prices\Upgrade.htm"</definedName>
    <definedName name="HTML_PathTemplate" hidden="1">"C:\My WEB Server\Content\onhyphennt\Prices\DealerFullL.htm"</definedName>
    <definedName name="HTML_Title" hidden="1">"AdobePL3-99"</definedName>
    <definedName name="iii" localSheetId="48" hidden="1">{#N/A,#N/A,FALSE,"Шаблон_Спец1"}</definedName>
    <definedName name="iii" localSheetId="50" hidden="1">{#N/A,#N/A,FALSE,"Шаблон_Спец1"}</definedName>
    <definedName name="iii" localSheetId="43" hidden="1">{#N/A,#N/A,FALSE,"Шаблон_Спец1"}</definedName>
    <definedName name="iii" hidden="1">{#N/A,#N/A,FALSE,"Шаблон_Спец1"}</definedName>
    <definedName name="j" localSheetId="48" hidden="1">{#N/A,#N/A,FALSE,"Акт-Смета"}</definedName>
    <definedName name="j" localSheetId="50" hidden="1">{#N/A,#N/A,FALSE,"Акт-Смета"}</definedName>
    <definedName name="j" localSheetId="43" hidden="1">{#N/A,#N/A,FALSE,"Акт-Смета"}</definedName>
    <definedName name="j" hidden="1">{#N/A,#N/A,FALSE,"Акт-Смета"}</definedName>
    <definedName name="k" localSheetId="48" hidden="1">{#N/A,#N/A,FALSE,"Акт-Смета"}</definedName>
    <definedName name="k" localSheetId="50" hidden="1">{#N/A,#N/A,FALSE,"Акт-Смета"}</definedName>
    <definedName name="k" localSheetId="43" hidden="1">{#N/A,#N/A,FALSE,"Акт-Смета"}</definedName>
    <definedName name="k" hidden="1">{#N/A,#N/A,FALSE,"Акт-Смета"}</definedName>
    <definedName name="m_PERIOD_NAME" hidden="1">[1]XLR_NoRangeSheet!$C$6</definedName>
    <definedName name="Print_Titles" localSheetId="5">'1.1.4 ИГДИ+'!$6:$6</definedName>
    <definedName name="Print_Titles" localSheetId="49">'3.15.1 Бурение+ '!$16:$16</definedName>
    <definedName name="Print_Titles" localSheetId="50">'3.15.2 ПроектБур+ '!$16:$16</definedName>
    <definedName name="q" localSheetId="48" hidden="1">{#N/A,#N/A,FALSE,"Акт-Смета"}</definedName>
    <definedName name="q" localSheetId="50" hidden="1">{#N/A,#N/A,FALSE,"Акт-Смета"}</definedName>
    <definedName name="q" localSheetId="43" hidden="1">{#N/A,#N/A,FALSE,"Акт-Смета"}</definedName>
    <definedName name="q" hidden="1">{#N/A,#N/A,FALSE,"Акт-Смета"}</definedName>
    <definedName name="SAPBEXhrIndnt" hidden="1">1</definedName>
    <definedName name="SAPBEXrevision" hidden="1">1</definedName>
    <definedName name="SAPBEXsysID" hidden="1">"BW2"</definedName>
    <definedName name="SAPBEXwbID" hidden="1">"CBM4XSVVG8NCUQFH77DO9WLLM"</definedName>
    <definedName name="SAPsysID" hidden="1">"708C5W7SBKP804JT78WJ0JNKI"</definedName>
    <definedName name="SAPwbID" hidden="1">"ARS"</definedName>
    <definedName name="wrn.1." localSheetId="48" hidden="1">{#N/A,#N/A,FALSE,"Шаблон_Спец1"}</definedName>
    <definedName name="wrn.1." localSheetId="50" hidden="1">{#N/A,#N/A,FALSE,"Шаблон_Спец1"}</definedName>
    <definedName name="wrn.1." localSheetId="43" hidden="1">{#N/A,#N/A,FALSE,"Шаблон_Спец1"}</definedName>
    <definedName name="wrn.1." hidden="1">{#N/A,#N/A,FALSE,"Шаблон_Спец1"}</definedName>
    <definedName name="wrn.2" localSheetId="48" hidden="1">{#N/A,#N/A,FALSE,"Шаблон_Спец1"}</definedName>
    <definedName name="wrn.2" localSheetId="50" hidden="1">{#N/A,#N/A,FALSE,"Шаблон_Спец1"}</definedName>
    <definedName name="wrn.2" localSheetId="43" hidden="1">{#N/A,#N/A,FALSE,"Шаблон_Спец1"}</definedName>
    <definedName name="wrn.2" hidden="1">{#N/A,#N/A,FALSE,"Шаблон_Спец1"}</definedName>
    <definedName name="wrn.Coded._.IAS._.FS." localSheetId="48" hidden="1">{"IASTrail",#N/A,FALSE,"IAS"}</definedName>
    <definedName name="wrn.Coded._.IAS._.FS." localSheetId="50" hidden="1">{"IASTrail",#N/A,FALSE,"IAS"}</definedName>
    <definedName name="wrn.Coded._.IAS._.FS." localSheetId="43" hidden="1">{"IASTrail",#N/A,FALSE,"IAS"}</definedName>
    <definedName name="wrn.Coded._.IAS._.FS." hidden="1">{"IASTrail",#N/A,FALSE,"IAS"}</definedName>
    <definedName name="wrn.Fixed._.Assets._.Note._.and._.Depreciation." localSheetId="48" hidden="1">{#N/A,#N/A,FALSE,"FA_1";#N/A,#N/A,FALSE,"Dep'n SE";#N/A,#N/A,FALSE,"Dep'n FC"}</definedName>
    <definedName name="wrn.Fixed._.Assets._.Note._.and._.Depreciation." localSheetId="50" hidden="1">{#N/A,#N/A,FALSE,"FA_1";#N/A,#N/A,FALSE,"Dep'n SE";#N/A,#N/A,FALSE,"Dep'n FC"}</definedName>
    <definedName name="wrn.Fixed._.Assets._.Note._.and._.Depreciation." localSheetId="43" hidden="1">{#N/A,#N/A,FALSE,"FA_1";#N/A,#N/A,FALSE,"Dep'n SE";#N/A,#N/A,FALSE,"Dep'n FC"}</definedName>
    <definedName name="wrn.Fixed._.Assets._.Note._.and._.Depreciation." hidden="1">{#N/A,#N/A,FALSE,"FA_1";#N/A,#N/A,FALSE,"Dep'n SE";#N/A,#N/A,FALSE,"Dep'n FC"}</definedName>
    <definedName name="wrn.Full._.IAS._.STATEMENTS." localSheetId="48" hidden="1">{"IASBS",#N/A,FALSE,"IAS";"IASPL",#N/A,FALSE,"IAS";#N/A,#N/A,FALSE,"CF DIR";"IASNotes",#N/A,FALSE,"IAS";#N/A,#N/A,FALSE,"FA_1";#N/A,#N/A,FALSE,"Dep'n FC";#N/A,#N/A,FALSE,"Dep'n SE";#N/A,#N/A,FALSE,"Inv_1";#N/A,#N/A,FALSE,"NMG";#N/A,#N/A,FALSE,"Recon";#N/A,#N/A,FALSE,"EPS"}</definedName>
    <definedName name="wrn.Full._.IAS._.STATEMENTS." localSheetId="50" hidden="1">{"IASBS",#N/A,FALSE,"IAS";"IASPL",#N/A,FALSE,"IAS";#N/A,#N/A,FALSE,"CF DIR";"IASNotes",#N/A,FALSE,"IAS";#N/A,#N/A,FALSE,"FA_1";#N/A,#N/A,FALSE,"Dep'n FC";#N/A,#N/A,FALSE,"Dep'n SE";#N/A,#N/A,FALSE,"Inv_1";#N/A,#N/A,FALSE,"NMG";#N/A,#N/A,FALSE,"Recon";#N/A,#N/A,FALSE,"EPS"}</definedName>
    <definedName name="wrn.Full._.IAS._.STATEMENTS." localSheetId="43" hidden="1">{"IASBS",#N/A,FALSE,"IAS";"IASPL",#N/A,FALSE,"IAS";#N/A,#N/A,FALSE,"CF DIR";"IASNotes",#N/A,FALSE,"IAS";#N/A,#N/A,FALSE,"FA_1";#N/A,#N/A,FALSE,"Dep'n FC";#N/A,#N/A,FALSE,"Dep'n SE";#N/A,#N/A,FALSE,"Inv_1";#N/A,#N/A,FALSE,"NMG";#N/A,#N/A,FALSE,"Recon";#N/A,#N/A,FALSE,"EPS"}</definedName>
    <definedName name="wrn.Full._.IAS._.STATEMENTS." hidden="1">{"IASBS",#N/A,FALSE,"IAS";"IASPL",#N/A,FALSE,"IAS";#N/A,#N/A,FALSE,"CF DIR";"IASNotes",#N/A,FALSE,"IAS";#N/A,#N/A,FALSE,"FA_1";#N/A,#N/A,FALSE,"Dep'n FC";#N/A,#N/A,FALSE,"Dep'n SE";#N/A,#N/A,FALSE,"Inv_1";#N/A,#N/A,FALSE,"NMG";#N/A,#N/A,FALSE,"Recon";#N/A,#N/A,FALSE,"EPS"}</definedName>
    <definedName name="wrn.Full._.TRAIL." localSheetId="48" hidden="1">{"IAS Mapping",#N/A,FALSE,"RSA_FS";#N/A,#N/A,FALSE,"CHECK!";#N/A,#N/A,FALSE,"Recon";#N/A,#N/A,FALSE,"NMG";#N/A,#N/A,FALSE,"Journals";"AnalRSA",#N/A,FALSE,"PL-Anal";"AnalIAS",#N/A,FALSE,"PL-Anal";#N/A,#N/A,FALSE,"COS"}</definedName>
    <definedName name="wrn.Full._.TRAIL." localSheetId="50" hidden="1">{"IAS Mapping",#N/A,FALSE,"RSA_FS";#N/A,#N/A,FALSE,"CHECK!";#N/A,#N/A,FALSE,"Recon";#N/A,#N/A,FALSE,"NMG";#N/A,#N/A,FALSE,"Journals";"AnalRSA",#N/A,FALSE,"PL-Anal";"AnalIAS",#N/A,FALSE,"PL-Anal";#N/A,#N/A,FALSE,"COS"}</definedName>
    <definedName name="wrn.Full._.TRAIL." localSheetId="43" hidden="1">{"IAS Mapping",#N/A,FALSE,"RSA_FS";#N/A,#N/A,FALSE,"CHECK!";#N/A,#N/A,FALSE,"Recon";#N/A,#N/A,FALSE,"NMG";#N/A,#N/A,FALSE,"Journals";"AnalRSA",#N/A,FALSE,"PL-Anal";"AnalIAS",#N/A,FALSE,"PL-Anal";#N/A,#N/A,FALSE,"COS"}</definedName>
    <definedName name="wrn.Full._.TRAIL." hidden="1">{"IAS Mapping",#N/A,FALSE,"RSA_FS";#N/A,#N/A,FALSE,"CHECK!";#N/A,#N/A,FALSE,"Recon";#N/A,#N/A,FALSE,"NMG";#N/A,#N/A,FALSE,"Journals";"AnalRSA",#N/A,FALSE,"PL-Anal";"AnalIAS",#N/A,FALSE,"PL-Anal";#N/A,#N/A,FALSE,"COS"}</definedName>
    <definedName name="wrn.Help." localSheetId="48" hidden="1">{#N/A,#N/A,TRUE,"MAP";#N/A,#N/A,TRUE,"STEPS";#N/A,#N/A,TRUE,"RULES"}</definedName>
    <definedName name="wrn.Help." localSheetId="50" hidden="1">{#N/A,#N/A,TRUE,"MAP";#N/A,#N/A,TRUE,"STEPS";#N/A,#N/A,TRUE,"RULES"}</definedName>
    <definedName name="wrn.Help." localSheetId="43" hidden="1">{#N/A,#N/A,TRUE,"MAP";#N/A,#N/A,TRUE,"STEPS";#N/A,#N/A,TRUE,"RULES"}</definedName>
    <definedName name="wrn.Help." hidden="1">{#N/A,#N/A,TRUE,"MAP";#N/A,#N/A,TRUE,"STEPS";#N/A,#N/A,TRUE,"RULES"}</definedName>
    <definedName name="wrn.IAS._.BS._.PL._.CF._.and._.Notes." localSheetId="48" hidden="1">{"IASBS",#N/A,TRUE,"IAS";"IASPL",#N/A,TRUE,"IAS";"IASNotes",#N/A,TRUE,"IAS";"CFDir - expanded",#N/A,TRUE,"CF DIR"}</definedName>
    <definedName name="wrn.IAS._.BS._.PL._.CF._.and._.Notes." localSheetId="50" hidden="1">{"IASBS",#N/A,TRUE,"IAS";"IASPL",#N/A,TRUE,"IAS";"IASNotes",#N/A,TRUE,"IAS";"CFDir - expanded",#N/A,TRUE,"CF DIR"}</definedName>
    <definedName name="wrn.IAS._.BS._.PL._.CF._.and._.Notes." localSheetId="43" hidden="1">{"IASBS",#N/A,TRUE,"IAS";"IASPL",#N/A,TRUE,"IAS";"IASNotes",#N/A,TRUE,"IAS";"CFDir - expanded",#N/A,TRUE,"CF DIR"}</definedName>
    <definedName name="wrn.IAS._.BS._.PL._.CF._.and._.Notes." hidden="1">{"IASBS",#N/A,TRUE,"IAS";"IASPL",#N/A,TRUE,"IAS";"IASNotes",#N/A,TRUE,"IAS";"CFDir - expanded",#N/A,TRUE,"CF DIR"}</definedName>
    <definedName name="wrn.IAS._.FS._.ZOOMED._.IN._.Forms." localSheetId="48" hidden="1">{"IAS_ShortView_1",#N/A,FALSE,"IAS";"IAS_ShortView_2",#N/A,FALSE,"IAS";"IAS_ShortView_3",#N/A,FALSE,"IAS";"IAS_ShortView_4",#N/A,FALSE,"IAS";"IAS_ShortView_5",#N/A,FALSE,"IAS";"IAS_ShortView_6",#N/A,FALSE,"IAS";"IAS_ShortView_7",#N/A,FALSE,"IAS";"CFDir - Zoomed In",#N/A,FALSE,"CF DIR"}</definedName>
    <definedName name="wrn.IAS._.FS._.ZOOMED._.IN._.Forms." localSheetId="50" hidden="1">{"IAS_ShortView_1",#N/A,FALSE,"IAS";"IAS_ShortView_2",#N/A,FALSE,"IAS";"IAS_ShortView_3",#N/A,FALSE,"IAS";"IAS_ShortView_4",#N/A,FALSE,"IAS";"IAS_ShortView_5",#N/A,FALSE,"IAS";"IAS_ShortView_6",#N/A,FALSE,"IAS";"IAS_ShortView_7",#N/A,FALSE,"IAS";"CFDir - Zoomed In",#N/A,FALSE,"CF DIR"}</definedName>
    <definedName name="wrn.IAS._.FS._.ZOOMED._.IN._.Forms." localSheetId="43" hidden="1">{"IAS_ShortView_1",#N/A,FALSE,"IAS";"IAS_ShortView_2",#N/A,FALSE,"IAS";"IAS_ShortView_3",#N/A,FALSE,"IAS";"IAS_ShortView_4",#N/A,FALSE,"IAS";"IAS_ShortView_5",#N/A,FALSE,"IAS";"IAS_ShortView_6",#N/A,FALSE,"IAS";"IAS_ShortView_7",#N/A,FALSE,"IAS";"CFDir - Zoomed In",#N/A,FALSE,"CF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localSheetId="48" hidden="1">{"IAS Mapping",#N/A,TRUE,"RSA_FS"}</definedName>
    <definedName name="wrn.IAS._.Mapping." localSheetId="50" hidden="1">{"IAS Mapping",#N/A,TRUE,"RSA_FS"}</definedName>
    <definedName name="wrn.IAS._.Mapping." localSheetId="43" hidden="1">{"IAS Mapping",#N/A,TRUE,"RSA_FS"}</definedName>
    <definedName name="wrn.IAS._.Mapping." hidden="1">{"IAS Mapping",#N/A,TRUE,"RSA_FS"}</definedName>
    <definedName name="wrn.Inflation._.factors._.used." localSheetId="48" hidden="1">{#N/A,#N/A,FALSE,"Infl_fact"}</definedName>
    <definedName name="wrn.Inflation._.factors._.used." localSheetId="50" hidden="1">{#N/A,#N/A,FALSE,"Infl_fact"}</definedName>
    <definedName name="wrn.Inflation._.factors._.used." localSheetId="43" hidden="1">{#N/A,#N/A,FALSE,"Infl_fact"}</definedName>
    <definedName name="wrn.Inflation._.factors._.used." hidden="1">{#N/A,#N/A,FALSE,"Infl_fact"}</definedName>
    <definedName name="wrn.o9." localSheetId="48" hidden="1">{#N/A,#N/A,FALSE,"Акт-Смета"}</definedName>
    <definedName name="wrn.o9." localSheetId="50" hidden="1">{#N/A,#N/A,FALSE,"Акт-Смета"}</definedName>
    <definedName name="wrn.o9." localSheetId="43" hidden="1">{#N/A,#N/A,FALSE,"Акт-Смета"}</definedName>
    <definedName name="wrn.o9." hidden="1">{#N/A,#N/A,FALSE,"Акт-Смета"}</definedName>
    <definedName name="wrn.PL._.Analysis." localSheetId="48" hidden="1">{"AnalRSA",#N/A,TRUE,"PL-Anal";"AnalIAS",#N/A,TRUE,"PL-Anal"}</definedName>
    <definedName name="wrn.PL._.Analysis." localSheetId="50" hidden="1">{"AnalRSA",#N/A,TRUE,"PL-Anal";"AnalIAS",#N/A,TRUE,"PL-Anal"}</definedName>
    <definedName name="wrn.PL._.Analysis." localSheetId="43" hidden="1">{"AnalRSA",#N/A,TRUE,"PL-Anal";"AnalIAS",#N/A,TRUE,"PL-Anal"}</definedName>
    <definedName name="wrn.PL._.Analysis." hidden="1">{"AnalRSA",#N/A,TRUE,"PL-Anal";"AnalIAS",#N/A,TRUE,"PL-Anal"}</definedName>
    <definedName name="wrn.RSA._.BS._.and._.PL." localSheetId="48" hidden="1">{"BS1",#N/A,TRUE,"RSA_FS";"BS2",#N/A,TRUE,"RSA_FS";"BS3",#N/A,TRUE,"RSA_FS"}</definedName>
    <definedName name="wrn.RSA._.BS._.and._.PL." localSheetId="50" hidden="1">{"BS1",#N/A,TRUE,"RSA_FS";"BS2",#N/A,TRUE,"RSA_FS";"BS3",#N/A,TRUE,"RSA_FS"}</definedName>
    <definedName name="wrn.RSA._.BS._.and._.PL." localSheetId="43" hidden="1">{"BS1",#N/A,TRUE,"RSA_FS";"BS2",#N/A,TRUE,"RSA_FS";"BS3",#N/A,TRUE,"RSA_FS"}</definedName>
    <definedName name="wrn.RSA._.BS._.and._.PL." hidden="1">{"BS1",#N/A,TRUE,"RSA_FS";"BS2",#N/A,TRUE,"RSA_FS";"BS3",#N/A,TRUE,"RSA_FS"}</definedName>
    <definedName name="wrn.sp2344." localSheetId="48" hidden="1">{#N/A,#N/A,TRUE,"Смета на пасс. обор. №1"}</definedName>
    <definedName name="wrn.sp2344." localSheetId="50" hidden="1">{#N/A,#N/A,TRUE,"Смета на пасс. обор. №1"}</definedName>
    <definedName name="wrn.sp2344." localSheetId="43" hidden="1">{#N/A,#N/A,TRUE,"Смета на пасс. обор. №1"}</definedName>
    <definedName name="wrn.sp2344." hidden="1">{#N/A,#N/A,TRUE,"Смета на пасс. обор. №1"}</definedName>
    <definedName name="wrn.sp2345" localSheetId="48" hidden="1">{#N/A,#N/A,TRUE,"Смета на пасс. обор. №1"}</definedName>
    <definedName name="wrn.sp2345" localSheetId="50" hidden="1">{#N/A,#N/A,TRUE,"Смета на пасс. обор. №1"}</definedName>
    <definedName name="wrn.sp2345" localSheetId="43" hidden="1">{#N/A,#N/A,TRUE,"Смета на пасс. обор. №1"}</definedName>
    <definedName name="wrn.sp2345" hidden="1">{#N/A,#N/A,TRUE,"Смета на пасс. обор. №1"}</definedName>
    <definedName name="wrn.Все." localSheetId="48" hidden="1">{#N/A,#N/A,TRUE,"Смета";#N/A,#N/A,TRUE,"Износ";#N/A,#N/A,TRUE,"Материалы";#N/A,#N/A,TRUE,"Оклад";#N/A,#N/A,TRUE,"Амортизация";#N/A,#N/A,TRUE,"Транспорт";#N/A,#N/A,TRUE,"Задание"}</definedName>
    <definedName name="wrn.Все." localSheetId="50" hidden="1">{#N/A,#N/A,TRUE,"Смета";#N/A,#N/A,TRUE,"Износ";#N/A,#N/A,TRUE,"Материалы";#N/A,#N/A,TRUE,"Оклад";#N/A,#N/A,TRUE,"Амортизация";#N/A,#N/A,TRUE,"Транспорт";#N/A,#N/A,TRUE,"Задание"}</definedName>
    <definedName name="wrn.Все." localSheetId="43" hidden="1">{#N/A,#N/A,TRUE,"Смета";#N/A,#N/A,TRUE,"Износ";#N/A,#N/A,TRUE,"Материалы";#N/A,#N/A,TRUE,"Оклад";#N/A,#N/A,TRUE,"Амортизация";#N/A,#N/A,TRUE,"Транспорт";#N/A,#N/A,TRUE,"Задание"}</definedName>
    <definedName name="wrn.Все." hidden="1">{#N/A,#N/A,TRUE,"Смета";#N/A,#N/A,TRUE,"Износ";#N/A,#N/A,TRUE,"Материалы";#N/A,#N/A,TRUE,"Оклад";#N/A,#N/A,TRUE,"Амортизация";#N/A,#N/A,TRUE,"Транспорт";#N/A,#N/A,TRUE,"Задание"}</definedName>
    <definedName name="wrn.о1." localSheetId="48" hidden="1">{#N/A,#N/A,FALSE,"Акт-Смета"}</definedName>
    <definedName name="wrn.о1." localSheetId="50" hidden="1">{#N/A,#N/A,FALSE,"Акт-Смета"}</definedName>
    <definedName name="wrn.о1." localSheetId="43" hidden="1">{#N/A,#N/A,FALSE,"Акт-Смета"}</definedName>
    <definedName name="wrn.о1." hidden="1">{#N/A,#N/A,FALSE,"Акт-Смета"}</definedName>
    <definedName name="wrn.протокол." localSheetId="48" hidden="1">{#N/A,#N/A,FALSE,"Откр.вод.(осн.)"}</definedName>
    <definedName name="wrn.протокол." localSheetId="50" hidden="1">{#N/A,#N/A,FALSE,"Откр.вод.(осн.)"}</definedName>
    <definedName name="wrn.протокол." localSheetId="43" hidden="1">{#N/A,#N/A,FALSE,"Откр.вод.(осн.)"}</definedName>
    <definedName name="wrn.протокол." hidden="1">{#N/A,#N/A,FALSE,"Откр.вод.(осн.)"}</definedName>
    <definedName name="wrn.тест." localSheetId="48" hidden="1">{#N/A,#N/A,TRUE,"Транспорт";#N/A,#N/A,TRUE,"Оклад"}</definedName>
    <definedName name="wrn.тест." localSheetId="50" hidden="1">{#N/A,#N/A,TRUE,"Транспорт";#N/A,#N/A,TRUE,"Оклад"}</definedName>
    <definedName name="wrn.тест." localSheetId="43" hidden="1">{#N/A,#N/A,TRUE,"Транспорт";#N/A,#N/A,TRUE,"Оклад"}</definedName>
    <definedName name="wrn.тест." hidden="1">{#N/A,#N/A,TRUE,"Транспорт";#N/A,#N/A,TRUE,"Оклад"}</definedName>
    <definedName name="XLRPARAMS_ParamTitle" hidden="1">[2]XLR_NoRangeSheet!$B$6</definedName>
    <definedName name="Z_01B9E34F_80F0_46B9_B861_74B2A43D41B8_.wvu.FilterData" localSheetId="11" hidden="1">#REF!</definedName>
    <definedName name="Z_01B9E34F_80F0_46B9_B861_74B2A43D41B8_.wvu.FilterData" localSheetId="12" hidden="1">#REF!</definedName>
    <definedName name="Z_01B9E34F_80F0_46B9_B861_74B2A43D41B8_.wvu.FilterData" localSheetId="48" hidden="1">#REF!</definedName>
    <definedName name="Z_01B9E34F_80F0_46B9_B861_74B2A43D41B8_.wvu.FilterData" localSheetId="49" hidden="1">#REF!</definedName>
    <definedName name="Z_01B9E34F_80F0_46B9_B861_74B2A43D41B8_.wvu.FilterData" localSheetId="50" hidden="1">#REF!</definedName>
    <definedName name="Z_01B9E34F_80F0_46B9_B861_74B2A43D41B8_.wvu.FilterData" localSheetId="43" hidden="1">#REF!</definedName>
    <definedName name="Z_01B9E34F_80F0_46B9_B861_74B2A43D41B8_.wvu.FilterData" hidden="1">#REF!</definedName>
    <definedName name="Z_01C47C6E_73EE_40C4_8D09_6491185BFAFB_.wvu.FilterData" localSheetId="11" hidden="1">#REF!</definedName>
    <definedName name="Z_01C47C6E_73EE_40C4_8D09_6491185BFAFB_.wvu.FilterData" localSheetId="12" hidden="1">#REF!</definedName>
    <definedName name="Z_01C47C6E_73EE_40C4_8D09_6491185BFAFB_.wvu.FilterData" localSheetId="48" hidden="1">#REF!</definedName>
    <definedName name="Z_01C47C6E_73EE_40C4_8D09_6491185BFAFB_.wvu.FilterData" localSheetId="49" hidden="1">#REF!</definedName>
    <definedName name="Z_01C47C6E_73EE_40C4_8D09_6491185BFAFB_.wvu.FilterData" localSheetId="50" hidden="1">#REF!</definedName>
    <definedName name="Z_01C47C6E_73EE_40C4_8D09_6491185BFAFB_.wvu.FilterData" localSheetId="43" hidden="1">#REF!</definedName>
    <definedName name="Z_01C47C6E_73EE_40C4_8D09_6491185BFAFB_.wvu.FilterData" hidden="1">#REF!</definedName>
    <definedName name="Z_040DD8BD_D054_43F6_9140_DA543CBAAE85_.wvu.FilterData" localSheetId="11" hidden="1">#REF!</definedName>
    <definedName name="Z_040DD8BD_D054_43F6_9140_DA543CBAAE85_.wvu.FilterData" localSheetId="12" hidden="1">#REF!</definedName>
    <definedName name="Z_040DD8BD_D054_43F6_9140_DA543CBAAE85_.wvu.FilterData" localSheetId="48" hidden="1">#REF!</definedName>
    <definedName name="Z_040DD8BD_D054_43F6_9140_DA543CBAAE85_.wvu.FilterData" localSheetId="49" hidden="1">#REF!</definedName>
    <definedName name="Z_040DD8BD_D054_43F6_9140_DA543CBAAE85_.wvu.FilterData" localSheetId="50" hidden="1">#REF!</definedName>
    <definedName name="Z_040DD8BD_D054_43F6_9140_DA543CBAAE85_.wvu.FilterData" localSheetId="43" hidden="1">#REF!</definedName>
    <definedName name="Z_040DD8BD_D054_43F6_9140_DA543CBAAE85_.wvu.FilterData" hidden="1">#REF!</definedName>
    <definedName name="Z_04F359AE_C2F8_4E6E_9445_639809E70C2B_.wvu.FilterData" localSheetId="11" hidden="1">#REF!</definedName>
    <definedName name="Z_04F359AE_C2F8_4E6E_9445_639809E70C2B_.wvu.FilterData" localSheetId="12" hidden="1">#REF!</definedName>
    <definedName name="Z_04F359AE_C2F8_4E6E_9445_639809E70C2B_.wvu.FilterData" localSheetId="49" hidden="1">#REF!</definedName>
    <definedName name="Z_04F359AE_C2F8_4E6E_9445_639809E70C2B_.wvu.FilterData" localSheetId="50" hidden="1">#REF!</definedName>
    <definedName name="Z_04F359AE_C2F8_4E6E_9445_639809E70C2B_.wvu.FilterData" hidden="1">#REF!</definedName>
    <definedName name="Z_0547618D_99D3_445E_BB47_C926B9693DB3_.wvu.FilterData" localSheetId="11" hidden="1">#REF!</definedName>
    <definedName name="Z_0547618D_99D3_445E_BB47_C926B9693DB3_.wvu.FilterData" localSheetId="12" hidden="1">#REF!</definedName>
    <definedName name="Z_0547618D_99D3_445E_BB47_C926B9693DB3_.wvu.FilterData" localSheetId="49" hidden="1">#REF!</definedName>
    <definedName name="Z_0547618D_99D3_445E_BB47_C926B9693DB3_.wvu.FilterData" localSheetId="50" hidden="1">#REF!</definedName>
    <definedName name="Z_0547618D_99D3_445E_BB47_C926B9693DB3_.wvu.FilterData" hidden="1">#REF!</definedName>
    <definedName name="Z_06CB3EB2_D4A3_4793_B407_9559F20FAAAE_.wvu.FilterData" localSheetId="11" hidden="1">#REF!</definedName>
    <definedName name="Z_06CB3EB2_D4A3_4793_B407_9559F20FAAAE_.wvu.FilterData" localSheetId="12" hidden="1">#REF!</definedName>
    <definedName name="Z_06CB3EB2_D4A3_4793_B407_9559F20FAAAE_.wvu.FilterData" localSheetId="49" hidden="1">#REF!</definedName>
    <definedName name="Z_06CB3EB2_D4A3_4793_B407_9559F20FAAAE_.wvu.FilterData" localSheetId="50" hidden="1">#REF!</definedName>
    <definedName name="Z_06CB3EB2_D4A3_4793_B407_9559F20FAAAE_.wvu.FilterData" hidden="1">#REF!</definedName>
    <definedName name="Z_06F21C74_6BE8_4794_81F1_36C8305A2961_.wvu.FilterData" localSheetId="11" hidden="1">#REF!</definedName>
    <definedName name="Z_06F21C74_6BE8_4794_81F1_36C8305A2961_.wvu.FilterData" localSheetId="12" hidden="1">#REF!</definedName>
    <definedName name="Z_06F21C74_6BE8_4794_81F1_36C8305A2961_.wvu.FilterData" localSheetId="49" hidden="1">#REF!</definedName>
    <definedName name="Z_06F21C74_6BE8_4794_81F1_36C8305A2961_.wvu.FilterData" localSheetId="50" hidden="1">#REF!</definedName>
    <definedName name="Z_06F21C74_6BE8_4794_81F1_36C8305A2961_.wvu.FilterData" hidden="1">#REF!</definedName>
    <definedName name="Z_07830EC9_AADE_45ED_8B8D_20C0CE7C8B70_.wvu.FilterData" localSheetId="11" hidden="1">#REF!</definedName>
    <definedName name="Z_07830EC9_AADE_45ED_8B8D_20C0CE7C8B70_.wvu.FilterData" localSheetId="12" hidden="1">#REF!</definedName>
    <definedName name="Z_07830EC9_AADE_45ED_8B8D_20C0CE7C8B70_.wvu.FilterData" localSheetId="49" hidden="1">#REF!</definedName>
    <definedName name="Z_07830EC9_AADE_45ED_8B8D_20C0CE7C8B70_.wvu.FilterData" localSheetId="50" hidden="1">#REF!</definedName>
    <definedName name="Z_07830EC9_AADE_45ED_8B8D_20C0CE7C8B70_.wvu.FilterData" hidden="1">#REF!</definedName>
    <definedName name="Z_07868AE6_27AA_4310_BAAC_8AC06EAC052D_.wvu.FilterData" localSheetId="11" hidden="1">#REF!</definedName>
    <definedName name="Z_07868AE6_27AA_4310_BAAC_8AC06EAC052D_.wvu.FilterData" localSheetId="12" hidden="1">#REF!</definedName>
    <definedName name="Z_07868AE6_27AA_4310_BAAC_8AC06EAC052D_.wvu.FilterData" localSheetId="49" hidden="1">#REF!</definedName>
    <definedName name="Z_07868AE6_27AA_4310_BAAC_8AC06EAC052D_.wvu.FilterData" localSheetId="50" hidden="1">#REF!</definedName>
    <definedName name="Z_07868AE6_27AA_4310_BAAC_8AC06EAC052D_.wvu.FilterData" hidden="1">#REF!</definedName>
    <definedName name="Z_07BE7D07_EAEC_4901_80DE_3595577F308A_.wvu.FilterData" localSheetId="11" hidden="1">#REF!</definedName>
    <definedName name="Z_07BE7D07_EAEC_4901_80DE_3595577F308A_.wvu.FilterData" localSheetId="12" hidden="1">#REF!</definedName>
    <definedName name="Z_07BE7D07_EAEC_4901_80DE_3595577F308A_.wvu.FilterData" localSheetId="49" hidden="1">#REF!</definedName>
    <definedName name="Z_07BE7D07_EAEC_4901_80DE_3595577F308A_.wvu.FilterData" localSheetId="50" hidden="1">#REF!</definedName>
    <definedName name="Z_07BE7D07_EAEC_4901_80DE_3595577F308A_.wvu.FilterData" hidden="1">#REF!</definedName>
    <definedName name="Z_08020EC2_D5A6_490B_9239_7BF78C164E2C_.wvu.FilterData" localSheetId="11" hidden="1">#REF!</definedName>
    <definedName name="Z_08020EC2_D5A6_490B_9239_7BF78C164E2C_.wvu.FilterData" localSheetId="12" hidden="1">#REF!</definedName>
    <definedName name="Z_08020EC2_D5A6_490B_9239_7BF78C164E2C_.wvu.FilterData" localSheetId="49" hidden="1">#REF!</definedName>
    <definedName name="Z_08020EC2_D5A6_490B_9239_7BF78C164E2C_.wvu.FilterData" localSheetId="50" hidden="1">#REF!</definedName>
    <definedName name="Z_08020EC2_D5A6_490B_9239_7BF78C164E2C_.wvu.FilterData" hidden="1">#REF!</definedName>
    <definedName name="Z_09462F94_2769_47EB_B3C3_3E74F510592A_.wvu.FilterData" localSheetId="11" hidden="1">#REF!</definedName>
    <definedName name="Z_09462F94_2769_47EB_B3C3_3E74F510592A_.wvu.FilterData" localSheetId="12" hidden="1">#REF!</definedName>
    <definedName name="Z_09462F94_2769_47EB_B3C3_3E74F510592A_.wvu.FilterData" localSheetId="49" hidden="1">#REF!</definedName>
    <definedName name="Z_09462F94_2769_47EB_B3C3_3E74F510592A_.wvu.FilterData" localSheetId="50" hidden="1">#REF!</definedName>
    <definedName name="Z_09462F94_2769_47EB_B3C3_3E74F510592A_.wvu.FilterData" hidden="1">#REF!</definedName>
    <definedName name="Z_09F2EF98_EB70_4D7D_B098_01C0ABD72D72_.wvu.FilterData" localSheetId="11" hidden="1">#REF!</definedName>
    <definedName name="Z_09F2EF98_EB70_4D7D_B098_01C0ABD72D72_.wvu.FilterData" localSheetId="12" hidden="1">#REF!</definedName>
    <definedName name="Z_09F2EF98_EB70_4D7D_B098_01C0ABD72D72_.wvu.FilterData" localSheetId="49" hidden="1">#REF!</definedName>
    <definedName name="Z_09F2EF98_EB70_4D7D_B098_01C0ABD72D72_.wvu.FilterData" localSheetId="50" hidden="1">#REF!</definedName>
    <definedName name="Z_09F2EF98_EB70_4D7D_B098_01C0ABD72D72_.wvu.FilterData" hidden="1">#REF!</definedName>
    <definedName name="Z_0AB68407_2AB6_4CA7_B142_4E81F8B0217A_.wvu.FilterData" localSheetId="11" hidden="1">#REF!</definedName>
    <definedName name="Z_0AB68407_2AB6_4CA7_B142_4E81F8B0217A_.wvu.FilterData" localSheetId="12" hidden="1">#REF!</definedName>
    <definedName name="Z_0AB68407_2AB6_4CA7_B142_4E81F8B0217A_.wvu.FilterData" localSheetId="49" hidden="1">#REF!</definedName>
    <definedName name="Z_0AB68407_2AB6_4CA7_B142_4E81F8B0217A_.wvu.FilterData" localSheetId="50" hidden="1">#REF!</definedName>
    <definedName name="Z_0AB68407_2AB6_4CA7_B142_4E81F8B0217A_.wvu.FilterData" hidden="1">#REF!</definedName>
    <definedName name="Z_0AB68407_2AB6_4CA7_B142_4E81F8B0217A_.wvu.Rows" localSheetId="11" hidden="1">#REF!</definedName>
    <definedName name="Z_0AB68407_2AB6_4CA7_B142_4E81F8B0217A_.wvu.Rows" localSheetId="12" hidden="1">#REF!</definedName>
    <definedName name="Z_0AB68407_2AB6_4CA7_B142_4E81F8B0217A_.wvu.Rows" localSheetId="48" hidden="1">#REF!</definedName>
    <definedName name="Z_0AB68407_2AB6_4CA7_B142_4E81F8B0217A_.wvu.Rows" localSheetId="49" hidden="1">#REF!</definedName>
    <definedName name="Z_0AB68407_2AB6_4CA7_B142_4E81F8B0217A_.wvu.Rows" localSheetId="50" hidden="1">#REF!</definedName>
    <definedName name="Z_0AB68407_2AB6_4CA7_B142_4E81F8B0217A_.wvu.Rows" localSheetId="43" hidden="1">#REF!</definedName>
    <definedName name="Z_0AB68407_2AB6_4CA7_B142_4E81F8B0217A_.wvu.Rows" hidden="1">#REF!</definedName>
    <definedName name="Z_0B85430C_45DD_4286_ABA4_7FF797A27DCE_.wvu.FilterData" localSheetId="11" hidden="1">#REF!</definedName>
    <definedName name="Z_0B85430C_45DD_4286_ABA4_7FF797A27DCE_.wvu.FilterData" localSheetId="12" hidden="1">#REF!</definedName>
    <definedName name="Z_0B85430C_45DD_4286_ABA4_7FF797A27DCE_.wvu.FilterData" localSheetId="49" hidden="1">#REF!</definedName>
    <definedName name="Z_0B85430C_45DD_4286_ABA4_7FF797A27DCE_.wvu.FilterData" localSheetId="50" hidden="1">#REF!</definedName>
    <definedName name="Z_0B85430C_45DD_4286_ABA4_7FF797A27DCE_.wvu.FilterData" hidden="1">#REF!</definedName>
    <definedName name="Z_0B9BA97A_1378_477A_9505_9EC28EDDEBC6_.wvu.FilterData" localSheetId="11" hidden="1">#REF!</definedName>
    <definedName name="Z_0B9BA97A_1378_477A_9505_9EC28EDDEBC6_.wvu.FilterData" localSheetId="12" hidden="1">#REF!</definedName>
    <definedName name="Z_0B9BA97A_1378_477A_9505_9EC28EDDEBC6_.wvu.FilterData" localSheetId="49" hidden="1">#REF!</definedName>
    <definedName name="Z_0B9BA97A_1378_477A_9505_9EC28EDDEBC6_.wvu.FilterData" localSheetId="50" hidden="1">#REF!</definedName>
    <definedName name="Z_0B9BA97A_1378_477A_9505_9EC28EDDEBC6_.wvu.FilterData" hidden="1">#REF!</definedName>
    <definedName name="Z_0D5F6C64_80DC_4C9D_9322_FB8825A62010_.wvu.FilterData" localSheetId="11" hidden="1">#REF!</definedName>
    <definedName name="Z_0D5F6C64_80DC_4C9D_9322_FB8825A62010_.wvu.FilterData" localSheetId="12" hidden="1">#REF!</definedName>
    <definedName name="Z_0D5F6C64_80DC_4C9D_9322_FB8825A62010_.wvu.FilterData" localSheetId="49" hidden="1">#REF!</definedName>
    <definedName name="Z_0D5F6C64_80DC_4C9D_9322_FB8825A62010_.wvu.FilterData" localSheetId="50" hidden="1">#REF!</definedName>
    <definedName name="Z_0D5F6C64_80DC_4C9D_9322_FB8825A62010_.wvu.FilterData" hidden="1">#REF!</definedName>
    <definedName name="Z_0ED647E8_4EEC_4A0D_9BC3_E1B24058B5A7_.wvu.FilterData" localSheetId="11" hidden="1">#REF!</definedName>
    <definedName name="Z_0ED647E8_4EEC_4A0D_9BC3_E1B24058B5A7_.wvu.FilterData" localSheetId="12" hidden="1">#REF!</definedName>
    <definedName name="Z_0ED647E8_4EEC_4A0D_9BC3_E1B24058B5A7_.wvu.FilterData" localSheetId="49" hidden="1">#REF!</definedName>
    <definedName name="Z_0ED647E8_4EEC_4A0D_9BC3_E1B24058B5A7_.wvu.FilterData" localSheetId="50" hidden="1">#REF!</definedName>
    <definedName name="Z_0ED647E8_4EEC_4A0D_9BC3_E1B24058B5A7_.wvu.FilterData" hidden="1">#REF!</definedName>
    <definedName name="Z_0FEE6DF0_B6B1_409E_9012_941C2AD3D757_.wvu.FilterData" localSheetId="11" hidden="1">#REF!</definedName>
    <definedName name="Z_0FEE6DF0_B6B1_409E_9012_941C2AD3D757_.wvu.FilterData" localSheetId="12" hidden="1">#REF!</definedName>
    <definedName name="Z_0FEE6DF0_B6B1_409E_9012_941C2AD3D757_.wvu.FilterData" localSheetId="49" hidden="1">#REF!</definedName>
    <definedName name="Z_0FEE6DF0_B6B1_409E_9012_941C2AD3D757_.wvu.FilterData" localSheetId="50" hidden="1">#REF!</definedName>
    <definedName name="Z_0FEE6DF0_B6B1_409E_9012_941C2AD3D757_.wvu.FilterData" hidden="1">#REF!</definedName>
    <definedName name="Z_123868D4_54BE_4BF2_BFE5_762F87CCFE6E_.wvu.FilterData" localSheetId="11" hidden="1">#REF!</definedName>
    <definedName name="Z_123868D4_54BE_4BF2_BFE5_762F87CCFE6E_.wvu.FilterData" localSheetId="12" hidden="1">#REF!</definedName>
    <definedName name="Z_123868D4_54BE_4BF2_BFE5_762F87CCFE6E_.wvu.FilterData" localSheetId="49" hidden="1">#REF!</definedName>
    <definedName name="Z_123868D4_54BE_4BF2_BFE5_762F87CCFE6E_.wvu.FilterData" localSheetId="50" hidden="1">#REF!</definedName>
    <definedName name="Z_123868D4_54BE_4BF2_BFE5_762F87CCFE6E_.wvu.FilterData" hidden="1">#REF!</definedName>
    <definedName name="Z_149A251D_CD71_4A1A_A398_F9876C4B21F8_.wvu.FilterData" localSheetId="11" hidden="1">#REF!</definedName>
    <definedName name="Z_149A251D_CD71_4A1A_A398_F9876C4B21F8_.wvu.FilterData" localSheetId="12" hidden="1">#REF!</definedName>
    <definedName name="Z_149A251D_CD71_4A1A_A398_F9876C4B21F8_.wvu.FilterData" localSheetId="49" hidden="1">#REF!</definedName>
    <definedName name="Z_149A251D_CD71_4A1A_A398_F9876C4B21F8_.wvu.FilterData" localSheetId="50" hidden="1">#REF!</definedName>
    <definedName name="Z_149A251D_CD71_4A1A_A398_F9876C4B21F8_.wvu.FilterData" hidden="1">#REF!</definedName>
    <definedName name="Z_15D77F25_0280_4EEF_B787_A334AC98CE0A_.wvu.FilterData" localSheetId="11" hidden="1">#REF!</definedName>
    <definedName name="Z_15D77F25_0280_4EEF_B787_A334AC98CE0A_.wvu.FilterData" localSheetId="12" hidden="1">#REF!</definedName>
    <definedName name="Z_15D77F25_0280_4EEF_B787_A334AC98CE0A_.wvu.FilterData" localSheetId="49" hidden="1">#REF!</definedName>
    <definedName name="Z_15D77F25_0280_4EEF_B787_A334AC98CE0A_.wvu.FilterData" localSheetId="50" hidden="1">#REF!</definedName>
    <definedName name="Z_15D77F25_0280_4EEF_B787_A334AC98CE0A_.wvu.FilterData" hidden="1">#REF!</definedName>
    <definedName name="Z_15E363F5_6D89_4329_B525_F25B1BD44BFF_.wvu.FilterData" localSheetId="11" hidden="1">#REF!</definedName>
    <definedName name="Z_15E363F5_6D89_4329_B525_F25B1BD44BFF_.wvu.FilterData" localSheetId="12" hidden="1">#REF!</definedName>
    <definedName name="Z_15E363F5_6D89_4329_B525_F25B1BD44BFF_.wvu.FilterData" localSheetId="49" hidden="1">#REF!</definedName>
    <definedName name="Z_15E363F5_6D89_4329_B525_F25B1BD44BFF_.wvu.FilterData" localSheetId="50" hidden="1">#REF!</definedName>
    <definedName name="Z_15E363F5_6D89_4329_B525_F25B1BD44BFF_.wvu.FilterData" hidden="1">#REF!</definedName>
    <definedName name="Z_1615E3F4_A531_4807_BF07_3B2E69772A77_.wvu.FilterData" localSheetId="11" hidden="1">#REF!</definedName>
    <definedName name="Z_1615E3F4_A531_4807_BF07_3B2E69772A77_.wvu.FilterData" localSheetId="12" hidden="1">#REF!</definedName>
    <definedName name="Z_1615E3F4_A531_4807_BF07_3B2E69772A77_.wvu.FilterData" localSheetId="49" hidden="1">#REF!</definedName>
    <definedName name="Z_1615E3F4_A531_4807_BF07_3B2E69772A77_.wvu.FilterData" localSheetId="50" hidden="1">#REF!</definedName>
    <definedName name="Z_1615E3F4_A531_4807_BF07_3B2E69772A77_.wvu.FilterData" hidden="1">#REF!</definedName>
    <definedName name="Z_17E084A6_F624_4F2A_A79B_8563FAB4AE96_.wvu.FilterData" localSheetId="11" hidden="1">#REF!</definedName>
    <definedName name="Z_17E084A6_F624_4F2A_A79B_8563FAB4AE96_.wvu.FilterData" localSheetId="12" hidden="1">#REF!</definedName>
    <definedName name="Z_17E084A6_F624_4F2A_A79B_8563FAB4AE96_.wvu.FilterData" localSheetId="49" hidden="1">#REF!</definedName>
    <definedName name="Z_17E084A6_F624_4F2A_A79B_8563FAB4AE96_.wvu.FilterData" localSheetId="50" hidden="1">#REF!</definedName>
    <definedName name="Z_17E084A6_F624_4F2A_A79B_8563FAB4AE96_.wvu.FilterData" hidden="1">#REF!</definedName>
    <definedName name="Z_184726B2_EF0C_425E_B815_4EC258A6C9DB_.wvu.FilterData" localSheetId="11" hidden="1">#REF!</definedName>
    <definedName name="Z_184726B2_EF0C_425E_B815_4EC258A6C9DB_.wvu.FilterData" localSheetId="12" hidden="1">#REF!</definedName>
    <definedName name="Z_184726B2_EF0C_425E_B815_4EC258A6C9DB_.wvu.FilterData" localSheetId="49" hidden="1">#REF!</definedName>
    <definedName name="Z_184726B2_EF0C_425E_B815_4EC258A6C9DB_.wvu.FilterData" localSheetId="50" hidden="1">#REF!</definedName>
    <definedName name="Z_184726B2_EF0C_425E_B815_4EC258A6C9DB_.wvu.FilterData" hidden="1">#REF!</definedName>
    <definedName name="Z_18A8D7D5_DF9E_4A4D_8EFF_A9EE9DF60A27_.wvu.FilterData" localSheetId="11" hidden="1">#REF!</definedName>
    <definedName name="Z_18A8D7D5_DF9E_4A4D_8EFF_A9EE9DF60A27_.wvu.FilterData" localSheetId="12" hidden="1">#REF!</definedName>
    <definedName name="Z_18A8D7D5_DF9E_4A4D_8EFF_A9EE9DF60A27_.wvu.FilterData" localSheetId="49" hidden="1">#REF!</definedName>
    <definedName name="Z_18A8D7D5_DF9E_4A4D_8EFF_A9EE9DF60A27_.wvu.FilterData" localSheetId="50" hidden="1">#REF!</definedName>
    <definedName name="Z_18A8D7D5_DF9E_4A4D_8EFF_A9EE9DF60A27_.wvu.FilterData" hidden="1">#REF!</definedName>
    <definedName name="Z_19A53A0C_7ADB_4052_B347_0E4C8E111035_.wvu.FilterData" localSheetId="11" hidden="1">#REF!</definedName>
    <definedName name="Z_19A53A0C_7ADB_4052_B347_0E4C8E111035_.wvu.FilterData" localSheetId="12" hidden="1">#REF!</definedName>
    <definedName name="Z_19A53A0C_7ADB_4052_B347_0E4C8E111035_.wvu.FilterData" localSheetId="49" hidden="1">#REF!</definedName>
    <definedName name="Z_19A53A0C_7ADB_4052_B347_0E4C8E111035_.wvu.FilterData" localSheetId="50" hidden="1">#REF!</definedName>
    <definedName name="Z_19A53A0C_7ADB_4052_B347_0E4C8E111035_.wvu.FilterData" hidden="1">#REF!</definedName>
    <definedName name="Z_1CE615D2_413C_43CB_8F33_9248DBCBF858_.wvu.FilterData" localSheetId="11" hidden="1">#REF!</definedName>
    <definedName name="Z_1CE615D2_413C_43CB_8F33_9248DBCBF858_.wvu.FilterData" localSheetId="12" hidden="1">#REF!</definedName>
    <definedName name="Z_1CE615D2_413C_43CB_8F33_9248DBCBF858_.wvu.FilterData" localSheetId="49" hidden="1">#REF!</definedName>
    <definedName name="Z_1CE615D2_413C_43CB_8F33_9248DBCBF858_.wvu.FilterData" localSheetId="50" hidden="1">#REF!</definedName>
    <definedName name="Z_1CE615D2_413C_43CB_8F33_9248DBCBF858_.wvu.FilterData" hidden="1">#REF!</definedName>
    <definedName name="Z_1DB39D48_C794_493B_AA3A_1E828B55A91A_.wvu.FilterData" localSheetId="11" hidden="1">#REF!</definedName>
    <definedName name="Z_1DB39D48_C794_493B_AA3A_1E828B55A91A_.wvu.FilterData" localSheetId="12" hidden="1">#REF!</definedName>
    <definedName name="Z_1DB39D48_C794_493B_AA3A_1E828B55A91A_.wvu.FilterData" localSheetId="49" hidden="1">#REF!</definedName>
    <definedName name="Z_1DB39D48_C794_493B_AA3A_1E828B55A91A_.wvu.FilterData" localSheetId="50" hidden="1">#REF!</definedName>
    <definedName name="Z_1DB39D48_C794_493B_AA3A_1E828B55A91A_.wvu.FilterData" hidden="1">#REF!</definedName>
    <definedName name="Z_1DE18FEB_0768_44AE_B506_5F73E524ACCA_.wvu.FilterData" localSheetId="11" hidden="1">#REF!</definedName>
    <definedName name="Z_1DE18FEB_0768_44AE_B506_5F73E524ACCA_.wvu.FilterData" localSheetId="12" hidden="1">#REF!</definedName>
    <definedName name="Z_1DE18FEB_0768_44AE_B506_5F73E524ACCA_.wvu.FilterData" localSheetId="49" hidden="1">#REF!</definedName>
    <definedName name="Z_1DE18FEB_0768_44AE_B506_5F73E524ACCA_.wvu.FilterData" localSheetId="50" hidden="1">#REF!</definedName>
    <definedName name="Z_1DE18FEB_0768_44AE_B506_5F73E524ACCA_.wvu.FilterData" hidden="1">#REF!</definedName>
    <definedName name="Z_1E6A9DD8_5B95_4131_B289_F29A975A49A6_.wvu.FilterData" localSheetId="11" hidden="1">#REF!</definedName>
    <definedName name="Z_1E6A9DD8_5B95_4131_B289_F29A975A49A6_.wvu.FilterData" localSheetId="12" hidden="1">#REF!</definedName>
    <definedName name="Z_1E6A9DD8_5B95_4131_B289_F29A975A49A6_.wvu.FilterData" localSheetId="49" hidden="1">#REF!</definedName>
    <definedName name="Z_1E6A9DD8_5B95_4131_B289_F29A975A49A6_.wvu.FilterData" localSheetId="50" hidden="1">#REF!</definedName>
    <definedName name="Z_1E6A9DD8_5B95_4131_B289_F29A975A49A6_.wvu.FilterData" hidden="1">#REF!</definedName>
    <definedName name="Z_1E6A9DD8_5B95_4131_B289_F29A975A49A6_.wvu.PrintTitles" localSheetId="11" hidden="1">#REF!</definedName>
    <definedName name="Z_1E6A9DD8_5B95_4131_B289_F29A975A49A6_.wvu.PrintTitles" localSheetId="12" hidden="1">#REF!</definedName>
    <definedName name="Z_1E6A9DD8_5B95_4131_B289_F29A975A49A6_.wvu.PrintTitles" localSheetId="49" hidden="1">#REF!</definedName>
    <definedName name="Z_1E6A9DD8_5B95_4131_B289_F29A975A49A6_.wvu.PrintTitles" localSheetId="50" hidden="1">#REF!</definedName>
    <definedName name="Z_1E6A9DD8_5B95_4131_B289_F29A975A49A6_.wvu.PrintTitles" hidden="1">#REF!</definedName>
    <definedName name="Z_1E798AD5_C1E3_4A7A_A5A8_2BD7D32A8590_.wvu.FilterData" localSheetId="11" hidden="1">#REF!</definedName>
    <definedName name="Z_1E798AD5_C1E3_4A7A_A5A8_2BD7D32A8590_.wvu.FilterData" localSheetId="12" hidden="1">#REF!</definedName>
    <definedName name="Z_1E798AD5_C1E3_4A7A_A5A8_2BD7D32A8590_.wvu.FilterData" localSheetId="49" hidden="1">#REF!</definedName>
    <definedName name="Z_1E798AD5_C1E3_4A7A_A5A8_2BD7D32A8590_.wvu.FilterData" localSheetId="50" hidden="1">#REF!</definedName>
    <definedName name="Z_1E798AD5_C1E3_4A7A_A5A8_2BD7D32A8590_.wvu.FilterData" hidden="1">#REF!</definedName>
    <definedName name="Z_1F446AC4_5836_4260_A19C_4DA439F4B49D_.wvu.FilterData" localSheetId="11" hidden="1">#REF!</definedName>
    <definedName name="Z_1F446AC4_5836_4260_A19C_4DA439F4B49D_.wvu.FilterData" localSheetId="12" hidden="1">#REF!</definedName>
    <definedName name="Z_1F446AC4_5836_4260_A19C_4DA439F4B49D_.wvu.FilterData" localSheetId="49" hidden="1">#REF!</definedName>
    <definedName name="Z_1F446AC4_5836_4260_A19C_4DA439F4B49D_.wvu.FilterData" localSheetId="50" hidden="1">#REF!</definedName>
    <definedName name="Z_1F446AC4_5836_4260_A19C_4DA439F4B49D_.wvu.FilterData" hidden="1">#REF!</definedName>
    <definedName name="Z_1F8A7AB2_1A58_4E9F_9E30_61282D0795C4_.wvu.FilterData" localSheetId="11" hidden="1">#REF!</definedName>
    <definedName name="Z_1F8A7AB2_1A58_4E9F_9E30_61282D0795C4_.wvu.FilterData" localSheetId="12" hidden="1">#REF!</definedName>
    <definedName name="Z_1F8A7AB2_1A58_4E9F_9E30_61282D0795C4_.wvu.FilterData" localSheetId="49" hidden="1">#REF!</definedName>
    <definedName name="Z_1F8A7AB2_1A58_4E9F_9E30_61282D0795C4_.wvu.FilterData" localSheetId="50" hidden="1">#REF!</definedName>
    <definedName name="Z_1F8A7AB2_1A58_4E9F_9E30_61282D0795C4_.wvu.FilterData" hidden="1">#REF!</definedName>
    <definedName name="Z_1F972D8D_5BFF_4180_87FB_A67EE7518876_.wvu.FilterData" localSheetId="11" hidden="1">#REF!</definedName>
    <definedName name="Z_1F972D8D_5BFF_4180_87FB_A67EE7518876_.wvu.FilterData" localSheetId="12" hidden="1">#REF!</definedName>
    <definedName name="Z_1F972D8D_5BFF_4180_87FB_A67EE7518876_.wvu.FilterData" localSheetId="49" hidden="1">#REF!</definedName>
    <definedName name="Z_1F972D8D_5BFF_4180_87FB_A67EE7518876_.wvu.FilterData" localSheetId="50" hidden="1">#REF!</definedName>
    <definedName name="Z_1F972D8D_5BFF_4180_87FB_A67EE7518876_.wvu.FilterData" hidden="1">#REF!</definedName>
    <definedName name="Z_20B88347_EA71_4B72_96F6_0430DD6CF683_.wvu.FilterData" localSheetId="11" hidden="1">#REF!</definedName>
    <definedName name="Z_20B88347_EA71_4B72_96F6_0430DD6CF683_.wvu.FilterData" localSheetId="12" hidden="1">#REF!</definedName>
    <definedName name="Z_20B88347_EA71_4B72_96F6_0430DD6CF683_.wvu.FilterData" localSheetId="49" hidden="1">#REF!</definedName>
    <definedName name="Z_20B88347_EA71_4B72_96F6_0430DD6CF683_.wvu.FilterData" localSheetId="50" hidden="1">#REF!</definedName>
    <definedName name="Z_20B88347_EA71_4B72_96F6_0430DD6CF683_.wvu.FilterData" hidden="1">#REF!</definedName>
    <definedName name="Z_2126CDAB_1156_4E6C_97E1_AA9A65DD6B1C_.wvu.FilterData" localSheetId="11" hidden="1">#REF!</definedName>
    <definedName name="Z_2126CDAB_1156_4E6C_97E1_AA9A65DD6B1C_.wvu.FilterData" localSheetId="12" hidden="1">#REF!</definedName>
    <definedName name="Z_2126CDAB_1156_4E6C_97E1_AA9A65DD6B1C_.wvu.FilterData" localSheetId="49" hidden="1">#REF!</definedName>
    <definedName name="Z_2126CDAB_1156_4E6C_97E1_AA9A65DD6B1C_.wvu.FilterData" localSheetId="50" hidden="1">#REF!</definedName>
    <definedName name="Z_2126CDAB_1156_4E6C_97E1_AA9A65DD6B1C_.wvu.FilterData" hidden="1">#REF!</definedName>
    <definedName name="Z_2139F629_098E_4DBA_80EC_9CAE7B114E3D_.wvu.FilterData" localSheetId="11" hidden="1">#REF!</definedName>
    <definedName name="Z_2139F629_098E_4DBA_80EC_9CAE7B114E3D_.wvu.FilterData" localSheetId="12" hidden="1">#REF!</definedName>
    <definedName name="Z_2139F629_098E_4DBA_80EC_9CAE7B114E3D_.wvu.FilterData" localSheetId="49" hidden="1">#REF!</definedName>
    <definedName name="Z_2139F629_098E_4DBA_80EC_9CAE7B114E3D_.wvu.FilterData" localSheetId="50" hidden="1">#REF!</definedName>
    <definedName name="Z_2139F629_098E_4DBA_80EC_9CAE7B114E3D_.wvu.FilterData" hidden="1">#REF!</definedName>
    <definedName name="Z_233204EA_2E5C_465D_A673_CD1522792965_.wvu.FilterData" localSheetId="11" hidden="1">#REF!</definedName>
    <definedName name="Z_233204EA_2E5C_465D_A673_CD1522792965_.wvu.FilterData" localSheetId="12" hidden="1">#REF!</definedName>
    <definedName name="Z_233204EA_2E5C_465D_A673_CD1522792965_.wvu.FilterData" localSheetId="49" hidden="1">#REF!</definedName>
    <definedName name="Z_233204EA_2E5C_465D_A673_CD1522792965_.wvu.FilterData" localSheetId="50" hidden="1">#REF!</definedName>
    <definedName name="Z_233204EA_2E5C_465D_A673_CD1522792965_.wvu.FilterData" hidden="1">#REF!</definedName>
    <definedName name="Z_23D4D87B_E328_42A4_850C_A5F5E38C0896_.wvu.FilterData" localSheetId="11" hidden="1">#REF!</definedName>
    <definedName name="Z_23D4D87B_E328_42A4_850C_A5F5E38C0896_.wvu.FilterData" localSheetId="12" hidden="1">#REF!</definedName>
    <definedName name="Z_23D4D87B_E328_42A4_850C_A5F5E38C0896_.wvu.FilterData" localSheetId="49" hidden="1">#REF!</definedName>
    <definedName name="Z_23D4D87B_E328_42A4_850C_A5F5E38C0896_.wvu.FilterData" localSheetId="50" hidden="1">#REF!</definedName>
    <definedName name="Z_23D4D87B_E328_42A4_850C_A5F5E38C0896_.wvu.FilterData" hidden="1">#REF!</definedName>
    <definedName name="Z_24528680_959E_4550_936C_1982C9D5AD93_.wvu.FilterData" localSheetId="11" hidden="1">#REF!</definedName>
    <definedName name="Z_24528680_959E_4550_936C_1982C9D5AD93_.wvu.FilterData" localSheetId="12" hidden="1">#REF!</definedName>
    <definedName name="Z_24528680_959E_4550_936C_1982C9D5AD93_.wvu.FilterData" localSheetId="49" hidden="1">#REF!</definedName>
    <definedName name="Z_24528680_959E_4550_936C_1982C9D5AD93_.wvu.FilterData" localSheetId="50" hidden="1">#REF!</definedName>
    <definedName name="Z_24528680_959E_4550_936C_1982C9D5AD93_.wvu.FilterData" hidden="1">#REF!</definedName>
    <definedName name="Z_260CB89E_3B5F_45AE_AEB4_D0CB957691B3_.wvu.FilterData" localSheetId="11" hidden="1">#REF!</definedName>
    <definedName name="Z_260CB89E_3B5F_45AE_AEB4_D0CB957691B3_.wvu.FilterData" localSheetId="12" hidden="1">#REF!</definedName>
    <definedName name="Z_260CB89E_3B5F_45AE_AEB4_D0CB957691B3_.wvu.FilterData" localSheetId="49" hidden="1">#REF!</definedName>
    <definedName name="Z_260CB89E_3B5F_45AE_AEB4_D0CB957691B3_.wvu.FilterData" localSheetId="50" hidden="1">#REF!</definedName>
    <definedName name="Z_260CB89E_3B5F_45AE_AEB4_D0CB957691B3_.wvu.FilterData" hidden="1">#REF!</definedName>
    <definedName name="Z_264C1B79_36AB_4A2F_B216_0AAE38D9FCEE_.wvu.FilterData" localSheetId="11" hidden="1">#REF!</definedName>
    <definedName name="Z_264C1B79_36AB_4A2F_B216_0AAE38D9FCEE_.wvu.FilterData" localSheetId="12" hidden="1">#REF!</definedName>
    <definedName name="Z_264C1B79_36AB_4A2F_B216_0AAE38D9FCEE_.wvu.FilterData" localSheetId="49" hidden="1">#REF!</definedName>
    <definedName name="Z_264C1B79_36AB_4A2F_B216_0AAE38D9FCEE_.wvu.FilterData" localSheetId="50" hidden="1">#REF!</definedName>
    <definedName name="Z_264C1B79_36AB_4A2F_B216_0AAE38D9FCEE_.wvu.FilterData" hidden="1">#REF!</definedName>
    <definedName name="Z_281063A5_BE88_49B0_9AE6_06DB95A6574F_.wvu.FilterData" localSheetId="11" hidden="1">#REF!</definedName>
    <definedName name="Z_281063A5_BE88_49B0_9AE6_06DB95A6574F_.wvu.FilterData" localSheetId="12" hidden="1">#REF!</definedName>
    <definedName name="Z_281063A5_BE88_49B0_9AE6_06DB95A6574F_.wvu.FilterData" localSheetId="49" hidden="1">#REF!</definedName>
    <definedName name="Z_281063A5_BE88_49B0_9AE6_06DB95A6574F_.wvu.FilterData" localSheetId="50" hidden="1">#REF!</definedName>
    <definedName name="Z_281063A5_BE88_49B0_9AE6_06DB95A6574F_.wvu.FilterData" hidden="1">#REF!</definedName>
    <definedName name="Z_29113478_A706_48CF_BCA7_D812794D724A_.wvu.FilterData" localSheetId="11" hidden="1">#REF!</definedName>
    <definedName name="Z_29113478_A706_48CF_BCA7_D812794D724A_.wvu.FilterData" localSheetId="12" hidden="1">#REF!</definedName>
    <definedName name="Z_29113478_A706_48CF_BCA7_D812794D724A_.wvu.FilterData" localSheetId="49" hidden="1">#REF!</definedName>
    <definedName name="Z_29113478_A706_48CF_BCA7_D812794D724A_.wvu.FilterData" localSheetId="50" hidden="1">#REF!</definedName>
    <definedName name="Z_29113478_A706_48CF_BCA7_D812794D724A_.wvu.FilterData" hidden="1">#REF!</definedName>
    <definedName name="Z_2935D90A_C0D5_4AAC_9F3B_860FFE850CF8_.wvu.FilterData" localSheetId="11" hidden="1">#REF!</definedName>
    <definedName name="Z_2935D90A_C0D5_4AAC_9F3B_860FFE850CF8_.wvu.FilterData" localSheetId="12" hidden="1">#REF!</definedName>
    <definedName name="Z_2935D90A_C0D5_4AAC_9F3B_860FFE850CF8_.wvu.FilterData" localSheetId="49" hidden="1">#REF!</definedName>
    <definedName name="Z_2935D90A_C0D5_4AAC_9F3B_860FFE850CF8_.wvu.FilterData" localSheetId="50" hidden="1">#REF!</definedName>
    <definedName name="Z_2935D90A_C0D5_4AAC_9F3B_860FFE850CF8_.wvu.FilterData" hidden="1">#REF!</definedName>
    <definedName name="Z_2AB7915D_DACF_4EC4_BC32_ED6C7808E238_.wvu.FilterData" localSheetId="11" hidden="1">#REF!</definedName>
    <definedName name="Z_2AB7915D_DACF_4EC4_BC32_ED6C7808E238_.wvu.FilterData" localSheetId="12" hidden="1">#REF!</definedName>
    <definedName name="Z_2AB7915D_DACF_4EC4_BC32_ED6C7808E238_.wvu.FilterData" localSheetId="49" hidden="1">#REF!</definedName>
    <definedName name="Z_2AB7915D_DACF_4EC4_BC32_ED6C7808E238_.wvu.FilterData" localSheetId="50" hidden="1">#REF!</definedName>
    <definedName name="Z_2AB7915D_DACF_4EC4_BC32_ED6C7808E238_.wvu.FilterData" hidden="1">#REF!</definedName>
    <definedName name="Z_2B1FB9BC_DA2A_4B49_B62E_C3814E35D3D6_.wvu.FilterData" localSheetId="11" hidden="1">#REF!</definedName>
    <definedName name="Z_2B1FB9BC_DA2A_4B49_B62E_C3814E35D3D6_.wvu.FilterData" localSheetId="12" hidden="1">#REF!</definedName>
    <definedName name="Z_2B1FB9BC_DA2A_4B49_B62E_C3814E35D3D6_.wvu.FilterData" localSheetId="49" hidden="1">#REF!</definedName>
    <definedName name="Z_2B1FB9BC_DA2A_4B49_B62E_C3814E35D3D6_.wvu.FilterData" localSheetId="50" hidden="1">#REF!</definedName>
    <definedName name="Z_2B1FB9BC_DA2A_4B49_B62E_C3814E35D3D6_.wvu.FilterData" hidden="1">#REF!</definedName>
    <definedName name="Z_2BB0C1CE_B092_4E45_8314_5AF04D1A5585_.wvu.FilterData" localSheetId="11" hidden="1">#REF!</definedName>
    <definedName name="Z_2BB0C1CE_B092_4E45_8314_5AF04D1A5585_.wvu.FilterData" localSheetId="12" hidden="1">#REF!</definedName>
    <definedName name="Z_2BB0C1CE_B092_4E45_8314_5AF04D1A5585_.wvu.FilterData" localSheetId="49" hidden="1">#REF!</definedName>
    <definedName name="Z_2BB0C1CE_B092_4E45_8314_5AF04D1A5585_.wvu.FilterData" localSheetId="50" hidden="1">#REF!</definedName>
    <definedName name="Z_2BB0C1CE_B092_4E45_8314_5AF04D1A5585_.wvu.FilterData" hidden="1">#REF!</definedName>
    <definedName name="Z_2F70B19E_92D8_4B52_A9E0_5AA5E351B875_.wvu.FilterData" localSheetId="11" hidden="1">#REF!</definedName>
    <definedName name="Z_2F70B19E_92D8_4B52_A9E0_5AA5E351B875_.wvu.FilterData" localSheetId="12" hidden="1">#REF!</definedName>
    <definedName name="Z_2F70B19E_92D8_4B52_A9E0_5AA5E351B875_.wvu.FilterData" localSheetId="49" hidden="1">#REF!</definedName>
    <definedName name="Z_2F70B19E_92D8_4B52_A9E0_5AA5E351B875_.wvu.FilterData" localSheetId="50" hidden="1">#REF!</definedName>
    <definedName name="Z_2F70B19E_92D8_4B52_A9E0_5AA5E351B875_.wvu.FilterData" hidden="1">#REF!</definedName>
    <definedName name="Z_2FDE9FB7_A9E4_4C59_BAF3_4B314E523113_.wvu.FilterData" localSheetId="11" hidden="1">#REF!</definedName>
    <definedName name="Z_2FDE9FB7_A9E4_4C59_BAF3_4B314E523113_.wvu.FilterData" localSheetId="12" hidden="1">#REF!</definedName>
    <definedName name="Z_2FDE9FB7_A9E4_4C59_BAF3_4B314E523113_.wvu.FilterData" localSheetId="49" hidden="1">#REF!</definedName>
    <definedName name="Z_2FDE9FB7_A9E4_4C59_BAF3_4B314E523113_.wvu.FilterData" localSheetId="50" hidden="1">#REF!</definedName>
    <definedName name="Z_2FDE9FB7_A9E4_4C59_BAF3_4B314E523113_.wvu.FilterData" hidden="1">#REF!</definedName>
    <definedName name="Z_3207F8D0_941B_4818_9EDF_0F0E6A8FB699_.wvu.FilterData" localSheetId="11" hidden="1">#REF!</definedName>
    <definedName name="Z_3207F8D0_941B_4818_9EDF_0F0E6A8FB699_.wvu.FilterData" localSheetId="12" hidden="1">#REF!</definedName>
    <definedName name="Z_3207F8D0_941B_4818_9EDF_0F0E6A8FB699_.wvu.FilterData" localSheetId="49" hidden="1">#REF!</definedName>
    <definedName name="Z_3207F8D0_941B_4818_9EDF_0F0E6A8FB699_.wvu.FilterData" localSheetId="50" hidden="1">#REF!</definedName>
    <definedName name="Z_3207F8D0_941B_4818_9EDF_0F0E6A8FB699_.wvu.FilterData" hidden="1">#REF!</definedName>
    <definedName name="Z_326A8AD5_6F81_4722_AB32_2B8561C0B27F_.wvu.FilterData" localSheetId="11" hidden="1">#REF!</definedName>
    <definedName name="Z_326A8AD5_6F81_4722_AB32_2B8561C0B27F_.wvu.FilterData" localSheetId="12" hidden="1">#REF!</definedName>
    <definedName name="Z_326A8AD5_6F81_4722_AB32_2B8561C0B27F_.wvu.FilterData" localSheetId="49" hidden="1">#REF!</definedName>
    <definedName name="Z_326A8AD5_6F81_4722_AB32_2B8561C0B27F_.wvu.FilterData" localSheetId="50" hidden="1">#REF!</definedName>
    <definedName name="Z_326A8AD5_6F81_4722_AB32_2B8561C0B27F_.wvu.FilterData" hidden="1">#REF!</definedName>
    <definedName name="Z_338AA561_3E23_4683_8B84_5BDD13F5FB22_.wvu.FilterData" localSheetId="11" hidden="1">#REF!</definedName>
    <definedName name="Z_338AA561_3E23_4683_8B84_5BDD13F5FB22_.wvu.FilterData" localSheetId="12" hidden="1">#REF!</definedName>
    <definedName name="Z_338AA561_3E23_4683_8B84_5BDD13F5FB22_.wvu.FilterData" localSheetId="49" hidden="1">#REF!</definedName>
    <definedName name="Z_338AA561_3E23_4683_8B84_5BDD13F5FB22_.wvu.FilterData" localSheetId="50" hidden="1">#REF!</definedName>
    <definedName name="Z_338AA561_3E23_4683_8B84_5BDD13F5FB22_.wvu.FilterData" hidden="1">#REF!</definedName>
    <definedName name="Z_33EFE1D4_1635_4E36_8971_B021BA5B94A3_.wvu.FilterData" localSheetId="11" hidden="1">#REF!</definedName>
    <definedName name="Z_33EFE1D4_1635_4E36_8971_B021BA5B94A3_.wvu.FilterData" localSheetId="12" hidden="1">#REF!</definedName>
    <definedName name="Z_33EFE1D4_1635_4E36_8971_B021BA5B94A3_.wvu.FilterData" localSheetId="49" hidden="1">#REF!</definedName>
    <definedName name="Z_33EFE1D4_1635_4E36_8971_B021BA5B94A3_.wvu.FilterData" localSheetId="50" hidden="1">#REF!</definedName>
    <definedName name="Z_33EFE1D4_1635_4E36_8971_B021BA5B94A3_.wvu.FilterData" hidden="1">#REF!</definedName>
    <definedName name="Z_344D8FDE_1BF2_4A0B_879A_F4B9D317F6C2_.wvu.FilterData" localSheetId="11" hidden="1">#REF!</definedName>
    <definedName name="Z_344D8FDE_1BF2_4A0B_879A_F4B9D317F6C2_.wvu.FilterData" localSheetId="12" hidden="1">#REF!</definedName>
    <definedName name="Z_344D8FDE_1BF2_4A0B_879A_F4B9D317F6C2_.wvu.FilterData" localSheetId="49" hidden="1">#REF!</definedName>
    <definedName name="Z_344D8FDE_1BF2_4A0B_879A_F4B9D317F6C2_.wvu.FilterData" localSheetId="50" hidden="1">#REF!</definedName>
    <definedName name="Z_344D8FDE_1BF2_4A0B_879A_F4B9D317F6C2_.wvu.FilterData" hidden="1">#REF!</definedName>
    <definedName name="Z_34BB3CAB_4C66_4107_B4AC_9CC7E430216B_.wvu.FilterData" localSheetId="11" hidden="1">#REF!</definedName>
    <definedName name="Z_34BB3CAB_4C66_4107_B4AC_9CC7E430216B_.wvu.FilterData" localSheetId="12" hidden="1">#REF!</definedName>
    <definedName name="Z_34BB3CAB_4C66_4107_B4AC_9CC7E430216B_.wvu.FilterData" localSheetId="49" hidden="1">#REF!</definedName>
    <definedName name="Z_34BB3CAB_4C66_4107_B4AC_9CC7E430216B_.wvu.FilterData" localSheetId="50" hidden="1">#REF!</definedName>
    <definedName name="Z_34BB3CAB_4C66_4107_B4AC_9CC7E430216B_.wvu.FilterData" hidden="1">#REF!</definedName>
    <definedName name="Z_36FF74A7_09C2_427F_B4E2_AFC58FD33E4E_.wvu.FilterData" localSheetId="11" hidden="1">#REF!</definedName>
    <definedName name="Z_36FF74A7_09C2_427F_B4E2_AFC58FD33E4E_.wvu.FilterData" localSheetId="12" hidden="1">#REF!</definedName>
    <definedName name="Z_36FF74A7_09C2_427F_B4E2_AFC58FD33E4E_.wvu.FilterData" localSheetId="49" hidden="1">#REF!</definedName>
    <definedName name="Z_36FF74A7_09C2_427F_B4E2_AFC58FD33E4E_.wvu.FilterData" localSheetId="50" hidden="1">#REF!</definedName>
    <definedName name="Z_36FF74A7_09C2_427F_B4E2_AFC58FD33E4E_.wvu.FilterData" hidden="1">#REF!</definedName>
    <definedName name="Z_3801DCB7_5391_4628_B86C_91331E33E863_.wvu.FilterData" localSheetId="11" hidden="1">#REF!</definedName>
    <definedName name="Z_3801DCB7_5391_4628_B86C_91331E33E863_.wvu.FilterData" localSheetId="12" hidden="1">#REF!</definedName>
    <definedName name="Z_3801DCB7_5391_4628_B86C_91331E33E863_.wvu.FilterData" localSheetId="49" hidden="1">#REF!</definedName>
    <definedName name="Z_3801DCB7_5391_4628_B86C_91331E33E863_.wvu.FilterData" localSheetId="50" hidden="1">#REF!</definedName>
    <definedName name="Z_3801DCB7_5391_4628_B86C_91331E33E863_.wvu.FilterData" hidden="1">#REF!</definedName>
    <definedName name="Z_39C6E7EB_35AE_4990_B01E_5CE29EE5C78D_.wvu.FilterData" localSheetId="11" hidden="1">#REF!</definedName>
    <definedName name="Z_39C6E7EB_35AE_4990_B01E_5CE29EE5C78D_.wvu.FilterData" localSheetId="12" hidden="1">#REF!</definedName>
    <definedName name="Z_39C6E7EB_35AE_4990_B01E_5CE29EE5C78D_.wvu.FilterData" localSheetId="49" hidden="1">#REF!</definedName>
    <definedName name="Z_39C6E7EB_35AE_4990_B01E_5CE29EE5C78D_.wvu.FilterData" localSheetId="50" hidden="1">#REF!</definedName>
    <definedName name="Z_39C6E7EB_35AE_4990_B01E_5CE29EE5C78D_.wvu.FilterData" hidden="1">#REF!</definedName>
    <definedName name="Z_39DCE38A_8BFC_42B0_BE58_05B2B8E3CF93_.wvu.FilterData" localSheetId="11" hidden="1">#REF!</definedName>
    <definedName name="Z_39DCE38A_8BFC_42B0_BE58_05B2B8E3CF93_.wvu.FilterData" localSheetId="12" hidden="1">#REF!</definedName>
    <definedName name="Z_39DCE38A_8BFC_42B0_BE58_05B2B8E3CF93_.wvu.FilterData" localSheetId="49" hidden="1">#REF!</definedName>
    <definedName name="Z_39DCE38A_8BFC_42B0_BE58_05B2B8E3CF93_.wvu.FilterData" localSheetId="50" hidden="1">#REF!</definedName>
    <definedName name="Z_39DCE38A_8BFC_42B0_BE58_05B2B8E3CF93_.wvu.FilterData" hidden="1">#REF!</definedName>
    <definedName name="Z_3A160DE1_3AF2_4676_8E42_85B4E23450DD_.wvu.FilterData" localSheetId="11" hidden="1">#REF!</definedName>
    <definedName name="Z_3A160DE1_3AF2_4676_8E42_85B4E23450DD_.wvu.FilterData" localSheetId="12" hidden="1">#REF!</definedName>
    <definedName name="Z_3A160DE1_3AF2_4676_8E42_85B4E23450DD_.wvu.FilterData" localSheetId="49" hidden="1">#REF!</definedName>
    <definedName name="Z_3A160DE1_3AF2_4676_8E42_85B4E23450DD_.wvu.FilterData" localSheetId="50" hidden="1">#REF!</definedName>
    <definedName name="Z_3A160DE1_3AF2_4676_8E42_85B4E23450DD_.wvu.FilterData" hidden="1">#REF!</definedName>
    <definedName name="Z_3C62743D_BD70_48A9_935D_71359E3E6185_.wvu.FilterData" localSheetId="11" hidden="1">#REF!</definedName>
    <definedName name="Z_3C62743D_BD70_48A9_935D_71359E3E6185_.wvu.FilterData" localSheetId="12" hidden="1">#REF!</definedName>
    <definedName name="Z_3C62743D_BD70_48A9_935D_71359E3E6185_.wvu.FilterData" localSheetId="49" hidden="1">#REF!</definedName>
    <definedName name="Z_3C62743D_BD70_48A9_935D_71359E3E6185_.wvu.FilterData" localSheetId="50" hidden="1">#REF!</definedName>
    <definedName name="Z_3C62743D_BD70_48A9_935D_71359E3E6185_.wvu.FilterData" hidden="1">#REF!</definedName>
    <definedName name="Z_3E0AC507_7D67_4827_9D1C_B08EEB845EEE_.wvu.FilterData" localSheetId="11" hidden="1">#REF!</definedName>
    <definedName name="Z_3E0AC507_7D67_4827_9D1C_B08EEB845EEE_.wvu.FilterData" localSheetId="12" hidden="1">#REF!</definedName>
    <definedName name="Z_3E0AC507_7D67_4827_9D1C_B08EEB845EEE_.wvu.FilterData" localSheetId="49" hidden="1">#REF!</definedName>
    <definedName name="Z_3E0AC507_7D67_4827_9D1C_B08EEB845EEE_.wvu.FilterData" localSheetId="50" hidden="1">#REF!</definedName>
    <definedName name="Z_3E0AC507_7D67_4827_9D1C_B08EEB845EEE_.wvu.FilterData" hidden="1">#REF!</definedName>
    <definedName name="Z_3E55370D_CDBE_46FE_9787_E04F332531E6_.wvu.FilterData" localSheetId="11" hidden="1">#REF!</definedName>
    <definedName name="Z_3E55370D_CDBE_46FE_9787_E04F332531E6_.wvu.FilterData" localSheetId="12" hidden="1">#REF!</definedName>
    <definedName name="Z_3E55370D_CDBE_46FE_9787_E04F332531E6_.wvu.FilterData" localSheetId="49" hidden="1">#REF!</definedName>
    <definedName name="Z_3E55370D_CDBE_46FE_9787_E04F332531E6_.wvu.FilterData" localSheetId="50" hidden="1">#REF!</definedName>
    <definedName name="Z_3E55370D_CDBE_46FE_9787_E04F332531E6_.wvu.FilterData" hidden="1">#REF!</definedName>
    <definedName name="Z_3F84FB7B_8ACA_41F1_9D3E_880588F02BE6_.wvu.FilterData" localSheetId="11" hidden="1">#REF!</definedName>
    <definedName name="Z_3F84FB7B_8ACA_41F1_9D3E_880588F02BE6_.wvu.FilterData" localSheetId="12" hidden="1">#REF!</definedName>
    <definedName name="Z_3F84FB7B_8ACA_41F1_9D3E_880588F02BE6_.wvu.FilterData" localSheetId="49" hidden="1">#REF!</definedName>
    <definedName name="Z_3F84FB7B_8ACA_41F1_9D3E_880588F02BE6_.wvu.FilterData" localSheetId="50" hidden="1">#REF!</definedName>
    <definedName name="Z_3F84FB7B_8ACA_41F1_9D3E_880588F02BE6_.wvu.FilterData" hidden="1">#REF!</definedName>
    <definedName name="Z_41411E57_1B24_4F47_9532_3D6B371216B7_.wvu.FilterData" localSheetId="11" hidden="1">#REF!</definedName>
    <definedName name="Z_41411E57_1B24_4F47_9532_3D6B371216B7_.wvu.FilterData" localSheetId="12" hidden="1">#REF!</definedName>
    <definedName name="Z_41411E57_1B24_4F47_9532_3D6B371216B7_.wvu.FilterData" localSheetId="49" hidden="1">#REF!</definedName>
    <definedName name="Z_41411E57_1B24_4F47_9532_3D6B371216B7_.wvu.FilterData" localSheetId="50" hidden="1">#REF!</definedName>
    <definedName name="Z_41411E57_1B24_4F47_9532_3D6B371216B7_.wvu.FilterData" hidden="1">#REF!</definedName>
    <definedName name="Z_43E54362_25E0_43EA_8D89_B59839049F13_.wvu.FilterData" localSheetId="11" hidden="1">#REF!</definedName>
    <definedName name="Z_43E54362_25E0_43EA_8D89_B59839049F13_.wvu.FilterData" localSheetId="12" hidden="1">#REF!</definedName>
    <definedName name="Z_43E54362_25E0_43EA_8D89_B59839049F13_.wvu.FilterData" localSheetId="49" hidden="1">#REF!</definedName>
    <definedName name="Z_43E54362_25E0_43EA_8D89_B59839049F13_.wvu.FilterData" localSheetId="50" hidden="1">#REF!</definedName>
    <definedName name="Z_43E54362_25E0_43EA_8D89_B59839049F13_.wvu.FilterData" hidden="1">#REF!</definedName>
    <definedName name="Z_465671FE_53E9_4F55_BC3A_126618F4D0C6_.wvu.FilterData" localSheetId="11" hidden="1">#REF!</definedName>
    <definedName name="Z_465671FE_53E9_4F55_BC3A_126618F4D0C6_.wvu.FilterData" localSheetId="12" hidden="1">#REF!</definedName>
    <definedName name="Z_465671FE_53E9_4F55_BC3A_126618F4D0C6_.wvu.FilterData" localSheetId="49" hidden="1">#REF!</definedName>
    <definedName name="Z_465671FE_53E9_4F55_BC3A_126618F4D0C6_.wvu.FilterData" localSheetId="50" hidden="1">#REF!</definedName>
    <definedName name="Z_465671FE_53E9_4F55_BC3A_126618F4D0C6_.wvu.FilterData" hidden="1">#REF!</definedName>
    <definedName name="Z_47597DAC_F7F1_4549_8981_4D473E4A7ACC_.wvu.FilterData" localSheetId="11" hidden="1">#REF!</definedName>
    <definedName name="Z_47597DAC_F7F1_4549_8981_4D473E4A7ACC_.wvu.FilterData" localSheetId="12" hidden="1">#REF!</definedName>
    <definedName name="Z_47597DAC_F7F1_4549_8981_4D473E4A7ACC_.wvu.FilterData" localSheetId="49" hidden="1">#REF!</definedName>
    <definedName name="Z_47597DAC_F7F1_4549_8981_4D473E4A7ACC_.wvu.FilterData" localSheetId="50" hidden="1">#REF!</definedName>
    <definedName name="Z_47597DAC_F7F1_4549_8981_4D473E4A7ACC_.wvu.FilterData" hidden="1">#REF!</definedName>
    <definedName name="Z_487A38C1_073E_471A_9668_6284958D8DBA_.wvu.FilterData" localSheetId="11" hidden="1">#REF!</definedName>
    <definedName name="Z_487A38C1_073E_471A_9668_6284958D8DBA_.wvu.FilterData" localSheetId="12" hidden="1">#REF!</definedName>
    <definedName name="Z_487A38C1_073E_471A_9668_6284958D8DBA_.wvu.FilterData" localSheetId="49" hidden="1">#REF!</definedName>
    <definedName name="Z_487A38C1_073E_471A_9668_6284958D8DBA_.wvu.FilterData" localSheetId="50" hidden="1">#REF!</definedName>
    <definedName name="Z_487A38C1_073E_471A_9668_6284958D8DBA_.wvu.FilterData" hidden="1">#REF!</definedName>
    <definedName name="Z_4CF92307_2217_4DE3_996A_A3115CFB22C6_.wvu.FilterData" localSheetId="11" hidden="1">#REF!</definedName>
    <definedName name="Z_4CF92307_2217_4DE3_996A_A3115CFB22C6_.wvu.FilterData" localSheetId="12" hidden="1">#REF!</definedName>
    <definedName name="Z_4CF92307_2217_4DE3_996A_A3115CFB22C6_.wvu.FilterData" localSheetId="49" hidden="1">#REF!</definedName>
    <definedName name="Z_4CF92307_2217_4DE3_996A_A3115CFB22C6_.wvu.FilterData" localSheetId="50" hidden="1">#REF!</definedName>
    <definedName name="Z_4CF92307_2217_4DE3_996A_A3115CFB22C6_.wvu.FilterData" hidden="1">#REF!</definedName>
    <definedName name="Z_4D3A3A50_1E5E_4ABD_B42A_A700F2D9FA9C_.wvu.FilterData" localSheetId="11" hidden="1">#REF!</definedName>
    <definedName name="Z_4D3A3A50_1E5E_4ABD_B42A_A700F2D9FA9C_.wvu.FilterData" localSheetId="12" hidden="1">#REF!</definedName>
    <definedName name="Z_4D3A3A50_1E5E_4ABD_B42A_A700F2D9FA9C_.wvu.FilterData" localSheetId="49" hidden="1">#REF!</definedName>
    <definedName name="Z_4D3A3A50_1E5E_4ABD_B42A_A700F2D9FA9C_.wvu.FilterData" localSheetId="50" hidden="1">#REF!</definedName>
    <definedName name="Z_4D3A3A50_1E5E_4ABD_B42A_A700F2D9FA9C_.wvu.FilterData" hidden="1">#REF!</definedName>
    <definedName name="Z_4E5084C6_988E_4780_93B3_7C0275D06567_.wvu.FilterData" localSheetId="11" hidden="1">#REF!</definedName>
    <definedName name="Z_4E5084C6_988E_4780_93B3_7C0275D06567_.wvu.FilterData" localSheetId="12" hidden="1">#REF!</definedName>
    <definedName name="Z_4E5084C6_988E_4780_93B3_7C0275D06567_.wvu.FilterData" localSheetId="49" hidden="1">#REF!</definedName>
    <definedName name="Z_4E5084C6_988E_4780_93B3_7C0275D06567_.wvu.FilterData" localSheetId="50" hidden="1">#REF!</definedName>
    <definedName name="Z_4E5084C6_988E_4780_93B3_7C0275D06567_.wvu.FilterData" hidden="1">#REF!</definedName>
    <definedName name="Z_4F345B1E_296C_4D08_A451_454D67258D24_.wvu.FilterData" localSheetId="11" hidden="1">#REF!</definedName>
    <definedName name="Z_4F345B1E_296C_4D08_A451_454D67258D24_.wvu.FilterData" localSheetId="12" hidden="1">#REF!</definedName>
    <definedName name="Z_4F345B1E_296C_4D08_A451_454D67258D24_.wvu.FilterData" localSheetId="49" hidden="1">#REF!</definedName>
    <definedName name="Z_4F345B1E_296C_4D08_A451_454D67258D24_.wvu.FilterData" localSheetId="50" hidden="1">#REF!</definedName>
    <definedName name="Z_4F345B1E_296C_4D08_A451_454D67258D24_.wvu.FilterData" hidden="1">#REF!</definedName>
    <definedName name="Z_52BC56C2_1006_4B41_A42A_6B40554CDA39_.wvu.FilterData" localSheetId="11" hidden="1">#REF!</definedName>
    <definedName name="Z_52BC56C2_1006_4B41_A42A_6B40554CDA39_.wvu.FilterData" localSheetId="12" hidden="1">#REF!</definedName>
    <definedName name="Z_52BC56C2_1006_4B41_A42A_6B40554CDA39_.wvu.FilterData" localSheetId="49" hidden="1">#REF!</definedName>
    <definedName name="Z_52BC56C2_1006_4B41_A42A_6B40554CDA39_.wvu.FilterData" localSheetId="50" hidden="1">#REF!</definedName>
    <definedName name="Z_52BC56C2_1006_4B41_A42A_6B40554CDA39_.wvu.FilterData" hidden="1">#REF!</definedName>
    <definedName name="Z_5319CC99_822D_406F_9C12_25F47E472F3D_.wvu.FilterData" localSheetId="11" hidden="1">#REF!</definedName>
    <definedName name="Z_5319CC99_822D_406F_9C12_25F47E472F3D_.wvu.FilterData" localSheetId="12" hidden="1">#REF!</definedName>
    <definedName name="Z_5319CC99_822D_406F_9C12_25F47E472F3D_.wvu.FilterData" localSheetId="49" hidden="1">#REF!</definedName>
    <definedName name="Z_5319CC99_822D_406F_9C12_25F47E472F3D_.wvu.FilterData" localSheetId="50" hidden="1">#REF!</definedName>
    <definedName name="Z_5319CC99_822D_406F_9C12_25F47E472F3D_.wvu.FilterData" hidden="1">#REF!</definedName>
    <definedName name="Z_531A2E4D_1988_4D59_B927_B7190C80EBAA_.wvu.FilterData" localSheetId="11" hidden="1">#REF!</definedName>
    <definedName name="Z_531A2E4D_1988_4D59_B927_B7190C80EBAA_.wvu.FilterData" localSheetId="12" hidden="1">#REF!</definedName>
    <definedName name="Z_531A2E4D_1988_4D59_B927_B7190C80EBAA_.wvu.FilterData" localSheetId="49" hidden="1">#REF!</definedName>
    <definedName name="Z_531A2E4D_1988_4D59_B927_B7190C80EBAA_.wvu.FilterData" localSheetId="50" hidden="1">#REF!</definedName>
    <definedName name="Z_531A2E4D_1988_4D59_B927_B7190C80EBAA_.wvu.FilterData" hidden="1">#REF!</definedName>
    <definedName name="Z_540A29FC_6866_45E6_BCF1_3D779D34DD08_.wvu.FilterData" localSheetId="11" hidden="1">#REF!</definedName>
    <definedName name="Z_540A29FC_6866_45E6_BCF1_3D779D34DD08_.wvu.FilterData" localSheetId="12" hidden="1">#REF!</definedName>
    <definedName name="Z_540A29FC_6866_45E6_BCF1_3D779D34DD08_.wvu.FilterData" localSheetId="49" hidden="1">#REF!</definedName>
    <definedName name="Z_540A29FC_6866_45E6_BCF1_3D779D34DD08_.wvu.FilterData" localSheetId="50" hidden="1">#REF!</definedName>
    <definedName name="Z_540A29FC_6866_45E6_BCF1_3D779D34DD08_.wvu.FilterData" hidden="1">#REF!</definedName>
    <definedName name="Z_5520ABA1_AA06_4713_8D35_BC0DC6F6E924_.wvu.FilterData" localSheetId="11" hidden="1">#REF!</definedName>
    <definedName name="Z_5520ABA1_AA06_4713_8D35_BC0DC6F6E924_.wvu.FilterData" localSheetId="12" hidden="1">#REF!</definedName>
    <definedName name="Z_5520ABA1_AA06_4713_8D35_BC0DC6F6E924_.wvu.FilterData" localSheetId="49" hidden="1">#REF!</definedName>
    <definedName name="Z_5520ABA1_AA06_4713_8D35_BC0DC6F6E924_.wvu.FilterData" localSheetId="50" hidden="1">#REF!</definedName>
    <definedName name="Z_5520ABA1_AA06_4713_8D35_BC0DC6F6E924_.wvu.FilterData" hidden="1">#REF!</definedName>
    <definedName name="Z_55DB2FC2_4B03_4B29_9354_7D40FB3B7538_.wvu.FilterData" localSheetId="11" hidden="1">#REF!</definedName>
    <definedName name="Z_55DB2FC2_4B03_4B29_9354_7D40FB3B7538_.wvu.FilterData" localSheetId="12" hidden="1">#REF!</definedName>
    <definedName name="Z_55DB2FC2_4B03_4B29_9354_7D40FB3B7538_.wvu.FilterData" localSheetId="49" hidden="1">#REF!</definedName>
    <definedName name="Z_55DB2FC2_4B03_4B29_9354_7D40FB3B7538_.wvu.FilterData" localSheetId="50" hidden="1">#REF!</definedName>
    <definedName name="Z_55DB2FC2_4B03_4B29_9354_7D40FB3B7538_.wvu.FilterData" hidden="1">#REF!</definedName>
    <definedName name="Z_56E2F2B5_BB44_431E_ACC1_F39B0DD4EA71_.wvu.FilterData" localSheetId="11" hidden="1">#REF!</definedName>
    <definedName name="Z_56E2F2B5_BB44_431E_ACC1_F39B0DD4EA71_.wvu.FilterData" localSheetId="12" hidden="1">#REF!</definedName>
    <definedName name="Z_56E2F2B5_BB44_431E_ACC1_F39B0DD4EA71_.wvu.FilterData" localSheetId="49" hidden="1">#REF!</definedName>
    <definedName name="Z_56E2F2B5_BB44_431E_ACC1_F39B0DD4EA71_.wvu.FilterData" localSheetId="50" hidden="1">#REF!</definedName>
    <definedName name="Z_56E2F2B5_BB44_431E_ACC1_F39B0DD4EA71_.wvu.FilterData" hidden="1">#REF!</definedName>
    <definedName name="Z_5A5F47F0_2B02_425F_9509_902FEC6CB8D4_.wvu.FilterData" localSheetId="11" hidden="1">#REF!</definedName>
    <definedName name="Z_5A5F47F0_2B02_425F_9509_902FEC6CB8D4_.wvu.FilterData" localSheetId="12" hidden="1">#REF!</definedName>
    <definedName name="Z_5A5F47F0_2B02_425F_9509_902FEC6CB8D4_.wvu.FilterData" localSheetId="49" hidden="1">#REF!</definedName>
    <definedName name="Z_5A5F47F0_2B02_425F_9509_902FEC6CB8D4_.wvu.FilterData" localSheetId="50" hidden="1">#REF!</definedName>
    <definedName name="Z_5A5F47F0_2B02_425F_9509_902FEC6CB8D4_.wvu.FilterData" hidden="1">#REF!</definedName>
    <definedName name="Z_5A706A12_B85E_41E2_8BDD_EC85C55902AB_.wvu.FilterData" localSheetId="11" hidden="1">#REF!</definedName>
    <definedName name="Z_5A706A12_B85E_41E2_8BDD_EC85C55902AB_.wvu.FilterData" localSheetId="12" hidden="1">#REF!</definedName>
    <definedName name="Z_5A706A12_B85E_41E2_8BDD_EC85C55902AB_.wvu.FilterData" localSheetId="49" hidden="1">#REF!</definedName>
    <definedName name="Z_5A706A12_B85E_41E2_8BDD_EC85C55902AB_.wvu.FilterData" localSheetId="50" hidden="1">#REF!</definedName>
    <definedName name="Z_5A706A12_B85E_41E2_8BDD_EC85C55902AB_.wvu.FilterData" hidden="1">#REF!</definedName>
    <definedName name="Z_5B398CB5_38BC_4CC3_9A0E_9513DC3E75AD_.wvu.FilterData" localSheetId="11" hidden="1">#REF!</definedName>
    <definedName name="Z_5B398CB5_38BC_4CC3_9A0E_9513DC3E75AD_.wvu.FilterData" localSheetId="12" hidden="1">#REF!</definedName>
    <definedName name="Z_5B398CB5_38BC_4CC3_9A0E_9513DC3E75AD_.wvu.FilterData" localSheetId="49" hidden="1">#REF!</definedName>
    <definedName name="Z_5B398CB5_38BC_4CC3_9A0E_9513DC3E75AD_.wvu.FilterData" localSheetId="50" hidden="1">#REF!</definedName>
    <definedName name="Z_5B398CB5_38BC_4CC3_9A0E_9513DC3E75AD_.wvu.FilterData" hidden="1">#REF!</definedName>
    <definedName name="Z_5CA8EFA6_7E89_4616_928A_39059E3AA216_.wvu.FilterData" localSheetId="11" hidden="1">#REF!</definedName>
    <definedName name="Z_5CA8EFA6_7E89_4616_928A_39059E3AA216_.wvu.FilterData" localSheetId="12" hidden="1">#REF!</definedName>
    <definedName name="Z_5CA8EFA6_7E89_4616_928A_39059E3AA216_.wvu.FilterData" localSheetId="49" hidden="1">#REF!</definedName>
    <definedName name="Z_5CA8EFA6_7E89_4616_928A_39059E3AA216_.wvu.FilterData" localSheetId="50" hidden="1">#REF!</definedName>
    <definedName name="Z_5CA8EFA6_7E89_4616_928A_39059E3AA216_.wvu.FilterData" hidden="1">#REF!</definedName>
    <definedName name="Z_60FDB94A_50AF_4E10_876B_D144A2E9568B_.wvu.FilterData" localSheetId="11" hidden="1">#REF!</definedName>
    <definedName name="Z_60FDB94A_50AF_4E10_876B_D144A2E9568B_.wvu.FilterData" localSheetId="12" hidden="1">#REF!</definedName>
    <definedName name="Z_60FDB94A_50AF_4E10_876B_D144A2E9568B_.wvu.FilterData" localSheetId="49" hidden="1">#REF!</definedName>
    <definedName name="Z_60FDB94A_50AF_4E10_876B_D144A2E9568B_.wvu.FilterData" localSheetId="50" hidden="1">#REF!</definedName>
    <definedName name="Z_60FDB94A_50AF_4E10_876B_D144A2E9568B_.wvu.FilterData" hidden="1">#REF!</definedName>
    <definedName name="Z_63475192_9094_4BA2_9AFC_8536BC77489E_.wvu.FilterData" localSheetId="11" hidden="1">#REF!</definedName>
    <definedName name="Z_63475192_9094_4BA2_9AFC_8536BC77489E_.wvu.FilterData" localSheetId="12" hidden="1">#REF!</definedName>
    <definedName name="Z_63475192_9094_4BA2_9AFC_8536BC77489E_.wvu.FilterData" localSheetId="49" hidden="1">#REF!</definedName>
    <definedName name="Z_63475192_9094_4BA2_9AFC_8536BC77489E_.wvu.FilterData" localSheetId="50" hidden="1">#REF!</definedName>
    <definedName name="Z_63475192_9094_4BA2_9AFC_8536BC77489E_.wvu.FilterData" hidden="1">#REF!</definedName>
    <definedName name="Z_6403545B_2A3B_4863_8819_F89E80114385_.wvu.FilterData" localSheetId="11" hidden="1">#REF!</definedName>
    <definedName name="Z_6403545B_2A3B_4863_8819_F89E80114385_.wvu.FilterData" localSheetId="12" hidden="1">#REF!</definedName>
    <definedName name="Z_6403545B_2A3B_4863_8819_F89E80114385_.wvu.FilterData" localSheetId="49" hidden="1">#REF!</definedName>
    <definedName name="Z_6403545B_2A3B_4863_8819_F89E80114385_.wvu.FilterData" localSheetId="50" hidden="1">#REF!</definedName>
    <definedName name="Z_6403545B_2A3B_4863_8819_F89E80114385_.wvu.FilterData" hidden="1">#REF!</definedName>
    <definedName name="Z_66636C07_5702_4EF3_B655_CDBAF654F15A_.wvu.FilterData" localSheetId="11" hidden="1">#REF!</definedName>
    <definedName name="Z_66636C07_5702_4EF3_B655_CDBAF654F15A_.wvu.FilterData" localSheetId="12" hidden="1">#REF!</definedName>
    <definedName name="Z_66636C07_5702_4EF3_B655_CDBAF654F15A_.wvu.FilterData" localSheetId="49" hidden="1">#REF!</definedName>
    <definedName name="Z_66636C07_5702_4EF3_B655_CDBAF654F15A_.wvu.FilterData" localSheetId="50" hidden="1">#REF!</definedName>
    <definedName name="Z_66636C07_5702_4EF3_B655_CDBAF654F15A_.wvu.FilterData" hidden="1">#REF!</definedName>
    <definedName name="Z_6963484B_0282_48B8_8317_EBF3903C7746_.wvu.FilterData" localSheetId="11" hidden="1">#REF!</definedName>
    <definedName name="Z_6963484B_0282_48B8_8317_EBF3903C7746_.wvu.FilterData" localSheetId="12" hidden="1">#REF!</definedName>
    <definedName name="Z_6963484B_0282_48B8_8317_EBF3903C7746_.wvu.FilterData" localSheetId="49" hidden="1">#REF!</definedName>
    <definedName name="Z_6963484B_0282_48B8_8317_EBF3903C7746_.wvu.FilterData" localSheetId="50" hidden="1">#REF!</definedName>
    <definedName name="Z_6963484B_0282_48B8_8317_EBF3903C7746_.wvu.FilterData" hidden="1">#REF!</definedName>
    <definedName name="Z_69D06662_5693_4F4C_AFD2_A32734DE2B11_.wvu.FilterData" localSheetId="11" hidden="1">#REF!</definedName>
    <definedName name="Z_69D06662_5693_4F4C_AFD2_A32734DE2B11_.wvu.FilterData" localSheetId="12" hidden="1">#REF!</definedName>
    <definedName name="Z_69D06662_5693_4F4C_AFD2_A32734DE2B11_.wvu.FilterData" localSheetId="49" hidden="1">#REF!</definedName>
    <definedName name="Z_69D06662_5693_4F4C_AFD2_A32734DE2B11_.wvu.FilterData" localSheetId="50" hidden="1">#REF!</definedName>
    <definedName name="Z_69D06662_5693_4F4C_AFD2_A32734DE2B11_.wvu.FilterData" hidden="1">#REF!</definedName>
    <definedName name="Z_6AE2FF41_261D_4F00_9D6D_F4804D21DDB3_.wvu.FilterData" localSheetId="11" hidden="1">#REF!</definedName>
    <definedName name="Z_6AE2FF41_261D_4F00_9D6D_F4804D21DDB3_.wvu.FilterData" localSheetId="12" hidden="1">#REF!</definedName>
    <definedName name="Z_6AE2FF41_261D_4F00_9D6D_F4804D21DDB3_.wvu.FilterData" localSheetId="49" hidden="1">#REF!</definedName>
    <definedName name="Z_6AE2FF41_261D_4F00_9D6D_F4804D21DDB3_.wvu.FilterData" localSheetId="50" hidden="1">#REF!</definedName>
    <definedName name="Z_6AE2FF41_261D_4F00_9D6D_F4804D21DDB3_.wvu.FilterData" hidden="1">#REF!</definedName>
    <definedName name="Z_6B67A6A0_1413_448D_98A5_D43F57DEC926_.wvu.FilterData" localSheetId="11" hidden="1">#REF!</definedName>
    <definedName name="Z_6B67A6A0_1413_448D_98A5_D43F57DEC926_.wvu.FilterData" localSheetId="12" hidden="1">#REF!</definedName>
    <definedName name="Z_6B67A6A0_1413_448D_98A5_D43F57DEC926_.wvu.FilterData" localSheetId="49" hidden="1">#REF!</definedName>
    <definedName name="Z_6B67A6A0_1413_448D_98A5_D43F57DEC926_.wvu.FilterData" localSheetId="50" hidden="1">#REF!</definedName>
    <definedName name="Z_6B67A6A0_1413_448D_98A5_D43F57DEC926_.wvu.FilterData" hidden="1">#REF!</definedName>
    <definedName name="Z_6B73B95E_43C0_4085_B9FE_22A6F30869ED_.wvu.FilterData" localSheetId="11" hidden="1">#REF!</definedName>
    <definedName name="Z_6B73B95E_43C0_4085_B9FE_22A6F30869ED_.wvu.FilterData" localSheetId="12" hidden="1">#REF!</definedName>
    <definedName name="Z_6B73B95E_43C0_4085_B9FE_22A6F30869ED_.wvu.FilterData" localSheetId="49" hidden="1">#REF!</definedName>
    <definedName name="Z_6B73B95E_43C0_4085_B9FE_22A6F30869ED_.wvu.FilterData" localSheetId="50" hidden="1">#REF!</definedName>
    <definedName name="Z_6B73B95E_43C0_4085_B9FE_22A6F30869ED_.wvu.FilterData" hidden="1">#REF!</definedName>
    <definedName name="Z_6BCB3D0F_5DBD_48EF_9460_43FFCBBCD422_.wvu.FilterData" localSheetId="11" hidden="1">#REF!</definedName>
    <definedName name="Z_6BCB3D0F_5DBD_48EF_9460_43FFCBBCD422_.wvu.FilterData" localSheetId="12" hidden="1">#REF!</definedName>
    <definedName name="Z_6BCB3D0F_5DBD_48EF_9460_43FFCBBCD422_.wvu.FilterData" localSheetId="49" hidden="1">#REF!</definedName>
    <definedName name="Z_6BCB3D0F_5DBD_48EF_9460_43FFCBBCD422_.wvu.FilterData" localSheetId="50" hidden="1">#REF!</definedName>
    <definedName name="Z_6BCB3D0F_5DBD_48EF_9460_43FFCBBCD422_.wvu.FilterData" hidden="1">#REF!</definedName>
    <definedName name="Z_6C3174E8_A2D4_4179_AA88_08CB5E7EA480_.wvu.FilterData" localSheetId="11" hidden="1">#REF!</definedName>
    <definedName name="Z_6C3174E8_A2D4_4179_AA88_08CB5E7EA480_.wvu.FilterData" localSheetId="12" hidden="1">#REF!</definedName>
    <definedName name="Z_6C3174E8_A2D4_4179_AA88_08CB5E7EA480_.wvu.FilterData" localSheetId="49" hidden="1">#REF!</definedName>
    <definedName name="Z_6C3174E8_A2D4_4179_AA88_08CB5E7EA480_.wvu.FilterData" localSheetId="50" hidden="1">#REF!</definedName>
    <definedName name="Z_6C3174E8_A2D4_4179_AA88_08CB5E7EA480_.wvu.FilterData" hidden="1">#REF!</definedName>
    <definedName name="Z_6CA47E86_B3B9_49E0_9BB0_E98600830225_.wvu.FilterData" localSheetId="11" hidden="1">#REF!</definedName>
    <definedName name="Z_6CA47E86_B3B9_49E0_9BB0_E98600830225_.wvu.FilterData" localSheetId="12" hidden="1">#REF!</definedName>
    <definedName name="Z_6CA47E86_B3B9_49E0_9BB0_E98600830225_.wvu.FilterData" localSheetId="49" hidden="1">#REF!</definedName>
    <definedName name="Z_6CA47E86_B3B9_49E0_9BB0_E98600830225_.wvu.FilterData" localSheetId="50" hidden="1">#REF!</definedName>
    <definedName name="Z_6CA47E86_B3B9_49E0_9BB0_E98600830225_.wvu.FilterData" hidden="1">#REF!</definedName>
    <definedName name="Z_6CF14753_FB4C_4C53_8AD7_D56F6E280083_.wvu.FilterData" localSheetId="11" hidden="1">#REF!</definedName>
    <definedName name="Z_6CF14753_FB4C_4C53_8AD7_D56F6E280083_.wvu.FilterData" localSheetId="12" hidden="1">#REF!</definedName>
    <definedName name="Z_6CF14753_FB4C_4C53_8AD7_D56F6E280083_.wvu.FilterData" localSheetId="49" hidden="1">#REF!</definedName>
    <definedName name="Z_6CF14753_FB4C_4C53_8AD7_D56F6E280083_.wvu.FilterData" localSheetId="50" hidden="1">#REF!</definedName>
    <definedName name="Z_6CF14753_FB4C_4C53_8AD7_D56F6E280083_.wvu.FilterData" hidden="1">#REF!</definedName>
    <definedName name="Z_6D917413_A3B5_4E5B_9004_56E0184D00F3_.wvu.FilterData" localSheetId="11" hidden="1">#REF!</definedName>
    <definedName name="Z_6D917413_A3B5_4E5B_9004_56E0184D00F3_.wvu.FilterData" localSheetId="12" hidden="1">#REF!</definedName>
    <definedName name="Z_6D917413_A3B5_4E5B_9004_56E0184D00F3_.wvu.FilterData" localSheetId="49" hidden="1">#REF!</definedName>
    <definedName name="Z_6D917413_A3B5_4E5B_9004_56E0184D00F3_.wvu.FilterData" localSheetId="50" hidden="1">#REF!</definedName>
    <definedName name="Z_6D917413_A3B5_4E5B_9004_56E0184D00F3_.wvu.FilterData" hidden="1">#REF!</definedName>
    <definedName name="Z_6E299587_D8E0_4139_8A2F_67139875A814_.wvu.FilterData" localSheetId="11" hidden="1">#REF!</definedName>
    <definedName name="Z_6E299587_D8E0_4139_8A2F_67139875A814_.wvu.FilterData" localSheetId="12" hidden="1">#REF!</definedName>
    <definedName name="Z_6E299587_D8E0_4139_8A2F_67139875A814_.wvu.FilterData" localSheetId="49" hidden="1">#REF!</definedName>
    <definedName name="Z_6E299587_D8E0_4139_8A2F_67139875A814_.wvu.FilterData" localSheetId="50" hidden="1">#REF!</definedName>
    <definedName name="Z_6E299587_D8E0_4139_8A2F_67139875A814_.wvu.FilterData" hidden="1">#REF!</definedName>
    <definedName name="Z_6FD7247E_19B7_4029_9F3A_EE01E21A1B67_.wvu.FilterData" localSheetId="11" hidden="1">#REF!</definedName>
    <definedName name="Z_6FD7247E_19B7_4029_9F3A_EE01E21A1B67_.wvu.FilterData" localSheetId="12" hidden="1">#REF!</definedName>
    <definedName name="Z_6FD7247E_19B7_4029_9F3A_EE01E21A1B67_.wvu.FilterData" localSheetId="49" hidden="1">#REF!</definedName>
    <definedName name="Z_6FD7247E_19B7_4029_9F3A_EE01E21A1B67_.wvu.FilterData" localSheetId="50" hidden="1">#REF!</definedName>
    <definedName name="Z_6FD7247E_19B7_4029_9F3A_EE01E21A1B67_.wvu.FilterData" hidden="1">#REF!</definedName>
    <definedName name="Z_70C94FA5_FE89_4042_B93F_6AAFC00B0B8D_.wvu.FilterData" localSheetId="11" hidden="1">#REF!</definedName>
    <definedName name="Z_70C94FA5_FE89_4042_B93F_6AAFC00B0B8D_.wvu.FilterData" localSheetId="12" hidden="1">#REF!</definedName>
    <definedName name="Z_70C94FA5_FE89_4042_B93F_6AAFC00B0B8D_.wvu.FilterData" localSheetId="49" hidden="1">#REF!</definedName>
    <definedName name="Z_70C94FA5_FE89_4042_B93F_6AAFC00B0B8D_.wvu.FilterData" localSheetId="50" hidden="1">#REF!</definedName>
    <definedName name="Z_70C94FA5_FE89_4042_B93F_6AAFC00B0B8D_.wvu.FilterData" hidden="1">#REF!</definedName>
    <definedName name="Z_735B96DC_7219_4D8B_ABAD_220D2B7947CB_.wvu.FilterData" localSheetId="11" hidden="1">#REF!</definedName>
    <definedName name="Z_735B96DC_7219_4D8B_ABAD_220D2B7947CB_.wvu.FilterData" localSheetId="12" hidden="1">#REF!</definedName>
    <definedName name="Z_735B96DC_7219_4D8B_ABAD_220D2B7947CB_.wvu.FilterData" localSheetId="49" hidden="1">#REF!</definedName>
    <definedName name="Z_735B96DC_7219_4D8B_ABAD_220D2B7947CB_.wvu.FilterData" localSheetId="50" hidden="1">#REF!</definedName>
    <definedName name="Z_735B96DC_7219_4D8B_ABAD_220D2B7947CB_.wvu.FilterData" hidden="1">#REF!</definedName>
    <definedName name="Z_7477AF3A_2BAF_4725_8909_5A723A8007EF_.wvu.FilterData" localSheetId="11" hidden="1">#REF!</definedName>
    <definedName name="Z_7477AF3A_2BAF_4725_8909_5A723A8007EF_.wvu.FilterData" localSheetId="12" hidden="1">#REF!</definedName>
    <definedName name="Z_7477AF3A_2BAF_4725_8909_5A723A8007EF_.wvu.FilterData" localSheetId="49" hidden="1">#REF!</definedName>
    <definedName name="Z_7477AF3A_2BAF_4725_8909_5A723A8007EF_.wvu.FilterData" localSheetId="50" hidden="1">#REF!</definedName>
    <definedName name="Z_7477AF3A_2BAF_4725_8909_5A723A8007EF_.wvu.FilterData" hidden="1">#REF!</definedName>
    <definedName name="Z_769F22F0_2CE4_4330_85CB_1C9A68E8695A_.wvu.Cols" localSheetId="11" hidden="1">#REF!</definedName>
    <definedName name="Z_769F22F0_2CE4_4330_85CB_1C9A68E8695A_.wvu.Cols" localSheetId="12" hidden="1">#REF!</definedName>
    <definedName name="Z_769F22F0_2CE4_4330_85CB_1C9A68E8695A_.wvu.Cols" localSheetId="49" hidden="1">#REF!</definedName>
    <definedName name="Z_769F22F0_2CE4_4330_85CB_1C9A68E8695A_.wvu.Cols" localSheetId="50" hidden="1">#REF!</definedName>
    <definedName name="Z_769F22F0_2CE4_4330_85CB_1C9A68E8695A_.wvu.Cols" hidden="1">#REF!</definedName>
    <definedName name="Z_779FC938_DF7A_4CF6_94B0_CDCDD6986FF7_.wvu.FilterData" localSheetId="11" hidden="1">#REF!</definedName>
    <definedName name="Z_779FC938_DF7A_4CF6_94B0_CDCDD6986FF7_.wvu.FilterData" localSheetId="12" hidden="1">#REF!</definedName>
    <definedName name="Z_779FC938_DF7A_4CF6_94B0_CDCDD6986FF7_.wvu.FilterData" localSheetId="49" hidden="1">#REF!</definedName>
    <definedName name="Z_779FC938_DF7A_4CF6_94B0_CDCDD6986FF7_.wvu.FilterData" localSheetId="50" hidden="1">#REF!</definedName>
    <definedName name="Z_779FC938_DF7A_4CF6_94B0_CDCDD6986FF7_.wvu.FilterData" hidden="1">#REF!</definedName>
    <definedName name="Z_77C15715_A4AB_4912_82E3_0F7DB54190C8_.wvu.FilterData" localSheetId="11" hidden="1">#REF!</definedName>
    <definedName name="Z_77C15715_A4AB_4912_82E3_0F7DB54190C8_.wvu.FilterData" localSheetId="12" hidden="1">#REF!</definedName>
    <definedName name="Z_77C15715_A4AB_4912_82E3_0F7DB54190C8_.wvu.FilterData" localSheetId="49" hidden="1">#REF!</definedName>
    <definedName name="Z_77C15715_A4AB_4912_82E3_0F7DB54190C8_.wvu.FilterData" localSheetId="50" hidden="1">#REF!</definedName>
    <definedName name="Z_77C15715_A4AB_4912_82E3_0F7DB54190C8_.wvu.FilterData" hidden="1">#REF!</definedName>
    <definedName name="Z_78843FEE_592A_4684_AA75_B78B1EF9F038_.wvu.FilterData" localSheetId="11" hidden="1">#REF!</definedName>
    <definedName name="Z_78843FEE_592A_4684_AA75_B78B1EF9F038_.wvu.FilterData" localSheetId="12" hidden="1">#REF!</definedName>
    <definedName name="Z_78843FEE_592A_4684_AA75_B78B1EF9F038_.wvu.FilterData" localSheetId="49" hidden="1">#REF!</definedName>
    <definedName name="Z_78843FEE_592A_4684_AA75_B78B1EF9F038_.wvu.FilterData" localSheetId="50" hidden="1">#REF!</definedName>
    <definedName name="Z_78843FEE_592A_4684_AA75_B78B1EF9F038_.wvu.FilterData" hidden="1">#REF!</definedName>
    <definedName name="Z_7990C264_C2FA_4640_A803_28B1D360B5E8_.wvu.FilterData" localSheetId="11" hidden="1">#REF!</definedName>
    <definedName name="Z_7990C264_C2FA_4640_A803_28B1D360B5E8_.wvu.FilterData" localSheetId="12" hidden="1">#REF!</definedName>
    <definedName name="Z_7990C264_C2FA_4640_A803_28B1D360B5E8_.wvu.FilterData" localSheetId="49" hidden="1">#REF!</definedName>
    <definedName name="Z_7990C264_C2FA_4640_A803_28B1D360B5E8_.wvu.FilterData" localSheetId="50" hidden="1">#REF!</definedName>
    <definedName name="Z_7990C264_C2FA_4640_A803_28B1D360B5E8_.wvu.FilterData" hidden="1">#REF!</definedName>
    <definedName name="Z_7A398D2C_8D5C_43F0_ACD4_39BBBD17F460_.wvu.FilterData" localSheetId="11" hidden="1">#REF!</definedName>
    <definedName name="Z_7A398D2C_8D5C_43F0_ACD4_39BBBD17F460_.wvu.FilterData" localSheetId="12" hidden="1">#REF!</definedName>
    <definedName name="Z_7A398D2C_8D5C_43F0_ACD4_39BBBD17F460_.wvu.FilterData" localSheetId="49" hidden="1">#REF!</definedName>
    <definedName name="Z_7A398D2C_8D5C_43F0_ACD4_39BBBD17F460_.wvu.FilterData" localSheetId="50" hidden="1">#REF!</definedName>
    <definedName name="Z_7A398D2C_8D5C_43F0_ACD4_39BBBD17F460_.wvu.FilterData" hidden="1">#REF!</definedName>
    <definedName name="Z_7BCAD35B_48BA_4F56_9D13_DD526F9AC0B8_.wvu.FilterData" localSheetId="11" hidden="1">#REF!</definedName>
    <definedName name="Z_7BCAD35B_48BA_4F56_9D13_DD526F9AC0B8_.wvu.FilterData" localSheetId="12" hidden="1">#REF!</definedName>
    <definedName name="Z_7BCAD35B_48BA_4F56_9D13_DD526F9AC0B8_.wvu.FilterData" localSheetId="49" hidden="1">#REF!</definedName>
    <definedName name="Z_7BCAD35B_48BA_4F56_9D13_DD526F9AC0B8_.wvu.FilterData" localSheetId="50" hidden="1">#REF!</definedName>
    <definedName name="Z_7BCAD35B_48BA_4F56_9D13_DD526F9AC0B8_.wvu.FilterData" hidden="1">#REF!</definedName>
    <definedName name="Z_7C4B07A8_2C5F_4DD5_99EB_9D4251FC0870_.wvu.FilterData" localSheetId="11" hidden="1">#REF!</definedName>
    <definedName name="Z_7C4B07A8_2C5F_4DD5_99EB_9D4251FC0870_.wvu.FilterData" localSheetId="12" hidden="1">#REF!</definedName>
    <definedName name="Z_7C4B07A8_2C5F_4DD5_99EB_9D4251FC0870_.wvu.FilterData" localSheetId="49" hidden="1">#REF!</definedName>
    <definedName name="Z_7C4B07A8_2C5F_4DD5_99EB_9D4251FC0870_.wvu.FilterData" localSheetId="50" hidden="1">#REF!</definedName>
    <definedName name="Z_7C4B07A8_2C5F_4DD5_99EB_9D4251FC0870_.wvu.FilterData" hidden="1">#REF!</definedName>
    <definedName name="Z_7C5D64EB_B280_4DF7_8070_7F6FFC6C118D_.wvu.FilterData" localSheetId="11" hidden="1">#REF!</definedName>
    <definedName name="Z_7C5D64EB_B280_4DF7_8070_7F6FFC6C118D_.wvu.FilterData" localSheetId="12" hidden="1">#REF!</definedName>
    <definedName name="Z_7C5D64EB_B280_4DF7_8070_7F6FFC6C118D_.wvu.FilterData" localSheetId="49" hidden="1">#REF!</definedName>
    <definedName name="Z_7C5D64EB_B280_4DF7_8070_7F6FFC6C118D_.wvu.FilterData" localSheetId="50" hidden="1">#REF!</definedName>
    <definedName name="Z_7C5D64EB_B280_4DF7_8070_7F6FFC6C118D_.wvu.FilterData" hidden="1">#REF!</definedName>
    <definedName name="Z_7CB778C4_AF6E_4D70_BAFD_ACCBAF83FC37_.wvu.FilterData" localSheetId="11" hidden="1">#REF!</definedName>
    <definedName name="Z_7CB778C4_AF6E_4D70_BAFD_ACCBAF83FC37_.wvu.FilterData" localSheetId="12" hidden="1">#REF!</definedName>
    <definedName name="Z_7CB778C4_AF6E_4D70_BAFD_ACCBAF83FC37_.wvu.FilterData" localSheetId="49" hidden="1">#REF!</definedName>
    <definedName name="Z_7CB778C4_AF6E_4D70_BAFD_ACCBAF83FC37_.wvu.FilterData" localSheetId="50" hidden="1">#REF!</definedName>
    <definedName name="Z_7CB778C4_AF6E_4D70_BAFD_ACCBAF83FC37_.wvu.FilterData" hidden="1">#REF!</definedName>
    <definedName name="Z_7DCC4356_81CF_48CE_B7EB_F916460AE99C_.wvu.FilterData" localSheetId="11" hidden="1">#REF!</definedName>
    <definedName name="Z_7DCC4356_81CF_48CE_B7EB_F916460AE99C_.wvu.FilterData" localSheetId="12" hidden="1">#REF!</definedName>
    <definedName name="Z_7DCC4356_81CF_48CE_B7EB_F916460AE99C_.wvu.FilterData" localSheetId="49" hidden="1">#REF!</definedName>
    <definedName name="Z_7DCC4356_81CF_48CE_B7EB_F916460AE99C_.wvu.FilterData" localSheetId="50" hidden="1">#REF!</definedName>
    <definedName name="Z_7DCC4356_81CF_48CE_B7EB_F916460AE99C_.wvu.FilterData" hidden="1">#REF!</definedName>
    <definedName name="Z_80BB6A2B_9544_4672_8398_FF4DA23DF7E3_.wvu.FilterData" localSheetId="11" hidden="1">#REF!</definedName>
    <definedName name="Z_80BB6A2B_9544_4672_8398_FF4DA23DF7E3_.wvu.FilterData" localSheetId="12" hidden="1">#REF!</definedName>
    <definedName name="Z_80BB6A2B_9544_4672_8398_FF4DA23DF7E3_.wvu.FilterData" localSheetId="49" hidden="1">#REF!</definedName>
    <definedName name="Z_80BB6A2B_9544_4672_8398_FF4DA23DF7E3_.wvu.FilterData" localSheetId="50" hidden="1">#REF!</definedName>
    <definedName name="Z_80BB6A2B_9544_4672_8398_FF4DA23DF7E3_.wvu.FilterData" hidden="1">#REF!</definedName>
    <definedName name="Z_82B9C43D_DB96_4397_AB1F_50E5A3A51795_.wvu.FilterData" localSheetId="11" hidden="1">#REF!</definedName>
    <definedName name="Z_82B9C43D_DB96_4397_AB1F_50E5A3A51795_.wvu.FilterData" localSheetId="12" hidden="1">#REF!</definedName>
    <definedName name="Z_82B9C43D_DB96_4397_AB1F_50E5A3A51795_.wvu.FilterData" localSheetId="49" hidden="1">#REF!</definedName>
    <definedName name="Z_82B9C43D_DB96_4397_AB1F_50E5A3A51795_.wvu.FilterData" localSheetId="50" hidden="1">#REF!</definedName>
    <definedName name="Z_82B9C43D_DB96_4397_AB1F_50E5A3A51795_.wvu.FilterData" hidden="1">#REF!</definedName>
    <definedName name="Z_82C8496E_E420_4D06_A8C1_E376CC09F820_.wvu.FilterData" localSheetId="11" hidden="1">#REF!</definedName>
    <definedName name="Z_82C8496E_E420_4D06_A8C1_E376CC09F820_.wvu.FilterData" localSheetId="12" hidden="1">#REF!</definedName>
    <definedName name="Z_82C8496E_E420_4D06_A8C1_E376CC09F820_.wvu.FilterData" localSheetId="49" hidden="1">#REF!</definedName>
    <definedName name="Z_82C8496E_E420_4D06_A8C1_E376CC09F820_.wvu.FilterData" localSheetId="50" hidden="1">#REF!</definedName>
    <definedName name="Z_82C8496E_E420_4D06_A8C1_E376CC09F820_.wvu.FilterData" hidden="1">#REF!</definedName>
    <definedName name="Z_837E5FC6_4281_4107_B0DC_A8F463497E55_.wvu.FilterData" localSheetId="11" hidden="1">#REF!</definedName>
    <definedName name="Z_837E5FC6_4281_4107_B0DC_A8F463497E55_.wvu.FilterData" localSheetId="12" hidden="1">#REF!</definedName>
    <definedName name="Z_837E5FC6_4281_4107_B0DC_A8F463497E55_.wvu.FilterData" localSheetId="49" hidden="1">#REF!</definedName>
    <definedName name="Z_837E5FC6_4281_4107_B0DC_A8F463497E55_.wvu.FilterData" localSheetId="50" hidden="1">#REF!</definedName>
    <definedName name="Z_837E5FC6_4281_4107_B0DC_A8F463497E55_.wvu.FilterData" hidden="1">#REF!</definedName>
    <definedName name="Z_83DCEEFF_4705_40AE_8072_0483B5743B5D_.wvu.FilterData" localSheetId="11" hidden="1">#REF!</definedName>
    <definedName name="Z_83DCEEFF_4705_40AE_8072_0483B5743B5D_.wvu.FilterData" localSheetId="12" hidden="1">#REF!</definedName>
    <definedName name="Z_83DCEEFF_4705_40AE_8072_0483B5743B5D_.wvu.FilterData" localSheetId="49" hidden="1">#REF!</definedName>
    <definedName name="Z_83DCEEFF_4705_40AE_8072_0483B5743B5D_.wvu.FilterData" localSheetId="50" hidden="1">#REF!</definedName>
    <definedName name="Z_83DCEEFF_4705_40AE_8072_0483B5743B5D_.wvu.FilterData" hidden="1">#REF!</definedName>
    <definedName name="Z_847A5FFF_A89C_4897_906B_EE405B25B225_.wvu.FilterData" localSheetId="11" hidden="1">#REF!</definedName>
    <definedName name="Z_847A5FFF_A89C_4897_906B_EE405B25B225_.wvu.FilterData" localSheetId="12" hidden="1">#REF!</definedName>
    <definedName name="Z_847A5FFF_A89C_4897_906B_EE405B25B225_.wvu.FilterData" localSheetId="49" hidden="1">#REF!</definedName>
    <definedName name="Z_847A5FFF_A89C_4897_906B_EE405B25B225_.wvu.FilterData" localSheetId="50" hidden="1">#REF!</definedName>
    <definedName name="Z_847A5FFF_A89C_4897_906B_EE405B25B225_.wvu.FilterData" hidden="1">#REF!</definedName>
    <definedName name="Z_854255C5_1077_459B_B647_AC8F4FD47D3A_.wvu.FilterData" localSheetId="11" hidden="1">#REF!</definedName>
    <definedName name="Z_854255C5_1077_459B_B647_AC8F4FD47D3A_.wvu.FilterData" localSheetId="12" hidden="1">#REF!</definedName>
    <definedName name="Z_854255C5_1077_459B_B647_AC8F4FD47D3A_.wvu.FilterData" localSheetId="49" hidden="1">#REF!</definedName>
    <definedName name="Z_854255C5_1077_459B_B647_AC8F4FD47D3A_.wvu.FilterData" localSheetId="50" hidden="1">#REF!</definedName>
    <definedName name="Z_854255C5_1077_459B_B647_AC8F4FD47D3A_.wvu.FilterData" hidden="1">#REF!</definedName>
    <definedName name="Z_85688AD2_A893_478E_9B2F_09B7C42482BA_.wvu.FilterData" localSheetId="11" hidden="1">#REF!</definedName>
    <definedName name="Z_85688AD2_A893_478E_9B2F_09B7C42482BA_.wvu.FilterData" localSheetId="12" hidden="1">#REF!</definedName>
    <definedName name="Z_85688AD2_A893_478E_9B2F_09B7C42482BA_.wvu.FilterData" localSheetId="49" hidden="1">#REF!</definedName>
    <definedName name="Z_85688AD2_A893_478E_9B2F_09B7C42482BA_.wvu.FilterData" localSheetId="50" hidden="1">#REF!</definedName>
    <definedName name="Z_85688AD2_A893_478E_9B2F_09B7C42482BA_.wvu.FilterData" hidden="1">#REF!</definedName>
    <definedName name="Z_86E9B424_197E_49CF_BFDA_2932BCEDD971_.wvu.FilterData" localSheetId="11" hidden="1">#REF!</definedName>
    <definedName name="Z_86E9B424_197E_49CF_BFDA_2932BCEDD971_.wvu.FilterData" localSheetId="12" hidden="1">#REF!</definedName>
    <definedName name="Z_86E9B424_197E_49CF_BFDA_2932BCEDD971_.wvu.FilterData" localSheetId="49" hidden="1">#REF!</definedName>
    <definedName name="Z_86E9B424_197E_49CF_BFDA_2932BCEDD971_.wvu.FilterData" localSheetId="50" hidden="1">#REF!</definedName>
    <definedName name="Z_86E9B424_197E_49CF_BFDA_2932BCEDD971_.wvu.FilterData" hidden="1">#REF!</definedName>
    <definedName name="Z_87D15442_58BD_4F3C_94DE_531020BB2A9F_.wvu.FilterData" localSheetId="11" hidden="1">#REF!</definedName>
    <definedName name="Z_87D15442_58BD_4F3C_94DE_531020BB2A9F_.wvu.FilterData" localSheetId="12" hidden="1">#REF!</definedName>
    <definedName name="Z_87D15442_58BD_4F3C_94DE_531020BB2A9F_.wvu.FilterData" localSheetId="49" hidden="1">#REF!</definedName>
    <definedName name="Z_87D15442_58BD_4F3C_94DE_531020BB2A9F_.wvu.FilterData" localSheetId="50" hidden="1">#REF!</definedName>
    <definedName name="Z_87D15442_58BD_4F3C_94DE_531020BB2A9F_.wvu.FilterData" hidden="1">#REF!</definedName>
    <definedName name="Z_87D52449_3B5E_4E8B_88A5_E300D9996EC7_.wvu.FilterData" localSheetId="11" hidden="1">#REF!</definedName>
    <definedName name="Z_87D52449_3B5E_4E8B_88A5_E300D9996EC7_.wvu.FilterData" localSheetId="12" hidden="1">#REF!</definedName>
    <definedName name="Z_87D52449_3B5E_4E8B_88A5_E300D9996EC7_.wvu.FilterData" localSheetId="49" hidden="1">#REF!</definedName>
    <definedName name="Z_87D52449_3B5E_4E8B_88A5_E300D9996EC7_.wvu.FilterData" localSheetId="50" hidden="1">#REF!</definedName>
    <definedName name="Z_87D52449_3B5E_4E8B_88A5_E300D9996EC7_.wvu.FilterData" hidden="1">#REF!</definedName>
    <definedName name="Z_889FE9FF_01D3_44AA_A47F_CD9BB14E2F74_.wvu.FilterData" localSheetId="11" hidden="1">#REF!</definedName>
    <definedName name="Z_889FE9FF_01D3_44AA_A47F_CD9BB14E2F74_.wvu.FilterData" localSheetId="12" hidden="1">#REF!</definedName>
    <definedName name="Z_889FE9FF_01D3_44AA_A47F_CD9BB14E2F74_.wvu.FilterData" localSheetId="49" hidden="1">#REF!</definedName>
    <definedName name="Z_889FE9FF_01D3_44AA_A47F_CD9BB14E2F74_.wvu.FilterData" localSheetId="50" hidden="1">#REF!</definedName>
    <definedName name="Z_889FE9FF_01D3_44AA_A47F_CD9BB14E2F74_.wvu.FilterData" hidden="1">#REF!</definedName>
    <definedName name="Z_8A11493B_31C6_480A_939B_94F8B46F7CAD_.wvu.FilterData" localSheetId="11" hidden="1">#REF!</definedName>
    <definedName name="Z_8A11493B_31C6_480A_939B_94F8B46F7CAD_.wvu.FilterData" localSheetId="12" hidden="1">#REF!</definedName>
    <definedName name="Z_8A11493B_31C6_480A_939B_94F8B46F7CAD_.wvu.FilterData" localSheetId="49" hidden="1">#REF!</definedName>
    <definedName name="Z_8A11493B_31C6_480A_939B_94F8B46F7CAD_.wvu.FilterData" localSheetId="50" hidden="1">#REF!</definedName>
    <definedName name="Z_8A11493B_31C6_480A_939B_94F8B46F7CAD_.wvu.FilterData" hidden="1">#REF!</definedName>
    <definedName name="Z_8A3676BD_192D_4B28_9F15_641104F7EB84_.wvu.FilterData" localSheetId="11" hidden="1">#REF!</definedName>
    <definedName name="Z_8A3676BD_192D_4B28_9F15_641104F7EB84_.wvu.FilterData" localSheetId="12" hidden="1">#REF!</definedName>
    <definedName name="Z_8A3676BD_192D_4B28_9F15_641104F7EB84_.wvu.FilterData" localSheetId="49" hidden="1">#REF!</definedName>
    <definedName name="Z_8A3676BD_192D_4B28_9F15_641104F7EB84_.wvu.FilterData" localSheetId="50" hidden="1">#REF!</definedName>
    <definedName name="Z_8A3676BD_192D_4B28_9F15_641104F7EB84_.wvu.FilterData" hidden="1">#REF!</definedName>
    <definedName name="Z_8AC1FF86_8181_4D33_A09C_D9252642F43D_.wvu.FilterData" localSheetId="11" hidden="1">#REF!</definedName>
    <definedName name="Z_8AC1FF86_8181_4D33_A09C_D9252642F43D_.wvu.FilterData" localSheetId="12" hidden="1">#REF!</definedName>
    <definedName name="Z_8AC1FF86_8181_4D33_A09C_D9252642F43D_.wvu.FilterData" localSheetId="49" hidden="1">#REF!</definedName>
    <definedName name="Z_8AC1FF86_8181_4D33_A09C_D9252642F43D_.wvu.FilterData" localSheetId="50" hidden="1">#REF!</definedName>
    <definedName name="Z_8AC1FF86_8181_4D33_A09C_D9252642F43D_.wvu.FilterData" hidden="1">#REF!</definedName>
    <definedName name="Z_8BCA58BD_70B7_40CE_A039_A616AAA9DF70_.wvu.FilterData" localSheetId="11" hidden="1">#REF!</definedName>
    <definedName name="Z_8BCA58BD_70B7_40CE_A039_A616AAA9DF70_.wvu.FilterData" localSheetId="12" hidden="1">#REF!</definedName>
    <definedName name="Z_8BCA58BD_70B7_40CE_A039_A616AAA9DF70_.wvu.FilterData" localSheetId="49" hidden="1">#REF!</definedName>
    <definedName name="Z_8BCA58BD_70B7_40CE_A039_A616AAA9DF70_.wvu.FilterData" localSheetId="50" hidden="1">#REF!</definedName>
    <definedName name="Z_8BCA58BD_70B7_40CE_A039_A616AAA9DF70_.wvu.FilterData" hidden="1">#REF!</definedName>
    <definedName name="Z_8C04156B_ECE3_4BE6_AE81_B06AC9DDCBBD_.wvu.FilterData" localSheetId="11" hidden="1">#REF!</definedName>
    <definedName name="Z_8C04156B_ECE3_4BE6_AE81_B06AC9DDCBBD_.wvu.FilterData" localSheetId="12" hidden="1">#REF!</definedName>
    <definedName name="Z_8C04156B_ECE3_4BE6_AE81_B06AC9DDCBBD_.wvu.FilterData" localSheetId="49" hidden="1">#REF!</definedName>
    <definedName name="Z_8C04156B_ECE3_4BE6_AE81_B06AC9DDCBBD_.wvu.FilterData" localSheetId="50" hidden="1">#REF!</definedName>
    <definedName name="Z_8C04156B_ECE3_4BE6_AE81_B06AC9DDCBBD_.wvu.FilterData" hidden="1">#REF!</definedName>
    <definedName name="Z_8D3BBDE3_D029_48FA_A7B1_266CA3A2B214_.wvu.FilterData" localSheetId="11" hidden="1">#REF!</definedName>
    <definedName name="Z_8D3BBDE3_D029_48FA_A7B1_266CA3A2B214_.wvu.FilterData" localSheetId="12" hidden="1">#REF!</definedName>
    <definedName name="Z_8D3BBDE3_D029_48FA_A7B1_266CA3A2B214_.wvu.FilterData" localSheetId="49" hidden="1">#REF!</definedName>
    <definedName name="Z_8D3BBDE3_D029_48FA_A7B1_266CA3A2B214_.wvu.FilterData" localSheetId="50" hidden="1">#REF!</definedName>
    <definedName name="Z_8D3BBDE3_D029_48FA_A7B1_266CA3A2B214_.wvu.FilterData" hidden="1">#REF!</definedName>
    <definedName name="Z_8D4E2CE7_B4AE_4487_A6EA_D94B532EF301_.wvu.FilterData" localSheetId="11" hidden="1">#REF!</definedName>
    <definedName name="Z_8D4E2CE7_B4AE_4487_A6EA_D94B532EF301_.wvu.FilterData" localSheetId="12" hidden="1">#REF!</definedName>
    <definedName name="Z_8D4E2CE7_B4AE_4487_A6EA_D94B532EF301_.wvu.FilterData" localSheetId="49" hidden="1">#REF!</definedName>
    <definedName name="Z_8D4E2CE7_B4AE_4487_A6EA_D94B532EF301_.wvu.FilterData" localSheetId="50" hidden="1">#REF!</definedName>
    <definedName name="Z_8D4E2CE7_B4AE_4487_A6EA_D94B532EF301_.wvu.FilterData" hidden="1">#REF!</definedName>
    <definedName name="Z_8EF961B3_4699_4490_B556_B5887737954D_.wvu.FilterData" localSheetId="11" hidden="1">#REF!</definedName>
    <definedName name="Z_8EF961B3_4699_4490_B556_B5887737954D_.wvu.FilterData" localSheetId="12" hidden="1">#REF!</definedName>
    <definedName name="Z_8EF961B3_4699_4490_B556_B5887737954D_.wvu.FilterData" localSheetId="49" hidden="1">#REF!</definedName>
    <definedName name="Z_8EF961B3_4699_4490_B556_B5887737954D_.wvu.FilterData" localSheetId="50" hidden="1">#REF!</definedName>
    <definedName name="Z_8EF961B3_4699_4490_B556_B5887737954D_.wvu.FilterData" hidden="1">#REF!</definedName>
    <definedName name="Z_8F73BF06_066B_4104_83FA_9338D9429A84_.wvu.FilterData" localSheetId="11" hidden="1">#REF!</definedName>
    <definedName name="Z_8F73BF06_066B_4104_83FA_9338D9429A84_.wvu.FilterData" localSheetId="12" hidden="1">#REF!</definedName>
    <definedName name="Z_8F73BF06_066B_4104_83FA_9338D9429A84_.wvu.FilterData" localSheetId="49" hidden="1">#REF!</definedName>
    <definedName name="Z_8F73BF06_066B_4104_83FA_9338D9429A84_.wvu.FilterData" localSheetId="50" hidden="1">#REF!</definedName>
    <definedName name="Z_8F73BF06_066B_4104_83FA_9338D9429A84_.wvu.FilterData" hidden="1">#REF!</definedName>
    <definedName name="Z_91195996_3591_4989_AC51_1CC20C4DA8EA_.wvu.FilterData" localSheetId="11" hidden="1">#REF!</definedName>
    <definedName name="Z_91195996_3591_4989_AC51_1CC20C4DA8EA_.wvu.FilterData" localSheetId="12" hidden="1">#REF!</definedName>
    <definedName name="Z_91195996_3591_4989_AC51_1CC20C4DA8EA_.wvu.FilterData" localSheetId="49" hidden="1">#REF!</definedName>
    <definedName name="Z_91195996_3591_4989_AC51_1CC20C4DA8EA_.wvu.FilterData" localSheetId="50" hidden="1">#REF!</definedName>
    <definedName name="Z_91195996_3591_4989_AC51_1CC20C4DA8EA_.wvu.FilterData" hidden="1">#REF!</definedName>
    <definedName name="Z_9337D27C_F450_4E0F_A993_9FA6026031B4_.wvu.FilterData" localSheetId="11" hidden="1">#REF!</definedName>
    <definedName name="Z_9337D27C_F450_4E0F_A993_9FA6026031B4_.wvu.FilterData" localSheetId="12" hidden="1">#REF!</definedName>
    <definedName name="Z_9337D27C_F450_4E0F_A993_9FA6026031B4_.wvu.FilterData" localSheetId="49" hidden="1">#REF!</definedName>
    <definedName name="Z_9337D27C_F450_4E0F_A993_9FA6026031B4_.wvu.FilterData" localSheetId="50" hidden="1">#REF!</definedName>
    <definedName name="Z_9337D27C_F450_4E0F_A993_9FA6026031B4_.wvu.FilterData" hidden="1">#REF!</definedName>
    <definedName name="Z_941E78A0_DA15_4559_8D24_47E60F64B332_.wvu.FilterData" localSheetId="11" hidden="1">#REF!</definedName>
    <definedName name="Z_941E78A0_DA15_4559_8D24_47E60F64B332_.wvu.FilterData" localSheetId="12" hidden="1">#REF!</definedName>
    <definedName name="Z_941E78A0_DA15_4559_8D24_47E60F64B332_.wvu.FilterData" localSheetId="49" hidden="1">#REF!</definedName>
    <definedName name="Z_941E78A0_DA15_4559_8D24_47E60F64B332_.wvu.FilterData" localSheetId="50" hidden="1">#REF!</definedName>
    <definedName name="Z_941E78A0_DA15_4559_8D24_47E60F64B332_.wvu.FilterData" hidden="1">#REF!</definedName>
    <definedName name="Z_96F2EE26_6561_4F4C_A5EB_5B153675D529_.wvu.FilterData" localSheetId="11" hidden="1">#REF!</definedName>
    <definedName name="Z_96F2EE26_6561_4F4C_A5EB_5B153675D529_.wvu.FilterData" localSheetId="12" hidden="1">#REF!</definedName>
    <definedName name="Z_96F2EE26_6561_4F4C_A5EB_5B153675D529_.wvu.FilterData" localSheetId="49" hidden="1">#REF!</definedName>
    <definedName name="Z_96F2EE26_6561_4F4C_A5EB_5B153675D529_.wvu.FilterData" localSheetId="50" hidden="1">#REF!</definedName>
    <definedName name="Z_96F2EE26_6561_4F4C_A5EB_5B153675D529_.wvu.FilterData" hidden="1">#REF!</definedName>
    <definedName name="Z_97D4D5E5_43F4_446C_A651_11999CE73F0D_.wvu.FilterData" localSheetId="11" hidden="1">#REF!</definedName>
    <definedName name="Z_97D4D5E5_43F4_446C_A651_11999CE73F0D_.wvu.FilterData" localSheetId="12" hidden="1">#REF!</definedName>
    <definedName name="Z_97D4D5E5_43F4_446C_A651_11999CE73F0D_.wvu.FilterData" localSheetId="49" hidden="1">#REF!</definedName>
    <definedName name="Z_97D4D5E5_43F4_446C_A651_11999CE73F0D_.wvu.FilterData" localSheetId="50" hidden="1">#REF!</definedName>
    <definedName name="Z_97D4D5E5_43F4_446C_A651_11999CE73F0D_.wvu.FilterData" hidden="1">#REF!</definedName>
    <definedName name="Z_9B9949C8_0BAA_4B11_A1CA_00EC9D2DC419_.wvu.FilterData" localSheetId="11" hidden="1">#REF!</definedName>
    <definedName name="Z_9B9949C8_0BAA_4B11_A1CA_00EC9D2DC419_.wvu.FilterData" localSheetId="12" hidden="1">#REF!</definedName>
    <definedName name="Z_9B9949C8_0BAA_4B11_A1CA_00EC9D2DC419_.wvu.FilterData" localSheetId="49" hidden="1">#REF!</definedName>
    <definedName name="Z_9B9949C8_0BAA_4B11_A1CA_00EC9D2DC419_.wvu.FilterData" localSheetId="50" hidden="1">#REF!</definedName>
    <definedName name="Z_9B9949C8_0BAA_4B11_A1CA_00EC9D2DC419_.wvu.FilterData" hidden="1">#REF!</definedName>
    <definedName name="Z_9C3E33FF_6562_4D26_BDF3_B29555E64301_.wvu.FilterData" localSheetId="11" hidden="1">#REF!</definedName>
    <definedName name="Z_9C3E33FF_6562_4D26_BDF3_B29555E64301_.wvu.FilterData" localSheetId="12" hidden="1">#REF!</definedName>
    <definedName name="Z_9C3E33FF_6562_4D26_BDF3_B29555E64301_.wvu.FilterData" localSheetId="49" hidden="1">#REF!</definedName>
    <definedName name="Z_9C3E33FF_6562_4D26_BDF3_B29555E64301_.wvu.FilterData" localSheetId="50" hidden="1">#REF!</definedName>
    <definedName name="Z_9C3E33FF_6562_4D26_BDF3_B29555E64301_.wvu.FilterData" hidden="1">#REF!</definedName>
    <definedName name="Z_9DFA07EB_C6E0_4532_9E8F_13C24B46A1AE_.wvu.FilterData" localSheetId="11" hidden="1">#REF!</definedName>
    <definedName name="Z_9DFA07EB_C6E0_4532_9E8F_13C24B46A1AE_.wvu.FilterData" localSheetId="12" hidden="1">#REF!</definedName>
    <definedName name="Z_9DFA07EB_C6E0_4532_9E8F_13C24B46A1AE_.wvu.FilterData" localSheetId="49" hidden="1">#REF!</definedName>
    <definedName name="Z_9DFA07EB_C6E0_4532_9E8F_13C24B46A1AE_.wvu.FilterData" localSheetId="50" hidden="1">#REF!</definedName>
    <definedName name="Z_9DFA07EB_C6E0_4532_9E8F_13C24B46A1AE_.wvu.FilterData" hidden="1">#REF!</definedName>
    <definedName name="Z_A0DAD961_7197_404E_AC96_B0E615F9E830_.wvu.FilterData" localSheetId="11" hidden="1">#REF!</definedName>
    <definedName name="Z_A0DAD961_7197_404E_AC96_B0E615F9E830_.wvu.FilterData" localSheetId="12" hidden="1">#REF!</definedName>
    <definedName name="Z_A0DAD961_7197_404E_AC96_B0E615F9E830_.wvu.FilterData" localSheetId="49" hidden="1">#REF!</definedName>
    <definedName name="Z_A0DAD961_7197_404E_AC96_B0E615F9E830_.wvu.FilterData" localSheetId="50" hidden="1">#REF!</definedName>
    <definedName name="Z_A0DAD961_7197_404E_AC96_B0E615F9E830_.wvu.FilterData" hidden="1">#REF!</definedName>
    <definedName name="Z_A24ACA16_EB04_482F_BB9A_2599E185C3D3_.wvu.FilterData" localSheetId="11" hidden="1">#REF!</definedName>
    <definedName name="Z_A24ACA16_EB04_482F_BB9A_2599E185C3D3_.wvu.FilterData" localSheetId="12" hidden="1">#REF!</definedName>
    <definedName name="Z_A24ACA16_EB04_482F_BB9A_2599E185C3D3_.wvu.FilterData" localSheetId="49" hidden="1">#REF!</definedName>
    <definedName name="Z_A24ACA16_EB04_482F_BB9A_2599E185C3D3_.wvu.FilterData" localSheetId="50" hidden="1">#REF!</definedName>
    <definedName name="Z_A24ACA16_EB04_482F_BB9A_2599E185C3D3_.wvu.FilterData" hidden="1">#REF!</definedName>
    <definedName name="Z_A4633B85_467D_49EB_95E7_E7B11A609631_.wvu.Cols" localSheetId="11" hidden="1">#REF!</definedName>
    <definedName name="Z_A4633B85_467D_49EB_95E7_E7B11A609631_.wvu.Cols" localSheetId="12" hidden="1">#REF!</definedName>
    <definedName name="Z_A4633B85_467D_49EB_95E7_E7B11A609631_.wvu.Cols" localSheetId="49" hidden="1">#REF!</definedName>
    <definedName name="Z_A4633B85_467D_49EB_95E7_E7B11A609631_.wvu.Cols" localSheetId="50" hidden="1">#REF!</definedName>
    <definedName name="Z_A4633B85_467D_49EB_95E7_E7B11A609631_.wvu.Cols" hidden="1">#REF!</definedName>
    <definedName name="Z_A4633B85_467D_49EB_95E7_E7B11A609631_.wvu.Rows" localSheetId="11" hidden="1">#REF!</definedName>
    <definedName name="Z_A4633B85_467D_49EB_95E7_E7B11A609631_.wvu.Rows" localSheetId="12" hidden="1">#REF!</definedName>
    <definedName name="Z_A4633B85_467D_49EB_95E7_E7B11A609631_.wvu.Rows" localSheetId="49" hidden="1">#REF!</definedName>
    <definedName name="Z_A4633B85_467D_49EB_95E7_E7B11A609631_.wvu.Rows" localSheetId="50" hidden="1">#REF!</definedName>
    <definedName name="Z_A4633B85_467D_49EB_95E7_E7B11A609631_.wvu.Rows" hidden="1">#REF!</definedName>
    <definedName name="Z_A4C45DF8_E6D8_4B06_84E7_81A5A9500D55_.wvu.FilterData" localSheetId="11" hidden="1">#REF!</definedName>
    <definedName name="Z_A4C45DF8_E6D8_4B06_84E7_81A5A9500D55_.wvu.FilterData" localSheetId="12" hidden="1">#REF!</definedName>
    <definedName name="Z_A4C45DF8_E6D8_4B06_84E7_81A5A9500D55_.wvu.FilterData" localSheetId="49" hidden="1">#REF!</definedName>
    <definedName name="Z_A4C45DF8_E6D8_4B06_84E7_81A5A9500D55_.wvu.FilterData" localSheetId="50" hidden="1">#REF!</definedName>
    <definedName name="Z_A4C45DF8_E6D8_4B06_84E7_81A5A9500D55_.wvu.FilterData" hidden="1">#REF!</definedName>
    <definedName name="Z_A52E95D2_430A_43EF_8C82_83878B555090_.wvu.FilterData" localSheetId="11" hidden="1">#REF!</definedName>
    <definedName name="Z_A52E95D2_430A_43EF_8C82_83878B555090_.wvu.FilterData" localSheetId="12" hidden="1">#REF!</definedName>
    <definedName name="Z_A52E95D2_430A_43EF_8C82_83878B555090_.wvu.FilterData" localSheetId="49" hidden="1">#REF!</definedName>
    <definedName name="Z_A52E95D2_430A_43EF_8C82_83878B555090_.wvu.FilterData" localSheetId="50" hidden="1">#REF!</definedName>
    <definedName name="Z_A52E95D2_430A_43EF_8C82_83878B555090_.wvu.FilterData" hidden="1">#REF!</definedName>
    <definedName name="Z_A564E848_8A16_4DE3_8578_F95B0AFD9DC2_.wvu.FilterData" localSheetId="11" hidden="1">#REF!</definedName>
    <definedName name="Z_A564E848_8A16_4DE3_8578_F95B0AFD9DC2_.wvu.FilterData" localSheetId="12" hidden="1">#REF!</definedName>
    <definedName name="Z_A564E848_8A16_4DE3_8578_F95B0AFD9DC2_.wvu.FilterData" localSheetId="49" hidden="1">#REF!</definedName>
    <definedName name="Z_A564E848_8A16_4DE3_8578_F95B0AFD9DC2_.wvu.FilterData" localSheetId="50" hidden="1">#REF!</definedName>
    <definedName name="Z_A564E848_8A16_4DE3_8578_F95B0AFD9DC2_.wvu.FilterData" hidden="1">#REF!</definedName>
    <definedName name="Z_A781204A_C096_4FD9_8686_E749AD880175_.wvu.FilterData" localSheetId="11" hidden="1">#REF!</definedName>
    <definedName name="Z_A781204A_C096_4FD9_8686_E749AD880175_.wvu.FilterData" localSheetId="12" hidden="1">#REF!</definedName>
    <definedName name="Z_A781204A_C096_4FD9_8686_E749AD880175_.wvu.FilterData" localSheetId="49" hidden="1">#REF!</definedName>
    <definedName name="Z_A781204A_C096_4FD9_8686_E749AD880175_.wvu.FilterData" localSheetId="50" hidden="1">#REF!</definedName>
    <definedName name="Z_A781204A_C096_4FD9_8686_E749AD880175_.wvu.FilterData" hidden="1">#REF!</definedName>
    <definedName name="Z_A8794A83_181C_4122_B911_4BBD3A571DEC_.wvu.FilterData" localSheetId="11" hidden="1">#REF!</definedName>
    <definedName name="Z_A8794A83_181C_4122_B911_4BBD3A571DEC_.wvu.FilterData" localSheetId="12" hidden="1">#REF!</definedName>
    <definedName name="Z_A8794A83_181C_4122_B911_4BBD3A571DEC_.wvu.FilterData" localSheetId="49" hidden="1">#REF!</definedName>
    <definedName name="Z_A8794A83_181C_4122_B911_4BBD3A571DEC_.wvu.FilterData" localSheetId="50" hidden="1">#REF!</definedName>
    <definedName name="Z_A8794A83_181C_4122_B911_4BBD3A571DEC_.wvu.FilterData" hidden="1">#REF!</definedName>
    <definedName name="Z_AA3FC3D4_6E6E_4CE7_81E8_4A7B17AB1715_.wvu.FilterData" localSheetId="11" hidden="1">#REF!</definedName>
    <definedName name="Z_AA3FC3D4_6E6E_4CE7_81E8_4A7B17AB1715_.wvu.FilterData" localSheetId="12" hidden="1">#REF!</definedName>
    <definedName name="Z_AA3FC3D4_6E6E_4CE7_81E8_4A7B17AB1715_.wvu.FilterData" localSheetId="49" hidden="1">#REF!</definedName>
    <definedName name="Z_AA3FC3D4_6E6E_4CE7_81E8_4A7B17AB1715_.wvu.FilterData" localSheetId="50" hidden="1">#REF!</definedName>
    <definedName name="Z_AA3FC3D4_6E6E_4CE7_81E8_4A7B17AB1715_.wvu.FilterData" hidden="1">#REF!</definedName>
    <definedName name="Z_AAB7394C_3FF8_4265_B8C2_66BBB8B1248C_.wvu.FilterData" localSheetId="11" hidden="1">#REF!</definedName>
    <definedName name="Z_AAB7394C_3FF8_4265_B8C2_66BBB8B1248C_.wvu.FilterData" localSheetId="12" hidden="1">#REF!</definedName>
    <definedName name="Z_AAB7394C_3FF8_4265_B8C2_66BBB8B1248C_.wvu.FilterData" localSheetId="49" hidden="1">#REF!</definedName>
    <definedName name="Z_AAB7394C_3FF8_4265_B8C2_66BBB8B1248C_.wvu.FilterData" localSheetId="50" hidden="1">#REF!</definedName>
    <definedName name="Z_AAB7394C_3FF8_4265_B8C2_66BBB8B1248C_.wvu.FilterData" hidden="1">#REF!</definedName>
    <definedName name="Z_ABFCADC3_4CF7_48CF_B39D_E5828A75D43E_.wvu.FilterData" localSheetId="11" hidden="1">#REF!</definedName>
    <definedName name="Z_ABFCADC3_4CF7_48CF_B39D_E5828A75D43E_.wvu.FilterData" localSheetId="12" hidden="1">#REF!</definedName>
    <definedName name="Z_ABFCADC3_4CF7_48CF_B39D_E5828A75D43E_.wvu.FilterData" localSheetId="49" hidden="1">#REF!</definedName>
    <definedName name="Z_ABFCADC3_4CF7_48CF_B39D_E5828A75D43E_.wvu.FilterData" localSheetId="50" hidden="1">#REF!</definedName>
    <definedName name="Z_ABFCADC3_4CF7_48CF_B39D_E5828A75D43E_.wvu.FilterData" hidden="1">#REF!</definedName>
    <definedName name="Z_AC4A34A8_23F5_4C09_A60F_7421B1C74590_.wvu.FilterData" localSheetId="11" hidden="1">#REF!</definedName>
    <definedName name="Z_AC4A34A8_23F5_4C09_A60F_7421B1C74590_.wvu.FilterData" localSheetId="12" hidden="1">#REF!</definedName>
    <definedName name="Z_AC4A34A8_23F5_4C09_A60F_7421B1C74590_.wvu.FilterData" localSheetId="49" hidden="1">#REF!</definedName>
    <definedName name="Z_AC4A34A8_23F5_4C09_A60F_7421B1C74590_.wvu.FilterData" localSheetId="50" hidden="1">#REF!</definedName>
    <definedName name="Z_AC4A34A8_23F5_4C09_A60F_7421B1C74590_.wvu.FilterData" hidden="1">#REF!</definedName>
    <definedName name="Z_AC584ACE_C266_4881_B354_E52E6427C1D4_.wvu.FilterData" localSheetId="11" hidden="1">#REF!</definedName>
    <definedName name="Z_AC584ACE_C266_4881_B354_E52E6427C1D4_.wvu.FilterData" localSheetId="12" hidden="1">#REF!</definedName>
    <definedName name="Z_AC584ACE_C266_4881_B354_E52E6427C1D4_.wvu.FilterData" localSheetId="49" hidden="1">#REF!</definedName>
    <definedName name="Z_AC584ACE_C266_4881_B354_E52E6427C1D4_.wvu.FilterData" localSheetId="50" hidden="1">#REF!</definedName>
    <definedName name="Z_AC584ACE_C266_4881_B354_E52E6427C1D4_.wvu.FilterData" hidden="1">#REF!</definedName>
    <definedName name="Z_AD28BEA7_74AD_4668_98DA_B02594AB4A9F_.wvu.FilterData" localSheetId="11" hidden="1">#REF!</definedName>
    <definedName name="Z_AD28BEA7_74AD_4668_98DA_B02594AB4A9F_.wvu.FilterData" localSheetId="12" hidden="1">#REF!</definedName>
    <definedName name="Z_AD28BEA7_74AD_4668_98DA_B02594AB4A9F_.wvu.FilterData" localSheetId="49" hidden="1">#REF!</definedName>
    <definedName name="Z_AD28BEA7_74AD_4668_98DA_B02594AB4A9F_.wvu.FilterData" localSheetId="50" hidden="1">#REF!</definedName>
    <definedName name="Z_AD28BEA7_74AD_4668_98DA_B02594AB4A9F_.wvu.FilterData" hidden="1">#REF!</definedName>
    <definedName name="Z_ADDFEFC7_F8D4_4F51_8B45_4DF1B03C1D84_.wvu.FilterData" localSheetId="11" hidden="1">#REF!</definedName>
    <definedName name="Z_ADDFEFC7_F8D4_4F51_8B45_4DF1B03C1D84_.wvu.FilterData" localSheetId="12" hidden="1">#REF!</definedName>
    <definedName name="Z_ADDFEFC7_F8D4_4F51_8B45_4DF1B03C1D84_.wvu.FilterData" localSheetId="49" hidden="1">#REF!</definedName>
    <definedName name="Z_ADDFEFC7_F8D4_4F51_8B45_4DF1B03C1D84_.wvu.FilterData" localSheetId="50" hidden="1">#REF!</definedName>
    <definedName name="Z_ADDFEFC7_F8D4_4F51_8B45_4DF1B03C1D84_.wvu.FilterData" hidden="1">#REF!</definedName>
    <definedName name="Z_AFC4E5D4_3A50_4BD7_8981_E00CA5601E99_.wvu.FilterData" localSheetId="11" hidden="1">#REF!</definedName>
    <definedName name="Z_AFC4E5D4_3A50_4BD7_8981_E00CA5601E99_.wvu.FilterData" localSheetId="12" hidden="1">#REF!</definedName>
    <definedName name="Z_AFC4E5D4_3A50_4BD7_8981_E00CA5601E99_.wvu.FilterData" localSheetId="49" hidden="1">#REF!</definedName>
    <definedName name="Z_AFC4E5D4_3A50_4BD7_8981_E00CA5601E99_.wvu.FilterData" localSheetId="50" hidden="1">#REF!</definedName>
    <definedName name="Z_AFC4E5D4_3A50_4BD7_8981_E00CA5601E99_.wvu.FilterData" hidden="1">#REF!</definedName>
    <definedName name="Z_B0364D3E_645F_4033_893D_29F2224BCCD7_.wvu.FilterData" localSheetId="11" hidden="1">#REF!</definedName>
    <definedName name="Z_B0364D3E_645F_4033_893D_29F2224BCCD7_.wvu.FilterData" localSheetId="12" hidden="1">#REF!</definedName>
    <definedName name="Z_B0364D3E_645F_4033_893D_29F2224BCCD7_.wvu.FilterData" localSheetId="49" hidden="1">#REF!</definedName>
    <definedName name="Z_B0364D3E_645F_4033_893D_29F2224BCCD7_.wvu.FilterData" localSheetId="50" hidden="1">#REF!</definedName>
    <definedName name="Z_B0364D3E_645F_4033_893D_29F2224BCCD7_.wvu.FilterData" hidden="1">#REF!</definedName>
    <definedName name="Z_B08CF5DC_76DD_45F7_8117_C9FE4CDFE13D_.wvu.FilterData" localSheetId="11" hidden="1">#REF!</definedName>
    <definedName name="Z_B08CF5DC_76DD_45F7_8117_C9FE4CDFE13D_.wvu.FilterData" localSheetId="12" hidden="1">#REF!</definedName>
    <definedName name="Z_B08CF5DC_76DD_45F7_8117_C9FE4CDFE13D_.wvu.FilterData" localSheetId="49" hidden="1">#REF!</definedName>
    <definedName name="Z_B08CF5DC_76DD_45F7_8117_C9FE4CDFE13D_.wvu.FilterData" localSheetId="50" hidden="1">#REF!</definedName>
    <definedName name="Z_B08CF5DC_76DD_45F7_8117_C9FE4CDFE13D_.wvu.FilterData" hidden="1">#REF!</definedName>
    <definedName name="Z_B13DA151_EB04_4E46_A0CB_FABFF9C5DF72_.wvu.FilterData" localSheetId="11" hidden="1">#REF!</definedName>
    <definedName name="Z_B13DA151_EB04_4E46_A0CB_FABFF9C5DF72_.wvu.FilterData" localSheetId="12" hidden="1">#REF!</definedName>
    <definedName name="Z_B13DA151_EB04_4E46_A0CB_FABFF9C5DF72_.wvu.FilterData" localSheetId="49" hidden="1">#REF!</definedName>
    <definedName name="Z_B13DA151_EB04_4E46_A0CB_FABFF9C5DF72_.wvu.FilterData" localSheetId="50" hidden="1">#REF!</definedName>
    <definedName name="Z_B13DA151_EB04_4E46_A0CB_FABFF9C5DF72_.wvu.FilterData" hidden="1">#REF!</definedName>
    <definedName name="Z_B340090A_7121_4DF7_B8FD_E7BF8654F2EB_.wvu.FilterData" localSheetId="11" hidden="1">#REF!</definedName>
    <definedName name="Z_B340090A_7121_4DF7_B8FD_E7BF8654F2EB_.wvu.FilterData" localSheetId="12" hidden="1">#REF!</definedName>
    <definedName name="Z_B340090A_7121_4DF7_B8FD_E7BF8654F2EB_.wvu.FilterData" localSheetId="49" hidden="1">#REF!</definedName>
    <definedName name="Z_B340090A_7121_4DF7_B8FD_E7BF8654F2EB_.wvu.FilterData" localSheetId="50" hidden="1">#REF!</definedName>
    <definedName name="Z_B340090A_7121_4DF7_B8FD_E7BF8654F2EB_.wvu.FilterData" hidden="1">#REF!</definedName>
    <definedName name="Z_B3790809_8402_4639_802D_68CB564D3CAD_.wvu.FilterData" localSheetId="11" hidden="1">#REF!</definedName>
    <definedName name="Z_B3790809_8402_4639_802D_68CB564D3CAD_.wvu.FilterData" localSheetId="12" hidden="1">#REF!</definedName>
    <definedName name="Z_B3790809_8402_4639_802D_68CB564D3CAD_.wvu.FilterData" localSheetId="49" hidden="1">#REF!</definedName>
    <definedName name="Z_B3790809_8402_4639_802D_68CB564D3CAD_.wvu.FilterData" localSheetId="50" hidden="1">#REF!</definedName>
    <definedName name="Z_B3790809_8402_4639_802D_68CB564D3CAD_.wvu.FilterData" hidden="1">#REF!</definedName>
    <definedName name="Z_B3C1D59A_903F_46DF_8DF2_31381BD91025_.wvu.FilterData" localSheetId="11" hidden="1">#REF!</definedName>
    <definedName name="Z_B3C1D59A_903F_46DF_8DF2_31381BD91025_.wvu.FilterData" localSheetId="12" hidden="1">#REF!</definedName>
    <definedName name="Z_B3C1D59A_903F_46DF_8DF2_31381BD91025_.wvu.FilterData" localSheetId="49" hidden="1">#REF!</definedName>
    <definedName name="Z_B3C1D59A_903F_46DF_8DF2_31381BD91025_.wvu.FilterData" localSheetId="50" hidden="1">#REF!</definedName>
    <definedName name="Z_B3C1D59A_903F_46DF_8DF2_31381BD91025_.wvu.FilterData" hidden="1">#REF!</definedName>
    <definedName name="Z_B3CDBC94_37F5_4116_BD6E_D5B385C07413_.wvu.FilterData" localSheetId="11" hidden="1">#REF!</definedName>
    <definedName name="Z_B3CDBC94_37F5_4116_BD6E_D5B385C07413_.wvu.FilterData" localSheetId="12" hidden="1">#REF!</definedName>
    <definedName name="Z_B3CDBC94_37F5_4116_BD6E_D5B385C07413_.wvu.FilterData" localSheetId="49" hidden="1">#REF!</definedName>
    <definedName name="Z_B3CDBC94_37F5_4116_BD6E_D5B385C07413_.wvu.FilterData" localSheetId="50" hidden="1">#REF!</definedName>
    <definedName name="Z_B3CDBC94_37F5_4116_BD6E_D5B385C07413_.wvu.FilterData" hidden="1">#REF!</definedName>
    <definedName name="Z_B40719B5_6DD8_41F3_9C61_FA18B7BEC194_.wvu.FilterData" localSheetId="11" hidden="1">#REF!</definedName>
    <definedName name="Z_B40719B5_6DD8_41F3_9C61_FA18B7BEC194_.wvu.FilterData" localSheetId="12" hidden="1">#REF!</definedName>
    <definedName name="Z_B40719B5_6DD8_41F3_9C61_FA18B7BEC194_.wvu.FilterData" localSheetId="49" hidden="1">#REF!</definedName>
    <definedName name="Z_B40719B5_6DD8_41F3_9C61_FA18B7BEC194_.wvu.FilterData" localSheetId="50" hidden="1">#REF!</definedName>
    <definedName name="Z_B40719B5_6DD8_41F3_9C61_FA18B7BEC194_.wvu.FilterData" hidden="1">#REF!</definedName>
    <definedName name="Z_B5FB1767_00F1_47E1_979A_38E2CFECCE4E_.wvu.FilterData" localSheetId="11" hidden="1">#REF!</definedName>
    <definedName name="Z_B5FB1767_00F1_47E1_979A_38E2CFECCE4E_.wvu.FilterData" localSheetId="12" hidden="1">#REF!</definedName>
    <definedName name="Z_B5FB1767_00F1_47E1_979A_38E2CFECCE4E_.wvu.FilterData" localSheetId="49" hidden="1">#REF!</definedName>
    <definedName name="Z_B5FB1767_00F1_47E1_979A_38E2CFECCE4E_.wvu.FilterData" localSheetId="50" hidden="1">#REF!</definedName>
    <definedName name="Z_B5FB1767_00F1_47E1_979A_38E2CFECCE4E_.wvu.FilterData" hidden="1">#REF!</definedName>
    <definedName name="Z_B6D61CEC_479F_40D2_BFB7_830AFA48121C_.wvu.FilterData" localSheetId="11" hidden="1">#REF!</definedName>
    <definedName name="Z_B6D61CEC_479F_40D2_BFB7_830AFA48121C_.wvu.FilterData" localSheetId="12" hidden="1">#REF!</definedName>
    <definedName name="Z_B6D61CEC_479F_40D2_BFB7_830AFA48121C_.wvu.FilterData" localSheetId="49" hidden="1">#REF!</definedName>
    <definedName name="Z_B6D61CEC_479F_40D2_BFB7_830AFA48121C_.wvu.FilterData" localSheetId="50" hidden="1">#REF!</definedName>
    <definedName name="Z_B6D61CEC_479F_40D2_BFB7_830AFA48121C_.wvu.FilterData" hidden="1">#REF!</definedName>
    <definedName name="Z_B6EA8A04_6067_4CED_8676_4375FC6E4929_.wvu.FilterData" localSheetId="11" hidden="1">#REF!</definedName>
    <definedName name="Z_B6EA8A04_6067_4CED_8676_4375FC6E4929_.wvu.FilterData" localSheetId="12" hidden="1">#REF!</definedName>
    <definedName name="Z_B6EA8A04_6067_4CED_8676_4375FC6E4929_.wvu.FilterData" localSheetId="49" hidden="1">#REF!</definedName>
    <definedName name="Z_B6EA8A04_6067_4CED_8676_4375FC6E4929_.wvu.FilterData" localSheetId="50" hidden="1">#REF!</definedName>
    <definedName name="Z_B6EA8A04_6067_4CED_8676_4375FC6E4929_.wvu.FilterData" hidden="1">#REF!</definedName>
    <definedName name="Z_B8515688_C072_49D4_80D4_1978E858526D_.wvu.FilterData" localSheetId="11" hidden="1">#REF!</definedName>
    <definedName name="Z_B8515688_C072_49D4_80D4_1978E858526D_.wvu.FilterData" localSheetId="12" hidden="1">#REF!</definedName>
    <definedName name="Z_B8515688_C072_49D4_80D4_1978E858526D_.wvu.FilterData" localSheetId="49" hidden="1">#REF!</definedName>
    <definedName name="Z_B8515688_C072_49D4_80D4_1978E858526D_.wvu.FilterData" localSheetId="50" hidden="1">#REF!</definedName>
    <definedName name="Z_B8515688_C072_49D4_80D4_1978E858526D_.wvu.FilterData" hidden="1">#REF!</definedName>
    <definedName name="Z_BB0C7DED_1A2A_447D_AC53_8122CFF9D6F6_.wvu.FilterData" localSheetId="11" hidden="1">#REF!</definedName>
    <definedName name="Z_BB0C7DED_1A2A_447D_AC53_8122CFF9D6F6_.wvu.FilterData" localSheetId="12" hidden="1">#REF!</definedName>
    <definedName name="Z_BB0C7DED_1A2A_447D_AC53_8122CFF9D6F6_.wvu.FilterData" localSheetId="49" hidden="1">#REF!</definedName>
    <definedName name="Z_BB0C7DED_1A2A_447D_AC53_8122CFF9D6F6_.wvu.FilterData" localSheetId="50" hidden="1">#REF!</definedName>
    <definedName name="Z_BB0C7DED_1A2A_447D_AC53_8122CFF9D6F6_.wvu.FilterData" hidden="1">#REF!</definedName>
    <definedName name="Z_BD047219_C723_45AF_B6CE_3194D750F96A_.wvu.FilterData" localSheetId="11" hidden="1">#REF!</definedName>
    <definedName name="Z_BD047219_C723_45AF_B6CE_3194D750F96A_.wvu.FilterData" localSheetId="12" hidden="1">#REF!</definedName>
    <definedName name="Z_BD047219_C723_45AF_B6CE_3194D750F96A_.wvu.FilterData" localSheetId="49" hidden="1">#REF!</definedName>
    <definedName name="Z_BD047219_C723_45AF_B6CE_3194D750F96A_.wvu.FilterData" localSheetId="50" hidden="1">#REF!</definedName>
    <definedName name="Z_BD047219_C723_45AF_B6CE_3194D750F96A_.wvu.FilterData" hidden="1">#REF!</definedName>
    <definedName name="Z_BD9F2785_62CE_454B_8EC4_5B70580F1E90_.wvu.FilterData" localSheetId="11" hidden="1">#REF!</definedName>
    <definedName name="Z_BD9F2785_62CE_454B_8EC4_5B70580F1E90_.wvu.FilterData" localSheetId="12" hidden="1">#REF!</definedName>
    <definedName name="Z_BD9F2785_62CE_454B_8EC4_5B70580F1E90_.wvu.FilterData" localSheetId="49" hidden="1">#REF!</definedName>
    <definedName name="Z_BD9F2785_62CE_454B_8EC4_5B70580F1E90_.wvu.FilterData" localSheetId="50" hidden="1">#REF!</definedName>
    <definedName name="Z_BD9F2785_62CE_454B_8EC4_5B70580F1E90_.wvu.FilterData" hidden="1">#REF!</definedName>
    <definedName name="Z_BF9A441D_91C9_4CBB_A8C6_B1C8DDED0022_.wvu.FilterData" localSheetId="11" hidden="1">#REF!</definedName>
    <definedName name="Z_BF9A441D_91C9_4CBB_A8C6_B1C8DDED0022_.wvu.FilterData" localSheetId="12" hidden="1">#REF!</definedName>
    <definedName name="Z_BF9A441D_91C9_4CBB_A8C6_B1C8DDED0022_.wvu.FilterData" localSheetId="49" hidden="1">#REF!</definedName>
    <definedName name="Z_BF9A441D_91C9_4CBB_A8C6_B1C8DDED0022_.wvu.FilterData" localSheetId="50" hidden="1">#REF!</definedName>
    <definedName name="Z_BF9A441D_91C9_4CBB_A8C6_B1C8DDED0022_.wvu.FilterData" hidden="1">#REF!</definedName>
    <definedName name="Z_BFC54781_86DE_4A03_8DE2_96245227F466_.wvu.FilterData" localSheetId="11" hidden="1">#REF!</definedName>
    <definedName name="Z_BFC54781_86DE_4A03_8DE2_96245227F466_.wvu.FilterData" localSheetId="12" hidden="1">#REF!</definedName>
    <definedName name="Z_BFC54781_86DE_4A03_8DE2_96245227F466_.wvu.FilterData" localSheetId="49" hidden="1">#REF!</definedName>
    <definedName name="Z_BFC54781_86DE_4A03_8DE2_96245227F466_.wvu.FilterData" localSheetId="50" hidden="1">#REF!</definedName>
    <definedName name="Z_BFC54781_86DE_4A03_8DE2_96245227F466_.wvu.FilterData" hidden="1">#REF!</definedName>
    <definedName name="Z_BFD46250_AAC1_4A55_AF46_ED8E09898BF5_.wvu.FilterData" localSheetId="11" hidden="1">#REF!</definedName>
    <definedName name="Z_BFD46250_AAC1_4A55_AF46_ED8E09898BF5_.wvu.FilterData" localSheetId="12" hidden="1">#REF!</definedName>
    <definedName name="Z_BFD46250_AAC1_4A55_AF46_ED8E09898BF5_.wvu.FilterData" localSheetId="49" hidden="1">#REF!</definedName>
    <definedName name="Z_BFD46250_AAC1_4A55_AF46_ED8E09898BF5_.wvu.FilterData" localSheetId="50" hidden="1">#REF!</definedName>
    <definedName name="Z_BFD46250_AAC1_4A55_AF46_ED8E09898BF5_.wvu.FilterData" hidden="1">#REF!</definedName>
    <definedName name="Z_C061817B_F471_4B81_90AE_E317DA2C9A58_.wvu.FilterData" localSheetId="11" hidden="1">#REF!</definedName>
    <definedName name="Z_C061817B_F471_4B81_90AE_E317DA2C9A58_.wvu.FilterData" localSheetId="12" hidden="1">#REF!</definedName>
    <definedName name="Z_C061817B_F471_4B81_90AE_E317DA2C9A58_.wvu.FilterData" localSheetId="49" hidden="1">#REF!</definedName>
    <definedName name="Z_C061817B_F471_4B81_90AE_E317DA2C9A58_.wvu.FilterData" localSheetId="50" hidden="1">#REF!</definedName>
    <definedName name="Z_C061817B_F471_4B81_90AE_E317DA2C9A58_.wvu.FilterData" hidden="1">#REF!</definedName>
    <definedName name="Z_C131E47D_3396_4B17_9E92_DB888AEA91D5_.wvu.FilterData" localSheetId="11" hidden="1">#REF!</definedName>
    <definedName name="Z_C131E47D_3396_4B17_9E92_DB888AEA91D5_.wvu.FilterData" localSheetId="12" hidden="1">#REF!</definedName>
    <definedName name="Z_C131E47D_3396_4B17_9E92_DB888AEA91D5_.wvu.FilterData" localSheetId="49" hidden="1">#REF!</definedName>
    <definedName name="Z_C131E47D_3396_4B17_9E92_DB888AEA91D5_.wvu.FilterData" localSheetId="50" hidden="1">#REF!</definedName>
    <definedName name="Z_C131E47D_3396_4B17_9E92_DB888AEA91D5_.wvu.FilterData" hidden="1">#REF!</definedName>
    <definedName name="Z_C1802170_5495_42FB_B728_35CD980B19D6_.wvu.FilterData" localSheetId="11" hidden="1">#REF!</definedName>
    <definedName name="Z_C1802170_5495_42FB_B728_35CD980B19D6_.wvu.FilterData" localSheetId="12" hidden="1">#REF!</definedName>
    <definedName name="Z_C1802170_5495_42FB_B728_35CD980B19D6_.wvu.FilterData" localSheetId="49" hidden="1">#REF!</definedName>
    <definedName name="Z_C1802170_5495_42FB_B728_35CD980B19D6_.wvu.FilterData" localSheetId="50" hidden="1">#REF!</definedName>
    <definedName name="Z_C1802170_5495_42FB_B728_35CD980B19D6_.wvu.FilterData" hidden="1">#REF!</definedName>
    <definedName name="Z_C26D4D2E_294B_4D2B_871F_2EC8A4E760C7_.wvu.FilterData" localSheetId="11" hidden="1">#REF!</definedName>
    <definedName name="Z_C26D4D2E_294B_4D2B_871F_2EC8A4E760C7_.wvu.FilterData" localSheetId="12" hidden="1">#REF!</definedName>
    <definedName name="Z_C26D4D2E_294B_4D2B_871F_2EC8A4E760C7_.wvu.FilterData" localSheetId="49" hidden="1">#REF!</definedName>
    <definedName name="Z_C26D4D2E_294B_4D2B_871F_2EC8A4E760C7_.wvu.FilterData" localSheetId="50" hidden="1">#REF!</definedName>
    <definedName name="Z_C26D4D2E_294B_4D2B_871F_2EC8A4E760C7_.wvu.FilterData" hidden="1">#REF!</definedName>
    <definedName name="Z_C3063329_D0D0_4637_A72C_F328A5547CE7_.wvu.FilterData" localSheetId="11" hidden="1">#REF!</definedName>
    <definedName name="Z_C3063329_D0D0_4637_A72C_F328A5547CE7_.wvu.FilterData" localSheetId="12" hidden="1">#REF!</definedName>
    <definedName name="Z_C3063329_D0D0_4637_A72C_F328A5547CE7_.wvu.FilterData" localSheetId="49" hidden="1">#REF!</definedName>
    <definedName name="Z_C3063329_D0D0_4637_A72C_F328A5547CE7_.wvu.FilterData" localSheetId="50" hidden="1">#REF!</definedName>
    <definedName name="Z_C3063329_D0D0_4637_A72C_F328A5547CE7_.wvu.FilterData" hidden="1">#REF!</definedName>
    <definedName name="Z_C3D9BAF0_1C78_4CB5_AEF9_0EEE2A9DE669_.wvu.FilterData" localSheetId="11" hidden="1">#REF!</definedName>
    <definedName name="Z_C3D9BAF0_1C78_4CB5_AEF9_0EEE2A9DE669_.wvu.FilterData" localSheetId="12" hidden="1">#REF!</definedName>
    <definedName name="Z_C3D9BAF0_1C78_4CB5_AEF9_0EEE2A9DE669_.wvu.FilterData" localSheetId="49" hidden="1">#REF!</definedName>
    <definedName name="Z_C3D9BAF0_1C78_4CB5_AEF9_0EEE2A9DE669_.wvu.FilterData" localSheetId="50" hidden="1">#REF!</definedName>
    <definedName name="Z_C3D9BAF0_1C78_4CB5_AEF9_0EEE2A9DE669_.wvu.FilterData" hidden="1">#REF!</definedName>
    <definedName name="Z_C4068392_70E2_11D7_882C_000102B7EA93_.wvu.FilterData" localSheetId="11" hidden="1">#REF!</definedName>
    <definedName name="Z_C4068392_70E2_11D7_882C_000102B7EA93_.wvu.FilterData" localSheetId="12" hidden="1">#REF!</definedName>
    <definedName name="Z_C4068392_70E2_11D7_882C_000102B7EA93_.wvu.FilterData" localSheetId="49" hidden="1">#REF!</definedName>
    <definedName name="Z_C4068392_70E2_11D7_882C_000102B7EA93_.wvu.FilterData" localSheetId="50" hidden="1">#REF!</definedName>
    <definedName name="Z_C4068392_70E2_11D7_882C_000102B7EA93_.wvu.FilterData" hidden="1">#REF!</definedName>
    <definedName name="Z_C52FD69E_5B9C_4D82_B7ED_70C261BE0700_.wvu.FilterData" localSheetId="11" hidden="1">#REF!</definedName>
    <definedName name="Z_C52FD69E_5B9C_4D82_B7ED_70C261BE0700_.wvu.FilterData" localSheetId="12" hidden="1">#REF!</definedName>
    <definedName name="Z_C52FD69E_5B9C_4D82_B7ED_70C261BE0700_.wvu.FilterData" localSheetId="49" hidden="1">#REF!</definedName>
    <definedName name="Z_C52FD69E_5B9C_4D82_B7ED_70C261BE0700_.wvu.FilterData" localSheetId="50" hidden="1">#REF!</definedName>
    <definedName name="Z_C52FD69E_5B9C_4D82_B7ED_70C261BE0700_.wvu.FilterData" hidden="1">#REF!</definedName>
    <definedName name="Z_C5C733EB_610D_427A_858C_C033BAAB9779_.wvu.FilterData" localSheetId="11" hidden="1">#REF!</definedName>
    <definedName name="Z_C5C733EB_610D_427A_858C_C033BAAB9779_.wvu.FilterData" localSheetId="12" hidden="1">#REF!</definedName>
    <definedName name="Z_C5C733EB_610D_427A_858C_C033BAAB9779_.wvu.FilterData" localSheetId="49" hidden="1">#REF!</definedName>
    <definedName name="Z_C5C733EB_610D_427A_858C_C033BAAB9779_.wvu.FilterData" localSheetId="50" hidden="1">#REF!</definedName>
    <definedName name="Z_C5C733EB_610D_427A_858C_C033BAAB9779_.wvu.FilterData" hidden="1">#REF!</definedName>
    <definedName name="Z_C6A4B951_CE93_4890_83F3_C23448F2D1D7_.wvu.FilterData" localSheetId="11" hidden="1">#REF!</definedName>
    <definedName name="Z_C6A4B951_CE93_4890_83F3_C23448F2D1D7_.wvu.FilterData" localSheetId="12" hidden="1">#REF!</definedName>
    <definedName name="Z_C6A4B951_CE93_4890_83F3_C23448F2D1D7_.wvu.FilterData" localSheetId="49" hidden="1">#REF!</definedName>
    <definedName name="Z_C6A4B951_CE93_4890_83F3_C23448F2D1D7_.wvu.FilterData" localSheetId="50" hidden="1">#REF!</definedName>
    <definedName name="Z_C6A4B951_CE93_4890_83F3_C23448F2D1D7_.wvu.FilterData" hidden="1">#REF!</definedName>
    <definedName name="Z_C76CCD33_7C08_45FB_9AA2_FEC286E8C541_.wvu.FilterData" localSheetId="11" hidden="1">#REF!</definedName>
    <definedName name="Z_C76CCD33_7C08_45FB_9AA2_FEC286E8C541_.wvu.FilterData" localSheetId="12" hidden="1">#REF!</definedName>
    <definedName name="Z_C76CCD33_7C08_45FB_9AA2_FEC286E8C541_.wvu.FilterData" localSheetId="49" hidden="1">#REF!</definedName>
    <definedName name="Z_C76CCD33_7C08_45FB_9AA2_FEC286E8C541_.wvu.FilterData" localSheetId="50" hidden="1">#REF!</definedName>
    <definedName name="Z_C76CCD33_7C08_45FB_9AA2_FEC286E8C541_.wvu.FilterData" hidden="1">#REF!</definedName>
    <definedName name="Z_C8B71C34_C314_4936_BB18_B6D11C7CA539_.wvu.FilterData" localSheetId="11" hidden="1">#REF!</definedName>
    <definedName name="Z_C8B71C34_C314_4936_BB18_B6D11C7CA539_.wvu.FilterData" localSheetId="12" hidden="1">#REF!</definedName>
    <definedName name="Z_C8B71C34_C314_4936_BB18_B6D11C7CA539_.wvu.FilterData" localSheetId="49" hidden="1">#REF!</definedName>
    <definedName name="Z_C8B71C34_C314_4936_BB18_B6D11C7CA539_.wvu.FilterData" localSheetId="50" hidden="1">#REF!</definedName>
    <definedName name="Z_C8B71C34_C314_4936_BB18_B6D11C7CA539_.wvu.FilterData" hidden="1">#REF!</definedName>
    <definedName name="Z_C9C06A35_3B51_4DE2_AA97_F5650AC53897_.wvu.FilterData" localSheetId="11" hidden="1">#REF!</definedName>
    <definedName name="Z_C9C06A35_3B51_4DE2_AA97_F5650AC53897_.wvu.FilterData" localSheetId="12" hidden="1">#REF!</definedName>
    <definedName name="Z_C9C06A35_3B51_4DE2_AA97_F5650AC53897_.wvu.FilterData" localSheetId="49" hidden="1">#REF!</definedName>
    <definedName name="Z_C9C06A35_3B51_4DE2_AA97_F5650AC53897_.wvu.FilterData" localSheetId="50" hidden="1">#REF!</definedName>
    <definedName name="Z_C9C06A35_3B51_4DE2_AA97_F5650AC53897_.wvu.FilterData" hidden="1">#REF!</definedName>
    <definedName name="Z_CC9625CD_AAA3_4136_9705_36B82D07620E_.wvu.FilterData" localSheetId="11" hidden="1">#REF!</definedName>
    <definedName name="Z_CC9625CD_AAA3_4136_9705_36B82D07620E_.wvu.FilterData" localSheetId="12" hidden="1">#REF!</definedName>
    <definedName name="Z_CC9625CD_AAA3_4136_9705_36B82D07620E_.wvu.FilterData" localSheetId="49" hidden="1">#REF!</definedName>
    <definedName name="Z_CC9625CD_AAA3_4136_9705_36B82D07620E_.wvu.FilterData" localSheetId="50" hidden="1">#REF!</definedName>
    <definedName name="Z_CC9625CD_AAA3_4136_9705_36B82D07620E_.wvu.FilterData" hidden="1">#REF!</definedName>
    <definedName name="Z_CCACCE7A_EDA9_4FA4_88F6_AD6D5528E296_.wvu.FilterData" localSheetId="11" hidden="1">#REF!</definedName>
    <definedName name="Z_CCACCE7A_EDA9_4FA4_88F6_AD6D5528E296_.wvu.FilterData" localSheetId="12" hidden="1">#REF!</definedName>
    <definedName name="Z_CCACCE7A_EDA9_4FA4_88F6_AD6D5528E296_.wvu.FilterData" localSheetId="49" hidden="1">#REF!</definedName>
    <definedName name="Z_CCACCE7A_EDA9_4FA4_88F6_AD6D5528E296_.wvu.FilterData" localSheetId="50" hidden="1">#REF!</definedName>
    <definedName name="Z_CCACCE7A_EDA9_4FA4_88F6_AD6D5528E296_.wvu.FilterData" hidden="1">#REF!</definedName>
    <definedName name="Z_CDBBB3DF_C053_4317_9584_CD4D6DEEA688_.wvu.FilterData" localSheetId="11" hidden="1">#REF!</definedName>
    <definedName name="Z_CDBBB3DF_C053_4317_9584_CD4D6DEEA688_.wvu.FilterData" localSheetId="12" hidden="1">#REF!</definedName>
    <definedName name="Z_CDBBB3DF_C053_4317_9584_CD4D6DEEA688_.wvu.FilterData" localSheetId="49" hidden="1">#REF!</definedName>
    <definedName name="Z_CDBBB3DF_C053_4317_9584_CD4D6DEEA688_.wvu.FilterData" localSheetId="50" hidden="1">#REF!</definedName>
    <definedName name="Z_CDBBB3DF_C053_4317_9584_CD4D6DEEA688_.wvu.FilterData" hidden="1">#REF!</definedName>
    <definedName name="Z_CDFC9A88_B0BB_44E0_97F8_9097DD382BA5_.wvu.FilterData" localSheetId="11" hidden="1">#REF!</definedName>
    <definedName name="Z_CDFC9A88_B0BB_44E0_97F8_9097DD382BA5_.wvu.FilterData" localSheetId="12" hidden="1">#REF!</definedName>
    <definedName name="Z_CDFC9A88_B0BB_44E0_97F8_9097DD382BA5_.wvu.FilterData" localSheetId="49" hidden="1">#REF!</definedName>
    <definedName name="Z_CDFC9A88_B0BB_44E0_97F8_9097DD382BA5_.wvu.FilterData" localSheetId="50" hidden="1">#REF!</definedName>
    <definedName name="Z_CDFC9A88_B0BB_44E0_97F8_9097DD382BA5_.wvu.FilterData" hidden="1">#REF!</definedName>
    <definedName name="Z_CEDDC640_EE2A_4435_891D_2BDAE542CFD2_.wvu.FilterData" localSheetId="11" hidden="1">#REF!</definedName>
    <definedName name="Z_CEDDC640_EE2A_4435_891D_2BDAE542CFD2_.wvu.FilterData" localSheetId="12" hidden="1">#REF!</definedName>
    <definedName name="Z_CEDDC640_EE2A_4435_891D_2BDAE542CFD2_.wvu.FilterData" localSheetId="49" hidden="1">#REF!</definedName>
    <definedName name="Z_CEDDC640_EE2A_4435_891D_2BDAE542CFD2_.wvu.FilterData" localSheetId="50" hidden="1">#REF!</definedName>
    <definedName name="Z_CEDDC640_EE2A_4435_891D_2BDAE542CFD2_.wvu.FilterData" hidden="1">#REF!</definedName>
    <definedName name="Z_D1A82D5E_68FD_4B68_9784_52B58E5636E7_.wvu.FilterData" localSheetId="11" hidden="1">#REF!</definedName>
    <definedName name="Z_D1A82D5E_68FD_4B68_9784_52B58E5636E7_.wvu.FilterData" localSheetId="12" hidden="1">#REF!</definedName>
    <definedName name="Z_D1A82D5E_68FD_4B68_9784_52B58E5636E7_.wvu.FilterData" localSheetId="49" hidden="1">#REF!</definedName>
    <definedName name="Z_D1A82D5E_68FD_4B68_9784_52B58E5636E7_.wvu.FilterData" localSheetId="50" hidden="1">#REF!</definedName>
    <definedName name="Z_D1A82D5E_68FD_4B68_9784_52B58E5636E7_.wvu.FilterData" hidden="1">#REF!</definedName>
    <definedName name="Z_D1FAB40C_1B34_4F9F_B37A_5127BD88BBAC_.wvu.FilterData" localSheetId="11" hidden="1">#REF!</definedName>
    <definedName name="Z_D1FAB40C_1B34_4F9F_B37A_5127BD88BBAC_.wvu.FilterData" localSheetId="12" hidden="1">#REF!</definedName>
    <definedName name="Z_D1FAB40C_1B34_4F9F_B37A_5127BD88BBAC_.wvu.FilterData" localSheetId="49" hidden="1">#REF!</definedName>
    <definedName name="Z_D1FAB40C_1B34_4F9F_B37A_5127BD88BBAC_.wvu.FilterData" localSheetId="50" hidden="1">#REF!</definedName>
    <definedName name="Z_D1FAB40C_1B34_4F9F_B37A_5127BD88BBAC_.wvu.FilterData" hidden="1">#REF!</definedName>
    <definedName name="Z_D33463D8_B4A5_4DE4_B640_CAF7C4299D90_.wvu.FilterData" localSheetId="11" hidden="1">#REF!</definedName>
    <definedName name="Z_D33463D8_B4A5_4DE4_B640_CAF7C4299D90_.wvu.FilterData" localSheetId="12" hidden="1">#REF!</definedName>
    <definedName name="Z_D33463D8_B4A5_4DE4_B640_CAF7C4299D90_.wvu.FilterData" localSheetId="49" hidden="1">#REF!</definedName>
    <definedName name="Z_D33463D8_B4A5_4DE4_B640_CAF7C4299D90_.wvu.FilterData" localSheetId="50" hidden="1">#REF!</definedName>
    <definedName name="Z_D33463D8_B4A5_4DE4_B640_CAF7C4299D90_.wvu.FilterData" hidden="1">#REF!</definedName>
    <definedName name="Z_D6830399_E8F9_4A93_AD4C_0F373575B429_.wvu.FilterData" localSheetId="11" hidden="1">#REF!</definedName>
    <definedName name="Z_D6830399_E8F9_4A93_AD4C_0F373575B429_.wvu.FilterData" localSheetId="12" hidden="1">#REF!</definedName>
    <definedName name="Z_D6830399_E8F9_4A93_AD4C_0F373575B429_.wvu.FilterData" localSheetId="49" hidden="1">#REF!</definedName>
    <definedName name="Z_D6830399_E8F9_4A93_AD4C_0F373575B429_.wvu.FilterData" localSheetId="50" hidden="1">#REF!</definedName>
    <definedName name="Z_D6830399_E8F9_4A93_AD4C_0F373575B429_.wvu.FilterData" hidden="1">#REF!</definedName>
    <definedName name="Z_D77BD545_7453_49A9_86C7_0D8CE7EAA505_.wvu.FilterData" localSheetId="11" hidden="1">#REF!</definedName>
    <definedName name="Z_D77BD545_7453_49A9_86C7_0D8CE7EAA505_.wvu.FilterData" localSheetId="12" hidden="1">#REF!</definedName>
    <definedName name="Z_D77BD545_7453_49A9_86C7_0D8CE7EAA505_.wvu.FilterData" localSheetId="49" hidden="1">#REF!</definedName>
    <definedName name="Z_D77BD545_7453_49A9_86C7_0D8CE7EAA505_.wvu.FilterData" localSheetId="50" hidden="1">#REF!</definedName>
    <definedName name="Z_D77BD545_7453_49A9_86C7_0D8CE7EAA505_.wvu.FilterData" hidden="1">#REF!</definedName>
    <definedName name="Z_D7F87DB1_1990_4C3B_B971_3A6FA5D118CD_.wvu.FilterData" localSheetId="11" hidden="1">#REF!</definedName>
    <definedName name="Z_D7F87DB1_1990_4C3B_B971_3A6FA5D118CD_.wvu.FilterData" localSheetId="12" hidden="1">#REF!</definedName>
    <definedName name="Z_D7F87DB1_1990_4C3B_B971_3A6FA5D118CD_.wvu.FilterData" localSheetId="49" hidden="1">#REF!</definedName>
    <definedName name="Z_D7F87DB1_1990_4C3B_B971_3A6FA5D118CD_.wvu.FilterData" localSheetId="50" hidden="1">#REF!</definedName>
    <definedName name="Z_D7F87DB1_1990_4C3B_B971_3A6FA5D118CD_.wvu.FilterData" hidden="1">#REF!</definedName>
    <definedName name="Z_D8642325_9460_4501_938F_B70C469BB94C_.wvu.FilterData" localSheetId="11" hidden="1">#REF!</definedName>
    <definedName name="Z_D8642325_9460_4501_938F_B70C469BB94C_.wvu.FilterData" localSheetId="12" hidden="1">#REF!</definedName>
    <definedName name="Z_D8642325_9460_4501_938F_B70C469BB94C_.wvu.FilterData" localSheetId="49" hidden="1">#REF!</definedName>
    <definedName name="Z_D8642325_9460_4501_938F_B70C469BB94C_.wvu.FilterData" localSheetId="50" hidden="1">#REF!</definedName>
    <definedName name="Z_D8642325_9460_4501_938F_B70C469BB94C_.wvu.FilterData" hidden="1">#REF!</definedName>
    <definedName name="Z_DB5E2E10_5DC2_40A7_BA2F_BA4FCB2CBC8C_.wvu.FilterData" localSheetId="11" hidden="1">#REF!</definedName>
    <definedName name="Z_DB5E2E10_5DC2_40A7_BA2F_BA4FCB2CBC8C_.wvu.FilterData" localSheetId="12" hidden="1">#REF!</definedName>
    <definedName name="Z_DB5E2E10_5DC2_40A7_BA2F_BA4FCB2CBC8C_.wvu.FilterData" localSheetId="49" hidden="1">#REF!</definedName>
    <definedName name="Z_DB5E2E10_5DC2_40A7_BA2F_BA4FCB2CBC8C_.wvu.FilterData" localSheetId="50" hidden="1">#REF!</definedName>
    <definedName name="Z_DB5E2E10_5DC2_40A7_BA2F_BA4FCB2CBC8C_.wvu.FilterData" hidden="1">#REF!</definedName>
    <definedName name="Z_DB6923EA_4BB0_4B7E_AA47_83C7BF949F2A_.wvu.FilterData" localSheetId="11" hidden="1">#REF!</definedName>
    <definedName name="Z_DB6923EA_4BB0_4B7E_AA47_83C7BF949F2A_.wvu.FilterData" localSheetId="12" hidden="1">#REF!</definedName>
    <definedName name="Z_DB6923EA_4BB0_4B7E_AA47_83C7BF949F2A_.wvu.FilterData" localSheetId="49" hidden="1">#REF!</definedName>
    <definedName name="Z_DB6923EA_4BB0_4B7E_AA47_83C7BF949F2A_.wvu.FilterData" localSheetId="50" hidden="1">#REF!</definedName>
    <definedName name="Z_DB6923EA_4BB0_4B7E_AA47_83C7BF949F2A_.wvu.FilterData" hidden="1">#REF!</definedName>
    <definedName name="Z_DB98C602_A4A4_4B70_9ED4_358D78C2BD5B_.wvu.FilterData" localSheetId="11" hidden="1">#REF!</definedName>
    <definedName name="Z_DB98C602_A4A4_4B70_9ED4_358D78C2BD5B_.wvu.FilterData" localSheetId="12" hidden="1">#REF!</definedName>
    <definedName name="Z_DB98C602_A4A4_4B70_9ED4_358D78C2BD5B_.wvu.FilterData" localSheetId="49" hidden="1">#REF!</definedName>
    <definedName name="Z_DB98C602_A4A4_4B70_9ED4_358D78C2BD5B_.wvu.FilterData" localSheetId="50" hidden="1">#REF!</definedName>
    <definedName name="Z_DB98C602_A4A4_4B70_9ED4_358D78C2BD5B_.wvu.FilterData" hidden="1">#REF!</definedName>
    <definedName name="Z_DCEF54AB_2F3C_4138_9518_0AF912DE68F1_.wvu.FilterData" localSheetId="11" hidden="1">#REF!</definedName>
    <definedName name="Z_DCEF54AB_2F3C_4138_9518_0AF912DE68F1_.wvu.FilterData" localSheetId="12" hidden="1">#REF!</definedName>
    <definedName name="Z_DCEF54AB_2F3C_4138_9518_0AF912DE68F1_.wvu.FilterData" localSheetId="49" hidden="1">#REF!</definedName>
    <definedName name="Z_DCEF54AB_2F3C_4138_9518_0AF912DE68F1_.wvu.FilterData" localSheetId="50" hidden="1">#REF!</definedName>
    <definedName name="Z_DCEF54AB_2F3C_4138_9518_0AF912DE68F1_.wvu.FilterData" hidden="1">#REF!</definedName>
    <definedName name="Z_DD0EE640_D13F_4234_9EE5_3AFCE632A5F2_.wvu.FilterData" localSheetId="11" hidden="1">#REF!</definedName>
    <definedName name="Z_DD0EE640_D13F_4234_9EE5_3AFCE632A5F2_.wvu.FilterData" localSheetId="12" hidden="1">#REF!</definedName>
    <definedName name="Z_DD0EE640_D13F_4234_9EE5_3AFCE632A5F2_.wvu.FilterData" localSheetId="49" hidden="1">#REF!</definedName>
    <definedName name="Z_DD0EE640_D13F_4234_9EE5_3AFCE632A5F2_.wvu.FilterData" localSheetId="50" hidden="1">#REF!</definedName>
    <definedName name="Z_DD0EE640_D13F_4234_9EE5_3AFCE632A5F2_.wvu.FilterData" hidden="1">#REF!</definedName>
    <definedName name="Z_DFA9743D_F3CE_4CF4_8864_78598D0D751C_.wvu.FilterData" localSheetId="11" hidden="1">#REF!</definedName>
    <definedName name="Z_DFA9743D_F3CE_4CF4_8864_78598D0D751C_.wvu.FilterData" localSheetId="12" hidden="1">#REF!</definedName>
    <definedName name="Z_DFA9743D_F3CE_4CF4_8864_78598D0D751C_.wvu.FilterData" localSheetId="49" hidden="1">#REF!</definedName>
    <definedName name="Z_DFA9743D_F3CE_4CF4_8864_78598D0D751C_.wvu.FilterData" localSheetId="50" hidden="1">#REF!</definedName>
    <definedName name="Z_DFA9743D_F3CE_4CF4_8864_78598D0D751C_.wvu.FilterData" hidden="1">#REF!</definedName>
    <definedName name="Z_DFE430D0_DD4E_4E40_B190_19BEE9AD0CBC_.wvu.FilterData" localSheetId="11" hidden="1">#REF!</definedName>
    <definedName name="Z_DFE430D0_DD4E_4E40_B190_19BEE9AD0CBC_.wvu.FilterData" localSheetId="12" hidden="1">#REF!</definedName>
    <definedName name="Z_DFE430D0_DD4E_4E40_B190_19BEE9AD0CBC_.wvu.FilterData" localSheetId="49" hidden="1">#REF!</definedName>
    <definedName name="Z_DFE430D0_DD4E_4E40_B190_19BEE9AD0CBC_.wvu.FilterData" localSheetId="50" hidden="1">#REF!</definedName>
    <definedName name="Z_DFE430D0_DD4E_4E40_B190_19BEE9AD0CBC_.wvu.FilterData" hidden="1">#REF!</definedName>
    <definedName name="Z_E2547EDD_D29F_4DEE_98C5_A9AA79B5E613_.wvu.FilterData" localSheetId="11" hidden="1">#REF!</definedName>
    <definedName name="Z_E2547EDD_D29F_4DEE_98C5_A9AA79B5E613_.wvu.FilterData" localSheetId="12" hidden="1">#REF!</definedName>
    <definedName name="Z_E2547EDD_D29F_4DEE_98C5_A9AA79B5E613_.wvu.FilterData" localSheetId="49" hidden="1">#REF!</definedName>
    <definedName name="Z_E2547EDD_D29F_4DEE_98C5_A9AA79B5E613_.wvu.FilterData" localSheetId="50" hidden="1">#REF!</definedName>
    <definedName name="Z_E2547EDD_D29F_4DEE_98C5_A9AA79B5E613_.wvu.FilterData" hidden="1">#REF!</definedName>
    <definedName name="Z_E62B5FDD_E3DE_49E6_BA80_5948A7E0F370_.wvu.FilterData" localSheetId="11" hidden="1">#REF!</definedName>
    <definedName name="Z_E62B5FDD_E3DE_49E6_BA80_5948A7E0F370_.wvu.FilterData" localSheetId="12" hidden="1">#REF!</definedName>
    <definedName name="Z_E62B5FDD_E3DE_49E6_BA80_5948A7E0F370_.wvu.FilterData" localSheetId="49" hidden="1">#REF!</definedName>
    <definedName name="Z_E62B5FDD_E3DE_49E6_BA80_5948A7E0F370_.wvu.FilterData" localSheetId="50" hidden="1">#REF!</definedName>
    <definedName name="Z_E62B5FDD_E3DE_49E6_BA80_5948A7E0F370_.wvu.FilterData" hidden="1">#REF!</definedName>
    <definedName name="Z_E65CFA7E_41DA_408C_A2AF_C9D9D211D253_.wvu.FilterData" localSheetId="11" hidden="1">#REF!</definedName>
    <definedName name="Z_E65CFA7E_41DA_408C_A2AF_C9D9D211D253_.wvu.FilterData" localSheetId="12" hidden="1">#REF!</definedName>
    <definedName name="Z_E65CFA7E_41DA_408C_A2AF_C9D9D211D253_.wvu.FilterData" localSheetId="49" hidden="1">#REF!</definedName>
    <definedName name="Z_E65CFA7E_41DA_408C_A2AF_C9D9D211D253_.wvu.FilterData" localSheetId="50" hidden="1">#REF!</definedName>
    <definedName name="Z_E65CFA7E_41DA_408C_A2AF_C9D9D211D253_.wvu.FilterData" hidden="1">#REF!</definedName>
    <definedName name="Z_E716EB83_6184_4934_AC9A_F207DFF8271C_.wvu.FilterData" localSheetId="11" hidden="1">#REF!</definedName>
    <definedName name="Z_E716EB83_6184_4934_AC9A_F207DFF8271C_.wvu.FilterData" localSheetId="12" hidden="1">#REF!</definedName>
    <definedName name="Z_E716EB83_6184_4934_AC9A_F207DFF8271C_.wvu.FilterData" localSheetId="49" hidden="1">#REF!</definedName>
    <definedName name="Z_E716EB83_6184_4934_AC9A_F207DFF8271C_.wvu.FilterData" localSheetId="50" hidden="1">#REF!</definedName>
    <definedName name="Z_E716EB83_6184_4934_AC9A_F207DFF8271C_.wvu.FilterData" hidden="1">#REF!</definedName>
    <definedName name="Z_E8DA1088_1B70_45BC_9580_AB21C9779799_.wvu.FilterData" localSheetId="11" hidden="1">#REF!</definedName>
    <definedName name="Z_E8DA1088_1B70_45BC_9580_AB21C9779799_.wvu.FilterData" localSheetId="12" hidden="1">#REF!</definedName>
    <definedName name="Z_E8DA1088_1B70_45BC_9580_AB21C9779799_.wvu.FilterData" localSheetId="49" hidden="1">#REF!</definedName>
    <definedName name="Z_E8DA1088_1B70_45BC_9580_AB21C9779799_.wvu.FilterData" localSheetId="50" hidden="1">#REF!</definedName>
    <definedName name="Z_E8DA1088_1B70_45BC_9580_AB21C9779799_.wvu.FilterData" hidden="1">#REF!</definedName>
    <definedName name="Z_EA132528_EA87_4E89_88E7_B910C8737820_.wvu.FilterData" localSheetId="11" hidden="1">#REF!</definedName>
    <definedName name="Z_EA132528_EA87_4E89_88E7_B910C8737820_.wvu.FilterData" localSheetId="12" hidden="1">#REF!</definedName>
    <definedName name="Z_EA132528_EA87_4E89_88E7_B910C8737820_.wvu.FilterData" localSheetId="49" hidden="1">#REF!</definedName>
    <definedName name="Z_EA132528_EA87_4E89_88E7_B910C8737820_.wvu.FilterData" localSheetId="50" hidden="1">#REF!</definedName>
    <definedName name="Z_EA132528_EA87_4E89_88E7_B910C8737820_.wvu.FilterData" hidden="1">#REF!</definedName>
    <definedName name="Z_EACA5552_6A11_454F_9370_90ABEB10D353_.wvu.FilterData" localSheetId="11" hidden="1">#REF!</definedName>
    <definedName name="Z_EACA5552_6A11_454F_9370_90ABEB10D353_.wvu.FilterData" localSheetId="12" hidden="1">#REF!</definedName>
    <definedName name="Z_EACA5552_6A11_454F_9370_90ABEB10D353_.wvu.FilterData" localSheetId="49" hidden="1">#REF!</definedName>
    <definedName name="Z_EACA5552_6A11_454F_9370_90ABEB10D353_.wvu.FilterData" localSheetId="50" hidden="1">#REF!</definedName>
    <definedName name="Z_EACA5552_6A11_454F_9370_90ABEB10D353_.wvu.FilterData" hidden="1">#REF!</definedName>
    <definedName name="Z_EAD327E5_03D5_4FE6_B20C_6C8F8ED20FDA_.wvu.FilterData" localSheetId="11" hidden="1">#REF!</definedName>
    <definedName name="Z_EAD327E5_03D5_4FE6_B20C_6C8F8ED20FDA_.wvu.FilterData" localSheetId="12" hidden="1">#REF!</definedName>
    <definedName name="Z_EAD327E5_03D5_4FE6_B20C_6C8F8ED20FDA_.wvu.FilterData" localSheetId="49" hidden="1">#REF!</definedName>
    <definedName name="Z_EAD327E5_03D5_4FE6_B20C_6C8F8ED20FDA_.wvu.FilterData" localSheetId="50" hidden="1">#REF!</definedName>
    <definedName name="Z_EAD327E5_03D5_4FE6_B20C_6C8F8ED20FDA_.wvu.FilterData" hidden="1">#REF!</definedName>
    <definedName name="Z_EC0806A7_F8A5_4AB0_9843_BEFEA068EF84_.wvu.FilterData" localSheetId="11" hidden="1">#REF!</definedName>
    <definedName name="Z_EC0806A7_F8A5_4AB0_9843_BEFEA068EF84_.wvu.FilterData" localSheetId="12" hidden="1">#REF!</definedName>
    <definedName name="Z_EC0806A7_F8A5_4AB0_9843_BEFEA068EF84_.wvu.FilterData" localSheetId="49" hidden="1">#REF!</definedName>
    <definedName name="Z_EC0806A7_F8A5_4AB0_9843_BEFEA068EF84_.wvu.FilterData" localSheetId="50" hidden="1">#REF!</definedName>
    <definedName name="Z_EC0806A7_F8A5_4AB0_9843_BEFEA068EF84_.wvu.FilterData" hidden="1">#REF!</definedName>
    <definedName name="Z_EC3BDFDA_32DB_46B4_9DB8_447FB9651E99_.wvu.FilterData" localSheetId="11" hidden="1">#REF!</definedName>
    <definedName name="Z_EC3BDFDA_32DB_46B4_9DB8_447FB9651E99_.wvu.FilterData" localSheetId="12" hidden="1">#REF!</definedName>
    <definedName name="Z_EC3BDFDA_32DB_46B4_9DB8_447FB9651E99_.wvu.FilterData" localSheetId="49" hidden="1">#REF!</definedName>
    <definedName name="Z_EC3BDFDA_32DB_46B4_9DB8_447FB9651E99_.wvu.FilterData" localSheetId="50" hidden="1">#REF!</definedName>
    <definedName name="Z_EC3BDFDA_32DB_46B4_9DB8_447FB9651E99_.wvu.FilterData" hidden="1">#REF!</definedName>
    <definedName name="Z_EC73F126_448D_4348_A573_3BC24AC8795A_.wvu.FilterData" localSheetId="11" hidden="1">#REF!</definedName>
    <definedName name="Z_EC73F126_448D_4348_A573_3BC24AC8795A_.wvu.FilterData" localSheetId="12" hidden="1">#REF!</definedName>
    <definedName name="Z_EC73F126_448D_4348_A573_3BC24AC8795A_.wvu.FilterData" localSheetId="49" hidden="1">#REF!</definedName>
    <definedName name="Z_EC73F126_448D_4348_A573_3BC24AC8795A_.wvu.FilterData" localSheetId="50" hidden="1">#REF!</definedName>
    <definedName name="Z_EC73F126_448D_4348_A573_3BC24AC8795A_.wvu.FilterData" hidden="1">#REF!</definedName>
    <definedName name="Z_EE2FF224_EB99_4F66_89A5_BA724EA24427_.wvu.FilterData" localSheetId="11" hidden="1">#REF!</definedName>
    <definedName name="Z_EE2FF224_EB99_4F66_89A5_BA724EA24427_.wvu.FilterData" localSheetId="12" hidden="1">#REF!</definedName>
    <definedName name="Z_EE2FF224_EB99_4F66_89A5_BA724EA24427_.wvu.FilterData" localSheetId="49" hidden="1">#REF!</definedName>
    <definedName name="Z_EE2FF224_EB99_4F66_89A5_BA724EA24427_.wvu.FilterData" localSheetId="50" hidden="1">#REF!</definedName>
    <definedName name="Z_EE2FF224_EB99_4F66_89A5_BA724EA24427_.wvu.FilterData" hidden="1">#REF!</definedName>
    <definedName name="Z_EE59C669_DD06_4D54_A54F_AB6454CED5F7_.wvu.FilterData" localSheetId="11" hidden="1">#REF!</definedName>
    <definedName name="Z_EE59C669_DD06_4D54_A54F_AB6454CED5F7_.wvu.FilterData" localSheetId="12" hidden="1">#REF!</definedName>
    <definedName name="Z_EE59C669_DD06_4D54_A54F_AB6454CED5F7_.wvu.FilterData" localSheetId="49" hidden="1">#REF!</definedName>
    <definedName name="Z_EE59C669_DD06_4D54_A54F_AB6454CED5F7_.wvu.FilterData" localSheetId="50" hidden="1">#REF!</definedName>
    <definedName name="Z_EE59C669_DD06_4D54_A54F_AB6454CED5F7_.wvu.FilterData" hidden="1">#REF!</definedName>
    <definedName name="Z_EEB39A19_0FC3_44FD_AFD3_08049C71CA5C_.wvu.FilterData" localSheetId="11" hidden="1">#REF!</definedName>
    <definedName name="Z_EEB39A19_0FC3_44FD_AFD3_08049C71CA5C_.wvu.FilterData" localSheetId="12" hidden="1">#REF!</definedName>
    <definedName name="Z_EEB39A19_0FC3_44FD_AFD3_08049C71CA5C_.wvu.FilterData" localSheetId="49" hidden="1">#REF!</definedName>
    <definedName name="Z_EEB39A19_0FC3_44FD_AFD3_08049C71CA5C_.wvu.FilterData" localSheetId="50" hidden="1">#REF!</definedName>
    <definedName name="Z_EEB39A19_0FC3_44FD_AFD3_08049C71CA5C_.wvu.FilterData" hidden="1">#REF!</definedName>
    <definedName name="Z_EF0F7889_2C1E_4238_8B7B_8D0D4B99295B_.wvu.FilterData" localSheetId="11" hidden="1">#REF!</definedName>
    <definedName name="Z_EF0F7889_2C1E_4238_8B7B_8D0D4B99295B_.wvu.FilterData" localSheetId="12" hidden="1">#REF!</definedName>
    <definedName name="Z_EF0F7889_2C1E_4238_8B7B_8D0D4B99295B_.wvu.FilterData" localSheetId="49" hidden="1">#REF!</definedName>
    <definedName name="Z_EF0F7889_2C1E_4238_8B7B_8D0D4B99295B_.wvu.FilterData" localSheetId="50" hidden="1">#REF!</definedName>
    <definedName name="Z_EF0F7889_2C1E_4238_8B7B_8D0D4B99295B_.wvu.FilterData" hidden="1">#REF!</definedName>
    <definedName name="Z_F0BEE053_CC9E_4B75_A7ED_8354A3C87E6D_.wvu.FilterData" localSheetId="11" hidden="1">#REF!</definedName>
    <definedName name="Z_F0BEE053_CC9E_4B75_A7ED_8354A3C87E6D_.wvu.FilterData" localSheetId="12" hidden="1">#REF!</definedName>
    <definedName name="Z_F0BEE053_CC9E_4B75_A7ED_8354A3C87E6D_.wvu.FilterData" localSheetId="49" hidden="1">#REF!</definedName>
    <definedName name="Z_F0BEE053_CC9E_4B75_A7ED_8354A3C87E6D_.wvu.FilterData" localSheetId="50" hidden="1">#REF!</definedName>
    <definedName name="Z_F0BEE053_CC9E_4B75_A7ED_8354A3C87E6D_.wvu.FilterData" hidden="1">#REF!</definedName>
    <definedName name="Z_F1763C82_6D53_4E59_B1FD_6E1B32681758_.wvu.FilterData" localSheetId="11" hidden="1">#REF!</definedName>
    <definedName name="Z_F1763C82_6D53_4E59_B1FD_6E1B32681758_.wvu.FilterData" localSheetId="12" hidden="1">#REF!</definedName>
    <definedName name="Z_F1763C82_6D53_4E59_B1FD_6E1B32681758_.wvu.FilterData" localSheetId="49" hidden="1">#REF!</definedName>
    <definedName name="Z_F1763C82_6D53_4E59_B1FD_6E1B32681758_.wvu.FilterData" localSheetId="50" hidden="1">#REF!</definedName>
    <definedName name="Z_F1763C82_6D53_4E59_B1FD_6E1B32681758_.wvu.FilterData" hidden="1">#REF!</definedName>
    <definedName name="Z_F2091873_10D4_489F_B19B_F2EFD09E7524_.wvu.FilterData" localSheetId="11" hidden="1">#REF!</definedName>
    <definedName name="Z_F2091873_10D4_489F_B19B_F2EFD09E7524_.wvu.FilterData" localSheetId="12" hidden="1">#REF!</definedName>
    <definedName name="Z_F2091873_10D4_489F_B19B_F2EFD09E7524_.wvu.FilterData" localSheetId="49" hidden="1">#REF!</definedName>
    <definedName name="Z_F2091873_10D4_489F_B19B_F2EFD09E7524_.wvu.FilterData" localSheetId="50" hidden="1">#REF!</definedName>
    <definedName name="Z_F2091873_10D4_489F_B19B_F2EFD09E7524_.wvu.FilterData" hidden="1">#REF!</definedName>
    <definedName name="Z_F35BBA14_C940_4E05_8D2F_8EF2382BD8E9_.wvu.FilterData" localSheetId="11" hidden="1">#REF!</definedName>
    <definedName name="Z_F35BBA14_C940_4E05_8D2F_8EF2382BD8E9_.wvu.FilterData" localSheetId="12" hidden="1">#REF!</definedName>
    <definedName name="Z_F35BBA14_C940_4E05_8D2F_8EF2382BD8E9_.wvu.FilterData" localSheetId="49" hidden="1">#REF!</definedName>
    <definedName name="Z_F35BBA14_C940_4E05_8D2F_8EF2382BD8E9_.wvu.FilterData" localSheetId="50" hidden="1">#REF!</definedName>
    <definedName name="Z_F35BBA14_C940_4E05_8D2F_8EF2382BD8E9_.wvu.FilterData" hidden="1">#REF!</definedName>
    <definedName name="Z_F6A8A1D4_2E27_4066_BF73_DF05C2A1BE54_.wvu.FilterData" localSheetId="11" hidden="1">#REF!</definedName>
    <definedName name="Z_F6A8A1D4_2E27_4066_BF73_DF05C2A1BE54_.wvu.FilterData" localSheetId="12" hidden="1">#REF!</definedName>
    <definedName name="Z_F6A8A1D4_2E27_4066_BF73_DF05C2A1BE54_.wvu.FilterData" localSheetId="49" hidden="1">#REF!</definedName>
    <definedName name="Z_F6A8A1D4_2E27_4066_BF73_DF05C2A1BE54_.wvu.FilterData" localSheetId="50" hidden="1">#REF!</definedName>
    <definedName name="Z_F6A8A1D4_2E27_4066_BF73_DF05C2A1BE54_.wvu.FilterData" hidden="1">#REF!</definedName>
    <definedName name="Z_F6F91436_DB8C_43B9_9601_ADA87F20DA85_.wvu.FilterData" localSheetId="11" hidden="1">#REF!</definedName>
    <definedName name="Z_F6F91436_DB8C_43B9_9601_ADA87F20DA85_.wvu.FilterData" localSheetId="12" hidden="1">#REF!</definedName>
    <definedName name="Z_F6F91436_DB8C_43B9_9601_ADA87F20DA85_.wvu.FilterData" localSheetId="49" hidden="1">#REF!</definedName>
    <definedName name="Z_F6F91436_DB8C_43B9_9601_ADA87F20DA85_.wvu.FilterData" localSheetId="50" hidden="1">#REF!</definedName>
    <definedName name="Z_F6F91436_DB8C_43B9_9601_ADA87F20DA85_.wvu.FilterData" hidden="1">#REF!</definedName>
    <definedName name="Z_F9D42F6D_FBB8_4347_9609_09FB930659C7_.wvu.FilterData" localSheetId="11" hidden="1">#REF!</definedName>
    <definedName name="Z_F9D42F6D_FBB8_4347_9609_09FB930659C7_.wvu.FilterData" localSheetId="12" hidden="1">#REF!</definedName>
    <definedName name="Z_F9D42F6D_FBB8_4347_9609_09FB930659C7_.wvu.FilterData" localSheetId="49" hidden="1">#REF!</definedName>
    <definedName name="Z_F9D42F6D_FBB8_4347_9609_09FB930659C7_.wvu.FilterData" localSheetId="50" hidden="1">#REF!</definedName>
    <definedName name="Z_F9D42F6D_FBB8_4347_9609_09FB930659C7_.wvu.FilterData" hidden="1">#REF!</definedName>
    <definedName name="Z_FA249B36_5B5A_4A16_9895_DFF5A4371322_.wvu.FilterData" localSheetId="11" hidden="1">#REF!</definedName>
    <definedName name="Z_FA249B36_5B5A_4A16_9895_DFF5A4371322_.wvu.FilterData" localSheetId="12" hidden="1">#REF!</definedName>
    <definedName name="Z_FA249B36_5B5A_4A16_9895_DFF5A4371322_.wvu.FilterData" localSheetId="49" hidden="1">#REF!</definedName>
    <definedName name="Z_FA249B36_5B5A_4A16_9895_DFF5A4371322_.wvu.FilterData" localSheetId="50" hidden="1">#REF!</definedName>
    <definedName name="Z_FA249B36_5B5A_4A16_9895_DFF5A4371322_.wvu.FilterData" hidden="1">#REF!</definedName>
    <definedName name="Z_FA2BA62A_D02C_47A4_B101_F560E4F5A890_.wvu.FilterData" localSheetId="11" hidden="1">#REF!</definedName>
    <definedName name="Z_FA2BA62A_D02C_47A4_B101_F560E4F5A890_.wvu.FilterData" localSheetId="12" hidden="1">#REF!</definedName>
    <definedName name="Z_FA2BA62A_D02C_47A4_B101_F560E4F5A890_.wvu.FilterData" localSheetId="49" hidden="1">#REF!</definedName>
    <definedName name="Z_FA2BA62A_D02C_47A4_B101_F560E4F5A890_.wvu.FilterData" localSheetId="50" hidden="1">#REF!</definedName>
    <definedName name="Z_FA2BA62A_D02C_47A4_B101_F560E4F5A890_.wvu.FilterData" hidden="1">#REF!</definedName>
    <definedName name="Z_FAE2F684_3BFD_4D9A_A781_817E0C770D03_.wvu.FilterData" localSheetId="11" hidden="1">#REF!</definedName>
    <definedName name="Z_FAE2F684_3BFD_4D9A_A781_817E0C770D03_.wvu.FilterData" localSheetId="12" hidden="1">#REF!</definedName>
    <definedName name="Z_FAE2F684_3BFD_4D9A_A781_817E0C770D03_.wvu.FilterData" localSheetId="49" hidden="1">#REF!</definedName>
    <definedName name="Z_FAE2F684_3BFD_4D9A_A781_817E0C770D03_.wvu.FilterData" localSheetId="50" hidden="1">#REF!</definedName>
    <definedName name="Z_FAE2F684_3BFD_4D9A_A781_817E0C770D03_.wvu.FilterData" hidden="1">#REF!</definedName>
    <definedName name="Z_FB4DC09B_2939_4303_BE5F_7A353FD7CA56_.wvu.FilterData" localSheetId="11" hidden="1">#REF!</definedName>
    <definedName name="Z_FB4DC09B_2939_4303_BE5F_7A353FD7CA56_.wvu.FilterData" localSheetId="12" hidden="1">#REF!</definedName>
    <definedName name="Z_FB4DC09B_2939_4303_BE5F_7A353FD7CA56_.wvu.FilterData" localSheetId="49" hidden="1">#REF!</definedName>
    <definedName name="Z_FB4DC09B_2939_4303_BE5F_7A353FD7CA56_.wvu.FilterData" localSheetId="50" hidden="1">#REF!</definedName>
    <definedName name="Z_FB4DC09B_2939_4303_BE5F_7A353FD7CA56_.wvu.FilterData" hidden="1">#REF!</definedName>
    <definedName name="Z_FE91E8DA_1017_4CBC_AA5E_26CB5F0FC9EA_.wvu.FilterData" localSheetId="11" hidden="1">#REF!</definedName>
    <definedName name="Z_FE91E8DA_1017_4CBC_AA5E_26CB5F0FC9EA_.wvu.FilterData" localSheetId="12" hidden="1">#REF!</definedName>
    <definedName name="Z_FE91E8DA_1017_4CBC_AA5E_26CB5F0FC9EA_.wvu.FilterData" localSheetId="49" hidden="1">#REF!</definedName>
    <definedName name="Z_FE91E8DA_1017_4CBC_AA5E_26CB5F0FC9EA_.wvu.FilterData" localSheetId="50" hidden="1">#REF!</definedName>
    <definedName name="Z_FE91E8DA_1017_4CBC_AA5E_26CB5F0FC9EA_.wvu.FilterData" hidden="1">#REF!</definedName>
    <definedName name="Z_FEC78678_1464_4166_9FC6_867AD5962476_.wvu.FilterData" localSheetId="11" hidden="1">#REF!</definedName>
    <definedName name="Z_FEC78678_1464_4166_9FC6_867AD5962476_.wvu.FilterData" localSheetId="12" hidden="1">#REF!</definedName>
    <definedName name="Z_FEC78678_1464_4166_9FC6_867AD5962476_.wvu.FilterData" localSheetId="49" hidden="1">#REF!</definedName>
    <definedName name="Z_FEC78678_1464_4166_9FC6_867AD5962476_.wvu.FilterData" localSheetId="50" hidden="1">#REF!</definedName>
    <definedName name="Z_FEC78678_1464_4166_9FC6_867AD5962476_.wvu.FilterData" hidden="1">#REF!</definedName>
    <definedName name="_xlnm.Auto_Open_" localSheetId="11" hidden="1">#REF!</definedName>
    <definedName name="_xlnm.Auto_Open_" localSheetId="12" hidden="1">#REF!</definedName>
    <definedName name="_xlnm.Auto_Open_" localSheetId="49" hidden="1">#REF!</definedName>
    <definedName name="_xlnm.Auto_Open_" localSheetId="50" hidden="1">#REF!</definedName>
    <definedName name="_xlnm.Auto_Open_" hidden="1">#REF!</definedName>
    <definedName name="_xlnm.Auto_Open_ФильтрБазыДанных" localSheetId="11" hidden="1">#REF!</definedName>
    <definedName name="_xlnm.Auto_Open_ФильтрБазыДанных" localSheetId="12" hidden="1">#REF!</definedName>
    <definedName name="_xlnm.Auto_Open_ФильтрБазыДанных" localSheetId="49" hidden="1">#REF!</definedName>
    <definedName name="_xlnm.Auto_Open_ФильтрБазыДанных" localSheetId="50" hidden="1">#REF!</definedName>
    <definedName name="_xlnm.Auto_Open_ФильтрБазыДанных" hidden="1">#REF!</definedName>
    <definedName name="_xlnm.Auto_OpenАвто_открыть_ФильтрБазыДанных" localSheetId="11" hidden="1">#REF!</definedName>
    <definedName name="_xlnm.Auto_OpenАвто_открыть_ФильтрБазыДанных" localSheetId="12" hidden="1">#REF!</definedName>
    <definedName name="_xlnm.Auto_OpenАвто_открыть_ФильтрБазыДанных" localSheetId="49" hidden="1">#REF!</definedName>
    <definedName name="_xlnm.Auto_OpenАвто_открыть_ФильтрБазыДанных" localSheetId="50" hidden="1">#REF!</definedName>
    <definedName name="_xlnm.Auto_OpenАвто_открыть_ФильтрБазыДанных" hidden="1">#REF!</definedName>
    <definedName name="_xlnm.Auto_OpenАвто_открытьКП23" localSheetId="11" hidden="1">#REF!</definedName>
    <definedName name="_xlnm.Auto_OpenАвто_открытьКП23" localSheetId="12" hidden="1">#REF!</definedName>
    <definedName name="_xlnm.Auto_OpenАвто_открытьКП23" localSheetId="49" hidden="1">#REF!</definedName>
    <definedName name="_xlnm.Auto_OpenАвто_открытьКП23" localSheetId="50" hidden="1">#REF!</definedName>
    <definedName name="_xlnm.Auto_OpenАвто_открытьКП23" hidden="1">#REF!</definedName>
    <definedName name="_xlnm.Auto_OpenКП23" localSheetId="11" hidden="1">#REF!</definedName>
    <definedName name="_xlnm.Auto_OpenКП23" localSheetId="12" hidden="1">#REF!</definedName>
    <definedName name="_xlnm.Auto_OpenКП23" localSheetId="49" hidden="1">#REF!</definedName>
    <definedName name="_xlnm.Auto_OpenКП23" localSheetId="50" hidden="1">#REF!</definedName>
    <definedName name="_xlnm.Auto_OpenКП23" hidden="1">#REF!</definedName>
    <definedName name="ап" localSheetId="48" hidden="1">{#N/A,#N/A,TRUE,"Смета на пасс. обор. №1"}</definedName>
    <definedName name="ап" localSheetId="50" hidden="1">{#N/A,#N/A,TRUE,"Смета на пасс. обор. №1"}</definedName>
    <definedName name="ап" localSheetId="43" hidden="1">{#N/A,#N/A,TRUE,"Смета на пасс. обор. №1"}</definedName>
    <definedName name="ап" hidden="1">{#N/A,#N/A,TRUE,"Смета на пасс. обор. №1"}</definedName>
    <definedName name="ап1" localSheetId="48" hidden="1">{#N/A,#N/A,TRUE,"Смета на пасс. обор. №1"}</definedName>
    <definedName name="ап1" localSheetId="50" hidden="1">{#N/A,#N/A,TRUE,"Смета на пасс. обор. №1"}</definedName>
    <definedName name="ап1" localSheetId="43" hidden="1">{#N/A,#N/A,TRUE,"Смета на пасс. обор. №1"}</definedName>
    <definedName name="ап1" hidden="1">{#N/A,#N/A,TRUE,"Смета на пасс. обор. №1"}</definedName>
    <definedName name="бол" localSheetId="48" hidden="1">{#N/A,#N/A,TRUE,"Смета на пасс. обор. №1"}</definedName>
    <definedName name="бол" localSheetId="50" hidden="1">{#N/A,#N/A,TRUE,"Смета на пасс. обор. №1"}</definedName>
    <definedName name="бол" localSheetId="43" hidden="1">{#N/A,#N/A,TRUE,"Смета на пасс. обор. №1"}</definedName>
    <definedName name="бол" hidden="1">{#N/A,#N/A,TRUE,"Смета на пасс. обор. №1"}</definedName>
    <definedName name="вапро" localSheetId="48" hidden="1">{#N/A,#N/A,FALSE,"Шаблон_Спец1"}</definedName>
    <definedName name="вапро" localSheetId="50" hidden="1">{#N/A,#N/A,FALSE,"Шаблон_Спец1"}</definedName>
    <definedName name="вапро" localSheetId="43" hidden="1">{#N/A,#N/A,FALSE,"Шаблон_Спец1"}</definedName>
    <definedName name="вапро" hidden="1">{#N/A,#N/A,FALSE,"Шаблон_Спец1"}</definedName>
    <definedName name="ВАХ" localSheetId="48" hidden="1">{#N/A,#N/A,FALSE,"Акт-Смета"}</definedName>
    <definedName name="ВАХ" localSheetId="50" hidden="1">{#N/A,#N/A,FALSE,"Акт-Смета"}</definedName>
    <definedName name="ВАХ" localSheetId="43" hidden="1">{#N/A,#N/A,FALSE,"Акт-Смета"}</definedName>
    <definedName name="ВАХ" hidden="1">{#N/A,#N/A,FALSE,"Акт-Смета"}</definedName>
    <definedName name="Вахты" localSheetId="48" hidden="1">{#N/A,#N/A,FALSE,"Акт-Смета"}</definedName>
    <definedName name="Вахты" localSheetId="50" hidden="1">{#N/A,#N/A,FALSE,"Акт-Смета"}</definedName>
    <definedName name="Вахты" localSheetId="43" hidden="1">{#N/A,#N/A,FALSE,"Акт-Смета"}</definedName>
    <definedName name="Вахты" hidden="1">{#N/A,#N/A,FALSE,"Акт-Смета"}</definedName>
    <definedName name="ввввву" localSheetId="48" hidden="1">{#N/A,#N/A,FALSE,"Откр.вод.(осн.)"}</definedName>
    <definedName name="ввввву" localSheetId="50" hidden="1">{#N/A,#N/A,FALSE,"Откр.вод.(осн.)"}</definedName>
    <definedName name="ввввву" localSheetId="43" hidden="1">{#N/A,#N/A,FALSE,"Откр.вод.(осн.)"}</definedName>
    <definedName name="ввввву" hidden="1">{#N/A,#N/A,FALSE,"Откр.вод.(осн.)"}</definedName>
    <definedName name="выфаьджфдл" localSheetId="11" hidden="1">#REF!</definedName>
    <definedName name="выфаьджфдл" localSheetId="12" hidden="1">#REF!</definedName>
    <definedName name="выфаьджфдл" localSheetId="49" hidden="1">#REF!</definedName>
    <definedName name="выфаьджфдл" localSheetId="50" hidden="1">#REF!</definedName>
    <definedName name="выфаьджфдл" hidden="1">#REF!</definedName>
    <definedName name="ггг" localSheetId="48" hidden="1">{#N/A,#N/A,FALSE,"Шаблон_Спец1"}</definedName>
    <definedName name="ггг" localSheetId="50" hidden="1">{#N/A,#N/A,FALSE,"Шаблон_Спец1"}</definedName>
    <definedName name="ггг" localSheetId="43" hidden="1">{#N/A,#N/A,FALSE,"Шаблон_Спец1"}</definedName>
    <definedName name="ггг" hidden="1">{#N/A,#N/A,FALSE,"Шаблон_Спец1"}</definedName>
    <definedName name="гф" localSheetId="48" hidden="1">{#N/A,#N/A,FALSE,"Акт-Смета"}</definedName>
    <definedName name="гф" localSheetId="50" hidden="1">{#N/A,#N/A,FALSE,"Акт-Смета"}</definedName>
    <definedName name="гф" localSheetId="43" hidden="1">{#N/A,#N/A,FALSE,"Акт-Смета"}</definedName>
    <definedName name="гф" hidden="1">{#N/A,#N/A,FALSE,"Акт-Смета"}</definedName>
    <definedName name="ддддд" localSheetId="48" hidden="1">{"BS1",#N/A,TRUE,"RSA_FS";"BS2",#N/A,TRUE,"RSA_FS";"BS3",#N/A,TRUE,"RSA_FS"}</definedName>
    <definedName name="ддддд" localSheetId="50" hidden="1">{"BS1",#N/A,TRUE,"RSA_FS";"BS2",#N/A,TRUE,"RSA_FS";"BS3",#N/A,TRUE,"RSA_FS"}</definedName>
    <definedName name="ддддд" localSheetId="43" hidden="1">{"BS1",#N/A,TRUE,"RSA_FS";"BS2",#N/A,TRUE,"RSA_FS";"BS3",#N/A,TRUE,"RSA_FS"}</definedName>
    <definedName name="ддддд" hidden="1">{"BS1",#N/A,TRUE,"RSA_FS";"BS2",#N/A,TRUE,"RSA_FS";"BS3",#N/A,TRUE,"RSA_FS"}</definedName>
    <definedName name="дддддд" localSheetId="48" hidden="1">{"IAS_ShortView_1",#N/A,FALSE,"IAS";"IAS_ShortView_2",#N/A,FALSE,"IAS";"IAS_ShortView_3",#N/A,FALSE,"IAS";"IAS_ShortView_4",#N/A,FALSE,"IAS";"IAS_ShortView_5",#N/A,FALSE,"IAS";"IAS_ShortView_6",#N/A,FALSE,"IAS";"IAS_ShortView_7",#N/A,FALSE,"IAS";"CFDir - Zoomed In",#N/A,FALSE,"CF DIR"}</definedName>
    <definedName name="дддддд" localSheetId="50" hidden="1">{"IAS_ShortView_1",#N/A,FALSE,"IAS";"IAS_ShortView_2",#N/A,FALSE,"IAS";"IAS_ShortView_3",#N/A,FALSE,"IAS";"IAS_ShortView_4",#N/A,FALSE,"IAS";"IAS_ShortView_5",#N/A,FALSE,"IAS";"IAS_ShortView_6",#N/A,FALSE,"IAS";"IAS_ShortView_7",#N/A,FALSE,"IAS";"CFDir - Zoomed In",#N/A,FALSE,"CF DIR"}</definedName>
    <definedName name="дддддд" localSheetId="43" hidden="1">{"IAS_ShortView_1",#N/A,FALSE,"IAS";"IAS_ShortView_2",#N/A,FALSE,"IAS";"IAS_ShortView_3",#N/A,FALSE,"IAS";"IAS_ShortView_4",#N/A,FALSE,"IAS";"IAS_ShortView_5",#N/A,FALSE,"IAS";"IAS_ShortView_6",#N/A,FALSE,"IAS";"IAS_ShortView_7",#N/A,FALSE,"IAS";"CFDir - Zoomed In",#N/A,FALSE,"CF DIR"}</definedName>
    <definedName name="дддддд" hidden="1">{"IAS_ShortView_1",#N/A,FALSE,"IAS";"IAS_ShortView_2",#N/A,FALSE,"IAS";"IAS_ShortView_3",#N/A,FALSE,"IAS";"IAS_ShortView_4",#N/A,FALSE,"IAS";"IAS_ShortView_5",#N/A,FALSE,"IAS";"IAS_ShortView_6",#N/A,FALSE,"IAS";"IAS_ShortView_7",#N/A,FALSE,"IAS";"CFDir - Zoomed In",#N/A,FALSE,"CF DIR"}</definedName>
    <definedName name="джэ" localSheetId="48" hidden="1">{#N/A,#N/A,TRUE,"Смета на пасс. обор. №1"}</definedName>
    <definedName name="джэ" localSheetId="50" hidden="1">{#N/A,#N/A,TRUE,"Смета на пасс. обор. №1"}</definedName>
    <definedName name="джэ" localSheetId="43" hidden="1">{#N/A,#N/A,TRUE,"Смета на пасс. обор. №1"}</definedName>
    <definedName name="джэ" hidden="1">{#N/A,#N/A,TRUE,"Смета на пасс. обор. №1"}</definedName>
    <definedName name="диагн" localSheetId="48" hidden="1">{#N/A,#N/A,FALSE,"Infl_fact"}</definedName>
    <definedName name="диагн" localSheetId="50" hidden="1">{#N/A,#N/A,FALSE,"Infl_fact"}</definedName>
    <definedName name="диагн" localSheetId="43" hidden="1">{#N/A,#N/A,FALSE,"Infl_fact"}</definedName>
    <definedName name="диагн" hidden="1">{#N/A,#N/A,FALSE,"Infl_fact"}</definedName>
    <definedName name="Диагностика" localSheetId="48" hidden="1">{"IASBS",#N/A,FALSE,"IAS";"IASPL",#N/A,FALSE,"IAS";#N/A,#N/A,FALSE,"CF DIR";"IASNotes",#N/A,FALSE,"IAS";#N/A,#N/A,FALSE,"FA_1";#N/A,#N/A,FALSE,"Dep'n FC";#N/A,#N/A,FALSE,"Dep'n SE";#N/A,#N/A,FALSE,"Inv_1";#N/A,#N/A,FALSE,"NMG";#N/A,#N/A,FALSE,"Recon";#N/A,#N/A,FALSE,"EPS"}</definedName>
    <definedName name="Диагностика" localSheetId="50" hidden="1">{"IASBS",#N/A,FALSE,"IAS";"IASPL",#N/A,FALSE,"IAS";#N/A,#N/A,FALSE,"CF DIR";"IASNotes",#N/A,FALSE,"IAS";#N/A,#N/A,FALSE,"FA_1";#N/A,#N/A,FALSE,"Dep'n FC";#N/A,#N/A,FALSE,"Dep'n SE";#N/A,#N/A,FALSE,"Inv_1";#N/A,#N/A,FALSE,"NMG";#N/A,#N/A,FALSE,"Recon";#N/A,#N/A,FALSE,"EPS"}</definedName>
    <definedName name="Диагностика" localSheetId="43" hidden="1">{"IASBS",#N/A,FALSE,"IAS";"IASPL",#N/A,FALSE,"IAS";#N/A,#N/A,FALSE,"CF DIR";"IASNotes",#N/A,FALSE,"IAS";#N/A,#N/A,FALSE,"FA_1";#N/A,#N/A,FALSE,"Dep'n FC";#N/A,#N/A,FALSE,"Dep'n SE";#N/A,#N/A,FALSE,"Inv_1";#N/A,#N/A,FALSE,"NMG";#N/A,#N/A,FALSE,"Recon";#N/A,#N/A,FALSE,"EPS"}</definedName>
    <definedName name="Диагностика" hidden="1">{"IASBS",#N/A,FALSE,"IAS";"IASPL",#N/A,FALSE,"IAS";#N/A,#N/A,FALSE,"CF DIR";"IASNotes",#N/A,FALSE,"IAS";#N/A,#N/A,FALSE,"FA_1";#N/A,#N/A,FALSE,"Dep'n FC";#N/A,#N/A,FALSE,"Dep'n SE";#N/A,#N/A,FALSE,"Inv_1";#N/A,#N/A,FALSE,"NMG";#N/A,#N/A,FALSE,"Recon";#N/A,#N/A,FALSE,"EPS"}</definedName>
    <definedName name="доп" localSheetId="48" hidden="1">{#N/A,#N/A,TRUE,"Смета на пасс. обор. №1"}</definedName>
    <definedName name="доп" localSheetId="50" hidden="1">{#N/A,#N/A,TRUE,"Смета на пасс. обор. №1"}</definedName>
    <definedName name="доп" localSheetId="43" hidden="1">{#N/A,#N/A,TRUE,"Смета на пасс. обор. №1"}</definedName>
    <definedName name="доп" hidden="1">{#N/A,#N/A,TRUE,"Смета на пасс. обор. №1"}</definedName>
    <definedName name="дрянь" localSheetId="11" hidden="1">#REF!</definedName>
    <definedName name="дрянь" localSheetId="12" hidden="1">#REF!</definedName>
    <definedName name="дрянь" localSheetId="49" hidden="1">#REF!</definedName>
    <definedName name="дрянь" localSheetId="50" hidden="1">#REF!</definedName>
    <definedName name="дрянь" hidden="1">#REF!</definedName>
    <definedName name="жю" localSheetId="48" hidden="1">{#N/A,#N/A,TRUE,"Смета на пасс. обор. №1"}</definedName>
    <definedName name="жю" localSheetId="50" hidden="1">{#N/A,#N/A,TRUE,"Смета на пасс. обор. №1"}</definedName>
    <definedName name="жю" localSheetId="43" hidden="1">{#N/A,#N/A,TRUE,"Смета на пасс. обор. №1"}</definedName>
    <definedName name="жю" hidden="1">{#N/A,#N/A,TRUE,"Смета на пасс. обор. №1"}</definedName>
    <definedName name="зщ" localSheetId="48" hidden="1">{#N/A,#N/A,TRUE,"Смета на пасс. обор. №1"}</definedName>
    <definedName name="зщ" localSheetId="50" hidden="1">{#N/A,#N/A,TRUE,"Смета на пасс. обор. №1"}</definedName>
    <definedName name="зщ" localSheetId="43" hidden="1">{#N/A,#N/A,TRUE,"Смета на пасс. обор. №1"}</definedName>
    <definedName name="зщ" hidden="1">{#N/A,#N/A,TRUE,"Смета на пасс. обор. №1"}</definedName>
    <definedName name="ййй" localSheetId="48" hidden="1">{#N/A,#N/A,FALSE,"Акт-Смета"}</definedName>
    <definedName name="ййй" localSheetId="50" hidden="1">{#N/A,#N/A,FALSE,"Акт-Смета"}</definedName>
    <definedName name="ййй" localSheetId="43" hidden="1">{#N/A,#N/A,FALSE,"Акт-Смета"}</definedName>
    <definedName name="ййй" hidden="1">{#N/A,#N/A,FALSE,"Акт-Смета"}</definedName>
    <definedName name="команд." localSheetId="48" hidden="1">{#N/A,#N/A,TRUE,"Смета на пасс. обор. №1"}</definedName>
    <definedName name="команд." localSheetId="50" hidden="1">{#N/A,#N/A,TRUE,"Смета на пасс. обор. №1"}</definedName>
    <definedName name="команд." localSheetId="43" hidden="1">{#N/A,#N/A,TRUE,"Смета на пасс. обор. №1"}</definedName>
    <definedName name="команд." hidden="1">{#N/A,#N/A,TRUE,"Смета на пасс. обор. №1"}</definedName>
    <definedName name="команд.обуч." localSheetId="48" hidden="1">{#N/A,#N/A,TRUE,"Смета на пасс. обор. №1"}</definedName>
    <definedName name="команд.обуч." localSheetId="50" hidden="1">{#N/A,#N/A,TRUE,"Смета на пасс. обор. №1"}</definedName>
    <definedName name="команд.обуч." localSheetId="43" hidden="1">{#N/A,#N/A,TRUE,"Смета на пасс. обор. №1"}</definedName>
    <definedName name="команд.обуч." hidden="1">{#N/A,#N/A,TRUE,"Смета на пасс. обор. №1"}</definedName>
    <definedName name="копия" localSheetId="48" hidden="1">{#N/A,#N/A,TRUE,"MAP";#N/A,#N/A,TRUE,"STEPS";#N/A,#N/A,TRUE,"RULES"}</definedName>
    <definedName name="копия" localSheetId="50" hidden="1">{#N/A,#N/A,TRUE,"MAP";#N/A,#N/A,TRUE,"STEPS";#N/A,#N/A,TRUE,"RULES"}</definedName>
    <definedName name="копия" localSheetId="43" hidden="1">{#N/A,#N/A,TRUE,"MAP";#N/A,#N/A,TRUE,"STEPS";#N/A,#N/A,TRUE,"RULES"}</definedName>
    <definedName name="копия" hidden="1">{#N/A,#N/A,TRUE,"MAP";#N/A,#N/A,TRUE,"STEPS";#N/A,#N/A,TRUE,"RULES"}</definedName>
    <definedName name="КП23" localSheetId="11" hidden="1">#REF!</definedName>
    <definedName name="КП23" localSheetId="12" hidden="1">#REF!</definedName>
    <definedName name="КП23" localSheetId="49" hidden="1">#REF!</definedName>
    <definedName name="КП23" localSheetId="50" hidden="1">#REF!</definedName>
    <definedName name="КП23" hidden="1">#REF!</definedName>
    <definedName name="лаб" localSheetId="48" hidden="1">{#N/A,#N/A,FALSE,"Акт-Смета"}</definedName>
    <definedName name="лаб" localSheetId="50" hidden="1">{#N/A,#N/A,FALSE,"Акт-Смета"}</definedName>
    <definedName name="лаб" localSheetId="43" hidden="1">{#N/A,#N/A,FALSE,"Акт-Смета"}</definedName>
    <definedName name="лаб" hidden="1">{#N/A,#N/A,FALSE,"Акт-Смета"}</definedName>
    <definedName name="лаборатория" localSheetId="48" hidden="1">{#N/A,#N/A,FALSE,"Акт-Смета"}</definedName>
    <definedName name="лаборатория" localSheetId="50" hidden="1">{#N/A,#N/A,FALSE,"Акт-Смета"}</definedName>
    <definedName name="лаборатория" localSheetId="43" hidden="1">{#N/A,#N/A,FALSE,"Акт-Смета"}</definedName>
    <definedName name="лаборатория" hidden="1">{#N/A,#N/A,FALSE,"Акт-Смета"}</definedName>
    <definedName name="лдж" localSheetId="48" hidden="1">{#N/A,#N/A,TRUE,"Смета на пасс. обор. №1"}</definedName>
    <definedName name="лдж" localSheetId="50" hidden="1">{#N/A,#N/A,TRUE,"Смета на пасс. обор. №1"}</definedName>
    <definedName name="лдж" localSheetId="43" hidden="1">{#N/A,#N/A,TRUE,"Смета на пасс. обор. №1"}</definedName>
    <definedName name="лдж" hidden="1">{#N/A,#N/A,TRUE,"Смета на пасс. обор. №1"}</definedName>
    <definedName name="лор" localSheetId="48" hidden="1">{#N/A,#N/A,TRUE,"Смета на пасс. обор. №1"}</definedName>
    <definedName name="лор" localSheetId="50" hidden="1">{#N/A,#N/A,TRUE,"Смета на пасс. обор. №1"}</definedName>
    <definedName name="лор" localSheetId="43" hidden="1">{#N/A,#N/A,TRUE,"Смета на пасс. обор. №1"}</definedName>
    <definedName name="лор" hidden="1">{#N/A,#N/A,TRUE,"Смета на пасс. обор. №1"}</definedName>
    <definedName name="лот" localSheetId="48" hidden="1">{#N/A,#N/A,TRUE,"Смета на пасс. обор. №1"}</definedName>
    <definedName name="лот" localSheetId="50" hidden="1">{#N/A,#N/A,TRUE,"Смета на пасс. обор. №1"}</definedName>
    <definedName name="лот" localSheetId="43" hidden="1">{#N/A,#N/A,TRUE,"Смета на пасс. обор. №1"}</definedName>
    <definedName name="лот" hidden="1">{#N/A,#N/A,TRUE,"Смета на пасс. обор. №1"}</definedName>
    <definedName name="мир" localSheetId="48" hidden="1">{#N/A,#N/A,TRUE,"Смета на пасс. обор. №1"}</definedName>
    <definedName name="мир" localSheetId="50" hidden="1">{#N/A,#N/A,TRUE,"Смета на пасс. обор. №1"}</definedName>
    <definedName name="мир" localSheetId="43" hidden="1">{#N/A,#N/A,TRUE,"Смета на пасс. обор. №1"}</definedName>
    <definedName name="мир" hidden="1">{#N/A,#N/A,TRUE,"Смета на пасс. обор. №1"}</definedName>
    <definedName name="ммм" localSheetId="48" hidden="1">{#N/A,#N/A,FALSE,"Акт-Смета"}</definedName>
    <definedName name="ммм" localSheetId="50" hidden="1">{#N/A,#N/A,FALSE,"Акт-Смета"}</definedName>
    <definedName name="ммм" localSheetId="43" hidden="1">{#N/A,#N/A,FALSE,"Акт-Смета"}</definedName>
    <definedName name="ммм" hidden="1">{#N/A,#N/A,FALSE,"Акт-Смета"}</definedName>
    <definedName name="мммм" localSheetId="48" hidden="1">{#N/A,#N/A,FALSE,"Акт-Смета"}</definedName>
    <definedName name="мммм" localSheetId="50" hidden="1">{#N/A,#N/A,FALSE,"Акт-Смета"}</definedName>
    <definedName name="мммм" localSheetId="43" hidden="1">{#N/A,#N/A,FALSE,"Акт-Смета"}</definedName>
    <definedName name="мммм" hidden="1">{#N/A,#N/A,FALSE,"Акт-Смета"}</definedName>
    <definedName name="Новосибирский" localSheetId="11" hidden="1">#REF!</definedName>
    <definedName name="Новосибирский" localSheetId="12" hidden="1">#REF!</definedName>
    <definedName name="Новосибирский" localSheetId="49" hidden="1">#REF!</definedName>
    <definedName name="Новосибирский" localSheetId="50" hidden="1">#REF!</definedName>
    <definedName name="Новосибирский" hidden="1">#REF!</definedName>
    <definedName name="новый" localSheetId="48" hidden="1">{"IAS_ShortView_1",#N/A,FALSE,"IAS";"IAS_ShortView_2",#N/A,FALSE,"IAS";"IAS_ShortView_3",#N/A,FALSE,"IAS";"IAS_ShortView_4",#N/A,FALSE,"IAS";"IAS_ShortView_5",#N/A,FALSE,"IAS";"IAS_ShortView_6",#N/A,FALSE,"IAS";"IAS_ShortView_7",#N/A,FALSE,"IAS";"CFDir - Zoomed In",#N/A,FALSE,"CF DIR"}</definedName>
    <definedName name="новый" localSheetId="50" hidden="1">{"IAS_ShortView_1",#N/A,FALSE,"IAS";"IAS_ShortView_2",#N/A,FALSE,"IAS";"IAS_ShortView_3",#N/A,FALSE,"IAS";"IAS_ShortView_4",#N/A,FALSE,"IAS";"IAS_ShortView_5",#N/A,FALSE,"IAS";"IAS_ShortView_6",#N/A,FALSE,"IAS";"IAS_ShortView_7",#N/A,FALSE,"IAS";"CFDir - Zoomed In",#N/A,FALSE,"CF DIR"}</definedName>
    <definedName name="новый" localSheetId="43" hidden="1">{"IAS_ShortView_1",#N/A,FALSE,"IAS";"IAS_ShortView_2",#N/A,FALSE,"IAS";"IAS_ShortView_3",#N/A,FALSE,"IAS";"IAS_ShortView_4",#N/A,FALSE,"IAS";"IAS_ShortView_5",#N/A,FALSE,"IAS";"IAS_ShortView_6",#N/A,FALSE,"IAS";"IAS_ShortView_7",#N/A,FALSE,"IAS";"CFDir - Zoomed In",#N/A,FALSE,"CF DIR"}</definedName>
    <definedName name="новый" hidden="1">{"IAS_ShortView_1",#N/A,FALSE,"IAS";"IAS_ShortView_2",#N/A,FALSE,"IAS";"IAS_ShortView_3",#N/A,FALSE,"IAS";"IAS_ShortView_4",#N/A,FALSE,"IAS";"IAS_ShortView_5",#N/A,FALSE,"IAS";"IAS_ShortView_6",#N/A,FALSE,"IAS";"IAS_ShortView_7",#N/A,FALSE,"IAS";"CFDir - Zoomed In",#N/A,FALSE,"CF DIR"}</definedName>
    <definedName name="_xlnm.Print_Area" localSheetId="5">'1.1.4 ИГДИ+'!$A$2:$G$105</definedName>
    <definedName name="_xlnm.Print_Area" localSheetId="6">'1.2.1 ИГИ'!$A$1:$F$87</definedName>
    <definedName name="_xlnm.Print_Area" localSheetId="7">'1.2.2 ИГИ+'!$A$1:$F$86</definedName>
    <definedName name="_xlnm.Print_Area" localSheetId="15">'3.3 ТХ++'!$A$1:$P$479</definedName>
    <definedName name="_xlnm.Print_Area" localSheetId="17">'3.5.1 АСУТП этап12'!$A$1:$R$173</definedName>
    <definedName name="_xlnm.Print_Area" localSheetId="18">'3.5.2 АСУТП этап15'!$A$1:$U$173</definedName>
    <definedName name="_xlnm.Print_Area" localSheetId="19">'3.5.3 АСУТП этап16'!$A$1:$R$173</definedName>
    <definedName name="_xlnm.Print_Area" localSheetId="20">'3.5.4 АСУТП этап27'!$A$1:$W$173</definedName>
    <definedName name="_xlnm.Print_Area" localSheetId="21">'3.5.5 АСУТП этап2+'!$A$1:$W$173</definedName>
    <definedName name="_xlnm.Print_Area" localSheetId="22">'3.5.6 АСУТП этап3++'!$A$1:$W$173</definedName>
    <definedName name="_xlnm.Print_Area" localSheetId="23">'3.6.1 АСУЭ этап2'!$A$1:$T$173</definedName>
    <definedName name="_xlnm.Print_Area" localSheetId="24">'3.6.2 АСУЭ этап15'!$A$1:$R$173</definedName>
    <definedName name="_xlnm.Print_Area" localSheetId="25">'3.6.3 АСУЭ этап16'!$A$1:$S$173</definedName>
    <definedName name="_xlnm.Print_Area" localSheetId="26">'3.6.4 АСУЭ этап27'!$A$1:$R$173</definedName>
    <definedName name="_xlnm.Print_Area" localSheetId="27">'3.6.5 АСУЭ этап3++'!$A$1:$W$173</definedName>
    <definedName name="_xlnm.Print_Area" localSheetId="28">'3.7.1 АЭО этап15'!$A$1:$V$173</definedName>
    <definedName name="_xlnm.Print_Area" localSheetId="29">'3.7.2 АЭО этап16'!$A$1:$R$173</definedName>
    <definedName name="_xlnm.Print_Area" localSheetId="30">'3.7.3 АЭО этап3++'!$A$1:$W$174</definedName>
    <definedName name="_xlnm.Print_Area" localSheetId="31">'3.8.1 СПБА этап12'!$A$1:$S$173</definedName>
    <definedName name="_xlnm.Print_Area" localSheetId="32">'3.8.2 СПБА этап15'!$A$1:$T$173</definedName>
    <definedName name="_xlnm.Print_Area" localSheetId="33">'3.8.3 СПБА этап16'!$A$1:$R$173</definedName>
    <definedName name="_xlnm.Print_Area" localSheetId="34">'3.8.4 СПБА этап27'!$A$1:$S$173</definedName>
    <definedName name="_xlnm.Print_Area" localSheetId="35">'3.8.5 СПБА этап2+'!$A$1:$W$173</definedName>
    <definedName name="_xlnm.Print_Area" localSheetId="36">'3.8.6 СПБА этап3++'!$A$1:$R$173</definedName>
    <definedName name="_xlnm.Print_Area" localSheetId="0">РНМЦ!$A$1:$D$50</definedName>
    <definedName name="_xlnm.Print_Area" localSheetId="1">СВОД!$A$1:$H$53</definedName>
    <definedName name="обуч" localSheetId="48" hidden="1">{#N/A,#N/A,TRUE,"Смета на пасс. обор. №1"}</definedName>
    <definedName name="обуч" localSheetId="50" hidden="1">{#N/A,#N/A,TRUE,"Смета на пасс. обор. №1"}</definedName>
    <definedName name="обуч" localSheetId="43" hidden="1">{#N/A,#N/A,TRUE,"Смета на пасс. обор. №1"}</definedName>
    <definedName name="обуч" hidden="1">{#N/A,#N/A,TRUE,"Смета на пасс. обор. №1"}</definedName>
    <definedName name="ог" localSheetId="48" hidden="1">{#N/A,#N/A,TRUE,"Смета на пасс. обор. №1"}</definedName>
    <definedName name="ог" localSheetId="50" hidden="1">{#N/A,#N/A,TRUE,"Смета на пасс. обор. №1"}</definedName>
    <definedName name="ог" localSheetId="43" hidden="1">{#N/A,#N/A,TRUE,"Смета на пасс. обор. №1"}</definedName>
    <definedName name="ог" hidden="1">{#N/A,#N/A,TRUE,"Смета на пасс. обор. №1"}</definedName>
    <definedName name="олд" localSheetId="48" hidden="1">{#N/A,#N/A,TRUE,"Смета на пасс. обор. №1"}</definedName>
    <definedName name="олд" localSheetId="50" hidden="1">{#N/A,#N/A,TRUE,"Смета на пасс. обор. №1"}</definedName>
    <definedName name="олд" localSheetId="43" hidden="1">{#N/A,#N/A,TRUE,"Смета на пасс. обор. №1"}</definedName>
    <definedName name="олд" hidden="1">{#N/A,#N/A,TRUE,"Смета на пасс. обор. №1"}</definedName>
    <definedName name="от" localSheetId="48" hidden="1">{#N/A,#N/A,TRUE,"Смета на пасс. обор. №1"}</definedName>
    <definedName name="от" localSheetId="50" hidden="1">{#N/A,#N/A,TRUE,"Смета на пасс. обор. №1"}</definedName>
    <definedName name="от" localSheetId="43" hidden="1">{#N/A,#N/A,TRUE,"Смета на пасс. обор. №1"}</definedName>
    <definedName name="от" hidden="1">{#N/A,#N/A,TRUE,"Смета на пасс. обор. №1"}</definedName>
    <definedName name="Отчет" localSheetId="48" hidden="1">{#N/A,#N/A,FALSE,"Акт-Смета"}</definedName>
    <definedName name="Отчет" localSheetId="50" hidden="1">{#N/A,#N/A,FALSE,"Акт-Смета"}</definedName>
    <definedName name="Отчет" localSheetId="43" hidden="1">{#N/A,#N/A,FALSE,"Акт-Смета"}</definedName>
    <definedName name="Отчет" hidden="1">{#N/A,#N/A,FALSE,"Акт-Смета"}</definedName>
    <definedName name="Переезды" localSheetId="48" hidden="1">{#N/A,#N/A,FALSE,"Акт-Смета"}</definedName>
    <definedName name="Переезды" localSheetId="50" hidden="1">{#N/A,#N/A,FALSE,"Акт-Смета"}</definedName>
    <definedName name="Переезды" localSheetId="43" hidden="1">{#N/A,#N/A,FALSE,"Акт-Смета"}</definedName>
    <definedName name="Переезды" hidden="1">{#N/A,#N/A,FALSE,"Акт-Смета"}</definedName>
    <definedName name="пор" localSheetId="48" hidden="1">{#N/A,#N/A,TRUE,"Смета на пасс. обор. №1"}</definedName>
    <definedName name="пор" localSheetId="50" hidden="1">{#N/A,#N/A,TRUE,"Смета на пасс. обор. №1"}</definedName>
    <definedName name="пор" localSheetId="43" hidden="1">{#N/A,#N/A,TRUE,"Смета на пасс. обор. №1"}</definedName>
    <definedName name="пор" hidden="1">{#N/A,#N/A,TRUE,"Смета на пасс. обор. №1"}</definedName>
    <definedName name="пппп" localSheetId="48" hidden="1">{"IAS_ShortView_1",#N/A,FALSE,"IAS";"IAS_ShortView_2",#N/A,FALSE,"IAS";"IAS_ShortView_3",#N/A,FALSE,"IAS";"IAS_ShortView_4",#N/A,FALSE,"IAS";"IAS_ShortView_5",#N/A,FALSE,"IAS";"IAS_ShortView_6",#N/A,FALSE,"IAS";"IAS_ShortView_7",#N/A,FALSE,"IAS";"CFDir - Zoomed In",#N/A,FALSE,"CF DIR"}</definedName>
    <definedName name="пппп" localSheetId="50" hidden="1">{"IAS_ShortView_1",#N/A,FALSE,"IAS";"IAS_ShortView_2",#N/A,FALSE,"IAS";"IAS_ShortView_3",#N/A,FALSE,"IAS";"IAS_ShortView_4",#N/A,FALSE,"IAS";"IAS_ShortView_5",#N/A,FALSE,"IAS";"IAS_ShortView_6",#N/A,FALSE,"IAS";"IAS_ShortView_7",#N/A,FALSE,"IAS";"CFDir - Zoomed In",#N/A,FALSE,"CF DIR"}</definedName>
    <definedName name="пппп" localSheetId="43" hidden="1">{"IAS_ShortView_1",#N/A,FALSE,"IAS";"IAS_ShortView_2",#N/A,FALSE,"IAS";"IAS_ShortView_3",#N/A,FALSE,"IAS";"IAS_ShortView_4",#N/A,FALSE,"IAS";"IAS_ShortView_5",#N/A,FALSE,"IAS";"IAS_ShortView_6",#N/A,FALSE,"IAS";"IAS_ShortView_7",#N/A,FALSE,"IAS";"CFDir - Zoomed In",#N/A,FALSE,"CF DIR"}</definedName>
    <definedName name="пппп" hidden="1">{"IAS_ShortView_1",#N/A,FALSE,"IAS";"IAS_ShortView_2",#N/A,FALSE,"IAS";"IAS_ShortView_3",#N/A,FALSE,"IAS";"IAS_ShortView_4",#N/A,FALSE,"IAS";"IAS_ShortView_5",#N/A,FALSE,"IAS";"IAS_ShortView_6",#N/A,FALSE,"IAS";"IAS_ShortView_7",#N/A,FALSE,"IAS";"CFDir - Zoomed In",#N/A,FALSE,"CF DIR"}</definedName>
    <definedName name="ппппп" localSheetId="48" hidden="1">{"AnalRSA",#N/A,TRUE,"PL-Anal";"AnalIAS",#N/A,TRUE,"PL-Anal"}</definedName>
    <definedName name="ппппп" localSheetId="50" hidden="1">{"AnalRSA",#N/A,TRUE,"PL-Anal";"AnalIAS",#N/A,TRUE,"PL-Anal"}</definedName>
    <definedName name="ппппп" localSheetId="43" hidden="1">{"AnalRSA",#N/A,TRUE,"PL-Anal";"AnalIAS",#N/A,TRUE,"PL-Anal"}</definedName>
    <definedName name="ппппп" hidden="1">{"AnalRSA",#N/A,TRUE,"PL-Anal";"AnalIAS",#N/A,TRUE,"PL-Anal"}</definedName>
    <definedName name="пропоп" localSheetId="48" hidden="1">{"AnalRSA",#N/A,TRUE,"PL-Anal";"AnalIAS",#N/A,TRUE,"PL-Anal"}</definedName>
    <definedName name="пропоп" localSheetId="50" hidden="1">{"AnalRSA",#N/A,TRUE,"PL-Anal";"AnalIAS",#N/A,TRUE,"PL-Anal"}</definedName>
    <definedName name="пропоп" localSheetId="43" hidden="1">{"AnalRSA",#N/A,TRUE,"PL-Anal";"AnalIAS",#N/A,TRUE,"PL-Anal"}</definedName>
    <definedName name="пропоп" hidden="1">{"AnalRSA",#N/A,TRUE,"PL-Anal";"AnalIAS",#N/A,TRUE,"PL-Anal"}</definedName>
    <definedName name="РНМЦ" localSheetId="48" hidden="1">{#N/A,#N/A,TRUE,"Смета на пасс. обор. №1"}</definedName>
    <definedName name="РНМЦ" localSheetId="50" hidden="1">{#N/A,#N/A,TRUE,"Смета на пасс. обор. №1"}</definedName>
    <definedName name="РНМЦ" localSheetId="43" hidden="1">{#N/A,#N/A,TRUE,"Смета на пасс. обор. №1"}</definedName>
    <definedName name="РНМЦ" hidden="1">{#N/A,#N/A,TRUE,"Смета на пасс. обор. №1"}</definedName>
    <definedName name="рр" localSheetId="48" hidden="1">{#N/A,#N/A,TRUE,"Смета на пасс. обор. №1"}</definedName>
    <definedName name="рр" localSheetId="50" hidden="1">{#N/A,#N/A,TRUE,"Смета на пасс. обор. №1"}</definedName>
    <definedName name="рр" localSheetId="43" hidden="1">{#N/A,#N/A,TRUE,"Смета на пасс. обор. №1"}</definedName>
    <definedName name="рр" hidden="1">{#N/A,#N/A,TRUE,"Смета на пасс. обор. №1"}</definedName>
    <definedName name="рро" localSheetId="48" hidden="1">{"'UPGRADE'!$A$1:$S$79"}</definedName>
    <definedName name="рро" localSheetId="50" hidden="1">{"'UPGRADE'!$A$1:$S$79"}</definedName>
    <definedName name="рро" localSheetId="43" hidden="1">{"'UPGRADE'!$A$1:$S$79"}</definedName>
    <definedName name="рро" hidden="1">{"'UPGRADE'!$A$1:$S$79"}</definedName>
    <definedName name="рррр" localSheetId="48" hidden="1">{"AnalRSA",#N/A,TRUE,"PL-Anal";"AnalIAS",#N/A,TRUE,"PL-Anal"}</definedName>
    <definedName name="рррр" localSheetId="50" hidden="1">{"AnalRSA",#N/A,TRUE,"PL-Anal";"AnalIAS",#N/A,TRUE,"PL-Anal"}</definedName>
    <definedName name="рррр" localSheetId="43" hidden="1">{"AnalRSA",#N/A,TRUE,"PL-Anal";"AnalIAS",#N/A,TRUE,"PL-Anal"}</definedName>
    <definedName name="рррр" hidden="1">{"AnalRSA",#N/A,TRUE,"PL-Anal";"AnalIAS",#N/A,TRUE,"PL-Anal"}</definedName>
    <definedName name="сам" localSheetId="48" hidden="1">{#N/A,#N/A,TRUE,"Смета на пасс. обор. №1"}</definedName>
    <definedName name="сам" localSheetId="50" hidden="1">{#N/A,#N/A,TRUE,"Смета на пасс. обор. №1"}</definedName>
    <definedName name="сам" localSheetId="43" hidden="1">{#N/A,#N/A,TRUE,"Смета на пасс. обор. №1"}</definedName>
    <definedName name="сам" hidden="1">{#N/A,#N/A,TRUE,"Смета на пасс. обор. №1"}</definedName>
    <definedName name="Сводная" localSheetId="48" hidden="1">{#N/A,#N/A,FALSE,"Акт-Смета"}</definedName>
    <definedName name="Сводная" localSheetId="50" hidden="1">{#N/A,#N/A,FALSE,"Акт-Смета"}</definedName>
    <definedName name="Сводная" localSheetId="43" hidden="1">{#N/A,#N/A,FALSE,"Акт-Смета"}</definedName>
    <definedName name="Сводная" hidden="1">{#N/A,#N/A,FALSE,"Акт-Смета"}</definedName>
    <definedName name="секвестирование" localSheetId="48" hidden="1">{"IASBS",#N/A,FALSE,"IAS";"IASPL",#N/A,FALSE,"IAS";#N/A,#N/A,FALSE,"CF DIR";"IASNotes",#N/A,FALSE,"IAS";#N/A,#N/A,FALSE,"FA_1";#N/A,#N/A,FALSE,"Dep'n FC";#N/A,#N/A,FALSE,"Dep'n SE";#N/A,#N/A,FALSE,"Inv_1";#N/A,#N/A,FALSE,"NMG";#N/A,#N/A,FALSE,"Recon";#N/A,#N/A,FALSE,"EPS"}</definedName>
    <definedName name="секвестирование" localSheetId="50" hidden="1">{"IASBS",#N/A,FALSE,"IAS";"IASPL",#N/A,FALSE,"IAS";#N/A,#N/A,FALSE,"CF DIR";"IASNotes",#N/A,FALSE,"IAS";#N/A,#N/A,FALSE,"FA_1";#N/A,#N/A,FALSE,"Dep'n FC";#N/A,#N/A,FALSE,"Dep'n SE";#N/A,#N/A,FALSE,"Inv_1";#N/A,#N/A,FALSE,"NMG";#N/A,#N/A,FALSE,"Recon";#N/A,#N/A,FALSE,"EPS"}</definedName>
    <definedName name="секвестирование" localSheetId="43" hidden="1">{"IASBS",#N/A,FALSE,"IAS";"IASPL",#N/A,FALSE,"IAS";#N/A,#N/A,FALSE,"CF DIR";"IASNotes",#N/A,FALSE,"IAS";#N/A,#N/A,FALSE,"FA_1";#N/A,#N/A,FALSE,"Dep'n FC";#N/A,#N/A,FALSE,"Dep'n SE";#N/A,#N/A,FALSE,"Inv_1";#N/A,#N/A,FALSE,"NMG";#N/A,#N/A,FALSE,"Recon";#N/A,#N/A,FALSE,"EPS"}</definedName>
    <definedName name="секвестирование" hidden="1">{"IASBS",#N/A,FALSE,"IAS";"IASPL",#N/A,FALSE,"IAS";#N/A,#N/A,FALSE,"CF DIR";"IASNotes",#N/A,FALSE,"IAS";#N/A,#N/A,FALSE,"FA_1";#N/A,#N/A,FALSE,"Dep'n FC";#N/A,#N/A,FALSE,"Dep'n SE";#N/A,#N/A,FALSE,"Inv_1";#N/A,#N/A,FALSE,"NMG";#N/A,#N/A,FALSE,"Recon";#N/A,#N/A,FALSE,"EPS"}</definedName>
    <definedName name="Смет" localSheetId="48" hidden="1">{#N/A,#N/A,TRUE,"Смета на пасс. обор. №1"}</definedName>
    <definedName name="Смет" localSheetId="50" hidden="1">{#N/A,#N/A,TRUE,"Смета на пасс. обор. №1"}</definedName>
    <definedName name="Смет" localSheetId="43" hidden="1">{#N/A,#N/A,TRUE,"Смета на пасс. обор. №1"}</definedName>
    <definedName name="Смет" hidden="1">{#N/A,#N/A,TRUE,"Смета на пасс. обор. №1"}</definedName>
    <definedName name="сс" localSheetId="48" hidden="1">{#N/A,#N/A,TRUE,"Смета на пасс. обор. №1"}</definedName>
    <definedName name="сс" localSheetId="50" hidden="1">{#N/A,#N/A,TRUE,"Смета на пасс. обор. №1"}</definedName>
    <definedName name="сс" localSheetId="43" hidden="1">{#N/A,#N/A,TRUE,"Смета на пасс. обор. №1"}</definedName>
    <definedName name="сс" hidden="1">{#N/A,#N/A,TRUE,"Смета на пасс. обор. №1"}</definedName>
    <definedName name="т" localSheetId="48" hidden="1">{#N/A,#N/A,FALSE,"Акт-Смета"}</definedName>
    <definedName name="т" localSheetId="50" hidden="1">{#N/A,#N/A,FALSE,"Акт-Смета"}</definedName>
    <definedName name="т" localSheetId="43" hidden="1">{#N/A,#N/A,FALSE,"Акт-Смета"}</definedName>
    <definedName name="т" hidden="1">{#N/A,#N/A,FALSE,"Акт-Смета"}</definedName>
    <definedName name="трп" localSheetId="48" hidden="1">{#N/A,#N/A,TRUE,"Смета на пасс. обор. №1"}</definedName>
    <definedName name="трп" localSheetId="50" hidden="1">{#N/A,#N/A,TRUE,"Смета на пасс. обор. №1"}</definedName>
    <definedName name="трп" localSheetId="43" hidden="1">{#N/A,#N/A,TRUE,"Смета на пасс. обор. №1"}</definedName>
    <definedName name="трп" hidden="1">{#N/A,#N/A,TRUE,"Смета на пасс. обор. №1"}</definedName>
    <definedName name="ттт" localSheetId="48" hidden="1">{#N/A,#N/A,FALSE,"Акт-Смета"}</definedName>
    <definedName name="ттт" localSheetId="50" hidden="1">{#N/A,#N/A,FALSE,"Акт-Смета"}</definedName>
    <definedName name="ттт" localSheetId="43" hidden="1">{#N/A,#N/A,FALSE,"Акт-Смета"}</definedName>
    <definedName name="ттт" hidden="1">{#N/A,#N/A,FALSE,"Акт-Смета"}</definedName>
    <definedName name="ук" localSheetId="48" hidden="1">{#N/A,#N/A,TRUE,"Смета на пасс. обор. №1"}</definedName>
    <definedName name="ук" localSheetId="50" hidden="1">{#N/A,#N/A,TRUE,"Смета на пасс. обор. №1"}</definedName>
    <definedName name="ук" localSheetId="43" hidden="1">{#N/A,#N/A,TRUE,"Смета на пасс. обор. №1"}</definedName>
    <definedName name="ук" hidden="1">{#N/A,#N/A,TRUE,"Смета на пасс. обор. №1"}</definedName>
    <definedName name="уы" localSheetId="48" hidden="1">{#N/A,#N/A,TRUE,"Смета на пасс. обор. №1"}</definedName>
    <definedName name="уы" localSheetId="50" hidden="1">{#N/A,#N/A,TRUE,"Смета на пасс. обор. №1"}</definedName>
    <definedName name="уы" localSheetId="43" hidden="1">{#N/A,#N/A,TRUE,"Смета на пасс. обор. №1"}</definedName>
    <definedName name="уы" hidden="1">{#N/A,#N/A,TRUE,"Смета на пасс. обор. №1"}</definedName>
    <definedName name="ф" localSheetId="11" hidden="1">#REF!</definedName>
    <definedName name="ф" localSheetId="12" hidden="1">#REF!</definedName>
    <definedName name="ф" localSheetId="49" hidden="1">#REF!</definedName>
    <definedName name="ф" localSheetId="50" hidden="1">#REF!</definedName>
    <definedName name="ф" hidden="1">#REF!</definedName>
    <definedName name="формат2" localSheetId="11" hidden="1">#REF!</definedName>
    <definedName name="формат2" localSheetId="12" hidden="1">#REF!</definedName>
    <definedName name="формат2" localSheetId="49" hidden="1">#REF!</definedName>
    <definedName name="формат2" localSheetId="50" hidden="1">#REF!</definedName>
    <definedName name="формат2" hidden="1">#REF!</definedName>
    <definedName name="ффф" localSheetId="48" hidden="1">{#N/A,#N/A,FALSE,"Шаблон_Спец1"}</definedName>
    <definedName name="ффф" localSheetId="50" hidden="1">{#N/A,#N/A,FALSE,"Шаблон_Спец1"}</definedName>
    <definedName name="ффф" localSheetId="43" hidden="1">{#N/A,#N/A,FALSE,"Шаблон_Спец1"}</definedName>
    <definedName name="ффф" hidden="1">{#N/A,#N/A,FALSE,"Шаблон_Спец1"}</definedName>
    <definedName name="ффффф" localSheetId="48" hidden="1">{#N/A,#N/A,FALSE,"Шаблон_Спец1"}</definedName>
    <definedName name="ффффф" localSheetId="50" hidden="1">{#N/A,#N/A,FALSE,"Шаблон_Спец1"}</definedName>
    <definedName name="ффффф" localSheetId="43" hidden="1">{#N/A,#N/A,FALSE,"Шаблон_Спец1"}</definedName>
    <definedName name="ффффф" hidden="1">{#N/A,#N/A,FALSE,"Шаблон_Спец1"}</definedName>
    <definedName name="хэ" localSheetId="48" hidden="1">{#N/A,#N/A,TRUE,"Смета на пасс. обор. №1"}</definedName>
    <definedName name="хэ" localSheetId="50" hidden="1">{#N/A,#N/A,TRUE,"Смета на пасс. обор. №1"}</definedName>
    <definedName name="хэ" localSheetId="43" hidden="1">{#N/A,#N/A,TRUE,"Смета на пасс. обор. №1"}</definedName>
    <definedName name="хэ" hidden="1">{#N/A,#N/A,TRUE,"Смета на пасс. обор. №1"}</definedName>
    <definedName name="цвет" localSheetId="48" hidden="1">{#N/A,#N/A,TRUE,"Смета на пасс. обор. №1"}</definedName>
    <definedName name="цвет" localSheetId="50" hidden="1">{#N/A,#N/A,TRUE,"Смета на пасс. обор. №1"}</definedName>
    <definedName name="цвет" localSheetId="43" hidden="1">{#N/A,#N/A,TRUE,"Смета на пасс. обор. №1"}</definedName>
    <definedName name="цвет" hidden="1">{#N/A,#N/A,TRUE,"Смета на пасс. обор. №1"}</definedName>
    <definedName name="цуйцуцйув" localSheetId="48" hidden="1">{#N/A,#N/A,FALSE,"Шаблон_Спец1"}</definedName>
    <definedName name="цуйцуцйув" localSheetId="50" hidden="1">{#N/A,#N/A,FALSE,"Шаблон_Спец1"}</definedName>
    <definedName name="цуйцуцйув" localSheetId="43" hidden="1">{#N/A,#N/A,FALSE,"Шаблон_Спец1"}</definedName>
    <definedName name="цуйцуцйув" hidden="1">{#N/A,#N/A,FALSE,"Шаблон_Спец1"}</definedName>
    <definedName name="цццц" localSheetId="48" hidden="1">{#N/A,#N/A,FALSE,"Шаблон_Спец1"}</definedName>
    <definedName name="цццц" localSheetId="50" hidden="1">{#N/A,#N/A,FALSE,"Шаблон_Спец1"}</definedName>
    <definedName name="цццц" localSheetId="43" hidden="1">{#N/A,#N/A,FALSE,"Шаблон_Спец1"}</definedName>
    <definedName name="цццц" hidden="1">{#N/A,#N/A,FALSE,"Шаблон_Спец1"}</definedName>
    <definedName name="ццццц" localSheetId="48" hidden="1">{#N/A,#N/A,FALSE,"Шаблон_Спец1"}</definedName>
    <definedName name="ццццц" localSheetId="50" hidden="1">{#N/A,#N/A,FALSE,"Шаблон_Спец1"}</definedName>
    <definedName name="ццццц" localSheetId="43" hidden="1">{#N/A,#N/A,FALSE,"Шаблон_Спец1"}</definedName>
    <definedName name="ццццц" hidden="1">{#N/A,#N/A,FALSE,"Шаблон_Спец1"}</definedName>
    <definedName name="ччч" localSheetId="48" hidden="1">{#N/A,#N/A,FALSE,"Шаблон_Спец1"}</definedName>
    <definedName name="ччч" localSheetId="50" hidden="1">{#N/A,#N/A,FALSE,"Шаблон_Спец1"}</definedName>
    <definedName name="ччч" localSheetId="43" hidden="1">{#N/A,#N/A,FALSE,"Шаблон_Спец1"}</definedName>
    <definedName name="ччч" hidden="1">{#N/A,#N/A,FALSE,"Шаблон_Спец1"}</definedName>
    <definedName name="ЧЧЧЧЧЧ" localSheetId="11" hidden="1">#NAME?</definedName>
    <definedName name="ЧЧЧЧЧЧ" localSheetId="12" hidden="1">#NAME?</definedName>
    <definedName name="ЧЧЧЧЧЧ" localSheetId="48" hidden="1">#NAME?</definedName>
    <definedName name="ЧЧЧЧЧЧ" localSheetId="49" hidden="1">#NAME?</definedName>
    <definedName name="ЧЧЧЧЧЧ" localSheetId="50" hidden="1">#NAME?</definedName>
    <definedName name="ЧЧЧЧЧЧ" localSheetId="43" hidden="1">#NAME?</definedName>
    <definedName name="ЧЧЧЧЧЧ" hidden="1">#NAME?</definedName>
    <definedName name="ы" localSheetId="48" hidden="1">{#N/A,#N/A,TRUE,"Смета на пасс. обор. №1"}</definedName>
    <definedName name="ы" localSheetId="50" hidden="1">{#N/A,#N/A,TRUE,"Смета на пасс. обор. №1"}</definedName>
    <definedName name="ы" localSheetId="43" hidden="1">{#N/A,#N/A,TRUE,"Смета на пасс. обор. №1"}</definedName>
    <definedName name="ы" hidden="1">{#N/A,#N/A,TRUE,"Смета на пасс. обор. №1"}</definedName>
    <definedName name="ыва" localSheetId="48" hidden="1">{#N/A,#N/A,TRUE,"Смета на пасс. обор. №1"}</definedName>
    <definedName name="ыва" localSheetId="50" hidden="1">{#N/A,#N/A,TRUE,"Смета на пасс. обор. №1"}</definedName>
    <definedName name="ыва" localSheetId="43" hidden="1">{#N/A,#N/A,TRUE,"Смета на пасс. обор. №1"}</definedName>
    <definedName name="ыва" hidden="1">{#N/A,#N/A,TRUE,"Смета на пасс. обор. №1"}</definedName>
    <definedName name="ыыы" localSheetId="48" hidden="1">{#N/A,#N/A,FALSE,"Шаблон_Спец1"}</definedName>
    <definedName name="ыыы" localSheetId="50" hidden="1">{#N/A,#N/A,FALSE,"Шаблон_Спец1"}</definedName>
    <definedName name="ыыы" localSheetId="43" hidden="1">{#N/A,#N/A,FALSE,"Шаблон_Спец1"}</definedName>
    <definedName name="ыыы" hidden="1">{#N/A,#N/A,FALSE,"Шаблон_Спец1"}</definedName>
    <definedName name="ыыыы" localSheetId="48" hidden="1">{#N/A,#N/A,FALSE,"Шаблон_Спец1"}</definedName>
    <definedName name="ыыыы" localSheetId="50" hidden="1">{#N/A,#N/A,FALSE,"Шаблон_Спец1"}</definedName>
    <definedName name="ыыыы" localSheetId="43" hidden="1">{#N/A,#N/A,FALSE,"Шаблон_Спец1"}</definedName>
    <definedName name="ыыыы" hidden="1">{#N/A,#N/A,FALSE,"Шаблон_Спец1"}</definedName>
    <definedName name="ыыыыы" localSheetId="48" hidden="1">{#N/A,#N/A,FALSE,"Шаблон_Спец1"}</definedName>
    <definedName name="ыыыыы" localSheetId="50" hidden="1">{#N/A,#N/A,FALSE,"Шаблон_Спец1"}</definedName>
    <definedName name="ыыыыы" localSheetId="43" hidden="1">{#N/A,#N/A,FALSE,"Шаблон_Спец1"}</definedName>
    <definedName name="ыыыыы" hidden="1">{#N/A,#N/A,FALSE,"Шаблон_Спец1"}</definedName>
    <definedName name="ыыыыыы" localSheetId="48" hidden="1">{#N/A,#N/A,FALSE,"Шаблон_Спец1"}</definedName>
    <definedName name="ыыыыыы" localSheetId="50" hidden="1">{#N/A,#N/A,FALSE,"Шаблон_Спец1"}</definedName>
    <definedName name="ыыыыыы" localSheetId="43" hidden="1">{#N/A,#N/A,FALSE,"Шаблон_Спец1"}</definedName>
    <definedName name="ыыыыыы" hidden="1">{#N/A,#N/A,FALSE,"Шаблон_Спец1"}</definedName>
    <definedName name="ыыыыыыыы" localSheetId="48" hidden="1">{#N/A,#N/A,FALSE,"Шаблон_Спец1"}</definedName>
    <definedName name="ыыыыыыыы" localSheetId="50" hidden="1">{#N/A,#N/A,FALSE,"Шаблон_Спец1"}</definedName>
    <definedName name="ыыыыыыыы" localSheetId="43" hidden="1">{#N/A,#N/A,FALSE,"Шаблон_Спец1"}</definedName>
    <definedName name="ыыыыыыыы" hidden="1">{#N/A,#N/A,FALSE,"Шаблон_Спец1"}</definedName>
    <definedName name="Экспер.отчета" localSheetId="48" hidden="1">{#N/A,#N/A,FALSE,"Акт-Смета"}</definedName>
    <definedName name="Экспер.отчета" localSheetId="50" hidden="1">{#N/A,#N/A,FALSE,"Акт-Смета"}</definedName>
    <definedName name="Экспер.отчета" localSheetId="43" hidden="1">{#N/A,#N/A,FALSE,"Акт-Смета"}</definedName>
    <definedName name="Экспер.отчета" hidden="1">{#N/A,#N/A,FALSE,"Акт-Смета"}</definedName>
    <definedName name="эл" localSheetId="48" hidden="1">{#N/A,#N/A,TRUE,"Смета на пасс. обор. №1"}</definedName>
    <definedName name="эл" localSheetId="50" hidden="1">{#N/A,#N/A,TRUE,"Смета на пасс. обор. №1"}</definedName>
    <definedName name="эл" localSheetId="43" hidden="1">{#N/A,#N/A,TRUE,"Смета на пасс. обор. №1"}</definedName>
    <definedName name="эл" hidden="1">{#N/A,#N/A,TRUE,"Смета на пасс. обор. №1"}</definedName>
    <definedName name="юрубчен_" localSheetId="48" hidden="1">{#N/A,#N/A,FALSE,"Акт-Смета"}</definedName>
    <definedName name="юрубчен_" localSheetId="50" hidden="1">{#N/A,#N/A,FALSE,"Акт-Смета"}</definedName>
    <definedName name="юрубчен_" localSheetId="43" hidden="1">{#N/A,#N/A,FALSE,"Акт-Смета"}</definedName>
    <definedName name="юрубчен_" hidden="1">{#N/A,#N/A,FALSE,"Акт-Смета"}</definedName>
    <definedName name="ююю" localSheetId="48" hidden="1">{#N/A,#N/A,TRUE,"Смета на пасс. обор. №1"}</definedName>
    <definedName name="ююю" localSheetId="50" hidden="1">{#N/A,#N/A,TRUE,"Смета на пасс. обор. №1"}</definedName>
    <definedName name="ююю" localSheetId="43" hidden="1">{#N/A,#N/A,TRUE,"Смета на пасс. обор. №1"}</definedName>
    <definedName name="ююю" hidden="1">{#N/A,#N/A,TRUE,"Смета на пасс. обор. №1"}</definedName>
    <definedName name="ячсвивыкр" localSheetId="48" hidden="1">{#N/A,#N/A,FALSE,"Шаблон_Спец1"}</definedName>
    <definedName name="ячсвивыкр" localSheetId="50" hidden="1">{#N/A,#N/A,FALSE,"Шаблон_Спец1"}</definedName>
    <definedName name="ячсвивыкр" localSheetId="43" hidden="1">{#N/A,#N/A,FALSE,"Шаблон_Спец1"}</definedName>
    <definedName name="ячсвивыкр" hidden="1">{#N/A,#N/A,FALSE,"Шаблон_Спец1"}</definedName>
    <definedName name="яя" localSheetId="48" hidden="1">{#N/A,#N/A,FALSE,"Акт-Смета"}</definedName>
    <definedName name="яя" localSheetId="50" hidden="1">{#N/A,#N/A,FALSE,"Акт-Смета"}</definedName>
    <definedName name="яя" localSheetId="43" hidden="1">{#N/A,#N/A,FALSE,"Акт-Смета"}</definedName>
    <definedName name="яя" hidden="1">{#N/A,#N/A,FALSE,"Акт-Смета"}</definedName>
    <definedName name="яяя" localSheetId="48" hidden="1">{#N/A,#N/A,FALSE,"Шаблон_Спец1"}</definedName>
    <definedName name="яяя" localSheetId="50" hidden="1">{#N/A,#N/A,FALSE,"Шаблон_Спец1"}</definedName>
    <definedName name="яяя" localSheetId="43" hidden="1">{#N/A,#N/A,FALSE,"Шаблон_Спец1"}</definedName>
    <definedName name="яяя" hidden="1">{#N/A,#N/A,FALSE,"Шаблон_Спец1"}</definedName>
  </definedNames>
  <calcPr calcId="152511" refMode="R1C1"/>
</workbook>
</file>

<file path=xl/calcChain.xml><?xml version="1.0" encoding="utf-8"?>
<calcChain xmlns="http://schemas.openxmlformats.org/spreadsheetml/2006/main">
  <c r="R239" i="52" l="1"/>
  <c r="G28" i="2"/>
  <c r="O238" i="52"/>
  <c r="O229" i="52"/>
  <c r="O223" i="52"/>
  <c r="O217" i="52"/>
  <c r="O211" i="52"/>
  <c r="O205" i="52"/>
  <c r="O199" i="52"/>
  <c r="O193" i="52"/>
  <c r="O187" i="52"/>
  <c r="O181" i="52"/>
  <c r="O173" i="52"/>
  <c r="O166" i="52"/>
  <c r="O158" i="52"/>
  <c r="O151" i="52"/>
  <c r="O143" i="52"/>
  <c r="O136" i="52"/>
  <c r="O128" i="52"/>
  <c r="O121" i="52"/>
  <c r="O113" i="52"/>
  <c r="O106" i="52"/>
  <c r="O98" i="52"/>
  <c r="O91" i="52"/>
  <c r="O83" i="52"/>
  <c r="O76" i="52"/>
  <c r="O68" i="52"/>
  <c r="O61" i="52"/>
  <c r="O53" i="52"/>
  <c r="O46" i="52"/>
  <c r="O38" i="52"/>
  <c r="O31" i="52"/>
  <c r="O23" i="52"/>
  <c r="O16" i="52"/>
  <c r="O235" i="52" s="1"/>
  <c r="O236" i="52" s="1"/>
  <c r="O237" i="52" s="1"/>
  <c r="O239" i="52" l="1"/>
  <c r="E907" i="45"/>
  <c r="E902" i="45"/>
  <c r="E898" i="45"/>
  <c r="E894" i="45"/>
  <c r="E890" i="45"/>
  <c r="E886" i="45"/>
  <c r="E880" i="45"/>
  <c r="E876" i="45"/>
  <c r="E872" i="45"/>
  <c r="E868" i="45"/>
  <c r="E864" i="45"/>
  <c r="E859" i="45"/>
  <c r="E855" i="45"/>
  <c r="E851" i="45"/>
  <c r="E847" i="45"/>
  <c r="E841" i="45"/>
  <c r="E837" i="45"/>
  <c r="E833" i="45"/>
  <c r="E829" i="45"/>
  <c r="E825" i="45"/>
  <c r="E819" i="45"/>
  <c r="E815" i="45"/>
  <c r="E811" i="45"/>
  <c r="E807" i="45"/>
  <c r="E803" i="45"/>
  <c r="E799" i="45"/>
  <c r="E795" i="45"/>
  <c r="E790" i="45"/>
  <c r="E786" i="45"/>
  <c r="E782" i="45"/>
  <c r="E778" i="45"/>
  <c r="E774" i="45"/>
  <c r="E770" i="45"/>
  <c r="E766" i="45"/>
  <c r="E761" i="45"/>
  <c r="E757" i="45"/>
  <c r="E752" i="45"/>
  <c r="E747" i="45"/>
  <c r="E743" i="45"/>
  <c r="E739" i="45"/>
  <c r="E734" i="45"/>
  <c r="E730" i="45"/>
  <c r="E726" i="45"/>
  <c r="E721" i="45"/>
  <c r="E717" i="45"/>
  <c r="E711" i="45"/>
  <c r="E707" i="45"/>
  <c r="E703" i="45"/>
  <c r="E699" i="45"/>
  <c r="E695" i="45"/>
  <c r="E690" i="45"/>
  <c r="E685" i="45"/>
  <c r="E681" i="45"/>
  <c r="E677" i="45"/>
  <c r="E673" i="45"/>
  <c r="E668" i="45"/>
  <c r="E664" i="45"/>
  <c r="E660" i="45"/>
  <c r="E656" i="45"/>
  <c r="E652" i="45"/>
  <c r="E646" i="45"/>
  <c r="E641" i="45"/>
  <c r="E637" i="45"/>
  <c r="E633" i="45"/>
  <c r="E629" i="45"/>
  <c r="E624" i="45"/>
  <c r="E620" i="45"/>
  <c r="E616" i="45"/>
  <c r="E611" i="45"/>
  <c r="E607" i="45"/>
  <c r="E602" i="45"/>
  <c r="E598" i="45"/>
  <c r="E594" i="45"/>
  <c r="E590" i="45"/>
  <c r="E586" i="45"/>
  <c r="E581" i="45"/>
  <c r="E577" i="45"/>
  <c r="E573" i="45"/>
  <c r="E569" i="45"/>
  <c r="E565" i="45"/>
  <c r="E562" i="45"/>
  <c r="E559" i="45"/>
  <c r="E549" i="45"/>
  <c r="E545" i="45"/>
  <c r="E541" i="45"/>
  <c r="E536" i="45"/>
  <c r="E532" i="45"/>
  <c r="E528" i="45"/>
  <c r="E523" i="45"/>
  <c r="E519" i="45"/>
  <c r="E514" i="45"/>
  <c r="E509" i="45"/>
  <c r="E505" i="45"/>
  <c r="E499" i="45"/>
  <c r="E495" i="45"/>
  <c r="E491" i="45"/>
  <c r="E487" i="45"/>
  <c r="E482" i="45"/>
  <c r="E478" i="45"/>
  <c r="E474" i="45"/>
  <c r="E470" i="45"/>
  <c r="E463" i="45"/>
  <c r="E458" i="45"/>
  <c r="E454" i="45"/>
  <c r="E450" i="45"/>
  <c r="E446" i="45"/>
  <c r="E443" i="45"/>
  <c r="E439" i="45"/>
  <c r="E435" i="45"/>
  <c r="E431" i="45"/>
  <c r="E427" i="45"/>
  <c r="E423" i="45"/>
  <c r="E418" i="45"/>
  <c r="E414" i="45"/>
  <c r="E408" i="45"/>
  <c r="E404" i="45"/>
  <c r="E400" i="45"/>
  <c r="E396" i="45"/>
  <c r="E392" i="45"/>
  <c r="E387" i="45"/>
  <c r="E382" i="45"/>
  <c r="E379" i="45"/>
  <c r="E375" i="45"/>
  <c r="E370" i="45"/>
  <c r="E366" i="45"/>
  <c r="E360" i="45"/>
  <c r="E356" i="45"/>
  <c r="E350" i="45"/>
  <c r="E346" i="45"/>
  <c r="E341" i="45"/>
  <c r="E337" i="45"/>
  <c r="E333" i="45"/>
  <c r="E328" i="45"/>
  <c r="E324" i="45"/>
  <c r="E320" i="45"/>
  <c r="E313" i="45"/>
  <c r="E307" i="45"/>
  <c r="E302" i="45"/>
  <c r="E298" i="45"/>
  <c r="E294" i="45"/>
  <c r="E290" i="45"/>
  <c r="E286" i="45"/>
  <c r="E280" i="45"/>
  <c r="E275" i="45"/>
  <c r="E272" i="45"/>
  <c r="E268" i="45"/>
  <c r="E262" i="45"/>
  <c r="E258" i="45"/>
  <c r="E252" i="45"/>
  <c r="E247" i="45"/>
  <c r="E243" i="45"/>
  <c r="E238" i="45"/>
  <c r="E234" i="45"/>
  <c r="E230" i="45"/>
  <c r="E225" i="45"/>
  <c r="E221" i="45"/>
  <c r="E217" i="45"/>
  <c r="E211" i="45"/>
  <c r="E207" i="45"/>
  <c r="E203" i="45"/>
  <c r="E199" i="45"/>
  <c r="E193" i="45"/>
  <c r="E188" i="45"/>
  <c r="E183" i="45"/>
  <c r="E178" i="45"/>
  <c r="E174" i="45"/>
  <c r="E170" i="45"/>
  <c r="E166" i="45"/>
  <c r="E162" i="45"/>
  <c r="E158" i="45"/>
  <c r="E153" i="45"/>
  <c r="E145" i="45"/>
  <c r="E140" i="45"/>
  <c r="E136" i="45"/>
  <c r="E132" i="45"/>
  <c r="E128" i="45"/>
  <c r="E124" i="45"/>
  <c r="E120" i="45"/>
  <c r="E115" i="45"/>
  <c r="E109" i="45"/>
  <c r="E105" i="45"/>
  <c r="E101" i="45"/>
  <c r="E97" i="45"/>
  <c r="E91" i="45"/>
  <c r="E85" i="45"/>
  <c r="E79" i="45"/>
  <c r="E73" i="45"/>
  <c r="E69" i="45"/>
  <c r="E65" i="45"/>
  <c r="E61" i="45"/>
  <c r="E55" i="45"/>
  <c r="E51" i="45"/>
  <c r="E47" i="45"/>
  <c r="E43" i="45"/>
  <c r="E38" i="45"/>
  <c r="E34" i="45"/>
  <c r="E30" i="45"/>
  <c r="E26" i="45"/>
  <c r="E19" i="45"/>
  <c r="O93" i="49"/>
  <c r="F10" i="49" l="1"/>
  <c r="O28" i="48"/>
  <c r="O29" i="48" s="1"/>
  <c r="O96" i="15"/>
  <c r="O95" i="15"/>
  <c r="O70" i="14"/>
  <c r="O69" i="14"/>
  <c r="E213" i="47"/>
  <c r="E382" i="46"/>
  <c r="E121" i="46"/>
  <c r="E93" i="46"/>
  <c r="E42" i="46"/>
  <c r="E381" i="46"/>
  <c r="E150" i="45"/>
  <c r="E912" i="45"/>
  <c r="E243" i="44"/>
  <c r="E244" i="44" s="1"/>
  <c r="E34" i="42"/>
  <c r="E161" i="43"/>
  <c r="E162" i="43" s="1"/>
  <c r="E47" i="41"/>
  <c r="E48" i="41" s="1"/>
  <c r="E121" i="40"/>
  <c r="E120" i="40"/>
  <c r="E25" i="39"/>
  <c r="E115" i="38"/>
  <c r="O178" i="17"/>
  <c r="O169" i="17"/>
  <c r="O160" i="17"/>
  <c r="O150" i="17"/>
  <c r="O140" i="17"/>
  <c r="O133" i="17"/>
  <c r="O124" i="17"/>
  <c r="O118" i="17"/>
  <c r="O108" i="17"/>
  <c r="O99" i="17"/>
  <c r="O89" i="17"/>
  <c r="O80" i="17"/>
  <c r="O71" i="17"/>
  <c r="O62" i="17"/>
  <c r="O52" i="17"/>
  <c r="O42" i="17"/>
  <c r="O32" i="17"/>
  <c r="O26" i="17"/>
  <c r="O21" i="17"/>
  <c r="O16" i="17"/>
  <c r="O182" i="17" s="1"/>
  <c r="O183" i="17" s="1"/>
  <c r="O184" i="17" s="1"/>
  <c r="O185" i="17" s="1"/>
  <c r="R185" i="17" s="1"/>
  <c r="G37" i="2" s="1"/>
  <c r="H37" i="2" s="1"/>
  <c r="G36" i="2"/>
  <c r="R478" i="16"/>
  <c r="O471" i="16"/>
  <c r="O465" i="16"/>
  <c r="O459" i="16"/>
  <c r="O452" i="16"/>
  <c r="O445" i="16"/>
  <c r="O438" i="16"/>
  <c r="O431" i="16"/>
  <c r="O424" i="16"/>
  <c r="O418" i="16"/>
  <c r="O412" i="16"/>
  <c r="O406" i="16"/>
  <c r="O399" i="16"/>
  <c r="O393" i="16"/>
  <c r="O387" i="16"/>
  <c r="O381" i="16"/>
  <c r="O375" i="16"/>
  <c r="O369" i="16"/>
  <c r="O363" i="16"/>
  <c r="O355" i="16"/>
  <c r="O348" i="16"/>
  <c r="O341" i="16"/>
  <c r="O335" i="16"/>
  <c r="O329" i="16"/>
  <c r="O322" i="16"/>
  <c r="O316" i="16"/>
  <c r="O310" i="16"/>
  <c r="O304" i="16"/>
  <c r="O298" i="16"/>
  <c r="O292" i="16"/>
  <c r="O285" i="16"/>
  <c r="O279" i="16"/>
  <c r="O273" i="16"/>
  <c r="O267" i="16"/>
  <c r="O260" i="16"/>
  <c r="O252" i="16"/>
  <c r="O244" i="16"/>
  <c r="O238" i="16"/>
  <c r="O232" i="16"/>
  <c r="O225" i="16"/>
  <c r="O219" i="16"/>
  <c r="O213" i="16"/>
  <c r="O207" i="16"/>
  <c r="O200" i="16"/>
  <c r="O192" i="16"/>
  <c r="O185" i="16"/>
  <c r="O179" i="16"/>
  <c r="O173" i="16"/>
  <c r="O167" i="16"/>
  <c r="O159" i="16"/>
  <c r="O152" i="16"/>
  <c r="O145" i="16"/>
  <c r="O138" i="16"/>
  <c r="O132" i="16"/>
  <c r="O125" i="16"/>
  <c r="O118" i="16"/>
  <c r="O112" i="16"/>
  <c r="O106" i="16"/>
  <c r="O100" i="16"/>
  <c r="O93" i="16"/>
  <c r="O86" i="16"/>
  <c r="O80" i="16"/>
  <c r="O73" i="16"/>
  <c r="O67" i="16"/>
  <c r="O61" i="16"/>
  <c r="O55" i="16"/>
  <c r="O49" i="16"/>
  <c r="O43" i="16"/>
  <c r="O37" i="16"/>
  <c r="O30" i="16"/>
  <c r="O23" i="16"/>
  <c r="O16" i="16"/>
  <c r="O476" i="16" s="1"/>
  <c r="O477" i="16" s="1"/>
  <c r="O478" i="16" s="1"/>
  <c r="G17" i="51"/>
  <c r="G24" i="51" s="1"/>
  <c r="G29" i="51" s="1"/>
  <c r="G31" i="51" s="1"/>
  <c r="E4" i="51"/>
  <c r="G17" i="50"/>
  <c r="G24" i="50" s="1"/>
  <c r="G29" i="50" s="1"/>
  <c r="G31" i="50" s="1"/>
  <c r="E4" i="50"/>
  <c r="O86" i="49"/>
  <c r="O82" i="49"/>
  <c r="O76" i="49"/>
  <c r="O72" i="49"/>
  <c r="O67" i="49"/>
  <c r="O63" i="49"/>
  <c r="O57" i="49"/>
  <c r="O53" i="49"/>
  <c r="O48" i="49"/>
  <c r="O44" i="49"/>
  <c r="O38" i="49"/>
  <c r="O34" i="49"/>
  <c r="O29" i="49"/>
  <c r="O25" i="49"/>
  <c r="O20" i="49"/>
  <c r="O16" i="49"/>
  <c r="A3" i="49"/>
  <c r="O22" i="48"/>
  <c r="O16" i="48"/>
  <c r="O26" i="48" s="1"/>
  <c r="O27" i="48" s="1"/>
  <c r="F10" i="48"/>
  <c r="F8" i="48"/>
  <c r="F6" i="48"/>
  <c r="E203" i="47"/>
  <c r="E198" i="47"/>
  <c r="E194" i="47"/>
  <c r="E189" i="47"/>
  <c r="E183" i="47"/>
  <c r="E177" i="47"/>
  <c r="E173" i="47"/>
  <c r="E168" i="47"/>
  <c r="E163" i="47"/>
  <c r="E158" i="47"/>
  <c r="E153" i="47"/>
  <c r="E147" i="47"/>
  <c r="E141" i="47"/>
  <c r="E135" i="47"/>
  <c r="E210" i="47" s="1"/>
  <c r="E128" i="47"/>
  <c r="E123" i="47"/>
  <c r="E118" i="47"/>
  <c r="E114" i="47"/>
  <c r="E110" i="47"/>
  <c r="E106" i="47"/>
  <c r="E133" i="47" s="1"/>
  <c r="E99" i="47"/>
  <c r="E94" i="47"/>
  <c r="E89" i="47"/>
  <c r="E85" i="47"/>
  <c r="E79" i="47"/>
  <c r="E104" i="47" s="1"/>
  <c r="E72" i="47"/>
  <c r="E77" i="47" s="1"/>
  <c r="E63" i="47"/>
  <c r="E59" i="47"/>
  <c r="E54" i="47"/>
  <c r="E48" i="47"/>
  <c r="E42" i="47"/>
  <c r="E38" i="47"/>
  <c r="E34" i="47"/>
  <c r="E30" i="47"/>
  <c r="E26" i="47"/>
  <c r="E18" i="47"/>
  <c r="C11" i="47"/>
  <c r="C8" i="47"/>
  <c r="C6" i="47"/>
  <c r="E145" i="46"/>
  <c r="E140" i="46"/>
  <c r="E135" i="46"/>
  <c r="E131" i="46"/>
  <c r="E127" i="46"/>
  <c r="E383" i="46" s="1"/>
  <c r="E384" i="46" s="1"/>
  <c r="G44" i="2" s="1"/>
  <c r="H44" i="2" s="1"/>
  <c r="E124" i="46"/>
  <c r="C11" i="46"/>
  <c r="C8" i="46"/>
  <c r="C6" i="46"/>
  <c r="C11" i="45"/>
  <c r="C8" i="45"/>
  <c r="C6" i="45"/>
  <c r="E237" i="44"/>
  <c r="E234" i="44"/>
  <c r="E231" i="44"/>
  <c r="E227" i="44"/>
  <c r="E224" i="44"/>
  <c r="E221" i="44"/>
  <c r="E218" i="44"/>
  <c r="E215" i="44"/>
  <c r="E210" i="44"/>
  <c r="E240" i="44" s="1"/>
  <c r="E205" i="44"/>
  <c r="E202" i="44"/>
  <c r="E199" i="44"/>
  <c r="E196" i="44"/>
  <c r="E193" i="44"/>
  <c r="E190" i="44"/>
  <c r="E186" i="44"/>
  <c r="E181" i="44"/>
  <c r="E208" i="44" s="1"/>
  <c r="E176" i="44"/>
  <c r="E173" i="44"/>
  <c r="E170" i="44"/>
  <c r="E167" i="44"/>
  <c r="E164" i="44"/>
  <c r="E161" i="44"/>
  <c r="E156" i="44"/>
  <c r="E151" i="44"/>
  <c r="E179" i="44" s="1"/>
  <c r="E146" i="44"/>
  <c r="E143" i="44"/>
  <c r="E140" i="44"/>
  <c r="E137" i="44"/>
  <c r="E134" i="44"/>
  <c r="E131" i="44"/>
  <c r="E125" i="44"/>
  <c r="E118" i="44"/>
  <c r="E149" i="44" s="1"/>
  <c r="E113" i="44"/>
  <c r="E110" i="44"/>
  <c r="E107" i="44"/>
  <c r="E104" i="44"/>
  <c r="E101" i="44"/>
  <c r="E98" i="44"/>
  <c r="E92" i="44"/>
  <c r="E85" i="44"/>
  <c r="E116" i="44" s="1"/>
  <c r="E80" i="44"/>
  <c r="E77" i="44"/>
  <c r="E74" i="44"/>
  <c r="E71" i="44"/>
  <c r="E68" i="44"/>
  <c r="E65" i="44"/>
  <c r="E59" i="44"/>
  <c r="E52" i="44"/>
  <c r="E47" i="44"/>
  <c r="E44" i="44"/>
  <c r="E41" i="44"/>
  <c r="E38" i="44"/>
  <c r="E35" i="44"/>
  <c r="E32" i="44"/>
  <c r="E26" i="44"/>
  <c r="E19" i="44"/>
  <c r="E50" i="44" s="1"/>
  <c r="E149" i="43"/>
  <c r="E146" i="43"/>
  <c r="E143" i="43"/>
  <c r="E139" i="43"/>
  <c r="E136" i="43"/>
  <c r="E133" i="43"/>
  <c r="E130" i="43"/>
  <c r="E127" i="43"/>
  <c r="E124" i="43"/>
  <c r="E152" i="43" s="1"/>
  <c r="E119" i="43"/>
  <c r="E113" i="43"/>
  <c r="E110" i="43"/>
  <c r="E107" i="43"/>
  <c r="E104" i="43"/>
  <c r="E101" i="43"/>
  <c r="E98" i="43"/>
  <c r="E92" i="43"/>
  <c r="E85" i="43"/>
  <c r="E79" i="43"/>
  <c r="E76" i="43"/>
  <c r="E73" i="43"/>
  <c r="E70" i="43"/>
  <c r="E67" i="43"/>
  <c r="E64" i="43"/>
  <c r="E58" i="43"/>
  <c r="E51" i="43"/>
  <c r="E46" i="43"/>
  <c r="E43" i="43"/>
  <c r="E40" i="43"/>
  <c r="E37" i="43"/>
  <c r="E34" i="43"/>
  <c r="E31" i="43"/>
  <c r="E25" i="43"/>
  <c r="E18" i="43"/>
  <c r="E49" i="43" s="1"/>
  <c r="C11" i="43"/>
  <c r="C8" i="43"/>
  <c r="C6" i="43"/>
  <c r="E31" i="42"/>
  <c r="E32" i="42" s="1"/>
  <c r="E33" i="42" s="1"/>
  <c r="E26" i="42"/>
  <c r="E23" i="42"/>
  <c r="E18" i="42"/>
  <c r="C11" i="42"/>
  <c r="C8" i="42"/>
  <c r="C6" i="42"/>
  <c r="E41" i="41"/>
  <c r="E38" i="41"/>
  <c r="E34" i="41"/>
  <c r="E31" i="41"/>
  <c r="E26" i="41"/>
  <c r="E23" i="41"/>
  <c r="E18" i="41"/>
  <c r="E44" i="41" s="1"/>
  <c r="E45" i="41" s="1"/>
  <c r="E46" i="41" s="1"/>
  <c r="C11" i="41"/>
  <c r="C8" i="41"/>
  <c r="C6" i="41"/>
  <c r="E114" i="40"/>
  <c r="E111" i="40"/>
  <c r="E108" i="40"/>
  <c r="E105" i="40"/>
  <c r="E102" i="40"/>
  <c r="E97" i="40"/>
  <c r="E94" i="40"/>
  <c r="E91" i="40"/>
  <c r="E88" i="40"/>
  <c r="E85" i="40"/>
  <c r="E82" i="40"/>
  <c r="E79" i="40"/>
  <c r="E76" i="40"/>
  <c r="E71" i="40"/>
  <c r="E65" i="40"/>
  <c r="E62" i="40"/>
  <c r="E59" i="40"/>
  <c r="E56" i="40"/>
  <c r="E53" i="40"/>
  <c r="E50" i="40"/>
  <c r="E44" i="40"/>
  <c r="E37" i="40"/>
  <c r="E34" i="40"/>
  <c r="E31" i="40"/>
  <c r="D31" i="40"/>
  <c r="E25" i="40"/>
  <c r="D25" i="40"/>
  <c r="E18" i="40"/>
  <c r="C11" i="40"/>
  <c r="C8" i="40"/>
  <c r="C6" i="40"/>
  <c r="E24" i="39"/>
  <c r="C11" i="39"/>
  <c r="C8" i="39"/>
  <c r="C6" i="39"/>
  <c r="E109" i="38"/>
  <c r="E106" i="38"/>
  <c r="E103" i="38"/>
  <c r="E99" i="38"/>
  <c r="E96" i="38"/>
  <c r="E93" i="38"/>
  <c r="E90" i="38"/>
  <c r="E87" i="38"/>
  <c r="E82" i="38"/>
  <c r="E75" i="38"/>
  <c r="E72" i="38"/>
  <c r="E69" i="38"/>
  <c r="E66" i="38"/>
  <c r="E63" i="38"/>
  <c r="E60" i="38"/>
  <c r="E56" i="38"/>
  <c r="E51" i="38"/>
  <c r="E46" i="38"/>
  <c r="E43" i="38"/>
  <c r="E40" i="38"/>
  <c r="E37" i="38"/>
  <c r="E34" i="38"/>
  <c r="E31" i="38"/>
  <c r="E25" i="38"/>
  <c r="E18" i="38"/>
  <c r="E49" i="38" s="1"/>
  <c r="C11" i="38"/>
  <c r="C8" i="38"/>
  <c r="C6" i="38"/>
  <c r="Q152" i="37"/>
  <c r="I152" i="37"/>
  <c r="G152" i="37"/>
  <c r="F152" i="37"/>
  <c r="Q151" i="37"/>
  <c r="G151" i="37" s="1"/>
  <c r="Q150" i="37"/>
  <c r="G150" i="37"/>
  <c r="C150" i="37"/>
  <c r="Q149" i="37"/>
  <c r="E149" i="37" s="1"/>
  <c r="F149" i="37"/>
  <c r="Q148" i="37"/>
  <c r="I148" i="37"/>
  <c r="H148" i="37"/>
  <c r="G148" i="37"/>
  <c r="F148" i="37"/>
  <c r="E148" i="37"/>
  <c r="D148" i="37"/>
  <c r="C148" i="37"/>
  <c r="Q147" i="37"/>
  <c r="I147" i="37"/>
  <c r="G147" i="37"/>
  <c r="Q146" i="37"/>
  <c r="I146" i="37"/>
  <c r="H146" i="37"/>
  <c r="G146" i="37"/>
  <c r="F146" i="37"/>
  <c r="E146" i="37"/>
  <c r="D146" i="37"/>
  <c r="Q145" i="37"/>
  <c r="I145" i="37"/>
  <c r="H145" i="37"/>
  <c r="G145" i="37"/>
  <c r="F145" i="37"/>
  <c r="E145" i="37"/>
  <c r="D145" i="37"/>
  <c r="Q144" i="37"/>
  <c r="I144" i="37"/>
  <c r="H144" i="37"/>
  <c r="G144" i="37"/>
  <c r="F144" i="37"/>
  <c r="E144" i="37"/>
  <c r="D144" i="37"/>
  <c r="C144" i="37"/>
  <c r="Q143" i="37"/>
  <c r="C143" i="37"/>
  <c r="Q142" i="37"/>
  <c r="I142" i="37"/>
  <c r="H142" i="37"/>
  <c r="G142" i="37"/>
  <c r="F142" i="37"/>
  <c r="E142" i="37"/>
  <c r="D142" i="37"/>
  <c r="C142" i="37"/>
  <c r="Q141" i="37"/>
  <c r="I141" i="37"/>
  <c r="H141" i="37"/>
  <c r="G141" i="37"/>
  <c r="F141" i="37"/>
  <c r="E141" i="37"/>
  <c r="D141" i="37"/>
  <c r="Q140" i="37"/>
  <c r="I140" i="37"/>
  <c r="H140" i="37"/>
  <c r="G140" i="37"/>
  <c r="F140" i="37"/>
  <c r="E140" i="37"/>
  <c r="D140" i="37"/>
  <c r="C140" i="37"/>
  <c r="Q139" i="37"/>
  <c r="D139" i="37" s="1"/>
  <c r="D153" i="37" s="1"/>
  <c r="I139" i="37"/>
  <c r="E139" i="37"/>
  <c r="R120" i="37"/>
  <c r="Q120" i="37"/>
  <c r="P120" i="37"/>
  <c r="O120" i="37"/>
  <c r="N120" i="37"/>
  <c r="M120" i="37"/>
  <c r="R105" i="37"/>
  <c r="Q105" i="37"/>
  <c r="P105" i="37"/>
  <c r="O105" i="37"/>
  <c r="N105" i="37"/>
  <c r="M105" i="37"/>
  <c r="R99" i="37"/>
  <c r="Q99" i="37"/>
  <c r="P99" i="37"/>
  <c r="O99" i="37"/>
  <c r="N99" i="37"/>
  <c r="M99" i="37"/>
  <c r="R91" i="37"/>
  <c r="Q91" i="37"/>
  <c r="P91" i="37"/>
  <c r="O91" i="37"/>
  <c r="N91" i="37"/>
  <c r="M91" i="37"/>
  <c r="R86" i="37"/>
  <c r="Q86" i="37"/>
  <c r="P86" i="37"/>
  <c r="O86" i="37"/>
  <c r="N86" i="37"/>
  <c r="M86" i="37"/>
  <c r="R78" i="37"/>
  <c r="Q78" i="37"/>
  <c r="P78" i="37"/>
  <c r="O78" i="37"/>
  <c r="N78" i="37"/>
  <c r="M78" i="37"/>
  <c r="R71" i="37"/>
  <c r="Q71" i="37"/>
  <c r="P71" i="37"/>
  <c r="O71" i="37"/>
  <c r="N71" i="37"/>
  <c r="M71" i="37"/>
  <c r="M52" i="37"/>
  <c r="M43" i="37"/>
  <c r="M36" i="37"/>
  <c r="M31" i="37"/>
  <c r="Q152" i="36"/>
  <c r="I152" i="36"/>
  <c r="G152" i="36"/>
  <c r="F152" i="36"/>
  <c r="Q151" i="36"/>
  <c r="G151" i="36" s="1"/>
  <c r="Q150" i="36"/>
  <c r="G150" i="36"/>
  <c r="C150" i="36"/>
  <c r="Q149" i="36"/>
  <c r="D149" i="36" s="1"/>
  <c r="Q148" i="36"/>
  <c r="I148" i="36"/>
  <c r="H148" i="36"/>
  <c r="G148" i="36"/>
  <c r="F148" i="36"/>
  <c r="E148" i="36"/>
  <c r="D148" i="36"/>
  <c r="C148" i="36"/>
  <c r="Q147" i="36"/>
  <c r="I147" i="36"/>
  <c r="G147" i="36"/>
  <c r="Q146" i="36"/>
  <c r="I146" i="36"/>
  <c r="H146" i="36"/>
  <c r="G146" i="36"/>
  <c r="F146" i="36"/>
  <c r="E146" i="36"/>
  <c r="D146" i="36"/>
  <c r="Q145" i="36"/>
  <c r="I145" i="36"/>
  <c r="H145" i="36"/>
  <c r="G145" i="36"/>
  <c r="F145" i="36"/>
  <c r="E145" i="36"/>
  <c r="D145" i="36"/>
  <c r="Q144" i="36"/>
  <c r="I144" i="36"/>
  <c r="H144" i="36"/>
  <c r="G144" i="36"/>
  <c r="F144" i="36"/>
  <c r="E144" i="36"/>
  <c r="D144" i="36"/>
  <c r="C144" i="36"/>
  <c r="Q143" i="36"/>
  <c r="C143" i="36"/>
  <c r="Q142" i="36"/>
  <c r="I142" i="36"/>
  <c r="H142" i="36"/>
  <c r="G142" i="36"/>
  <c r="F142" i="36"/>
  <c r="E142" i="36"/>
  <c r="D142" i="36"/>
  <c r="C142" i="36"/>
  <c r="Q141" i="36"/>
  <c r="I141" i="36"/>
  <c r="H141" i="36"/>
  <c r="G141" i="36"/>
  <c r="F141" i="36"/>
  <c r="E141" i="36"/>
  <c r="D141" i="36"/>
  <c r="Q140" i="36"/>
  <c r="I140" i="36"/>
  <c r="H140" i="36"/>
  <c r="G140" i="36"/>
  <c r="F140" i="36"/>
  <c r="E140" i="36"/>
  <c r="D140" i="36"/>
  <c r="C140" i="36"/>
  <c r="Q139" i="36"/>
  <c r="H139" i="36" s="1"/>
  <c r="R120" i="36"/>
  <c r="Q120" i="36"/>
  <c r="P120" i="36"/>
  <c r="O120" i="36"/>
  <c r="N120" i="36"/>
  <c r="M120" i="36"/>
  <c r="R105" i="36"/>
  <c r="Q105" i="36"/>
  <c r="P105" i="36"/>
  <c r="O105" i="36"/>
  <c r="N105" i="36"/>
  <c r="M105" i="36"/>
  <c r="R99" i="36"/>
  <c r="Q99" i="36"/>
  <c r="P99" i="36"/>
  <c r="O99" i="36"/>
  <c r="N99" i="36"/>
  <c r="M99" i="36"/>
  <c r="R91" i="36"/>
  <c r="Q91" i="36"/>
  <c r="P91" i="36"/>
  <c r="O91" i="36"/>
  <c r="N91" i="36"/>
  <c r="M91" i="36"/>
  <c r="R86" i="36"/>
  <c r="Q86" i="36"/>
  <c r="P86" i="36"/>
  <c r="O86" i="36"/>
  <c r="N86" i="36"/>
  <c r="M86" i="36"/>
  <c r="R78" i="36"/>
  <c r="Q78" i="36"/>
  <c r="P78" i="36"/>
  <c r="O78" i="36"/>
  <c r="N78" i="36"/>
  <c r="M78" i="36"/>
  <c r="R71" i="36"/>
  <c r="Q71" i="36"/>
  <c r="P71" i="36"/>
  <c r="O71" i="36"/>
  <c r="N71" i="36"/>
  <c r="M71" i="36"/>
  <c r="M52" i="36"/>
  <c r="M43" i="36"/>
  <c r="M36" i="36"/>
  <c r="M31" i="36"/>
  <c r="G11" i="36"/>
  <c r="Q152" i="35"/>
  <c r="I152" i="35"/>
  <c r="G152" i="35"/>
  <c r="F152" i="35"/>
  <c r="Q151" i="35"/>
  <c r="G151" i="35" s="1"/>
  <c r="G154" i="35" s="1"/>
  <c r="Q150" i="35"/>
  <c r="G150" i="35"/>
  <c r="C150" i="35"/>
  <c r="Q149" i="35"/>
  <c r="I149" i="35"/>
  <c r="H149" i="35"/>
  <c r="G149" i="35"/>
  <c r="F149" i="35"/>
  <c r="E149" i="35"/>
  <c r="D149" i="35"/>
  <c r="C149" i="35"/>
  <c r="Q148" i="35"/>
  <c r="I148" i="35"/>
  <c r="H148" i="35"/>
  <c r="G148" i="35"/>
  <c r="F148" i="35"/>
  <c r="E148" i="35"/>
  <c r="D148" i="35"/>
  <c r="C148" i="35"/>
  <c r="C154" i="35" s="1"/>
  <c r="Q147" i="35"/>
  <c r="I147" i="35"/>
  <c r="G147" i="35"/>
  <c r="Q146" i="35"/>
  <c r="I146" i="35"/>
  <c r="H146" i="35"/>
  <c r="G146" i="35"/>
  <c r="F146" i="35"/>
  <c r="E146" i="35"/>
  <c r="D146" i="35"/>
  <c r="Q145" i="35"/>
  <c r="I145" i="35"/>
  <c r="H145" i="35"/>
  <c r="G145" i="35"/>
  <c r="F145" i="35"/>
  <c r="E145" i="35"/>
  <c r="D145" i="35"/>
  <c r="Q144" i="35"/>
  <c r="I144" i="35"/>
  <c r="I154" i="35" s="1"/>
  <c r="H144" i="35"/>
  <c r="H154" i="35" s="1"/>
  <c r="G144" i="35"/>
  <c r="F144" i="35"/>
  <c r="E144" i="35"/>
  <c r="D144" i="35"/>
  <c r="C144" i="35"/>
  <c r="Q143" i="35"/>
  <c r="C143" i="35"/>
  <c r="Q142" i="35"/>
  <c r="I142" i="35"/>
  <c r="H142" i="35"/>
  <c r="G142" i="35"/>
  <c r="F142" i="35"/>
  <c r="F154" i="35" s="1"/>
  <c r="E142" i="35"/>
  <c r="D142" i="35"/>
  <c r="C142" i="35"/>
  <c r="Q141" i="35"/>
  <c r="I141" i="35"/>
  <c r="H141" i="35"/>
  <c r="G141" i="35"/>
  <c r="F141" i="35"/>
  <c r="E141" i="35"/>
  <c r="D141" i="35"/>
  <c r="Q140" i="35"/>
  <c r="I140" i="35"/>
  <c r="H140" i="35"/>
  <c r="G140" i="35"/>
  <c r="F140" i="35"/>
  <c r="E140" i="35"/>
  <c r="D140" i="35"/>
  <c r="C140" i="35"/>
  <c r="Q139" i="35"/>
  <c r="D139" i="35" s="1"/>
  <c r="D153" i="35" s="1"/>
  <c r="I139" i="35"/>
  <c r="I153" i="35" s="1"/>
  <c r="E139" i="35"/>
  <c r="R120" i="35"/>
  <c r="Q120" i="35"/>
  <c r="P120" i="35"/>
  <c r="O120" i="35"/>
  <c r="N120" i="35"/>
  <c r="M120" i="35"/>
  <c r="R105" i="35"/>
  <c r="Q105" i="35"/>
  <c r="P105" i="35"/>
  <c r="O105" i="35"/>
  <c r="N105" i="35"/>
  <c r="M105" i="35"/>
  <c r="R99" i="35"/>
  <c r="Q99" i="35"/>
  <c r="P99" i="35"/>
  <c r="O99" i="35"/>
  <c r="N99" i="35"/>
  <c r="M99" i="35"/>
  <c r="R91" i="35"/>
  <c r="R135" i="35" s="1"/>
  <c r="I164" i="35" s="1"/>
  <c r="I167" i="35" s="1"/>
  <c r="Q91" i="35"/>
  <c r="P91" i="35"/>
  <c r="O91" i="35"/>
  <c r="N91" i="35"/>
  <c r="M91" i="35"/>
  <c r="R86" i="35"/>
  <c r="Q86" i="35"/>
  <c r="P86" i="35"/>
  <c r="O86" i="35"/>
  <c r="N86" i="35"/>
  <c r="M86" i="35"/>
  <c r="R78" i="35"/>
  <c r="Q78" i="35"/>
  <c r="Q135" i="35" s="1"/>
  <c r="H164" i="35" s="1"/>
  <c r="H167" i="35" s="1"/>
  <c r="P78" i="35"/>
  <c r="O78" i="35"/>
  <c r="N78" i="35"/>
  <c r="M78" i="35"/>
  <c r="R71" i="35"/>
  <c r="Q71" i="35"/>
  <c r="P71" i="35"/>
  <c r="O71" i="35"/>
  <c r="N71" i="35"/>
  <c r="N135" i="35" s="1"/>
  <c r="E164" i="35" s="1"/>
  <c r="E167" i="35" s="1"/>
  <c r="M71" i="35"/>
  <c r="M52" i="35"/>
  <c r="M67" i="35" s="1"/>
  <c r="C164" i="35" s="1"/>
  <c r="C167" i="35" s="1"/>
  <c r="M43" i="35"/>
  <c r="M36" i="35"/>
  <c r="M31" i="35"/>
  <c r="G11" i="35"/>
  <c r="Q152" i="34"/>
  <c r="I152" i="34"/>
  <c r="G152" i="34"/>
  <c r="F152" i="34"/>
  <c r="Q151" i="34"/>
  <c r="G151" i="34"/>
  <c r="Q150" i="34"/>
  <c r="G150" i="34"/>
  <c r="C150" i="34"/>
  <c r="Q149" i="34"/>
  <c r="G149" i="34" s="1"/>
  <c r="I149" i="34"/>
  <c r="H149" i="34"/>
  <c r="F149" i="34"/>
  <c r="E149" i="34"/>
  <c r="D149" i="34"/>
  <c r="Q148" i="34"/>
  <c r="I148" i="34"/>
  <c r="H148" i="34"/>
  <c r="G148" i="34"/>
  <c r="F148" i="34"/>
  <c r="E148" i="34"/>
  <c r="D148" i="34"/>
  <c r="C148" i="34"/>
  <c r="Q147" i="34"/>
  <c r="I147" i="34"/>
  <c r="G147" i="34"/>
  <c r="Q146" i="34"/>
  <c r="I146" i="34"/>
  <c r="H146" i="34"/>
  <c r="G146" i="34"/>
  <c r="F146" i="34"/>
  <c r="E146" i="34"/>
  <c r="D146" i="34"/>
  <c r="Q145" i="34"/>
  <c r="I145" i="34"/>
  <c r="H145" i="34"/>
  <c r="G145" i="34"/>
  <c r="F145" i="34"/>
  <c r="E145" i="34"/>
  <c r="D145" i="34"/>
  <c r="Q144" i="34"/>
  <c r="I144" i="34"/>
  <c r="H144" i="34"/>
  <c r="G144" i="34"/>
  <c r="F144" i="34"/>
  <c r="E144" i="34"/>
  <c r="D144" i="34"/>
  <c r="C144" i="34"/>
  <c r="Q143" i="34"/>
  <c r="C143" i="34"/>
  <c r="Q142" i="34"/>
  <c r="I142" i="34"/>
  <c r="I154" i="34" s="1"/>
  <c r="H142" i="34"/>
  <c r="G142" i="34"/>
  <c r="F142" i="34"/>
  <c r="E142" i="34"/>
  <c r="D142" i="34"/>
  <c r="C142" i="34"/>
  <c r="Q141" i="34"/>
  <c r="I141" i="34"/>
  <c r="H141" i="34"/>
  <c r="G141" i="34"/>
  <c r="F141" i="34"/>
  <c r="E141" i="34"/>
  <c r="D141" i="34"/>
  <c r="Q140" i="34"/>
  <c r="I140" i="34"/>
  <c r="H140" i="34"/>
  <c r="G140" i="34"/>
  <c r="F140" i="34"/>
  <c r="E140" i="34"/>
  <c r="D140" i="34"/>
  <c r="C140" i="34"/>
  <c r="Q139" i="34"/>
  <c r="F139" i="34"/>
  <c r="F153" i="34" s="1"/>
  <c r="R120" i="34"/>
  <c r="Q120" i="34"/>
  <c r="P120" i="34"/>
  <c r="O120" i="34"/>
  <c r="N120" i="34"/>
  <c r="M120" i="34"/>
  <c r="R105" i="34"/>
  <c r="Q105" i="34"/>
  <c r="P105" i="34"/>
  <c r="O105" i="34"/>
  <c r="N105" i="34"/>
  <c r="M105" i="34"/>
  <c r="R99" i="34"/>
  <c r="Q99" i="34"/>
  <c r="P99" i="34"/>
  <c r="O99" i="34"/>
  <c r="N99" i="34"/>
  <c r="M99" i="34"/>
  <c r="R91" i="34"/>
  <c r="Q91" i="34"/>
  <c r="P91" i="34"/>
  <c r="O91" i="34"/>
  <c r="N91" i="34"/>
  <c r="M91" i="34"/>
  <c r="R86" i="34"/>
  <c r="Q86" i="34"/>
  <c r="P86" i="34"/>
  <c r="O86" i="34"/>
  <c r="N86" i="34"/>
  <c r="M86" i="34"/>
  <c r="R78" i="34"/>
  <c r="Q78" i="34"/>
  <c r="P78" i="34"/>
  <c r="O78" i="34"/>
  <c r="N78" i="34"/>
  <c r="M78" i="34"/>
  <c r="R71" i="34"/>
  <c r="Q71" i="34"/>
  <c r="Q135" i="34" s="1"/>
  <c r="H164" i="34" s="1"/>
  <c r="H167" i="34" s="1"/>
  <c r="P71" i="34"/>
  <c r="O71" i="34"/>
  <c r="N71" i="34"/>
  <c r="M71" i="34"/>
  <c r="M52" i="34"/>
  <c r="M43" i="34"/>
  <c r="M36" i="34"/>
  <c r="M31" i="34"/>
  <c r="G11" i="34"/>
  <c r="Q152" i="33"/>
  <c r="I152" i="33"/>
  <c r="G152" i="33"/>
  <c r="F152" i="33"/>
  <c r="Q151" i="33"/>
  <c r="G151" i="33"/>
  <c r="Q150" i="33"/>
  <c r="G150" i="33"/>
  <c r="C150" i="33"/>
  <c r="Q149" i="33"/>
  <c r="G149" i="33" s="1"/>
  <c r="Q148" i="33"/>
  <c r="I148" i="33"/>
  <c r="H148" i="33"/>
  <c r="G148" i="33"/>
  <c r="F148" i="33"/>
  <c r="E148" i="33"/>
  <c r="D148" i="33"/>
  <c r="C148" i="33"/>
  <c r="Q147" i="33"/>
  <c r="I147" i="33"/>
  <c r="G147" i="33"/>
  <c r="Q146" i="33"/>
  <c r="I146" i="33"/>
  <c r="H146" i="33"/>
  <c r="G146" i="33"/>
  <c r="F146" i="33"/>
  <c r="E146" i="33"/>
  <c r="D146" i="33"/>
  <c r="Q145" i="33"/>
  <c r="I145" i="33"/>
  <c r="H145" i="33"/>
  <c r="G145" i="33"/>
  <c r="F145" i="33"/>
  <c r="E145" i="33"/>
  <c r="D145" i="33"/>
  <c r="Q144" i="33"/>
  <c r="I144" i="33"/>
  <c r="H144" i="33"/>
  <c r="G144" i="33"/>
  <c r="F144" i="33"/>
  <c r="E144" i="33"/>
  <c r="D144" i="33"/>
  <c r="C144" i="33"/>
  <c r="Q143" i="33"/>
  <c r="C143" i="33"/>
  <c r="Q142" i="33"/>
  <c r="I142" i="33"/>
  <c r="H142" i="33"/>
  <c r="G142" i="33"/>
  <c r="F142" i="33"/>
  <c r="E142" i="33"/>
  <c r="D142" i="33"/>
  <c r="C142" i="33"/>
  <c r="Q141" i="33"/>
  <c r="I141" i="33"/>
  <c r="H141" i="33"/>
  <c r="G141" i="33"/>
  <c r="F141" i="33"/>
  <c r="E141" i="33"/>
  <c r="D141" i="33"/>
  <c r="Q140" i="33"/>
  <c r="I140" i="33"/>
  <c r="H140" i="33"/>
  <c r="G140" i="33"/>
  <c r="F140" i="33"/>
  <c r="E140" i="33"/>
  <c r="D140" i="33"/>
  <c r="C140" i="33"/>
  <c r="Q139" i="33"/>
  <c r="F139" i="33" s="1"/>
  <c r="F153" i="33" s="1"/>
  <c r="R120" i="33"/>
  <c r="Q120" i="33"/>
  <c r="P120" i="33"/>
  <c r="O120" i="33"/>
  <c r="N120" i="33"/>
  <c r="M120" i="33"/>
  <c r="R105" i="33"/>
  <c r="Q105" i="33"/>
  <c r="P105" i="33"/>
  <c r="O105" i="33"/>
  <c r="N105" i="33"/>
  <c r="M105" i="33"/>
  <c r="R99" i="33"/>
  <c r="Q99" i="33"/>
  <c r="P99" i="33"/>
  <c r="O99" i="33"/>
  <c r="N99" i="33"/>
  <c r="M99" i="33"/>
  <c r="R91" i="33"/>
  <c r="Q91" i="33"/>
  <c r="P91" i="33"/>
  <c r="O91" i="33"/>
  <c r="N91" i="33"/>
  <c r="M91" i="33"/>
  <c r="R86" i="33"/>
  <c r="Q86" i="33"/>
  <c r="P86" i="33"/>
  <c r="O86" i="33"/>
  <c r="N86" i="33"/>
  <c r="M86" i="33"/>
  <c r="R78" i="33"/>
  <c r="Q78" i="33"/>
  <c r="P78" i="33"/>
  <c r="O78" i="33"/>
  <c r="N78" i="33"/>
  <c r="M78" i="33"/>
  <c r="R71" i="33"/>
  <c r="R135" i="33" s="1"/>
  <c r="I164" i="33" s="1"/>
  <c r="I167" i="33" s="1"/>
  <c r="Q71" i="33"/>
  <c r="P71" i="33"/>
  <c r="O71" i="33"/>
  <c r="N71" i="33"/>
  <c r="M71" i="33"/>
  <c r="M52" i="33"/>
  <c r="M43" i="33"/>
  <c r="M36" i="33"/>
  <c r="M31" i="33"/>
  <c r="Q152" i="32"/>
  <c r="I152" i="32"/>
  <c r="G152" i="32"/>
  <c r="F152" i="32"/>
  <c r="Q151" i="32"/>
  <c r="G151" i="32" s="1"/>
  <c r="Q150" i="32"/>
  <c r="G150" i="32"/>
  <c r="C150" i="32"/>
  <c r="Q149" i="32"/>
  <c r="H149" i="32" s="1"/>
  <c r="I149" i="32"/>
  <c r="G149" i="32"/>
  <c r="F149" i="32"/>
  <c r="E149" i="32"/>
  <c r="Q148" i="32"/>
  <c r="I148" i="32"/>
  <c r="H148" i="32"/>
  <c r="G148" i="32"/>
  <c r="F148" i="32"/>
  <c r="E148" i="32"/>
  <c r="D148" i="32"/>
  <c r="C148" i="32"/>
  <c r="Q147" i="32"/>
  <c r="I147" i="32"/>
  <c r="G147" i="32"/>
  <c r="Q146" i="32"/>
  <c r="I146" i="32"/>
  <c r="H146" i="32"/>
  <c r="G146" i="32"/>
  <c r="F146" i="32"/>
  <c r="E146" i="32"/>
  <c r="D146" i="32"/>
  <c r="Q145" i="32"/>
  <c r="I145" i="32"/>
  <c r="H145" i="32"/>
  <c r="G145" i="32"/>
  <c r="F145" i="32"/>
  <c r="E145" i="32"/>
  <c r="D145" i="32"/>
  <c r="Q144" i="32"/>
  <c r="I144" i="32"/>
  <c r="H144" i="32"/>
  <c r="G144" i="32"/>
  <c r="F144" i="32"/>
  <c r="E144" i="32"/>
  <c r="D144" i="32"/>
  <c r="C144" i="32"/>
  <c r="Q143" i="32"/>
  <c r="C143" i="32"/>
  <c r="Q142" i="32"/>
  <c r="I142" i="32"/>
  <c r="H142" i="32"/>
  <c r="G142" i="32"/>
  <c r="F142" i="32"/>
  <c r="E142" i="32"/>
  <c r="E154" i="32" s="1"/>
  <c r="D142" i="32"/>
  <c r="C142" i="32"/>
  <c r="Q141" i="32"/>
  <c r="I141" i="32"/>
  <c r="H141" i="32"/>
  <c r="G141" i="32"/>
  <c r="F141" i="32"/>
  <c r="E141" i="32"/>
  <c r="D141" i="32"/>
  <c r="Q140" i="32"/>
  <c r="I140" i="32"/>
  <c r="H140" i="32"/>
  <c r="G140" i="32"/>
  <c r="F140" i="32"/>
  <c r="E140" i="32"/>
  <c r="D140" i="32"/>
  <c r="C140" i="32"/>
  <c r="Q139" i="32"/>
  <c r="D139" i="32" s="1"/>
  <c r="H139" i="32"/>
  <c r="G139" i="32"/>
  <c r="F139" i="32"/>
  <c r="F153" i="32" s="1"/>
  <c r="E139" i="32"/>
  <c r="E153" i="32" s="1"/>
  <c r="R120" i="32"/>
  <c r="Q120" i="32"/>
  <c r="P120" i="32"/>
  <c r="O120" i="32"/>
  <c r="N120" i="32"/>
  <c r="M120" i="32"/>
  <c r="R105" i="32"/>
  <c r="Q105" i="32"/>
  <c r="P105" i="32"/>
  <c r="O105" i="32"/>
  <c r="N105" i="32"/>
  <c r="M105" i="32"/>
  <c r="R99" i="32"/>
  <c r="Q99" i="32"/>
  <c r="P99" i="32"/>
  <c r="O99" i="32"/>
  <c r="N99" i="32"/>
  <c r="M99" i="32"/>
  <c r="R91" i="32"/>
  <c r="Q91" i="32"/>
  <c r="P91" i="32"/>
  <c r="O91" i="32"/>
  <c r="N91" i="32"/>
  <c r="M91" i="32"/>
  <c r="R86" i="32"/>
  <c r="Q86" i="32"/>
  <c r="P86" i="32"/>
  <c r="O86" i="32"/>
  <c r="N86" i="32"/>
  <c r="M86" i="32"/>
  <c r="R78" i="32"/>
  <c r="Q78" i="32"/>
  <c r="P78" i="32"/>
  <c r="O78" i="32"/>
  <c r="N78" i="32"/>
  <c r="M78" i="32"/>
  <c r="R71" i="32"/>
  <c r="R135" i="32" s="1"/>
  <c r="I164" i="32" s="1"/>
  <c r="I167" i="32" s="1"/>
  <c r="Q71" i="32"/>
  <c r="P71" i="32"/>
  <c r="O71" i="32"/>
  <c r="O135" i="32" s="1"/>
  <c r="F164" i="32" s="1"/>
  <c r="F167" i="32" s="1"/>
  <c r="N71" i="32"/>
  <c r="M71" i="32"/>
  <c r="M52" i="32"/>
  <c r="M43" i="32"/>
  <c r="M36" i="32"/>
  <c r="M31" i="32"/>
  <c r="G11" i="32"/>
  <c r="Q152" i="31"/>
  <c r="I152" i="31"/>
  <c r="G152" i="31"/>
  <c r="F152" i="31"/>
  <c r="Q151" i="31"/>
  <c r="G151" i="31"/>
  <c r="Q150" i="31"/>
  <c r="G150" i="31"/>
  <c r="C150" i="31"/>
  <c r="Q149" i="31"/>
  <c r="I149" i="31"/>
  <c r="H149" i="31"/>
  <c r="G149" i="31"/>
  <c r="F149" i="31"/>
  <c r="E149" i="31"/>
  <c r="D149" i="31"/>
  <c r="C149" i="31"/>
  <c r="Q148" i="31"/>
  <c r="I148" i="31"/>
  <c r="H148" i="31"/>
  <c r="G148" i="31"/>
  <c r="F148" i="31"/>
  <c r="E148" i="31"/>
  <c r="D148" i="31"/>
  <c r="C148" i="31"/>
  <c r="Q147" i="31"/>
  <c r="I147" i="31"/>
  <c r="G147" i="31"/>
  <c r="Q146" i="31"/>
  <c r="I146" i="31"/>
  <c r="H146" i="31"/>
  <c r="G146" i="31"/>
  <c r="F146" i="31"/>
  <c r="E146" i="31"/>
  <c r="D146" i="31"/>
  <c r="Q145" i="31"/>
  <c r="I145" i="31"/>
  <c r="H145" i="31"/>
  <c r="G145" i="31"/>
  <c r="F145" i="31"/>
  <c r="E145" i="31"/>
  <c r="D145" i="31"/>
  <c r="Q144" i="31"/>
  <c r="I144" i="31"/>
  <c r="H144" i="31"/>
  <c r="G144" i="31"/>
  <c r="F144" i="31"/>
  <c r="E144" i="31"/>
  <c r="D144" i="31"/>
  <c r="C144" i="31"/>
  <c r="Q143" i="31"/>
  <c r="C143" i="31"/>
  <c r="Q142" i="31"/>
  <c r="I142" i="31"/>
  <c r="H142" i="31"/>
  <c r="G142" i="31"/>
  <c r="F142" i="31"/>
  <c r="E142" i="31"/>
  <c r="E154" i="31" s="1"/>
  <c r="D142" i="31"/>
  <c r="C142" i="31"/>
  <c r="Q141" i="31"/>
  <c r="I141" i="31"/>
  <c r="H141" i="31"/>
  <c r="G141" i="31"/>
  <c r="F141" i="31"/>
  <c r="E141" i="31"/>
  <c r="D141" i="31"/>
  <c r="Q140" i="31"/>
  <c r="I140" i="31"/>
  <c r="H140" i="31"/>
  <c r="G140" i="31"/>
  <c r="F140" i="31"/>
  <c r="E140" i="31"/>
  <c r="D140" i="31"/>
  <c r="C140" i="31"/>
  <c r="Q139" i="31"/>
  <c r="I139" i="31" s="1"/>
  <c r="R120" i="31"/>
  <c r="Q120" i="31"/>
  <c r="P120" i="31"/>
  <c r="O120" i="31"/>
  <c r="N120" i="31"/>
  <c r="M120" i="31"/>
  <c r="R105" i="31"/>
  <c r="Q105" i="31"/>
  <c r="P105" i="31"/>
  <c r="O105" i="31"/>
  <c r="N105" i="31"/>
  <c r="M105" i="31"/>
  <c r="R99" i="31"/>
  <c r="Q99" i="31"/>
  <c r="P99" i="31"/>
  <c r="O99" i="31"/>
  <c r="N99" i="31"/>
  <c r="M99" i="31"/>
  <c r="R91" i="31"/>
  <c r="Q91" i="31"/>
  <c r="P91" i="31"/>
  <c r="O91" i="31"/>
  <c r="N91" i="31"/>
  <c r="M91" i="31"/>
  <c r="R86" i="31"/>
  <c r="Q86" i="31"/>
  <c r="P86" i="31"/>
  <c r="O86" i="31"/>
  <c r="N86" i="31"/>
  <c r="M86" i="31"/>
  <c r="R78" i="31"/>
  <c r="Q78" i="31"/>
  <c r="P78" i="31"/>
  <c r="O78" i="31"/>
  <c r="N78" i="31"/>
  <c r="M78" i="31"/>
  <c r="R71" i="31"/>
  <c r="Q71" i="31"/>
  <c r="Q135" i="31" s="1"/>
  <c r="H164" i="31" s="1"/>
  <c r="H167" i="31" s="1"/>
  <c r="P71" i="31"/>
  <c r="O71" i="31"/>
  <c r="N71" i="31"/>
  <c r="M71" i="31"/>
  <c r="M52" i="31"/>
  <c r="M43" i="31"/>
  <c r="M36" i="31"/>
  <c r="M31" i="31"/>
  <c r="M67" i="31" s="1"/>
  <c r="C164" i="31" s="1"/>
  <c r="C167" i="31" s="1"/>
  <c r="Q152" i="30"/>
  <c r="I152" i="30"/>
  <c r="G152" i="30"/>
  <c r="F152" i="30"/>
  <c r="Q151" i="30"/>
  <c r="G151" i="30" s="1"/>
  <c r="Q150" i="30"/>
  <c r="G150" i="30"/>
  <c r="C150" i="30"/>
  <c r="Q149" i="30"/>
  <c r="I149" i="30"/>
  <c r="H149" i="30"/>
  <c r="G149" i="30"/>
  <c r="F149" i="30"/>
  <c r="E149" i="30"/>
  <c r="D149" i="30"/>
  <c r="C149" i="30"/>
  <c r="Q148" i="30"/>
  <c r="I148" i="30"/>
  <c r="H148" i="30"/>
  <c r="G148" i="30"/>
  <c r="F148" i="30"/>
  <c r="E148" i="30"/>
  <c r="D148" i="30"/>
  <c r="C148" i="30"/>
  <c r="Q147" i="30"/>
  <c r="I147" i="30"/>
  <c r="G147" i="30"/>
  <c r="Q146" i="30"/>
  <c r="I146" i="30"/>
  <c r="H146" i="30"/>
  <c r="G146" i="30"/>
  <c r="F146" i="30"/>
  <c r="E146" i="30"/>
  <c r="D146" i="30"/>
  <c r="Q145" i="30"/>
  <c r="I145" i="30"/>
  <c r="H145" i="30"/>
  <c r="G145" i="30"/>
  <c r="F145" i="30"/>
  <c r="E145" i="30"/>
  <c r="D145" i="30"/>
  <c r="Q144" i="30"/>
  <c r="I144" i="30"/>
  <c r="H144" i="30"/>
  <c r="G144" i="30"/>
  <c r="F144" i="30"/>
  <c r="E144" i="30"/>
  <c r="D144" i="30"/>
  <c r="C144" i="30"/>
  <c r="Q143" i="30"/>
  <c r="C143" i="30"/>
  <c r="Q142" i="30"/>
  <c r="I142" i="30"/>
  <c r="H142" i="30"/>
  <c r="G142" i="30"/>
  <c r="F142" i="30"/>
  <c r="E142" i="30"/>
  <c r="D142" i="30"/>
  <c r="C142" i="30"/>
  <c r="Q141" i="30"/>
  <c r="I141" i="30"/>
  <c r="H141" i="30"/>
  <c r="G141" i="30"/>
  <c r="F141" i="30"/>
  <c r="E141" i="30"/>
  <c r="D141" i="30"/>
  <c r="Q140" i="30"/>
  <c r="I140" i="30"/>
  <c r="H140" i="30"/>
  <c r="G140" i="30"/>
  <c r="F140" i="30"/>
  <c r="E140" i="30"/>
  <c r="D140" i="30"/>
  <c r="C140" i="30"/>
  <c r="Q139" i="30"/>
  <c r="R120" i="30"/>
  <c r="Q120" i="30"/>
  <c r="P120" i="30"/>
  <c r="O120" i="30"/>
  <c r="N120" i="30"/>
  <c r="M120" i="30"/>
  <c r="R105" i="30"/>
  <c r="Q105" i="30"/>
  <c r="P105" i="30"/>
  <c r="O105" i="30"/>
  <c r="N105" i="30"/>
  <c r="M105" i="30"/>
  <c r="R99" i="30"/>
  <c r="Q99" i="30"/>
  <c r="P99" i="30"/>
  <c r="O99" i="30"/>
  <c r="N99" i="30"/>
  <c r="M99" i="30"/>
  <c r="R91" i="30"/>
  <c r="Q91" i="30"/>
  <c r="P91" i="30"/>
  <c r="O91" i="30"/>
  <c r="N91" i="30"/>
  <c r="M91" i="30"/>
  <c r="R86" i="30"/>
  <c r="Q86" i="30"/>
  <c r="P86" i="30"/>
  <c r="O86" i="30"/>
  <c r="N86" i="30"/>
  <c r="M86" i="30"/>
  <c r="R78" i="30"/>
  <c r="Q78" i="30"/>
  <c r="P78" i="30"/>
  <c r="O78" i="30"/>
  <c r="N78" i="30"/>
  <c r="M78" i="30"/>
  <c r="R71" i="30"/>
  <c r="R135" i="30" s="1"/>
  <c r="I164" i="30" s="1"/>
  <c r="I167" i="30" s="1"/>
  <c r="Q71" i="30"/>
  <c r="P71" i="30"/>
  <c r="O71" i="30"/>
  <c r="N71" i="30"/>
  <c r="M71" i="30"/>
  <c r="M52" i="30"/>
  <c r="M43" i="30"/>
  <c r="M36" i="30"/>
  <c r="M31" i="30"/>
  <c r="M67" i="30" s="1"/>
  <c r="C164" i="30" s="1"/>
  <c r="C167" i="30" s="1"/>
  <c r="Q152" i="29"/>
  <c r="I152" i="29"/>
  <c r="G152" i="29"/>
  <c r="F152" i="29"/>
  <c r="Q151" i="29"/>
  <c r="G151" i="29"/>
  <c r="Q150" i="29"/>
  <c r="G150" i="29"/>
  <c r="C150" i="29"/>
  <c r="Q149" i="29"/>
  <c r="I149" i="29"/>
  <c r="H149" i="29"/>
  <c r="G149" i="29"/>
  <c r="F149" i="29"/>
  <c r="E149" i="29"/>
  <c r="D149" i="29"/>
  <c r="C149" i="29"/>
  <c r="Q148" i="29"/>
  <c r="I148" i="29"/>
  <c r="H148" i="29"/>
  <c r="G148" i="29"/>
  <c r="F148" i="29"/>
  <c r="E148" i="29"/>
  <c r="D148" i="29"/>
  <c r="C148" i="29"/>
  <c r="Q147" i="29"/>
  <c r="I147" i="29"/>
  <c r="G147" i="29"/>
  <c r="Q146" i="29"/>
  <c r="I146" i="29"/>
  <c r="H146" i="29"/>
  <c r="G146" i="29"/>
  <c r="F146" i="29"/>
  <c r="E146" i="29"/>
  <c r="D146" i="29"/>
  <c r="Q145" i="29"/>
  <c r="I145" i="29"/>
  <c r="H145" i="29"/>
  <c r="G145" i="29"/>
  <c r="F145" i="29"/>
  <c r="E145" i="29"/>
  <c r="D145" i="29"/>
  <c r="Q144" i="29"/>
  <c r="I144" i="29"/>
  <c r="H144" i="29"/>
  <c r="G144" i="29"/>
  <c r="F144" i="29"/>
  <c r="E144" i="29"/>
  <c r="D144" i="29"/>
  <c r="C144" i="29"/>
  <c r="Q143" i="29"/>
  <c r="C143" i="29"/>
  <c r="Q142" i="29"/>
  <c r="I142" i="29"/>
  <c r="I154" i="29" s="1"/>
  <c r="H142" i="29"/>
  <c r="G142" i="29"/>
  <c r="F142" i="29"/>
  <c r="E142" i="29"/>
  <c r="D142" i="29"/>
  <c r="C142" i="29"/>
  <c r="Q141" i="29"/>
  <c r="I141" i="29"/>
  <c r="H141" i="29"/>
  <c r="G141" i="29"/>
  <c r="F141" i="29"/>
  <c r="E141" i="29"/>
  <c r="D141" i="29"/>
  <c r="Q140" i="29"/>
  <c r="I140" i="29"/>
  <c r="H140" i="29"/>
  <c r="G140" i="29"/>
  <c r="F140" i="29"/>
  <c r="E140" i="29"/>
  <c r="D140" i="29"/>
  <c r="C140" i="29"/>
  <c r="Q139" i="29"/>
  <c r="E139" i="29" s="1"/>
  <c r="E153" i="29" s="1"/>
  <c r="H139" i="29"/>
  <c r="G139" i="29"/>
  <c r="C139" i="29"/>
  <c r="C153" i="29" s="1"/>
  <c r="R120" i="29"/>
  <c r="Q120" i="29"/>
  <c r="P120" i="29"/>
  <c r="O120" i="29"/>
  <c r="N120" i="29"/>
  <c r="M120" i="29"/>
  <c r="R105" i="29"/>
  <c r="Q105" i="29"/>
  <c r="P105" i="29"/>
  <c r="O105" i="29"/>
  <c r="N105" i="29"/>
  <c r="M105" i="29"/>
  <c r="R99" i="29"/>
  <c r="Q99" i="29"/>
  <c r="P99" i="29"/>
  <c r="O99" i="29"/>
  <c r="N99" i="29"/>
  <c r="M99" i="29"/>
  <c r="R91" i="29"/>
  <c r="Q91" i="29"/>
  <c r="P91" i="29"/>
  <c r="O91" i="29"/>
  <c r="N91" i="29"/>
  <c r="M91" i="29"/>
  <c r="R86" i="29"/>
  <c r="Q86" i="29"/>
  <c r="P86" i="29"/>
  <c r="O86" i="29"/>
  <c r="N86" i="29"/>
  <c r="M86" i="29"/>
  <c r="R78" i="29"/>
  <c r="Q78" i="29"/>
  <c r="P78" i="29"/>
  <c r="O78" i="29"/>
  <c r="N78" i="29"/>
  <c r="M78" i="29"/>
  <c r="R71" i="29"/>
  <c r="R135" i="29" s="1"/>
  <c r="I164" i="29" s="1"/>
  <c r="I167" i="29" s="1"/>
  <c r="Q71" i="29"/>
  <c r="P71" i="29"/>
  <c r="O71" i="29"/>
  <c r="N71" i="29"/>
  <c r="M71" i="29"/>
  <c r="M52" i="29"/>
  <c r="M43" i="29"/>
  <c r="M36" i="29"/>
  <c r="M31" i="29"/>
  <c r="Q152" i="28"/>
  <c r="I152" i="28"/>
  <c r="G152" i="28"/>
  <c r="F152" i="28"/>
  <c r="Q151" i="28"/>
  <c r="G151" i="28" s="1"/>
  <c r="Q150" i="28"/>
  <c r="G150" i="28"/>
  <c r="C150" i="28"/>
  <c r="Q149" i="28"/>
  <c r="I149" i="28"/>
  <c r="H149" i="28"/>
  <c r="G149" i="28"/>
  <c r="F149" i="28"/>
  <c r="E149" i="28"/>
  <c r="D149" i="28"/>
  <c r="C149" i="28"/>
  <c r="Q148" i="28"/>
  <c r="I148" i="28"/>
  <c r="H148" i="28"/>
  <c r="G148" i="28"/>
  <c r="F148" i="28"/>
  <c r="E148" i="28"/>
  <c r="D148" i="28"/>
  <c r="C148" i="28"/>
  <c r="Q147" i="28"/>
  <c r="I147" i="28"/>
  <c r="G147" i="28"/>
  <c r="Q146" i="28"/>
  <c r="I146" i="28"/>
  <c r="H146" i="28"/>
  <c r="G146" i="28"/>
  <c r="F146" i="28"/>
  <c r="E146" i="28"/>
  <c r="D146" i="28"/>
  <c r="Q145" i="28"/>
  <c r="I145" i="28"/>
  <c r="H145" i="28"/>
  <c r="G145" i="28"/>
  <c r="F145" i="28"/>
  <c r="E145" i="28"/>
  <c r="D145" i="28"/>
  <c r="Q144" i="28"/>
  <c r="I144" i="28"/>
  <c r="H144" i="28"/>
  <c r="G144" i="28"/>
  <c r="F144" i="28"/>
  <c r="E144" i="28"/>
  <c r="D144" i="28"/>
  <c r="C144" i="28"/>
  <c r="Q143" i="28"/>
  <c r="C143" i="28"/>
  <c r="Q142" i="28"/>
  <c r="I142" i="28"/>
  <c r="H142" i="28"/>
  <c r="G142" i="28"/>
  <c r="F142" i="28"/>
  <c r="E142" i="28"/>
  <c r="E154" i="28" s="1"/>
  <c r="D142" i="28"/>
  <c r="C142" i="28"/>
  <c r="Q141" i="28"/>
  <c r="I141" i="28"/>
  <c r="H141" i="28"/>
  <c r="G141" i="28"/>
  <c r="F141" i="28"/>
  <c r="E141" i="28"/>
  <c r="D141" i="28"/>
  <c r="Q140" i="28"/>
  <c r="I140" i="28"/>
  <c r="H140" i="28"/>
  <c r="G140" i="28"/>
  <c r="F140" i="28"/>
  <c r="E140" i="28"/>
  <c r="D140" i="28"/>
  <c r="C140" i="28"/>
  <c r="Q139" i="28"/>
  <c r="H139" i="28" s="1"/>
  <c r="H153" i="28" s="1"/>
  <c r="I139" i="28"/>
  <c r="I153" i="28" s="1"/>
  <c r="R120" i="28"/>
  <c r="Q120" i="28"/>
  <c r="P120" i="28"/>
  <c r="O120" i="28"/>
  <c r="N120" i="28"/>
  <c r="M120" i="28"/>
  <c r="R105" i="28"/>
  <c r="Q105" i="28"/>
  <c r="P105" i="28"/>
  <c r="O105" i="28"/>
  <c r="N105" i="28"/>
  <c r="M105" i="28"/>
  <c r="R99" i="28"/>
  <c r="Q99" i="28"/>
  <c r="P99" i="28"/>
  <c r="O99" i="28"/>
  <c r="N99" i="28"/>
  <c r="M99" i="28"/>
  <c r="R91" i="28"/>
  <c r="Q91" i="28"/>
  <c r="P91" i="28"/>
  <c r="O91" i="28"/>
  <c r="N91" i="28"/>
  <c r="M91" i="28"/>
  <c r="R86" i="28"/>
  <c r="Q86" i="28"/>
  <c r="P86" i="28"/>
  <c r="O86" i="28"/>
  <c r="N86" i="28"/>
  <c r="M86" i="28"/>
  <c r="R78" i="28"/>
  <c r="Q78" i="28"/>
  <c r="P78" i="28"/>
  <c r="O78" i="28"/>
  <c r="N78" i="28"/>
  <c r="M78" i="28"/>
  <c r="R71" i="28"/>
  <c r="Q71" i="28"/>
  <c r="P71" i="28"/>
  <c r="O71" i="28"/>
  <c r="N71" i="28"/>
  <c r="N135" i="28" s="1"/>
  <c r="E164" i="28" s="1"/>
  <c r="E167" i="28" s="1"/>
  <c r="M71" i="28"/>
  <c r="M52" i="28"/>
  <c r="M43" i="28"/>
  <c r="M36" i="28"/>
  <c r="M31" i="28"/>
  <c r="M67" i="28" s="1"/>
  <c r="C164" i="28" s="1"/>
  <c r="C167" i="28" s="1"/>
  <c r="D153" i="27"/>
  <c r="Q152" i="27"/>
  <c r="I152" i="27"/>
  <c r="G152" i="27"/>
  <c r="F152" i="27"/>
  <c r="Q151" i="27"/>
  <c r="G151" i="27"/>
  <c r="Q150" i="27"/>
  <c r="G150" i="27"/>
  <c r="C150" i="27"/>
  <c r="Q149" i="27"/>
  <c r="I149" i="27"/>
  <c r="H149" i="27"/>
  <c r="G149" i="27"/>
  <c r="F149" i="27"/>
  <c r="E149" i="27"/>
  <c r="D149" i="27"/>
  <c r="C149" i="27"/>
  <c r="Q148" i="27"/>
  <c r="I148" i="27"/>
  <c r="H148" i="27"/>
  <c r="G148" i="27"/>
  <c r="F148" i="27"/>
  <c r="E148" i="27"/>
  <c r="E154" i="27" s="1"/>
  <c r="D148" i="27"/>
  <c r="D154" i="27" s="1"/>
  <c r="C148" i="27"/>
  <c r="Q147" i="27"/>
  <c r="I147" i="27"/>
  <c r="G147" i="27"/>
  <c r="Q146" i="27"/>
  <c r="I146" i="27"/>
  <c r="H146" i="27"/>
  <c r="G146" i="27"/>
  <c r="F146" i="27"/>
  <c r="E146" i="27"/>
  <c r="D146" i="27"/>
  <c r="Q145" i="27"/>
  <c r="I145" i="27"/>
  <c r="H145" i="27"/>
  <c r="G145" i="27"/>
  <c r="F145" i="27"/>
  <c r="E145" i="27"/>
  <c r="D145" i="27"/>
  <c r="Q144" i="27"/>
  <c r="I144" i="27"/>
  <c r="H144" i="27"/>
  <c r="G144" i="27"/>
  <c r="F144" i="27"/>
  <c r="F154" i="27" s="1"/>
  <c r="E144" i="27"/>
  <c r="D144" i="27"/>
  <c r="C144" i="27"/>
  <c r="Q143" i="27"/>
  <c r="C143" i="27"/>
  <c r="Q142" i="27"/>
  <c r="I142" i="27"/>
  <c r="I154" i="27" s="1"/>
  <c r="H142" i="27"/>
  <c r="H154" i="27" s="1"/>
  <c r="G142" i="27"/>
  <c r="F142" i="27"/>
  <c r="E142" i="27"/>
  <c r="D142" i="27"/>
  <c r="C142" i="27"/>
  <c r="C154" i="27" s="1"/>
  <c r="Q141" i="27"/>
  <c r="I141" i="27"/>
  <c r="H141" i="27"/>
  <c r="G141" i="27"/>
  <c r="F141" i="27"/>
  <c r="E141" i="27"/>
  <c r="D141" i="27"/>
  <c r="Q140" i="27"/>
  <c r="I140" i="27"/>
  <c r="H140" i="27"/>
  <c r="G140" i="27"/>
  <c r="F140" i="27"/>
  <c r="E140" i="27"/>
  <c r="D140" i="27"/>
  <c r="C140" i="27"/>
  <c r="Q139" i="27"/>
  <c r="E139" i="27" s="1"/>
  <c r="E153" i="27" s="1"/>
  <c r="G139" i="27"/>
  <c r="F139" i="27"/>
  <c r="F153" i="27" s="1"/>
  <c r="D139" i="27"/>
  <c r="R120" i="27"/>
  <c r="Q120" i="27"/>
  <c r="P120" i="27"/>
  <c r="O120" i="27"/>
  <c r="N120" i="27"/>
  <c r="M120" i="27"/>
  <c r="R105" i="27"/>
  <c r="Q105" i="27"/>
  <c r="P105" i="27"/>
  <c r="O105" i="27"/>
  <c r="N105" i="27"/>
  <c r="M105" i="27"/>
  <c r="R99" i="27"/>
  <c r="Q99" i="27"/>
  <c r="P99" i="27"/>
  <c r="O99" i="27"/>
  <c r="N99" i="27"/>
  <c r="M99" i="27"/>
  <c r="R91" i="27"/>
  <c r="Q91" i="27"/>
  <c r="P91" i="27"/>
  <c r="O91" i="27"/>
  <c r="O135" i="27" s="1"/>
  <c r="F164" i="27" s="1"/>
  <c r="F167" i="27" s="1"/>
  <c r="N91" i="27"/>
  <c r="M91" i="27"/>
  <c r="R86" i="27"/>
  <c r="Q86" i="27"/>
  <c r="P86" i="27"/>
  <c r="O86" i="27"/>
  <c r="N86" i="27"/>
  <c r="M86" i="27"/>
  <c r="R78" i="27"/>
  <c r="Q78" i="27"/>
  <c r="P78" i="27"/>
  <c r="O78" i="27"/>
  <c r="N78" i="27"/>
  <c r="M78" i="27"/>
  <c r="R71" i="27"/>
  <c r="R135" i="27" s="1"/>
  <c r="I164" i="27" s="1"/>
  <c r="I167" i="27" s="1"/>
  <c r="Q71" i="27"/>
  <c r="Q135" i="27" s="1"/>
  <c r="H164" i="27" s="1"/>
  <c r="H167" i="27" s="1"/>
  <c r="P71" i="27"/>
  <c r="O71" i="27"/>
  <c r="N71" i="27"/>
  <c r="N135" i="27" s="1"/>
  <c r="E164" i="27" s="1"/>
  <c r="E167" i="27" s="1"/>
  <c r="M71" i="27"/>
  <c r="M52" i="27"/>
  <c r="M43" i="27"/>
  <c r="M36" i="27"/>
  <c r="M31" i="27"/>
  <c r="M67" i="27" s="1"/>
  <c r="C164" i="27" s="1"/>
  <c r="C167" i="27" s="1"/>
  <c r="Q152" i="26"/>
  <c r="I152" i="26"/>
  <c r="G152" i="26"/>
  <c r="F152" i="26"/>
  <c r="Q151" i="26"/>
  <c r="G151" i="26" s="1"/>
  <c r="Q150" i="26"/>
  <c r="G150" i="26"/>
  <c r="C150" i="26"/>
  <c r="Q149" i="26"/>
  <c r="I149" i="26"/>
  <c r="H149" i="26"/>
  <c r="G149" i="26"/>
  <c r="F149" i="26"/>
  <c r="E149" i="26"/>
  <c r="D149" i="26"/>
  <c r="C149" i="26"/>
  <c r="Q148" i="26"/>
  <c r="I148" i="26"/>
  <c r="H148" i="26"/>
  <c r="G148" i="26"/>
  <c r="F148" i="26"/>
  <c r="E148" i="26"/>
  <c r="D148" i="26"/>
  <c r="C148" i="26"/>
  <c r="Q147" i="26"/>
  <c r="I147" i="26"/>
  <c r="G147" i="26"/>
  <c r="Q146" i="26"/>
  <c r="I146" i="26"/>
  <c r="H146" i="26"/>
  <c r="G146" i="26"/>
  <c r="F146" i="26"/>
  <c r="E146" i="26"/>
  <c r="D146" i="26"/>
  <c r="Q145" i="26"/>
  <c r="I145" i="26"/>
  <c r="H145" i="26"/>
  <c r="G145" i="26"/>
  <c r="F145" i="26"/>
  <c r="E145" i="26"/>
  <c r="D145" i="26"/>
  <c r="Q144" i="26"/>
  <c r="I144" i="26"/>
  <c r="H144" i="26"/>
  <c r="G144" i="26"/>
  <c r="F144" i="26"/>
  <c r="E144" i="26"/>
  <c r="D144" i="26"/>
  <c r="C144" i="26"/>
  <c r="Q143" i="26"/>
  <c r="C143" i="26"/>
  <c r="Q142" i="26"/>
  <c r="I142" i="26"/>
  <c r="H142" i="26"/>
  <c r="G142" i="26"/>
  <c r="F142" i="26"/>
  <c r="E142" i="26"/>
  <c r="D142" i="26"/>
  <c r="D154" i="26" s="1"/>
  <c r="C142" i="26"/>
  <c r="Q141" i="26"/>
  <c r="I141" i="26"/>
  <c r="H141" i="26"/>
  <c r="G141" i="26"/>
  <c r="F141" i="26"/>
  <c r="E141" i="26"/>
  <c r="D141" i="26"/>
  <c r="Q140" i="26"/>
  <c r="I140" i="26"/>
  <c r="H140" i="26"/>
  <c r="G140" i="26"/>
  <c r="F140" i="26"/>
  <c r="E140" i="26"/>
  <c r="D140" i="26"/>
  <c r="C140" i="26"/>
  <c r="Q139" i="26"/>
  <c r="H139" i="26" s="1"/>
  <c r="H153" i="26" s="1"/>
  <c r="I139" i="26"/>
  <c r="I153" i="26" s="1"/>
  <c r="R120" i="26"/>
  <c r="Q120" i="26"/>
  <c r="P120" i="26"/>
  <c r="O120" i="26"/>
  <c r="N120" i="26"/>
  <c r="M120" i="26"/>
  <c r="R105" i="26"/>
  <c r="Q105" i="26"/>
  <c r="P105" i="26"/>
  <c r="O105" i="26"/>
  <c r="N105" i="26"/>
  <c r="M105" i="26"/>
  <c r="R99" i="26"/>
  <c r="Q99" i="26"/>
  <c r="P99" i="26"/>
  <c r="O99" i="26"/>
  <c r="N99" i="26"/>
  <c r="M99" i="26"/>
  <c r="R91" i="26"/>
  <c r="Q91" i="26"/>
  <c r="P91" i="26"/>
  <c r="O91" i="26"/>
  <c r="N91" i="26"/>
  <c r="M91" i="26"/>
  <c r="R86" i="26"/>
  <c r="Q86" i="26"/>
  <c r="P86" i="26"/>
  <c r="O86" i="26"/>
  <c r="N86" i="26"/>
  <c r="M86" i="26"/>
  <c r="R78" i="26"/>
  <c r="Q78" i="26"/>
  <c r="P78" i="26"/>
  <c r="O78" i="26"/>
  <c r="N78" i="26"/>
  <c r="M78" i="26"/>
  <c r="R71" i="26"/>
  <c r="Q71" i="26"/>
  <c r="P71" i="26"/>
  <c r="O71" i="26"/>
  <c r="N71" i="26"/>
  <c r="N135" i="26" s="1"/>
  <c r="E164" i="26" s="1"/>
  <c r="E167" i="26" s="1"/>
  <c r="M71" i="26"/>
  <c r="M52" i="26"/>
  <c r="M43" i="26"/>
  <c r="M36" i="26"/>
  <c r="M31" i="26"/>
  <c r="Q152" i="25"/>
  <c r="I152" i="25"/>
  <c r="G152" i="25"/>
  <c r="F152" i="25"/>
  <c r="Q151" i="25"/>
  <c r="G151" i="25" s="1"/>
  <c r="Q150" i="25"/>
  <c r="G150" i="25"/>
  <c r="C150" i="25"/>
  <c r="Q149" i="25"/>
  <c r="I149" i="25"/>
  <c r="H149" i="25"/>
  <c r="G149" i="25"/>
  <c r="F149" i="25"/>
  <c r="E149" i="25"/>
  <c r="D149" i="25"/>
  <c r="C149" i="25"/>
  <c r="Q148" i="25"/>
  <c r="I148" i="25"/>
  <c r="H148" i="25"/>
  <c r="G148" i="25"/>
  <c r="F148" i="25"/>
  <c r="E148" i="25"/>
  <c r="D148" i="25"/>
  <c r="C148" i="25"/>
  <c r="Q147" i="25"/>
  <c r="I147" i="25"/>
  <c r="G147" i="25"/>
  <c r="Q146" i="25"/>
  <c r="I146" i="25"/>
  <c r="H146" i="25"/>
  <c r="G146" i="25"/>
  <c r="F146" i="25"/>
  <c r="E146" i="25"/>
  <c r="D146" i="25"/>
  <c r="Q145" i="25"/>
  <c r="I145" i="25"/>
  <c r="H145" i="25"/>
  <c r="G145" i="25"/>
  <c r="F145" i="25"/>
  <c r="F154" i="25" s="1"/>
  <c r="E145" i="25"/>
  <c r="D145" i="25"/>
  <c r="D154" i="25" s="1"/>
  <c r="Q144" i="25"/>
  <c r="I144" i="25"/>
  <c r="H144" i="25"/>
  <c r="G144" i="25"/>
  <c r="F144" i="25"/>
  <c r="E144" i="25"/>
  <c r="D144" i="25"/>
  <c r="C144" i="25"/>
  <c r="Q143" i="25"/>
  <c r="C143" i="25"/>
  <c r="Q142" i="25"/>
  <c r="I142" i="25"/>
  <c r="H142" i="25"/>
  <c r="G142" i="25"/>
  <c r="F142" i="25"/>
  <c r="E142" i="25"/>
  <c r="E154" i="25" s="1"/>
  <c r="D142" i="25"/>
  <c r="C142" i="25"/>
  <c r="Q141" i="25"/>
  <c r="I141" i="25"/>
  <c r="H141" i="25"/>
  <c r="G141" i="25"/>
  <c r="F141" i="25"/>
  <c r="E141" i="25"/>
  <c r="D141" i="25"/>
  <c r="Q140" i="25"/>
  <c r="I140" i="25"/>
  <c r="H140" i="25"/>
  <c r="G140" i="25"/>
  <c r="F140" i="25"/>
  <c r="E140" i="25"/>
  <c r="D140" i="25"/>
  <c r="C140" i="25"/>
  <c r="Q139" i="25"/>
  <c r="G139" i="25" s="1"/>
  <c r="G153" i="25" s="1"/>
  <c r="R120" i="25"/>
  <c r="Q120" i="25"/>
  <c r="P120" i="25"/>
  <c r="O120" i="25"/>
  <c r="N120" i="25"/>
  <c r="M120" i="25"/>
  <c r="R105" i="25"/>
  <c r="Q105" i="25"/>
  <c r="P105" i="25"/>
  <c r="O105" i="25"/>
  <c r="N105" i="25"/>
  <c r="M105" i="25"/>
  <c r="R99" i="25"/>
  <c r="Q99" i="25"/>
  <c r="P99" i="25"/>
  <c r="O99" i="25"/>
  <c r="N99" i="25"/>
  <c r="M99" i="25"/>
  <c r="R91" i="25"/>
  <c r="Q91" i="25"/>
  <c r="P91" i="25"/>
  <c r="O91" i="25"/>
  <c r="N91" i="25"/>
  <c r="M91" i="25"/>
  <c r="R86" i="25"/>
  <c r="Q86" i="25"/>
  <c r="P86" i="25"/>
  <c r="O86" i="25"/>
  <c r="N86" i="25"/>
  <c r="M86" i="25"/>
  <c r="R78" i="25"/>
  <c r="Q78" i="25"/>
  <c r="P78" i="25"/>
  <c r="O78" i="25"/>
  <c r="N78" i="25"/>
  <c r="M78" i="25"/>
  <c r="R71" i="25"/>
  <c r="Q71" i="25"/>
  <c r="Q135" i="25" s="1"/>
  <c r="H164" i="25" s="1"/>
  <c r="H167" i="25" s="1"/>
  <c r="P71" i="25"/>
  <c r="O71" i="25"/>
  <c r="N71" i="25"/>
  <c r="N135" i="25" s="1"/>
  <c r="E164" i="25" s="1"/>
  <c r="E167" i="25" s="1"/>
  <c r="M71" i="25"/>
  <c r="M52" i="25"/>
  <c r="M43" i="25"/>
  <c r="M36" i="25"/>
  <c r="M31" i="25"/>
  <c r="Q152" i="24"/>
  <c r="I152" i="24"/>
  <c r="G152" i="24"/>
  <c r="F152" i="24"/>
  <c r="Q151" i="24"/>
  <c r="G151" i="24" s="1"/>
  <c r="Q150" i="24"/>
  <c r="G150" i="24"/>
  <c r="C150" i="24"/>
  <c r="Q149" i="24"/>
  <c r="I149" i="24"/>
  <c r="H149" i="24"/>
  <c r="G149" i="24"/>
  <c r="F149" i="24"/>
  <c r="E149" i="24"/>
  <c r="D149" i="24"/>
  <c r="C149" i="24"/>
  <c r="Q148" i="24"/>
  <c r="I148" i="24"/>
  <c r="H148" i="24"/>
  <c r="G148" i="24"/>
  <c r="F148" i="24"/>
  <c r="E148" i="24"/>
  <c r="D148" i="24"/>
  <c r="C148" i="24"/>
  <c r="Q147" i="24"/>
  <c r="I147" i="24"/>
  <c r="G147" i="24"/>
  <c r="Q146" i="24"/>
  <c r="I146" i="24"/>
  <c r="H146" i="24"/>
  <c r="G146" i="24"/>
  <c r="F146" i="24"/>
  <c r="E146" i="24"/>
  <c r="D146" i="24"/>
  <c r="Q145" i="24"/>
  <c r="I145" i="24"/>
  <c r="H145" i="24"/>
  <c r="G145" i="24"/>
  <c r="F145" i="24"/>
  <c r="E145" i="24"/>
  <c r="D145" i="24"/>
  <c r="Q144" i="24"/>
  <c r="I144" i="24"/>
  <c r="H144" i="24"/>
  <c r="G144" i="24"/>
  <c r="F144" i="24"/>
  <c r="E144" i="24"/>
  <c r="D144" i="24"/>
  <c r="C144" i="24"/>
  <c r="Q143" i="24"/>
  <c r="C143" i="24"/>
  <c r="Q142" i="24"/>
  <c r="I142" i="24"/>
  <c r="H142" i="24"/>
  <c r="G142" i="24"/>
  <c r="F142" i="24"/>
  <c r="E142" i="24"/>
  <c r="D142" i="24"/>
  <c r="C142" i="24"/>
  <c r="C154" i="24" s="1"/>
  <c r="Q141" i="24"/>
  <c r="I141" i="24"/>
  <c r="H141" i="24"/>
  <c r="G141" i="24"/>
  <c r="F141" i="24"/>
  <c r="E141" i="24"/>
  <c r="D141" i="24"/>
  <c r="Q140" i="24"/>
  <c r="I140" i="24"/>
  <c r="H140" i="24"/>
  <c r="G140" i="24"/>
  <c r="F140" i="24"/>
  <c r="E140" i="24"/>
  <c r="D140" i="24"/>
  <c r="C140" i="24"/>
  <c r="Q139" i="24"/>
  <c r="R120" i="24"/>
  <c r="Q120" i="24"/>
  <c r="P120" i="24"/>
  <c r="O120" i="24"/>
  <c r="N120" i="24"/>
  <c r="M120" i="24"/>
  <c r="R105" i="24"/>
  <c r="Q105" i="24"/>
  <c r="P105" i="24"/>
  <c r="O105" i="24"/>
  <c r="N105" i="24"/>
  <c r="M105" i="24"/>
  <c r="R99" i="24"/>
  <c r="Q99" i="24"/>
  <c r="P99" i="24"/>
  <c r="O99" i="24"/>
  <c r="N99" i="24"/>
  <c r="M99" i="24"/>
  <c r="R91" i="24"/>
  <c r="Q91" i="24"/>
  <c r="P91" i="24"/>
  <c r="O91" i="24"/>
  <c r="N91" i="24"/>
  <c r="M91" i="24"/>
  <c r="R86" i="24"/>
  <c r="Q86" i="24"/>
  <c r="P86" i="24"/>
  <c r="O86" i="24"/>
  <c r="N86" i="24"/>
  <c r="M86" i="24"/>
  <c r="R78" i="24"/>
  <c r="Q78" i="24"/>
  <c r="P78" i="24"/>
  <c r="O78" i="24"/>
  <c r="N78" i="24"/>
  <c r="M78" i="24"/>
  <c r="R71" i="24"/>
  <c r="Q71" i="24"/>
  <c r="Q135" i="24" s="1"/>
  <c r="H164" i="24" s="1"/>
  <c r="H167" i="24" s="1"/>
  <c r="P71" i="24"/>
  <c r="O71" i="24"/>
  <c r="O135" i="24" s="1"/>
  <c r="F164" i="24" s="1"/>
  <c r="F167" i="24" s="1"/>
  <c r="N71" i="24"/>
  <c r="M71" i="24"/>
  <c r="M52" i="24"/>
  <c r="M43" i="24"/>
  <c r="M36" i="24"/>
  <c r="M31" i="24"/>
  <c r="M67" i="24" s="1"/>
  <c r="C164" i="24" s="1"/>
  <c r="C167" i="24" s="1"/>
  <c r="Q152" i="23"/>
  <c r="I152" i="23"/>
  <c r="G152" i="23"/>
  <c r="F152" i="23"/>
  <c r="Q151" i="23"/>
  <c r="G151" i="23" s="1"/>
  <c r="Q150" i="23"/>
  <c r="G150" i="23"/>
  <c r="C150" i="23"/>
  <c r="Q149" i="23"/>
  <c r="I149" i="23"/>
  <c r="H149" i="23"/>
  <c r="G149" i="23"/>
  <c r="F149" i="23"/>
  <c r="E149" i="23"/>
  <c r="D149" i="23"/>
  <c r="C149" i="23"/>
  <c r="Q148" i="23"/>
  <c r="I148" i="23"/>
  <c r="H148" i="23"/>
  <c r="G148" i="23"/>
  <c r="F148" i="23"/>
  <c r="E148" i="23"/>
  <c r="D148" i="23"/>
  <c r="C148" i="23"/>
  <c r="Q147" i="23"/>
  <c r="I147" i="23"/>
  <c r="G147" i="23"/>
  <c r="Q146" i="23"/>
  <c r="I146" i="23"/>
  <c r="H146" i="23"/>
  <c r="G146" i="23"/>
  <c r="F146" i="23"/>
  <c r="E146" i="23"/>
  <c r="D146" i="23"/>
  <c r="Q145" i="23"/>
  <c r="I145" i="23"/>
  <c r="H145" i="23"/>
  <c r="G145" i="23"/>
  <c r="F145" i="23"/>
  <c r="E145" i="23"/>
  <c r="D145" i="23"/>
  <c r="Q144" i="23"/>
  <c r="I144" i="23"/>
  <c r="H144" i="23"/>
  <c r="G144" i="23"/>
  <c r="F144" i="23"/>
  <c r="E144" i="23"/>
  <c r="D144" i="23"/>
  <c r="C144" i="23"/>
  <c r="Q143" i="23"/>
  <c r="C143" i="23"/>
  <c r="Q142" i="23"/>
  <c r="I142" i="23"/>
  <c r="H142" i="23"/>
  <c r="H154" i="23" s="1"/>
  <c r="G142" i="23"/>
  <c r="F142" i="23"/>
  <c r="F154" i="23" s="1"/>
  <c r="E142" i="23"/>
  <c r="D142" i="23"/>
  <c r="C142" i="23"/>
  <c r="Q141" i="23"/>
  <c r="I141" i="23"/>
  <c r="H141" i="23"/>
  <c r="G141" i="23"/>
  <c r="F141" i="23"/>
  <c r="E141" i="23"/>
  <c r="D141" i="23"/>
  <c r="Q140" i="23"/>
  <c r="I140" i="23"/>
  <c r="H140" i="23"/>
  <c r="G140" i="23"/>
  <c r="F140" i="23"/>
  <c r="E140" i="23"/>
  <c r="D140" i="23"/>
  <c r="C140" i="23"/>
  <c r="Q139" i="23"/>
  <c r="C139" i="23" s="1"/>
  <c r="C153" i="23" s="1"/>
  <c r="E139" i="23"/>
  <c r="D139" i="23"/>
  <c r="D153" i="23" s="1"/>
  <c r="R120" i="23"/>
  <c r="Q120" i="23"/>
  <c r="P120" i="23"/>
  <c r="O120" i="23"/>
  <c r="N120" i="23"/>
  <c r="M120" i="23"/>
  <c r="R105" i="23"/>
  <c r="Q105" i="23"/>
  <c r="P105" i="23"/>
  <c r="O105" i="23"/>
  <c r="N105" i="23"/>
  <c r="M105" i="23"/>
  <c r="R99" i="23"/>
  <c r="Q99" i="23"/>
  <c r="P99" i="23"/>
  <c r="O99" i="23"/>
  <c r="N99" i="23"/>
  <c r="M99" i="23"/>
  <c r="R91" i="23"/>
  <c r="Q91" i="23"/>
  <c r="P91" i="23"/>
  <c r="O91" i="23"/>
  <c r="N91" i="23"/>
  <c r="M91" i="23"/>
  <c r="R86" i="23"/>
  <c r="Q86" i="23"/>
  <c r="P86" i="23"/>
  <c r="O86" i="23"/>
  <c r="N86" i="23"/>
  <c r="M86" i="23"/>
  <c r="R78" i="23"/>
  <c r="Q78" i="23"/>
  <c r="P78" i="23"/>
  <c r="O78" i="23"/>
  <c r="N78" i="23"/>
  <c r="M78" i="23"/>
  <c r="R71" i="23"/>
  <c r="Q71" i="23"/>
  <c r="P71" i="23"/>
  <c r="O71" i="23"/>
  <c r="N71" i="23"/>
  <c r="N135" i="23" s="1"/>
  <c r="E164" i="23" s="1"/>
  <c r="E167" i="23" s="1"/>
  <c r="M71" i="23"/>
  <c r="M52" i="23"/>
  <c r="M43" i="23"/>
  <c r="M36" i="23"/>
  <c r="M31" i="23"/>
  <c r="Q152" i="22"/>
  <c r="I152" i="22"/>
  <c r="G152" i="22"/>
  <c r="F152" i="22"/>
  <c r="Q151" i="22"/>
  <c r="G151" i="22"/>
  <c r="Q150" i="22"/>
  <c r="G150" i="22"/>
  <c r="C150" i="22"/>
  <c r="Q149" i="22"/>
  <c r="I149" i="22"/>
  <c r="H149" i="22"/>
  <c r="G149" i="22"/>
  <c r="F149" i="22"/>
  <c r="E149" i="22"/>
  <c r="D149" i="22"/>
  <c r="C149" i="22"/>
  <c r="Q148" i="22"/>
  <c r="I148" i="22"/>
  <c r="H148" i="22"/>
  <c r="G148" i="22"/>
  <c r="F148" i="22"/>
  <c r="E148" i="22"/>
  <c r="D148" i="22"/>
  <c r="C148" i="22"/>
  <c r="Q147" i="22"/>
  <c r="I147" i="22"/>
  <c r="G147" i="22"/>
  <c r="Q146" i="22"/>
  <c r="I146" i="22"/>
  <c r="H146" i="22"/>
  <c r="G146" i="22"/>
  <c r="F146" i="22"/>
  <c r="E146" i="22"/>
  <c r="D146" i="22"/>
  <c r="Q145" i="22"/>
  <c r="I145" i="22"/>
  <c r="H145" i="22"/>
  <c r="G145" i="22"/>
  <c r="F145" i="22"/>
  <c r="E145" i="22"/>
  <c r="D145" i="22"/>
  <c r="Q144" i="22"/>
  <c r="I144" i="22"/>
  <c r="H144" i="22"/>
  <c r="G144" i="22"/>
  <c r="F144" i="22"/>
  <c r="E144" i="22"/>
  <c r="D144" i="22"/>
  <c r="C144" i="22"/>
  <c r="Q143" i="22"/>
  <c r="C143" i="22"/>
  <c r="Q142" i="22"/>
  <c r="I142" i="22"/>
  <c r="I154" i="22" s="1"/>
  <c r="H142" i="22"/>
  <c r="G142" i="22"/>
  <c r="F142" i="22"/>
  <c r="F154" i="22" s="1"/>
  <c r="E142" i="22"/>
  <c r="D142" i="22"/>
  <c r="C142" i="22"/>
  <c r="Q141" i="22"/>
  <c r="I141" i="22"/>
  <c r="H141" i="22"/>
  <c r="G141" i="22"/>
  <c r="F141" i="22"/>
  <c r="E141" i="22"/>
  <c r="D141" i="22"/>
  <c r="Q140" i="22"/>
  <c r="I140" i="22"/>
  <c r="H140" i="22"/>
  <c r="G140" i="22"/>
  <c r="F140" i="22"/>
  <c r="E140" i="22"/>
  <c r="D140" i="22"/>
  <c r="C140" i="22"/>
  <c r="Q139" i="22"/>
  <c r="G139" i="22" s="1"/>
  <c r="I139" i="22"/>
  <c r="H139" i="22"/>
  <c r="H153" i="22" s="1"/>
  <c r="F139" i="22"/>
  <c r="E139" i="22"/>
  <c r="E153" i="22" s="1"/>
  <c r="C139" i="22"/>
  <c r="R120" i="22"/>
  <c r="Q120" i="22"/>
  <c r="P120" i="22"/>
  <c r="O120" i="22"/>
  <c r="N120" i="22"/>
  <c r="M120" i="22"/>
  <c r="R105" i="22"/>
  <c r="Q105" i="22"/>
  <c r="P105" i="22"/>
  <c r="O105" i="22"/>
  <c r="N105" i="22"/>
  <c r="M105" i="22"/>
  <c r="R99" i="22"/>
  <c r="Q99" i="22"/>
  <c r="P99" i="22"/>
  <c r="O99" i="22"/>
  <c r="N99" i="22"/>
  <c r="M99" i="22"/>
  <c r="R91" i="22"/>
  <c r="Q91" i="22"/>
  <c r="P91" i="22"/>
  <c r="O91" i="22"/>
  <c r="N91" i="22"/>
  <c r="M91" i="22"/>
  <c r="R86" i="22"/>
  <c r="Q86" i="22"/>
  <c r="P86" i="22"/>
  <c r="O86" i="22"/>
  <c r="N86" i="22"/>
  <c r="M86" i="22"/>
  <c r="R78" i="22"/>
  <c r="Q78" i="22"/>
  <c r="P78" i="22"/>
  <c r="O78" i="22"/>
  <c r="N78" i="22"/>
  <c r="M78" i="22"/>
  <c r="R71" i="22"/>
  <c r="Q71" i="22"/>
  <c r="P71" i="22"/>
  <c r="O71" i="22"/>
  <c r="N71" i="22"/>
  <c r="M71" i="22"/>
  <c r="M52" i="22"/>
  <c r="M43" i="22"/>
  <c r="M36" i="22"/>
  <c r="M31" i="22"/>
  <c r="C155" i="21"/>
  <c r="Q152" i="21"/>
  <c r="I152" i="21"/>
  <c r="G152" i="21"/>
  <c r="F152" i="21"/>
  <c r="Q151" i="21"/>
  <c r="G151" i="21" s="1"/>
  <c r="Q150" i="21"/>
  <c r="G150" i="21"/>
  <c r="C150" i="21"/>
  <c r="Q149" i="21"/>
  <c r="I149" i="21"/>
  <c r="H149" i="21"/>
  <c r="G149" i="21"/>
  <c r="F149" i="21"/>
  <c r="E149" i="21"/>
  <c r="D149" i="21"/>
  <c r="C149" i="21"/>
  <c r="Q148" i="21"/>
  <c r="I148" i="21"/>
  <c r="H148" i="21"/>
  <c r="G148" i="21"/>
  <c r="F148" i="21"/>
  <c r="E148" i="21"/>
  <c r="D148" i="21"/>
  <c r="C148" i="21"/>
  <c r="Q147" i="21"/>
  <c r="I147" i="21"/>
  <c r="G147" i="21"/>
  <c r="Q146" i="21"/>
  <c r="I146" i="21"/>
  <c r="H146" i="21"/>
  <c r="G146" i="21"/>
  <c r="F146" i="21"/>
  <c r="E146" i="21"/>
  <c r="D146" i="21"/>
  <c r="Q145" i="21"/>
  <c r="I145" i="21"/>
  <c r="H145" i="21"/>
  <c r="G145" i="21"/>
  <c r="F145" i="21"/>
  <c r="E145" i="21"/>
  <c r="D145" i="21"/>
  <c r="Q144" i="21"/>
  <c r="I144" i="21"/>
  <c r="H144" i="21"/>
  <c r="G144" i="21"/>
  <c r="F144" i="21"/>
  <c r="E144" i="21"/>
  <c r="D144" i="21"/>
  <c r="D154" i="21" s="1"/>
  <c r="C144" i="21"/>
  <c r="C154" i="21" s="1"/>
  <c r="Q143" i="21"/>
  <c r="C143" i="21"/>
  <c r="Q142" i="21"/>
  <c r="I142" i="21"/>
  <c r="H142" i="21"/>
  <c r="H154" i="21" s="1"/>
  <c r="G142" i="21"/>
  <c r="G154" i="21" s="1"/>
  <c r="F142" i="21"/>
  <c r="F154" i="21" s="1"/>
  <c r="E142" i="21"/>
  <c r="E154" i="21" s="1"/>
  <c r="D142" i="21"/>
  <c r="C142" i="21"/>
  <c r="Q141" i="21"/>
  <c r="I141" i="21"/>
  <c r="H141" i="21"/>
  <c r="G141" i="21"/>
  <c r="F141" i="21"/>
  <c r="E141" i="21"/>
  <c r="D141" i="21"/>
  <c r="Q140" i="21"/>
  <c r="I140" i="21"/>
  <c r="H140" i="21"/>
  <c r="G140" i="21"/>
  <c r="F140" i="21"/>
  <c r="E140" i="21"/>
  <c r="D140" i="21"/>
  <c r="C140" i="21"/>
  <c r="Q139" i="21"/>
  <c r="C139" i="21" s="1"/>
  <c r="C153" i="21" s="1"/>
  <c r="G139" i="21"/>
  <c r="G153" i="21" s="1"/>
  <c r="G155" i="21" s="1"/>
  <c r="E139" i="21"/>
  <c r="D139" i="21"/>
  <c r="R120" i="21"/>
  <c r="Q120" i="21"/>
  <c r="P120" i="21"/>
  <c r="O120" i="21"/>
  <c r="N120" i="21"/>
  <c r="M120" i="21"/>
  <c r="R105" i="21"/>
  <c r="Q105" i="21"/>
  <c r="P105" i="21"/>
  <c r="O105" i="21"/>
  <c r="N105" i="21"/>
  <c r="M105" i="21"/>
  <c r="R99" i="21"/>
  <c r="Q99" i="21"/>
  <c r="P99" i="21"/>
  <c r="O99" i="21"/>
  <c r="N99" i="21"/>
  <c r="M99" i="21"/>
  <c r="R91" i="21"/>
  <c r="Q91" i="21"/>
  <c r="P91" i="21"/>
  <c r="O91" i="21"/>
  <c r="N91" i="21"/>
  <c r="M91" i="21"/>
  <c r="R86" i="21"/>
  <c r="R135" i="21" s="1"/>
  <c r="I164" i="21" s="1"/>
  <c r="I167" i="21" s="1"/>
  <c r="Q86" i="21"/>
  <c r="P86" i="21"/>
  <c r="O86" i="21"/>
  <c r="N86" i="21"/>
  <c r="M86" i="21"/>
  <c r="R78" i="21"/>
  <c r="Q78" i="21"/>
  <c r="P78" i="21"/>
  <c r="O78" i="21"/>
  <c r="N78" i="21"/>
  <c r="M78" i="21"/>
  <c r="R71" i="21"/>
  <c r="Q71" i="21"/>
  <c r="Q135" i="21" s="1"/>
  <c r="H164" i="21" s="1"/>
  <c r="H167" i="21" s="1"/>
  <c r="P71" i="21"/>
  <c r="O71" i="21"/>
  <c r="O135" i="21" s="1"/>
  <c r="F164" i="21" s="1"/>
  <c r="F167" i="21" s="1"/>
  <c r="N71" i="21"/>
  <c r="N135" i="21" s="1"/>
  <c r="E164" i="21" s="1"/>
  <c r="E167" i="21" s="1"/>
  <c r="M71" i="21"/>
  <c r="M52" i="21"/>
  <c r="M43" i="21"/>
  <c r="M36" i="21"/>
  <c r="M67" i="21" s="1"/>
  <c r="C164" i="21" s="1"/>
  <c r="C167" i="21" s="1"/>
  <c r="M31" i="21"/>
  <c r="Q152" i="20"/>
  <c r="I152" i="20"/>
  <c r="G152" i="20"/>
  <c r="F152" i="20"/>
  <c r="Q151" i="20"/>
  <c r="G151" i="20" s="1"/>
  <c r="Q150" i="20"/>
  <c r="G150" i="20"/>
  <c r="C150" i="20"/>
  <c r="Q149" i="20"/>
  <c r="I149" i="20"/>
  <c r="H149" i="20"/>
  <c r="G149" i="20"/>
  <c r="F149" i="20"/>
  <c r="E149" i="20"/>
  <c r="D149" i="20"/>
  <c r="C149" i="20"/>
  <c r="Q148" i="20"/>
  <c r="I148" i="20"/>
  <c r="H148" i="20"/>
  <c r="G148" i="20"/>
  <c r="G154" i="20" s="1"/>
  <c r="F148" i="20"/>
  <c r="E148" i="20"/>
  <c r="D148" i="20"/>
  <c r="C148" i="20"/>
  <c r="Q147" i="20"/>
  <c r="I147" i="20"/>
  <c r="G147" i="20"/>
  <c r="Q146" i="20"/>
  <c r="I146" i="20"/>
  <c r="H146" i="20"/>
  <c r="G146" i="20"/>
  <c r="F146" i="20"/>
  <c r="E146" i="20"/>
  <c r="D146" i="20"/>
  <c r="Q145" i="20"/>
  <c r="I145" i="20"/>
  <c r="H145" i="20"/>
  <c r="G145" i="20"/>
  <c r="F145" i="20"/>
  <c r="E145" i="20"/>
  <c r="D145" i="20"/>
  <c r="Q144" i="20"/>
  <c r="I144" i="20"/>
  <c r="H144" i="20"/>
  <c r="G144" i="20"/>
  <c r="F144" i="20"/>
  <c r="E144" i="20"/>
  <c r="D144" i="20"/>
  <c r="C144" i="20"/>
  <c r="Q143" i="20"/>
  <c r="C143" i="20"/>
  <c r="Q142" i="20"/>
  <c r="I142" i="20"/>
  <c r="H142" i="20"/>
  <c r="G142" i="20"/>
  <c r="F142" i="20"/>
  <c r="E142" i="20"/>
  <c r="D142" i="20"/>
  <c r="C142" i="20"/>
  <c r="C154" i="20" s="1"/>
  <c r="Q141" i="20"/>
  <c r="I141" i="20"/>
  <c r="H141" i="20"/>
  <c r="G141" i="20"/>
  <c r="F141" i="20"/>
  <c r="E141" i="20"/>
  <c r="D141" i="20"/>
  <c r="Q140" i="20"/>
  <c r="I140" i="20"/>
  <c r="H140" i="20"/>
  <c r="G140" i="20"/>
  <c r="F140" i="20"/>
  <c r="E140" i="20"/>
  <c r="D140" i="20"/>
  <c r="C140" i="20"/>
  <c r="Q139" i="20"/>
  <c r="H139" i="20" s="1"/>
  <c r="H153" i="20" s="1"/>
  <c r="I139" i="20"/>
  <c r="I153" i="20" s="1"/>
  <c r="R120" i="20"/>
  <c r="Q120" i="20"/>
  <c r="P120" i="20"/>
  <c r="O120" i="20"/>
  <c r="N120" i="20"/>
  <c r="M120" i="20"/>
  <c r="R105" i="20"/>
  <c r="Q105" i="20"/>
  <c r="P105" i="20"/>
  <c r="O105" i="20"/>
  <c r="N105" i="20"/>
  <c r="M105" i="20"/>
  <c r="R99" i="20"/>
  <c r="Q99" i="20"/>
  <c r="P99" i="20"/>
  <c r="O99" i="20"/>
  <c r="N99" i="20"/>
  <c r="M99" i="20"/>
  <c r="R91" i="20"/>
  <c r="Q91" i="20"/>
  <c r="P91" i="20"/>
  <c r="O91" i="20"/>
  <c r="N91" i="20"/>
  <c r="M91" i="20"/>
  <c r="R86" i="20"/>
  <c r="Q86" i="20"/>
  <c r="P86" i="20"/>
  <c r="O86" i="20"/>
  <c r="N86" i="20"/>
  <c r="M86" i="20"/>
  <c r="R78" i="20"/>
  <c r="Q78" i="20"/>
  <c r="P78" i="20"/>
  <c r="O78" i="20"/>
  <c r="N78" i="20"/>
  <c r="M78" i="20"/>
  <c r="R71" i="20"/>
  <c r="Q71" i="20"/>
  <c r="P71" i="20"/>
  <c r="O71" i="20"/>
  <c r="N71" i="20"/>
  <c r="M71" i="20"/>
  <c r="M52" i="20"/>
  <c r="M43" i="20"/>
  <c r="M36" i="20"/>
  <c r="M31" i="20"/>
  <c r="Q152" i="19"/>
  <c r="I152" i="19"/>
  <c r="G152" i="19"/>
  <c r="F152" i="19"/>
  <c r="Q151" i="19"/>
  <c r="G151" i="19" s="1"/>
  <c r="Q150" i="19"/>
  <c r="G150" i="19"/>
  <c r="C150" i="19"/>
  <c r="Q149" i="19"/>
  <c r="I149" i="19"/>
  <c r="H149" i="19"/>
  <c r="G149" i="19"/>
  <c r="F149" i="19"/>
  <c r="E149" i="19"/>
  <c r="D149" i="19"/>
  <c r="C149" i="19"/>
  <c r="Q148" i="19"/>
  <c r="I148" i="19"/>
  <c r="H148" i="19"/>
  <c r="G148" i="19"/>
  <c r="F148" i="19"/>
  <c r="E148" i="19"/>
  <c r="D148" i="19"/>
  <c r="C148" i="19"/>
  <c r="Q147" i="19"/>
  <c r="I147" i="19"/>
  <c r="G147" i="19"/>
  <c r="Q146" i="19"/>
  <c r="I146" i="19"/>
  <c r="H146" i="19"/>
  <c r="G146" i="19"/>
  <c r="F146" i="19"/>
  <c r="E146" i="19"/>
  <c r="D146" i="19"/>
  <c r="Q145" i="19"/>
  <c r="I145" i="19"/>
  <c r="H145" i="19"/>
  <c r="G145" i="19"/>
  <c r="F145" i="19"/>
  <c r="E145" i="19"/>
  <c r="D145" i="19"/>
  <c r="Q144" i="19"/>
  <c r="I144" i="19"/>
  <c r="H144" i="19"/>
  <c r="G144" i="19"/>
  <c r="F144" i="19"/>
  <c r="E144" i="19"/>
  <c r="D144" i="19"/>
  <c r="C144" i="19"/>
  <c r="Q143" i="19"/>
  <c r="C143" i="19"/>
  <c r="Q142" i="19"/>
  <c r="I142" i="19"/>
  <c r="I154" i="19" s="1"/>
  <c r="H142" i="19"/>
  <c r="G142" i="19"/>
  <c r="F142" i="19"/>
  <c r="E142" i="19"/>
  <c r="D142" i="19"/>
  <c r="D154" i="19" s="1"/>
  <c r="C142" i="19"/>
  <c r="Q141" i="19"/>
  <c r="I141" i="19"/>
  <c r="H141" i="19"/>
  <c r="G141" i="19"/>
  <c r="F141" i="19"/>
  <c r="E141" i="19"/>
  <c r="E153" i="19" s="1"/>
  <c r="D141" i="19"/>
  <c r="Q140" i="19"/>
  <c r="I140" i="19"/>
  <c r="H140" i="19"/>
  <c r="G140" i="19"/>
  <c r="F140" i="19"/>
  <c r="E140" i="19"/>
  <c r="D140" i="19"/>
  <c r="C140" i="19"/>
  <c r="Q139" i="19"/>
  <c r="I139" i="19"/>
  <c r="H139" i="19"/>
  <c r="H153" i="19" s="1"/>
  <c r="G139" i="19"/>
  <c r="G153" i="19" s="1"/>
  <c r="F139" i="19"/>
  <c r="F153" i="19" s="1"/>
  <c r="E139" i="19"/>
  <c r="D139" i="19"/>
  <c r="C139" i="19"/>
  <c r="C153" i="19" s="1"/>
  <c r="R120" i="19"/>
  <c r="Q120" i="19"/>
  <c r="P120" i="19"/>
  <c r="O120" i="19"/>
  <c r="N120" i="19"/>
  <c r="M120" i="19"/>
  <c r="R105" i="19"/>
  <c r="Q105" i="19"/>
  <c r="P105" i="19"/>
  <c r="O105" i="19"/>
  <c r="N105" i="19"/>
  <c r="M105" i="19"/>
  <c r="R99" i="19"/>
  <c r="Q99" i="19"/>
  <c r="P99" i="19"/>
  <c r="O99" i="19"/>
  <c r="N99" i="19"/>
  <c r="M99" i="19"/>
  <c r="R91" i="19"/>
  <c r="Q91" i="19"/>
  <c r="P91" i="19"/>
  <c r="O91" i="19"/>
  <c r="N91" i="19"/>
  <c r="M91" i="19"/>
  <c r="R86" i="19"/>
  <c r="Q86" i="19"/>
  <c r="P86" i="19"/>
  <c r="O86" i="19"/>
  <c r="N86" i="19"/>
  <c r="M86" i="19"/>
  <c r="R78" i="19"/>
  <c r="Q78" i="19"/>
  <c r="P78" i="19"/>
  <c r="O78" i="19"/>
  <c r="N78" i="19"/>
  <c r="M78" i="19"/>
  <c r="R71" i="19"/>
  <c r="Q71" i="19"/>
  <c r="Q135" i="19" s="1"/>
  <c r="H164" i="19" s="1"/>
  <c r="H167" i="19" s="1"/>
  <c r="P71" i="19"/>
  <c r="O71" i="19"/>
  <c r="N71" i="19"/>
  <c r="N135" i="19" s="1"/>
  <c r="E164" i="19" s="1"/>
  <c r="E167" i="19" s="1"/>
  <c r="M71" i="19"/>
  <c r="M52" i="19"/>
  <c r="M43" i="19"/>
  <c r="M36" i="19"/>
  <c r="M31" i="19"/>
  <c r="G11" i="19"/>
  <c r="G11" i="20" s="1"/>
  <c r="Q152" i="18"/>
  <c r="I152" i="18"/>
  <c r="G152" i="18"/>
  <c r="F152" i="18"/>
  <c r="Q151" i="18"/>
  <c r="G151" i="18" s="1"/>
  <c r="Q150" i="18"/>
  <c r="G150" i="18"/>
  <c r="C150" i="18"/>
  <c r="Q149" i="18"/>
  <c r="I149" i="18"/>
  <c r="H149" i="18"/>
  <c r="G149" i="18"/>
  <c r="F149" i="18"/>
  <c r="E149" i="18"/>
  <c r="D149" i="18"/>
  <c r="C149" i="18"/>
  <c r="Q148" i="18"/>
  <c r="I148" i="18"/>
  <c r="H148" i="18"/>
  <c r="G148" i="18"/>
  <c r="F148" i="18"/>
  <c r="E148" i="18"/>
  <c r="D148" i="18"/>
  <c r="C148" i="18"/>
  <c r="Q147" i="18"/>
  <c r="I147" i="18"/>
  <c r="G147" i="18"/>
  <c r="Q146" i="18"/>
  <c r="I146" i="18"/>
  <c r="H146" i="18"/>
  <c r="G146" i="18"/>
  <c r="F146" i="18"/>
  <c r="E146" i="18"/>
  <c r="D146" i="18"/>
  <c r="Q145" i="18"/>
  <c r="I145" i="18"/>
  <c r="H145" i="18"/>
  <c r="G145" i="18"/>
  <c r="F145" i="18"/>
  <c r="E145" i="18"/>
  <c r="D145" i="18"/>
  <c r="Q144" i="18"/>
  <c r="I144" i="18"/>
  <c r="H144" i="18"/>
  <c r="G144" i="18"/>
  <c r="F144" i="18"/>
  <c r="E144" i="18"/>
  <c r="E154" i="18" s="1"/>
  <c r="D144" i="18"/>
  <c r="C144" i="18"/>
  <c r="Q143" i="18"/>
  <c r="C143" i="18"/>
  <c r="Q142" i="18"/>
  <c r="I142" i="18"/>
  <c r="H142" i="18"/>
  <c r="G142" i="18"/>
  <c r="G154" i="18" s="1"/>
  <c r="F142" i="18"/>
  <c r="E142" i="18"/>
  <c r="D142" i="18"/>
  <c r="D154" i="18" s="1"/>
  <c r="C142" i="18"/>
  <c r="Q141" i="18"/>
  <c r="I141" i="18"/>
  <c r="H141" i="18"/>
  <c r="G141" i="18"/>
  <c r="F141" i="18"/>
  <c r="E141" i="18"/>
  <c r="D141" i="18"/>
  <c r="Q140" i="18"/>
  <c r="I140" i="18"/>
  <c r="H140" i="18"/>
  <c r="G140" i="18"/>
  <c r="F140" i="18"/>
  <c r="E140" i="18"/>
  <c r="D140" i="18"/>
  <c r="C140" i="18"/>
  <c r="Q139" i="18"/>
  <c r="E139" i="18" s="1"/>
  <c r="E153" i="18" s="1"/>
  <c r="R120" i="18"/>
  <c r="Q120" i="18"/>
  <c r="P120" i="18"/>
  <c r="O120" i="18"/>
  <c r="N120" i="18"/>
  <c r="M120" i="18"/>
  <c r="R105" i="18"/>
  <c r="Q105" i="18"/>
  <c r="P105" i="18"/>
  <c r="O105" i="18"/>
  <c r="N105" i="18"/>
  <c r="M105" i="18"/>
  <c r="R99" i="18"/>
  <c r="Q99" i="18"/>
  <c r="P99" i="18"/>
  <c r="O99" i="18"/>
  <c r="N99" i="18"/>
  <c r="M99" i="18"/>
  <c r="R91" i="18"/>
  <c r="Q91" i="18"/>
  <c r="P91" i="18"/>
  <c r="O91" i="18"/>
  <c r="N91" i="18"/>
  <c r="M91" i="18"/>
  <c r="R86" i="18"/>
  <c r="Q86" i="18"/>
  <c r="P86" i="18"/>
  <c r="O86" i="18"/>
  <c r="N86" i="18"/>
  <c r="M86" i="18"/>
  <c r="R78" i="18"/>
  <c r="Q78" i="18"/>
  <c r="P78" i="18"/>
  <c r="O78" i="18"/>
  <c r="O135" i="18" s="1"/>
  <c r="F164" i="18" s="1"/>
  <c r="F167" i="18" s="1"/>
  <c r="N78" i="18"/>
  <c r="M78" i="18"/>
  <c r="R71" i="18"/>
  <c r="Q71" i="18"/>
  <c r="Q135" i="18" s="1"/>
  <c r="H164" i="18" s="1"/>
  <c r="H167" i="18" s="1"/>
  <c r="P71" i="18"/>
  <c r="O71" i="18"/>
  <c r="N71" i="18"/>
  <c r="M71" i="18"/>
  <c r="M52" i="18"/>
  <c r="M43" i="18"/>
  <c r="M36" i="18"/>
  <c r="M31" i="18"/>
  <c r="F10" i="17"/>
  <c r="F8" i="17"/>
  <c r="F6" i="17"/>
  <c r="H36" i="2"/>
  <c r="F10" i="16"/>
  <c r="F8" i="16"/>
  <c r="F6" i="16"/>
  <c r="O87" i="15"/>
  <c r="O81" i="15"/>
  <c r="O74" i="15"/>
  <c r="O69" i="15"/>
  <c r="O64" i="15"/>
  <c r="O58" i="15"/>
  <c r="O53" i="15"/>
  <c r="O47" i="15"/>
  <c r="O42" i="15"/>
  <c r="O37" i="15"/>
  <c r="O31" i="15"/>
  <c r="O26" i="15"/>
  <c r="O20" i="15"/>
  <c r="O93" i="15" s="1"/>
  <c r="O94" i="15" s="1"/>
  <c r="R96" i="15" s="1"/>
  <c r="G35" i="2" s="1"/>
  <c r="H35" i="2" s="1"/>
  <c r="O15" i="15"/>
  <c r="F10" i="15"/>
  <c r="F8" i="15"/>
  <c r="F6" i="15"/>
  <c r="O62" i="14"/>
  <c r="O56" i="14"/>
  <c r="O50" i="14"/>
  <c r="O44" i="14"/>
  <c r="O39" i="14"/>
  <c r="O35" i="14"/>
  <c r="O30" i="14"/>
  <c r="O25" i="14"/>
  <c r="O20" i="14"/>
  <c r="O15" i="14"/>
  <c r="F10" i="14"/>
  <c r="F8" i="14"/>
  <c r="F6" i="14"/>
  <c r="G43" i="13"/>
  <c r="G38" i="13"/>
  <c r="G33" i="13"/>
  <c r="G28" i="13"/>
  <c r="G23" i="13"/>
  <c r="G18" i="13"/>
  <c r="G46" i="13" s="1"/>
  <c r="G51" i="13" s="1"/>
  <c r="G53" i="13" s="1"/>
  <c r="G55" i="13" s="1"/>
  <c r="G56" i="13" s="1"/>
  <c r="G57" i="13" s="1"/>
  <c r="G58" i="13" s="1"/>
  <c r="G30" i="2" s="1"/>
  <c r="H30" i="2" s="1"/>
  <c r="E11" i="13"/>
  <c r="E9" i="13"/>
  <c r="E7" i="13"/>
  <c r="I15" i="12"/>
  <c r="I21" i="12" s="1"/>
  <c r="I27" i="12" s="1"/>
  <c r="I28" i="12" s="1"/>
  <c r="I29" i="12" s="1"/>
  <c r="I30" i="12" s="1"/>
  <c r="I31" i="12" s="1"/>
  <c r="C15" i="11"/>
  <c r="I12" i="11"/>
  <c r="G12" i="11"/>
  <c r="D12" i="11"/>
  <c r="I11" i="11"/>
  <c r="G11" i="11"/>
  <c r="D11" i="11"/>
  <c r="I10" i="11"/>
  <c r="G10" i="11"/>
  <c r="D10" i="11"/>
  <c r="J8" i="11"/>
  <c r="B5" i="9"/>
  <c r="E83" i="8"/>
  <c r="D83" i="8"/>
  <c r="E77" i="8"/>
  <c r="D77" i="8"/>
  <c r="E76" i="8"/>
  <c r="D76" i="8"/>
  <c r="E75" i="8"/>
  <c r="D75" i="8"/>
  <c r="E74" i="8"/>
  <c r="D74" i="8"/>
  <c r="E72" i="8"/>
  <c r="D72" i="8"/>
  <c r="E71" i="8"/>
  <c r="D71" i="8"/>
  <c r="E70" i="8"/>
  <c r="D70" i="8"/>
  <c r="E68" i="8"/>
  <c r="D68" i="8"/>
  <c r="E67" i="8"/>
  <c r="D67" i="8"/>
  <c r="E65" i="8"/>
  <c r="D65" i="8"/>
  <c r="E64" i="8"/>
  <c r="E80" i="8" s="1"/>
  <c r="D64" i="8"/>
  <c r="E58" i="8"/>
  <c r="D58" i="8"/>
  <c r="E57" i="8"/>
  <c r="D57" i="8"/>
  <c r="E56" i="8"/>
  <c r="D56" i="8"/>
  <c r="E55" i="8"/>
  <c r="D55" i="8"/>
  <c r="E54" i="8"/>
  <c r="D54" i="8"/>
  <c r="E53" i="8"/>
  <c r="D53" i="8"/>
  <c r="E52" i="8"/>
  <c r="D52" i="8"/>
  <c r="E51" i="8"/>
  <c r="D51" i="8"/>
  <c r="E50" i="8"/>
  <c r="D50" i="8"/>
  <c r="E49" i="8"/>
  <c r="D49" i="8"/>
  <c r="E48" i="8"/>
  <c r="D48" i="8"/>
  <c r="E47" i="8"/>
  <c r="D47" i="8"/>
  <c r="E46" i="8"/>
  <c r="D46" i="8"/>
  <c r="E45" i="8"/>
  <c r="D45" i="8"/>
  <c r="E44" i="8"/>
  <c r="D44" i="8"/>
  <c r="E43" i="8"/>
  <c r="D43" i="8"/>
  <c r="E42" i="8"/>
  <c r="D42" i="8"/>
  <c r="E41" i="8"/>
  <c r="D41" i="8"/>
  <c r="E40" i="8"/>
  <c r="D40" i="8"/>
  <c r="E39" i="8"/>
  <c r="D39" i="8"/>
  <c r="E38" i="8"/>
  <c r="D38" i="8"/>
  <c r="E37" i="8"/>
  <c r="D37" i="8"/>
  <c r="E36" i="8"/>
  <c r="D59" i="8" s="1"/>
  <c r="D36" i="8"/>
  <c r="E32" i="8"/>
  <c r="E28" i="8"/>
  <c r="D28" i="8"/>
  <c r="E26" i="8"/>
  <c r="D26" i="8"/>
  <c r="E25" i="8"/>
  <c r="D25" i="8"/>
  <c r="E24" i="8"/>
  <c r="D24" i="8"/>
  <c r="E21" i="8"/>
  <c r="D21" i="8"/>
  <c r="E20" i="8"/>
  <c r="D20" i="8"/>
  <c r="A20" i="8"/>
  <c r="A21" i="8" s="1"/>
  <c r="A22" i="8" s="1"/>
  <c r="A26" i="8" s="1"/>
  <c r="A27" i="8" s="1"/>
  <c r="A29" i="8" s="1"/>
  <c r="A30" i="8" s="1"/>
  <c r="A31" i="8" s="1"/>
  <c r="A32" i="8" s="1"/>
  <c r="A33" i="8" s="1"/>
  <c r="A36" i="8" s="1"/>
  <c r="A37" i="8" s="1"/>
  <c r="A38" i="8" s="1"/>
  <c r="A39" i="8" s="1"/>
  <c r="A40" i="8" s="1"/>
  <c r="A41" i="8" s="1"/>
  <c r="A42" i="8" s="1"/>
  <c r="A43" i="8" s="1"/>
  <c r="A44" i="8" s="1"/>
  <c r="A45" i="8" s="1"/>
  <c r="A46" i="8" s="1"/>
  <c r="A47" i="8" s="1"/>
  <c r="A48" i="8" s="1"/>
  <c r="A49" i="8" s="1"/>
  <c r="A50" i="8" s="1"/>
  <c r="A51" i="8" s="1"/>
  <c r="A52" i="8" s="1"/>
  <c r="A53" i="8" s="1"/>
  <c r="A54" i="8" s="1"/>
  <c r="A55" i="8" s="1"/>
  <c r="A56" i="8" s="1"/>
  <c r="A57" i="8" s="1"/>
  <c r="A58" i="8" s="1"/>
  <c r="A59" i="8" s="1"/>
  <c r="A62" i="8" s="1"/>
  <c r="E19" i="8"/>
  <c r="D19" i="8"/>
  <c r="E18" i="8"/>
  <c r="D30" i="8" s="1"/>
  <c r="D18" i="8"/>
  <c r="E17" i="8"/>
  <c r="D17" i="8"/>
  <c r="E16" i="8"/>
  <c r="E31" i="8" s="1"/>
  <c r="D16" i="8"/>
  <c r="A14" i="8"/>
  <c r="E13" i="8"/>
  <c r="D32" i="8" s="1"/>
  <c r="D13" i="8"/>
  <c r="E83" i="7"/>
  <c r="D83" i="7"/>
  <c r="E77" i="7"/>
  <c r="D77" i="7"/>
  <c r="E76" i="7"/>
  <c r="D76" i="7"/>
  <c r="D75" i="7"/>
  <c r="E74" i="7"/>
  <c r="D74" i="7"/>
  <c r="E72" i="7"/>
  <c r="D72" i="7"/>
  <c r="E70" i="7"/>
  <c r="D70" i="7"/>
  <c r="E68" i="7"/>
  <c r="D68" i="7"/>
  <c r="E67" i="7"/>
  <c r="D67" i="7"/>
  <c r="E65" i="7"/>
  <c r="D65" i="7"/>
  <c r="E64" i="7"/>
  <c r="E80" i="7" s="1"/>
  <c r="D64" i="7"/>
  <c r="E58" i="7"/>
  <c r="D58" i="7"/>
  <c r="E57" i="7"/>
  <c r="D57" i="7"/>
  <c r="E56" i="7"/>
  <c r="D56" i="7"/>
  <c r="E55" i="7"/>
  <c r="D55" i="7"/>
  <c r="F54" i="7"/>
  <c r="E54" i="7"/>
  <c r="D54" i="7"/>
  <c r="F53" i="7"/>
  <c r="E53" i="7" s="1"/>
  <c r="D53" i="7"/>
  <c r="E52" i="7"/>
  <c r="D52" i="7"/>
  <c r="E51" i="7"/>
  <c r="D51" i="7"/>
  <c r="E50" i="7"/>
  <c r="D50" i="7"/>
  <c r="F49" i="7"/>
  <c r="E75" i="7" s="1"/>
  <c r="E49" i="7"/>
  <c r="D49" i="7"/>
  <c r="E48" i="7"/>
  <c r="D48" i="7"/>
  <c r="E47" i="7"/>
  <c r="D47" i="7"/>
  <c r="E46" i="7"/>
  <c r="D46" i="7"/>
  <c r="E45" i="7"/>
  <c r="D45" i="7"/>
  <c r="E44" i="7"/>
  <c r="D44" i="7"/>
  <c r="F43" i="7"/>
  <c r="E71" i="7" s="1"/>
  <c r="D43" i="7"/>
  <c r="F42" i="7"/>
  <c r="E42" i="7"/>
  <c r="D42" i="7"/>
  <c r="E41" i="7"/>
  <c r="D41" i="7"/>
  <c r="E40" i="7"/>
  <c r="D40" i="7"/>
  <c r="E39" i="7"/>
  <c r="D39" i="7"/>
  <c r="E38" i="7"/>
  <c r="D38" i="7"/>
  <c r="F37" i="7"/>
  <c r="E37" i="7"/>
  <c r="D37" i="7"/>
  <c r="E36" i="7"/>
  <c r="D36" i="7"/>
  <c r="E28" i="7"/>
  <c r="D28" i="7"/>
  <c r="E26" i="7"/>
  <c r="D26" i="7"/>
  <c r="F25" i="7"/>
  <c r="E25" i="7"/>
  <c r="D25" i="7"/>
  <c r="F24" i="7"/>
  <c r="E24" i="7"/>
  <c r="D24" i="7"/>
  <c r="E21" i="7"/>
  <c r="D21" i="7"/>
  <c r="E20" i="7"/>
  <c r="D31" i="7" s="1"/>
  <c r="D20" i="7"/>
  <c r="E19" i="7"/>
  <c r="D19" i="7"/>
  <c r="E18" i="7"/>
  <c r="D18" i="7"/>
  <c r="E17" i="7"/>
  <c r="D30" i="7" s="1"/>
  <c r="D17" i="7"/>
  <c r="E16" i="7"/>
  <c r="D16" i="7"/>
  <c r="A14" i="7"/>
  <c r="A20" i="7" s="1"/>
  <c r="A21" i="7" s="1"/>
  <c r="A22" i="7" s="1"/>
  <c r="A26" i="7" s="1"/>
  <c r="A27" i="7" s="1"/>
  <c r="A29" i="7" s="1"/>
  <c r="A30" i="7" s="1"/>
  <c r="A31" i="7" s="1"/>
  <c r="A32" i="7" s="1"/>
  <c r="A33"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2" i="7" s="1"/>
  <c r="E13" i="7"/>
  <c r="E30" i="7" s="1"/>
  <c r="D13" i="7"/>
  <c r="G104" i="6"/>
  <c r="G105" i="6" s="1"/>
  <c r="B5" i="5"/>
  <c r="O19" i="4"/>
  <c r="O20" i="4" s="1"/>
  <c r="O21" i="4" s="1"/>
  <c r="O18" i="4"/>
  <c r="B3" i="3"/>
  <c r="F49" i="2"/>
  <c r="B49" i="2"/>
  <c r="E48" i="2"/>
  <c r="E47" i="2"/>
  <c r="C38" i="1" s="1"/>
  <c r="E46" i="2"/>
  <c r="A3" i="48" s="1"/>
  <c r="E45" i="2"/>
  <c r="A3" i="47" s="1"/>
  <c r="E44" i="2"/>
  <c r="A3" i="46" s="1"/>
  <c r="E43" i="2"/>
  <c r="A3" i="45" s="1"/>
  <c r="E42" i="2"/>
  <c r="E41" i="2"/>
  <c r="E40" i="2"/>
  <c r="E39" i="2"/>
  <c r="C30" i="1" s="1"/>
  <c r="E38" i="2"/>
  <c r="E37" i="2"/>
  <c r="E36" i="2"/>
  <c r="A3" i="16" s="1"/>
  <c r="E35" i="2"/>
  <c r="A3" i="15" s="1"/>
  <c r="E34" i="2"/>
  <c r="A3" i="14" s="1"/>
  <c r="F31" i="2"/>
  <c r="B31" i="2"/>
  <c r="B22" i="1" s="1"/>
  <c r="E30" i="2"/>
  <c r="B4" i="13" s="1"/>
  <c r="E29" i="2"/>
  <c r="C20" i="1" s="1"/>
  <c r="E28" i="2"/>
  <c r="G25" i="2"/>
  <c r="B25" i="2"/>
  <c r="B16" i="1" s="1"/>
  <c r="F24" i="2"/>
  <c r="E24" i="2"/>
  <c r="B3" i="9" s="1"/>
  <c r="E23" i="2"/>
  <c r="C14" i="1" s="1"/>
  <c r="E22" i="2"/>
  <c r="C13" i="1" s="1"/>
  <c r="A44" i="1"/>
  <c r="A43" i="1"/>
  <c r="A42" i="1"/>
  <c r="B40" i="1"/>
  <c r="A40" i="1"/>
  <c r="C39" i="1"/>
  <c r="B39" i="1"/>
  <c r="A39" i="1"/>
  <c r="B38" i="1"/>
  <c r="A38" i="1"/>
  <c r="C37" i="1"/>
  <c r="B37" i="1"/>
  <c r="A37" i="1"/>
  <c r="C36" i="1"/>
  <c r="B36" i="1"/>
  <c r="A36" i="1"/>
  <c r="B35" i="1"/>
  <c r="A35" i="1"/>
  <c r="C34" i="1"/>
  <c r="B34" i="1"/>
  <c r="A34" i="1"/>
  <c r="C33" i="1"/>
  <c r="B33" i="1"/>
  <c r="A33" i="1"/>
  <c r="C32" i="1"/>
  <c r="B32" i="1"/>
  <c r="A32" i="1"/>
  <c r="C31" i="1"/>
  <c r="B31" i="1"/>
  <c r="A31" i="1"/>
  <c r="B30" i="1"/>
  <c r="A30" i="1"/>
  <c r="C29" i="1"/>
  <c r="B29" i="1"/>
  <c r="A29" i="1"/>
  <c r="C28" i="1"/>
  <c r="B28" i="1"/>
  <c r="A28" i="1"/>
  <c r="B27" i="1"/>
  <c r="A27" i="1"/>
  <c r="C26" i="1"/>
  <c r="B26" i="1"/>
  <c r="A26" i="1"/>
  <c r="C25" i="1"/>
  <c r="B25" i="1"/>
  <c r="A25" i="1"/>
  <c r="B24" i="1"/>
  <c r="A24" i="1"/>
  <c r="A22" i="1"/>
  <c r="B21" i="1"/>
  <c r="A21" i="1"/>
  <c r="B20" i="1"/>
  <c r="A20" i="1"/>
  <c r="C19" i="1"/>
  <c r="B19" i="1"/>
  <c r="A19" i="1"/>
  <c r="B18" i="1"/>
  <c r="A18" i="1"/>
  <c r="A16" i="1"/>
  <c r="D15" i="1"/>
  <c r="C15" i="1"/>
  <c r="B15" i="1"/>
  <c r="A15" i="1"/>
  <c r="B14" i="1"/>
  <c r="A14" i="1"/>
  <c r="B13" i="1"/>
  <c r="A13" i="1"/>
  <c r="B12" i="1"/>
  <c r="A12" i="1"/>
  <c r="C40" i="50"/>
  <c r="C27" i="1" l="1"/>
  <c r="C35" i="1"/>
  <c r="C21" i="1"/>
  <c r="R29" i="48"/>
  <c r="G46" i="2" s="1"/>
  <c r="H46" i="2" s="1"/>
  <c r="D37" i="1" s="1"/>
  <c r="E913" i="45"/>
  <c r="E914" i="45" s="1"/>
  <c r="E915" i="45" s="1"/>
  <c r="G43" i="2" s="1"/>
  <c r="H43" i="2" s="1"/>
  <c r="I153" i="37"/>
  <c r="G149" i="37"/>
  <c r="G154" i="37" s="1"/>
  <c r="R135" i="37"/>
  <c r="I164" i="37" s="1"/>
  <c r="I167" i="37" s="1"/>
  <c r="H149" i="37"/>
  <c r="H154" i="37" s="1"/>
  <c r="I149" i="37"/>
  <c r="I154" i="37" s="1"/>
  <c r="I155" i="37" s="1"/>
  <c r="I168" i="37" s="1"/>
  <c r="I169" i="37" s="1"/>
  <c r="I170" i="37" s="1"/>
  <c r="M67" i="37"/>
  <c r="C164" i="37" s="1"/>
  <c r="C167" i="37" s="1"/>
  <c r="F154" i="37"/>
  <c r="C149" i="37"/>
  <c r="C154" i="37" s="1"/>
  <c r="N135" i="37"/>
  <c r="E164" i="37" s="1"/>
  <c r="E167" i="37" s="1"/>
  <c r="D149" i="37"/>
  <c r="Q135" i="37"/>
  <c r="H164" i="37" s="1"/>
  <c r="H167" i="37" s="1"/>
  <c r="C139" i="37"/>
  <c r="C153" i="37" s="1"/>
  <c r="C149" i="36"/>
  <c r="E149" i="36"/>
  <c r="H149" i="36"/>
  <c r="H154" i="36" s="1"/>
  <c r="F149" i="36"/>
  <c r="F154" i="36" s="1"/>
  <c r="F139" i="36"/>
  <c r="F153" i="36" s="1"/>
  <c r="I149" i="36"/>
  <c r="C154" i="36"/>
  <c r="M67" i="36"/>
  <c r="C164" i="36" s="1"/>
  <c r="C167" i="36" s="1"/>
  <c r="G139" i="36"/>
  <c r="G153" i="36" s="1"/>
  <c r="R135" i="36"/>
  <c r="I164" i="36" s="1"/>
  <c r="I167" i="36" s="1"/>
  <c r="I139" i="36"/>
  <c r="I153" i="36" s="1"/>
  <c r="G149" i="36"/>
  <c r="G154" i="36" s="1"/>
  <c r="H153" i="36"/>
  <c r="N135" i="36"/>
  <c r="E164" i="36" s="1"/>
  <c r="E167" i="36" s="1"/>
  <c r="D154" i="36"/>
  <c r="O135" i="36"/>
  <c r="F164" i="36" s="1"/>
  <c r="F167" i="36" s="1"/>
  <c r="Q135" i="36"/>
  <c r="H164" i="36" s="1"/>
  <c r="H167" i="36" s="1"/>
  <c r="E139" i="36"/>
  <c r="E153" i="36" s="1"/>
  <c r="E155" i="36" s="1"/>
  <c r="E154" i="36"/>
  <c r="R135" i="34"/>
  <c r="I164" i="34" s="1"/>
  <c r="I167" i="34" s="1"/>
  <c r="H154" i="34"/>
  <c r="M67" i="34"/>
  <c r="C164" i="34" s="1"/>
  <c r="C167" i="34" s="1"/>
  <c r="O135" i="34"/>
  <c r="F164" i="34" s="1"/>
  <c r="F167" i="34" s="1"/>
  <c r="N135" i="34"/>
  <c r="E164" i="34" s="1"/>
  <c r="E167" i="34" s="1"/>
  <c r="G154" i="34"/>
  <c r="E154" i="34"/>
  <c r="D154" i="34"/>
  <c r="D154" i="33"/>
  <c r="C149" i="33"/>
  <c r="D149" i="33"/>
  <c r="E149" i="33"/>
  <c r="O135" i="33"/>
  <c r="F164" i="33" s="1"/>
  <c r="F167" i="33" s="1"/>
  <c r="F149" i="33"/>
  <c r="F154" i="33" s="1"/>
  <c r="F155" i="33" s="1"/>
  <c r="F168" i="33" s="1"/>
  <c r="F169" i="33" s="1"/>
  <c r="F170" i="33" s="1"/>
  <c r="N135" i="33"/>
  <c r="E164" i="33" s="1"/>
  <c r="E167" i="33" s="1"/>
  <c r="H149" i="33"/>
  <c r="H154" i="33" s="1"/>
  <c r="M67" i="33"/>
  <c r="C164" i="33" s="1"/>
  <c r="C167" i="33" s="1"/>
  <c r="Q135" i="33"/>
  <c r="H164" i="33" s="1"/>
  <c r="H167" i="33" s="1"/>
  <c r="C154" i="33"/>
  <c r="I149" i="33"/>
  <c r="I154" i="33" s="1"/>
  <c r="G154" i="32"/>
  <c r="G153" i="32"/>
  <c r="H153" i="32"/>
  <c r="H154" i="32"/>
  <c r="F154" i="32"/>
  <c r="F155" i="32" s="1"/>
  <c r="F168" i="32" s="1"/>
  <c r="F169" i="32" s="1"/>
  <c r="F170" i="32" s="1"/>
  <c r="N135" i="32"/>
  <c r="E164" i="32" s="1"/>
  <c r="E167" i="32" s="1"/>
  <c r="I139" i="32"/>
  <c r="I153" i="32" s="1"/>
  <c r="C139" i="32"/>
  <c r="C153" i="32" s="1"/>
  <c r="D153" i="32"/>
  <c r="I154" i="32"/>
  <c r="M67" i="32"/>
  <c r="C164" i="32" s="1"/>
  <c r="C167" i="32" s="1"/>
  <c r="O135" i="31"/>
  <c r="F164" i="31" s="1"/>
  <c r="F167" i="31" s="1"/>
  <c r="C139" i="31"/>
  <c r="C153" i="31" s="1"/>
  <c r="R135" i="31"/>
  <c r="I164" i="31" s="1"/>
  <c r="I167" i="31" s="1"/>
  <c r="F139" i="31"/>
  <c r="F153" i="31" s="1"/>
  <c r="G154" i="31"/>
  <c r="D139" i="31"/>
  <c r="D153" i="31" s="1"/>
  <c r="C154" i="31"/>
  <c r="C155" i="31" s="1"/>
  <c r="C168" i="31" s="1"/>
  <c r="C169" i="31" s="1"/>
  <c r="G139" i="31"/>
  <c r="G153" i="31" s="1"/>
  <c r="G155" i="31" s="1"/>
  <c r="E139" i="31"/>
  <c r="E153" i="31" s="1"/>
  <c r="E155" i="31" s="1"/>
  <c r="D154" i="31"/>
  <c r="H139" i="31"/>
  <c r="H153" i="31" s="1"/>
  <c r="I153" i="31"/>
  <c r="F154" i="31"/>
  <c r="C154" i="30"/>
  <c r="I154" i="30"/>
  <c r="G154" i="30"/>
  <c r="H154" i="30"/>
  <c r="Q135" i="30"/>
  <c r="H164" i="30" s="1"/>
  <c r="H167" i="30" s="1"/>
  <c r="D154" i="30"/>
  <c r="N135" i="30"/>
  <c r="E164" i="30" s="1"/>
  <c r="E167" i="30" s="1"/>
  <c r="E154" i="30"/>
  <c r="O135" i="30"/>
  <c r="F164" i="30" s="1"/>
  <c r="F167" i="30" s="1"/>
  <c r="C154" i="29"/>
  <c r="C155" i="29" s="1"/>
  <c r="N135" i="29"/>
  <c r="E164" i="29" s="1"/>
  <c r="E167" i="29" s="1"/>
  <c r="D139" i="29"/>
  <c r="D153" i="29" s="1"/>
  <c r="G154" i="29"/>
  <c r="D154" i="29"/>
  <c r="D155" i="29" s="1"/>
  <c r="M67" i="29"/>
  <c r="C164" i="29" s="1"/>
  <c r="C167" i="29" s="1"/>
  <c r="Q135" i="29"/>
  <c r="H164" i="29" s="1"/>
  <c r="H167" i="29" s="1"/>
  <c r="O135" i="29"/>
  <c r="F164" i="29" s="1"/>
  <c r="F167" i="29" s="1"/>
  <c r="F139" i="29"/>
  <c r="F153" i="29" s="1"/>
  <c r="H154" i="29"/>
  <c r="F154" i="29"/>
  <c r="E154" i="29"/>
  <c r="I155" i="28"/>
  <c r="O135" i="28"/>
  <c r="F164" i="28" s="1"/>
  <c r="F167" i="28" s="1"/>
  <c r="C139" i="28"/>
  <c r="C153" i="28" s="1"/>
  <c r="D154" i="28"/>
  <c r="I154" i="28"/>
  <c r="D139" i="28"/>
  <c r="D153" i="28" s="1"/>
  <c r="C154" i="28"/>
  <c r="Q135" i="28"/>
  <c r="H164" i="28" s="1"/>
  <c r="H167" i="28" s="1"/>
  <c r="E139" i="28"/>
  <c r="F154" i="28"/>
  <c r="R135" i="28"/>
  <c r="I164" i="28" s="1"/>
  <c r="I167" i="28" s="1"/>
  <c r="I168" i="28" s="1"/>
  <c r="I169" i="28" s="1"/>
  <c r="I170" i="28" s="1"/>
  <c r="F139" i="28"/>
  <c r="F153" i="28" s="1"/>
  <c r="G139" i="28"/>
  <c r="G153" i="28" s="1"/>
  <c r="H154" i="28"/>
  <c r="H155" i="28" s="1"/>
  <c r="H168" i="28" s="1"/>
  <c r="H169" i="28" s="1"/>
  <c r="H170" i="28" s="1"/>
  <c r="G154" i="28"/>
  <c r="C139" i="26"/>
  <c r="C153" i="26" s="1"/>
  <c r="C155" i="26" s="1"/>
  <c r="I154" i="26"/>
  <c r="D139" i="26"/>
  <c r="E154" i="26"/>
  <c r="C154" i="26"/>
  <c r="M67" i="26"/>
  <c r="C164" i="26" s="1"/>
  <c r="C167" i="26" s="1"/>
  <c r="C168" i="26" s="1"/>
  <c r="C169" i="26" s="1"/>
  <c r="Q135" i="26"/>
  <c r="H164" i="26" s="1"/>
  <c r="H167" i="26" s="1"/>
  <c r="E139" i="26"/>
  <c r="F154" i="26"/>
  <c r="F139" i="26"/>
  <c r="F153" i="26" s="1"/>
  <c r="G139" i="26"/>
  <c r="G153" i="26" s="1"/>
  <c r="H154" i="26"/>
  <c r="D139" i="25"/>
  <c r="M67" i="25"/>
  <c r="C164" i="25" s="1"/>
  <c r="C167" i="25" s="1"/>
  <c r="F139" i="25"/>
  <c r="F153" i="25" s="1"/>
  <c r="F155" i="25" s="1"/>
  <c r="H139" i="25"/>
  <c r="H153" i="25" s="1"/>
  <c r="G154" i="25"/>
  <c r="G155" i="25" s="1"/>
  <c r="I139" i="25"/>
  <c r="I153" i="25" s="1"/>
  <c r="H154" i="25"/>
  <c r="I154" i="24"/>
  <c r="H154" i="24"/>
  <c r="D154" i="24"/>
  <c r="E154" i="24"/>
  <c r="R135" i="24"/>
  <c r="I164" i="24" s="1"/>
  <c r="I167" i="24" s="1"/>
  <c r="R135" i="23"/>
  <c r="I164" i="23" s="1"/>
  <c r="I167" i="23" s="1"/>
  <c r="O135" i="23"/>
  <c r="F164" i="23" s="1"/>
  <c r="F167" i="23" s="1"/>
  <c r="E153" i="23"/>
  <c r="Q135" i="23"/>
  <c r="H164" i="23" s="1"/>
  <c r="H167" i="23" s="1"/>
  <c r="G139" i="23"/>
  <c r="G153" i="23" s="1"/>
  <c r="M67" i="23"/>
  <c r="C164" i="23" s="1"/>
  <c r="C167" i="23" s="1"/>
  <c r="E154" i="23"/>
  <c r="C154" i="23"/>
  <c r="C155" i="23" s="1"/>
  <c r="F153" i="22"/>
  <c r="F155" i="22" s="1"/>
  <c r="R135" i="22"/>
  <c r="I164" i="22" s="1"/>
  <c r="I167" i="22" s="1"/>
  <c r="G154" i="22"/>
  <c r="G155" i="22" s="1"/>
  <c r="G153" i="22"/>
  <c r="D154" i="22"/>
  <c r="N135" i="22"/>
  <c r="E164" i="22" s="1"/>
  <c r="E167" i="22" s="1"/>
  <c r="E154" i="22"/>
  <c r="E155" i="22" s="1"/>
  <c r="E168" i="22" s="1"/>
  <c r="E169" i="22" s="1"/>
  <c r="E170" i="22" s="1"/>
  <c r="O135" i="22"/>
  <c r="F164" i="22" s="1"/>
  <c r="F167" i="22" s="1"/>
  <c r="F168" i="22" s="1"/>
  <c r="F169" i="22" s="1"/>
  <c r="F170" i="22" s="1"/>
  <c r="Q135" i="22"/>
  <c r="H164" i="22" s="1"/>
  <c r="H167" i="22" s="1"/>
  <c r="C153" i="22"/>
  <c r="C154" i="22"/>
  <c r="R135" i="20"/>
  <c r="I164" i="20" s="1"/>
  <c r="I167" i="20" s="1"/>
  <c r="E154" i="20"/>
  <c r="G139" i="20"/>
  <c r="G153" i="20" s="1"/>
  <c r="M67" i="20"/>
  <c r="C164" i="20" s="1"/>
  <c r="C167" i="20" s="1"/>
  <c r="O135" i="20"/>
  <c r="F164" i="20" s="1"/>
  <c r="F167" i="20" s="1"/>
  <c r="Q135" i="20"/>
  <c r="H164" i="20" s="1"/>
  <c r="H167" i="20" s="1"/>
  <c r="D154" i="20"/>
  <c r="N135" i="20"/>
  <c r="E164" i="20" s="1"/>
  <c r="E167" i="20" s="1"/>
  <c r="D139" i="20"/>
  <c r="D153" i="20" s="1"/>
  <c r="D155" i="20" s="1"/>
  <c r="F154" i="20"/>
  <c r="I153" i="19"/>
  <c r="C154" i="19"/>
  <c r="D153" i="19"/>
  <c r="O135" i="19"/>
  <c r="F164" i="19" s="1"/>
  <c r="F167" i="19" s="1"/>
  <c r="F155" i="19"/>
  <c r="G154" i="19"/>
  <c r="G155" i="19" s="1"/>
  <c r="H154" i="19"/>
  <c r="H155" i="19" s="1"/>
  <c r="H168" i="19" s="1"/>
  <c r="H169" i="19" s="1"/>
  <c r="H170" i="19" s="1"/>
  <c r="F154" i="19"/>
  <c r="F154" i="18"/>
  <c r="C139" i="18"/>
  <c r="C153" i="18" s="1"/>
  <c r="C155" i="18" s="1"/>
  <c r="R135" i="18"/>
  <c r="I164" i="18" s="1"/>
  <c r="I167" i="18" s="1"/>
  <c r="N135" i="18"/>
  <c r="E164" i="18" s="1"/>
  <c r="E167" i="18" s="1"/>
  <c r="F139" i="18"/>
  <c r="F153" i="18" s="1"/>
  <c r="F155" i="18" s="1"/>
  <c r="F168" i="18" s="1"/>
  <c r="F169" i="18" s="1"/>
  <c r="F170" i="18" s="1"/>
  <c r="I154" i="18"/>
  <c r="M67" i="18"/>
  <c r="C164" i="18" s="1"/>
  <c r="C167" i="18" s="1"/>
  <c r="C168" i="18" s="1"/>
  <c r="C169" i="18" s="1"/>
  <c r="C154" i="18"/>
  <c r="O67" i="14"/>
  <c r="O68" i="14" s="1"/>
  <c r="R70" i="14" s="1"/>
  <c r="G34" i="2" s="1"/>
  <c r="H34" i="2" s="1"/>
  <c r="H28" i="2"/>
  <c r="M135" i="36"/>
  <c r="D164" i="36" s="1"/>
  <c r="D167" i="36" s="1"/>
  <c r="M135" i="37"/>
  <c r="D164" i="37" s="1"/>
  <c r="D167" i="37" s="1"/>
  <c r="P135" i="32"/>
  <c r="G164" i="32" s="1"/>
  <c r="G167" i="32" s="1"/>
  <c r="M135" i="23"/>
  <c r="D164" i="23" s="1"/>
  <c r="D167" i="23" s="1"/>
  <c r="P135" i="25"/>
  <c r="G164" i="25" s="1"/>
  <c r="G167" i="25" s="1"/>
  <c r="G168" i="25" s="1"/>
  <c r="G169" i="25" s="1"/>
  <c r="G170" i="25" s="1"/>
  <c r="P135" i="31"/>
  <c r="G164" i="31" s="1"/>
  <c r="G167" i="31" s="1"/>
  <c r="M135" i="22"/>
  <c r="D164" i="22" s="1"/>
  <c r="D167" i="22" s="1"/>
  <c r="M135" i="28"/>
  <c r="D164" i="28" s="1"/>
  <c r="D167" i="28" s="1"/>
  <c r="P135" i="30"/>
  <c r="G164" i="30" s="1"/>
  <c r="G167" i="30" s="1"/>
  <c r="P135" i="33"/>
  <c r="G164" i="33" s="1"/>
  <c r="G167" i="33" s="1"/>
  <c r="P135" i="34"/>
  <c r="G164" i="34" s="1"/>
  <c r="G167" i="34" s="1"/>
  <c r="P135" i="22"/>
  <c r="G164" i="22" s="1"/>
  <c r="G167" i="22" s="1"/>
  <c r="G168" i="22" s="1"/>
  <c r="G169" i="22" s="1"/>
  <c r="G170" i="22" s="1"/>
  <c r="P135" i="28"/>
  <c r="G164" i="28" s="1"/>
  <c r="G167" i="28" s="1"/>
  <c r="M135" i="18"/>
  <c r="D164" i="18" s="1"/>
  <c r="D167" i="18" s="1"/>
  <c r="P135" i="19"/>
  <c r="G164" i="19" s="1"/>
  <c r="G167" i="19" s="1"/>
  <c r="M135" i="32"/>
  <c r="D164" i="32" s="1"/>
  <c r="D167" i="32" s="1"/>
  <c r="P135" i="35"/>
  <c r="G164" i="35" s="1"/>
  <c r="G167" i="35" s="1"/>
  <c r="P135" i="18"/>
  <c r="G164" i="18" s="1"/>
  <c r="G167" i="18" s="1"/>
  <c r="M135" i="21"/>
  <c r="D164" i="21" s="1"/>
  <c r="D167" i="21" s="1"/>
  <c r="P135" i="24"/>
  <c r="G164" i="24" s="1"/>
  <c r="G167" i="24" s="1"/>
  <c r="P135" i="27"/>
  <c r="G164" i="27" s="1"/>
  <c r="G167" i="27" s="1"/>
  <c r="M135" i="30"/>
  <c r="D164" i="30" s="1"/>
  <c r="D167" i="30" s="1"/>
  <c r="M135" i="33"/>
  <c r="D164" i="33" s="1"/>
  <c r="D167" i="33" s="1"/>
  <c r="M135" i="34"/>
  <c r="D164" i="34" s="1"/>
  <c r="D167" i="34" s="1"/>
  <c r="M135" i="35"/>
  <c r="D164" i="35" s="1"/>
  <c r="D167" i="35" s="1"/>
  <c r="P135" i="20"/>
  <c r="G164" i="20" s="1"/>
  <c r="G167" i="20" s="1"/>
  <c r="M135" i="24"/>
  <c r="D164" i="24" s="1"/>
  <c r="D167" i="24" s="1"/>
  <c r="M135" i="26"/>
  <c r="D164" i="26" s="1"/>
  <c r="D167" i="26" s="1"/>
  <c r="P135" i="29"/>
  <c r="G164" i="29" s="1"/>
  <c r="G167" i="29" s="1"/>
  <c r="P135" i="36"/>
  <c r="G164" i="36" s="1"/>
  <c r="G167" i="36" s="1"/>
  <c r="P135" i="37"/>
  <c r="G164" i="37" s="1"/>
  <c r="G167" i="37" s="1"/>
  <c r="M135" i="19"/>
  <c r="D164" i="19" s="1"/>
  <c r="D167" i="19" s="1"/>
  <c r="P135" i="26"/>
  <c r="G164" i="26" s="1"/>
  <c r="G167" i="26" s="1"/>
  <c r="M135" i="31"/>
  <c r="D164" i="31" s="1"/>
  <c r="D167" i="31" s="1"/>
  <c r="E84" i="7"/>
  <c r="D80" i="7"/>
  <c r="D28" i="1"/>
  <c r="A66" i="7"/>
  <c r="A68" i="7"/>
  <c r="A69" i="7" s="1"/>
  <c r="A73" i="7" s="1"/>
  <c r="A76" i="7" s="1"/>
  <c r="A77" i="7" s="1"/>
  <c r="A78" i="7" s="1"/>
  <c r="A81" i="7" s="1"/>
  <c r="A84" i="7" s="1"/>
  <c r="A68" i="8"/>
  <c r="A69" i="8" s="1"/>
  <c r="A73" i="8" s="1"/>
  <c r="A76" i="8" s="1"/>
  <c r="A77" i="8" s="1"/>
  <c r="A78" i="8" s="1"/>
  <c r="A81" i="8" s="1"/>
  <c r="A84" i="8" s="1"/>
  <c r="A66" i="8"/>
  <c r="I32" i="12"/>
  <c r="D27" i="1"/>
  <c r="E155" i="18"/>
  <c r="E168" i="18" s="1"/>
  <c r="E169" i="18" s="1"/>
  <c r="E170" i="18" s="1"/>
  <c r="D21" i="1"/>
  <c r="D26" i="1"/>
  <c r="F22" i="2"/>
  <c r="I139" i="24"/>
  <c r="I153" i="24" s="1"/>
  <c r="I155" i="24" s="1"/>
  <c r="I168" i="24" s="1"/>
  <c r="I169" i="24" s="1"/>
  <c r="I170" i="24" s="1"/>
  <c r="H139" i="24"/>
  <c r="H153" i="24" s="1"/>
  <c r="H155" i="24" s="1"/>
  <c r="H168" i="24" s="1"/>
  <c r="H169" i="24" s="1"/>
  <c r="H170" i="24" s="1"/>
  <c r="G139" i="24"/>
  <c r="G153" i="24" s="1"/>
  <c r="F139" i="24"/>
  <c r="F153" i="24" s="1"/>
  <c r="E139" i="24"/>
  <c r="E153" i="24" s="1"/>
  <c r="E155" i="24" s="1"/>
  <c r="D139" i="24"/>
  <c r="D153" i="24" s="1"/>
  <c r="D155" i="24" s="1"/>
  <c r="C139" i="24"/>
  <c r="C153" i="24" s="1"/>
  <c r="C155" i="24" s="1"/>
  <c r="C168" i="24" s="1"/>
  <c r="C169" i="24" s="1"/>
  <c r="G139" i="18"/>
  <c r="G153" i="18" s="1"/>
  <c r="G155" i="18" s="1"/>
  <c r="H154" i="18"/>
  <c r="M67" i="19"/>
  <c r="C164" i="19" s="1"/>
  <c r="C167" i="19" s="1"/>
  <c r="C168" i="21"/>
  <c r="C169" i="21" s="1"/>
  <c r="G154" i="23"/>
  <c r="G155" i="23" s="1"/>
  <c r="D29" i="7"/>
  <c r="E43" i="7"/>
  <c r="D59" i="7" s="1"/>
  <c r="E30" i="8"/>
  <c r="D84" i="8"/>
  <c r="H139" i="18"/>
  <c r="H153" i="18" s="1"/>
  <c r="H155" i="18" s="1"/>
  <c r="H168" i="18" s="1"/>
  <c r="H169" i="18" s="1"/>
  <c r="H170" i="18" s="1"/>
  <c r="R135" i="19"/>
  <c r="I164" i="19" s="1"/>
  <c r="I167" i="19" s="1"/>
  <c r="D155" i="19"/>
  <c r="E154" i="19"/>
  <c r="E155" i="19" s="1"/>
  <c r="E168" i="19" s="1"/>
  <c r="E169" i="19" s="1"/>
  <c r="E170" i="19" s="1"/>
  <c r="H154" i="20"/>
  <c r="H155" i="20" s="1"/>
  <c r="P135" i="23"/>
  <c r="G164" i="23" s="1"/>
  <c r="G167" i="23" s="1"/>
  <c r="I154" i="23"/>
  <c r="F155" i="27"/>
  <c r="E31" i="7"/>
  <c r="E34" i="7" s="1"/>
  <c r="D35" i="1"/>
  <c r="E29" i="7"/>
  <c r="D32" i="7"/>
  <c r="E84" i="8"/>
  <c r="I139" i="18"/>
  <c r="I153" i="18" s="1"/>
  <c r="I155" i="18" s="1"/>
  <c r="I168" i="18" s="1"/>
  <c r="I169" i="18" s="1"/>
  <c r="I170" i="18" s="1"/>
  <c r="C155" i="19"/>
  <c r="G155" i="20"/>
  <c r="I154" i="20"/>
  <c r="I155" i="20" s="1"/>
  <c r="I168" i="20" s="1"/>
  <c r="I169" i="20" s="1"/>
  <c r="I170" i="20" s="1"/>
  <c r="M67" i="22"/>
  <c r="C164" i="22" s="1"/>
  <c r="C167" i="22" s="1"/>
  <c r="F154" i="24"/>
  <c r="F168" i="27"/>
  <c r="F169" i="27" s="1"/>
  <c r="F170" i="27" s="1"/>
  <c r="E32" i="7"/>
  <c r="E33" i="7" s="1"/>
  <c r="D84" i="7"/>
  <c r="D31" i="8"/>
  <c r="E59" i="8"/>
  <c r="E60" i="8" s="1"/>
  <c r="D80" i="8"/>
  <c r="E85" i="8"/>
  <c r="C168" i="23"/>
  <c r="C169" i="23" s="1"/>
  <c r="G154" i="24"/>
  <c r="G11" i="25"/>
  <c r="G11" i="22"/>
  <c r="G11" i="24"/>
  <c r="G11" i="21"/>
  <c r="G11" i="29" s="1"/>
  <c r="E59" i="7"/>
  <c r="D71" i="7"/>
  <c r="E85" i="7"/>
  <c r="D29" i="8"/>
  <c r="D139" i="18"/>
  <c r="D153" i="18" s="1"/>
  <c r="D155" i="18" s="1"/>
  <c r="D153" i="21"/>
  <c r="D155" i="21" s="1"/>
  <c r="I153" i="22"/>
  <c r="I155" i="22" s="1"/>
  <c r="I168" i="22" s="1"/>
  <c r="I169" i="22" s="1"/>
  <c r="I170" i="22" s="1"/>
  <c r="H154" i="22"/>
  <c r="H155" i="22" s="1"/>
  <c r="H168" i="22" s="1"/>
  <c r="H169" i="22" s="1"/>
  <c r="H170" i="22" s="1"/>
  <c r="N135" i="24"/>
  <c r="E164" i="24" s="1"/>
  <c r="E167" i="24" s="1"/>
  <c r="E168" i="24" s="1"/>
  <c r="E169" i="24" s="1"/>
  <c r="E170" i="24" s="1"/>
  <c r="E29" i="8"/>
  <c r="D33" i="8" s="1"/>
  <c r="I155" i="19"/>
  <c r="M135" i="20"/>
  <c r="D164" i="20" s="1"/>
  <c r="D167" i="20" s="1"/>
  <c r="D168" i="20" s="1"/>
  <c r="D169" i="20" s="1"/>
  <c r="D170" i="20" s="1"/>
  <c r="P135" i="21"/>
  <c r="G164" i="21" s="1"/>
  <c r="G167" i="21" s="1"/>
  <c r="G168" i="21" s="1"/>
  <c r="G169" i="21" s="1"/>
  <c r="G170" i="21" s="1"/>
  <c r="E153" i="21"/>
  <c r="E155" i="21" s="1"/>
  <c r="E168" i="21" s="1"/>
  <c r="E169" i="21" s="1"/>
  <c r="E170" i="21" s="1"/>
  <c r="I154" i="21"/>
  <c r="D154" i="23"/>
  <c r="D155" i="23" s="1"/>
  <c r="D153" i="26"/>
  <c r="D155" i="26" s="1"/>
  <c r="I139" i="30"/>
  <c r="I153" i="30" s="1"/>
  <c r="I155" i="30" s="1"/>
  <c r="I168" i="30" s="1"/>
  <c r="I169" i="30" s="1"/>
  <c r="I170" i="30" s="1"/>
  <c r="H139" i="30"/>
  <c r="H153" i="30" s="1"/>
  <c r="H155" i="30" s="1"/>
  <c r="H168" i="30" s="1"/>
  <c r="H169" i="30" s="1"/>
  <c r="H170" i="30" s="1"/>
  <c r="G139" i="30"/>
  <c r="G153" i="30" s="1"/>
  <c r="G155" i="30" s="1"/>
  <c r="F139" i="30"/>
  <c r="F153" i="30" s="1"/>
  <c r="E139" i="30"/>
  <c r="E153" i="30" s="1"/>
  <c r="E155" i="30" s="1"/>
  <c r="E168" i="30" s="1"/>
  <c r="E169" i="30" s="1"/>
  <c r="E170" i="30" s="1"/>
  <c r="D139" i="30"/>
  <c r="D153" i="30" s="1"/>
  <c r="C139" i="30"/>
  <c r="C153" i="30" s="1"/>
  <c r="C155" i="30" s="1"/>
  <c r="C168" i="30" s="1"/>
  <c r="C169" i="30" s="1"/>
  <c r="C139" i="20"/>
  <c r="C153" i="20" s="1"/>
  <c r="C155" i="20" s="1"/>
  <c r="C168" i="20" s="1"/>
  <c r="C169" i="20" s="1"/>
  <c r="F139" i="21"/>
  <c r="F153" i="21" s="1"/>
  <c r="F155" i="21" s="1"/>
  <c r="F168" i="21" s="1"/>
  <c r="F169" i="21" s="1"/>
  <c r="F170" i="21" s="1"/>
  <c r="F139" i="23"/>
  <c r="F153" i="23" s="1"/>
  <c r="F155" i="23" s="1"/>
  <c r="F168" i="23" s="1"/>
  <c r="F169" i="23" s="1"/>
  <c r="F170" i="23" s="1"/>
  <c r="R135" i="25"/>
  <c r="I164" i="25" s="1"/>
  <c r="I167" i="25" s="1"/>
  <c r="D153" i="25"/>
  <c r="D155" i="25" s="1"/>
  <c r="R135" i="26"/>
  <c r="I164" i="26" s="1"/>
  <c r="I167" i="26" s="1"/>
  <c r="E153" i="26"/>
  <c r="E155" i="26" s="1"/>
  <c r="E168" i="26" s="1"/>
  <c r="E169" i="26" s="1"/>
  <c r="E170" i="26" s="1"/>
  <c r="F155" i="26"/>
  <c r="G153" i="27"/>
  <c r="G153" i="29"/>
  <c r="H155" i="26"/>
  <c r="H168" i="26" s="1"/>
  <c r="H169" i="26" s="1"/>
  <c r="H170" i="26" s="1"/>
  <c r="E155" i="27"/>
  <c r="H153" i="29"/>
  <c r="H155" i="29" s="1"/>
  <c r="H168" i="29" s="1"/>
  <c r="H169" i="29" s="1"/>
  <c r="H170" i="29" s="1"/>
  <c r="E139" i="20"/>
  <c r="E153" i="20" s="1"/>
  <c r="E155" i="20" s="1"/>
  <c r="E168" i="20" s="1"/>
  <c r="E169" i="20" s="1"/>
  <c r="E170" i="20" s="1"/>
  <c r="H139" i="21"/>
  <c r="H153" i="21" s="1"/>
  <c r="H155" i="21" s="1"/>
  <c r="H168" i="21" s="1"/>
  <c r="H169" i="21" s="1"/>
  <c r="H170" i="21" s="1"/>
  <c r="D139" i="22"/>
  <c r="D153" i="22" s="1"/>
  <c r="D155" i="22" s="1"/>
  <c r="H139" i="23"/>
  <c r="H153" i="23" s="1"/>
  <c r="H155" i="23" s="1"/>
  <c r="H168" i="23" s="1"/>
  <c r="H169" i="23" s="1"/>
  <c r="H170" i="23" s="1"/>
  <c r="I154" i="25"/>
  <c r="I155" i="25" s="1"/>
  <c r="I155" i="26"/>
  <c r="M135" i="29"/>
  <c r="D164" i="29" s="1"/>
  <c r="D167" i="29" s="1"/>
  <c r="E155" i="29"/>
  <c r="E168" i="29" s="1"/>
  <c r="E169" i="29" s="1"/>
  <c r="E170" i="29" s="1"/>
  <c r="F154" i="30"/>
  <c r="F139" i="20"/>
  <c r="F153" i="20" s="1"/>
  <c r="F155" i="20" s="1"/>
  <c r="F168" i="20" s="1"/>
  <c r="F169" i="20" s="1"/>
  <c r="F170" i="20" s="1"/>
  <c r="I139" i="21"/>
  <c r="I153" i="21" s="1"/>
  <c r="I155" i="21" s="1"/>
  <c r="I168" i="21" s="1"/>
  <c r="I169" i="21" s="1"/>
  <c r="I170" i="21" s="1"/>
  <c r="I139" i="23"/>
  <c r="I153" i="23" s="1"/>
  <c r="M135" i="25"/>
  <c r="D164" i="25" s="1"/>
  <c r="D167" i="25" s="1"/>
  <c r="M135" i="27"/>
  <c r="D164" i="27" s="1"/>
  <c r="D167" i="27" s="1"/>
  <c r="D168" i="27" s="1"/>
  <c r="D169" i="27" s="1"/>
  <c r="D170" i="27" s="1"/>
  <c r="C154" i="25"/>
  <c r="G154" i="26"/>
  <c r="G155" i="26" s="1"/>
  <c r="E168" i="27"/>
  <c r="E169" i="27" s="1"/>
  <c r="E170" i="27" s="1"/>
  <c r="D155" i="28"/>
  <c r="O135" i="25"/>
  <c r="F164" i="25" s="1"/>
  <c r="F167" i="25" s="1"/>
  <c r="F168" i="25" s="1"/>
  <c r="F169" i="25" s="1"/>
  <c r="F170" i="25" s="1"/>
  <c r="O135" i="26"/>
  <c r="F164" i="26" s="1"/>
  <c r="F167" i="26" s="1"/>
  <c r="F168" i="26" s="1"/>
  <c r="F169" i="26" s="1"/>
  <c r="F170" i="26" s="1"/>
  <c r="G154" i="27"/>
  <c r="D155" i="27"/>
  <c r="E153" i="28"/>
  <c r="E155" i="28" s="1"/>
  <c r="E168" i="28" s="1"/>
  <c r="E169" i="28" s="1"/>
  <c r="E170" i="28" s="1"/>
  <c r="F155" i="28"/>
  <c r="F168" i="28" s="1"/>
  <c r="F169" i="28" s="1"/>
  <c r="F170" i="28" s="1"/>
  <c r="H139" i="27"/>
  <c r="H153" i="27" s="1"/>
  <c r="H155" i="27" s="1"/>
  <c r="H168" i="27" s="1"/>
  <c r="H169" i="27" s="1"/>
  <c r="H170" i="27" s="1"/>
  <c r="F155" i="31"/>
  <c r="F168" i="31" s="1"/>
  <c r="F169" i="31" s="1"/>
  <c r="F170" i="31" s="1"/>
  <c r="Q135" i="32"/>
  <c r="H164" i="32" s="1"/>
  <c r="H167" i="32" s="1"/>
  <c r="E155" i="32"/>
  <c r="E168" i="32" s="1"/>
  <c r="E169" i="32" s="1"/>
  <c r="E170" i="32" s="1"/>
  <c r="I139" i="34"/>
  <c r="I153" i="34" s="1"/>
  <c r="I155" i="34" s="1"/>
  <c r="I168" i="34" s="1"/>
  <c r="I169" i="34" s="1"/>
  <c r="I170" i="34" s="1"/>
  <c r="H139" i="34"/>
  <c r="H153" i="34" s="1"/>
  <c r="H155" i="34" s="1"/>
  <c r="H168" i="34" s="1"/>
  <c r="H169" i="34" s="1"/>
  <c r="H170" i="34" s="1"/>
  <c r="G139" i="34"/>
  <c r="G153" i="34" s="1"/>
  <c r="G155" i="34" s="1"/>
  <c r="E139" i="34"/>
  <c r="E153" i="34" s="1"/>
  <c r="E155" i="34" s="1"/>
  <c r="E168" i="34" s="1"/>
  <c r="E169" i="34" s="1"/>
  <c r="E170" i="34" s="1"/>
  <c r="D139" i="34"/>
  <c r="D153" i="34" s="1"/>
  <c r="C139" i="34"/>
  <c r="C153" i="34" s="1"/>
  <c r="O135" i="35"/>
  <c r="F164" i="35" s="1"/>
  <c r="F167" i="35" s="1"/>
  <c r="F168" i="35" s="1"/>
  <c r="F169" i="35" s="1"/>
  <c r="F170" i="35" s="1"/>
  <c r="E154" i="35"/>
  <c r="I154" i="36"/>
  <c r="I155" i="36" s="1"/>
  <c r="I168" i="36" s="1"/>
  <c r="I169" i="36" s="1"/>
  <c r="I170" i="36" s="1"/>
  <c r="D154" i="37"/>
  <c r="D155" i="37" s="1"/>
  <c r="C139" i="25"/>
  <c r="C153" i="25" s="1"/>
  <c r="I139" i="27"/>
  <c r="I153" i="27" s="1"/>
  <c r="I155" i="27" s="1"/>
  <c r="I168" i="27" s="1"/>
  <c r="I169" i="27" s="1"/>
  <c r="I170" i="27" s="1"/>
  <c r="I139" i="29"/>
  <c r="I153" i="29" s="1"/>
  <c r="I155" i="29" s="1"/>
  <c r="I168" i="29" s="1"/>
  <c r="I169" i="29" s="1"/>
  <c r="I170" i="29" s="1"/>
  <c r="H154" i="31"/>
  <c r="H155" i="31" s="1"/>
  <c r="H168" i="31" s="1"/>
  <c r="H169" i="31" s="1"/>
  <c r="H170" i="31" s="1"/>
  <c r="E139" i="33"/>
  <c r="E153" i="33" s="1"/>
  <c r="D139" i="33"/>
  <c r="D153" i="33" s="1"/>
  <c r="D155" i="33" s="1"/>
  <c r="C139" i="33"/>
  <c r="C153" i="33" s="1"/>
  <c r="C155" i="33" s="1"/>
  <c r="C168" i="33" s="1"/>
  <c r="C169" i="33" s="1"/>
  <c r="I139" i="33"/>
  <c r="I153" i="33" s="1"/>
  <c r="H139" i="33"/>
  <c r="H153" i="33" s="1"/>
  <c r="G139" i="33"/>
  <c r="G153" i="33" s="1"/>
  <c r="E154" i="37"/>
  <c r="I154" i="31"/>
  <c r="I155" i="31" s="1"/>
  <c r="I168" i="31" s="1"/>
  <c r="I169" i="31" s="1"/>
  <c r="I170" i="31" s="1"/>
  <c r="E153" i="35"/>
  <c r="E155" i="35" s="1"/>
  <c r="E168" i="35" s="1"/>
  <c r="E169" i="35" s="1"/>
  <c r="E170" i="35" s="1"/>
  <c r="O135" i="37"/>
  <c r="F164" i="37" s="1"/>
  <c r="F167" i="37" s="1"/>
  <c r="E139" i="25"/>
  <c r="E153" i="25" s="1"/>
  <c r="E155" i="25" s="1"/>
  <c r="E168" i="25" s="1"/>
  <c r="E169" i="25" s="1"/>
  <c r="E170" i="25" s="1"/>
  <c r="C139" i="27"/>
  <c r="C153" i="27" s="1"/>
  <c r="C155" i="27" s="1"/>
  <c r="C168" i="27" s="1"/>
  <c r="C169" i="27" s="1"/>
  <c r="N135" i="31"/>
  <c r="E164" i="31" s="1"/>
  <c r="E167" i="31" s="1"/>
  <c r="G155" i="32"/>
  <c r="E154" i="33"/>
  <c r="I155" i="35"/>
  <c r="I168" i="35" s="1"/>
  <c r="I169" i="35" s="1"/>
  <c r="I170" i="35" s="1"/>
  <c r="E82" i="43"/>
  <c r="E159" i="43" s="1"/>
  <c r="E160" i="43" s="1"/>
  <c r="E116" i="43"/>
  <c r="O91" i="49"/>
  <c r="O92" i="49" s="1"/>
  <c r="O94" i="49" s="1"/>
  <c r="R94" i="49" s="1"/>
  <c r="G47" i="2" s="1"/>
  <c r="H47" i="2" s="1"/>
  <c r="G34" i="50"/>
  <c r="G36" i="50" s="1"/>
  <c r="G37" i="50" s="1"/>
  <c r="G38" i="50" s="1"/>
  <c r="G33" i="50"/>
  <c r="I155" i="32"/>
  <c r="I168" i="32" s="1"/>
  <c r="I169" i="32" s="1"/>
  <c r="I170" i="32" s="1"/>
  <c r="G154" i="33"/>
  <c r="F154" i="34"/>
  <c r="F155" i="34" s="1"/>
  <c r="F168" i="34" s="1"/>
  <c r="F169" i="34" s="1"/>
  <c r="F170" i="34" s="1"/>
  <c r="D154" i="35"/>
  <c r="D155" i="35" s="1"/>
  <c r="E153" i="37"/>
  <c r="E80" i="38"/>
  <c r="E68" i="40"/>
  <c r="E117" i="40"/>
  <c r="E70" i="47"/>
  <c r="D155" i="31"/>
  <c r="E112" i="38"/>
  <c r="E113" i="38" s="1"/>
  <c r="E114" i="38" s="1"/>
  <c r="E116" i="38" s="1"/>
  <c r="E83" i="44"/>
  <c r="E241" i="44" s="1"/>
  <c r="E242" i="44" s="1"/>
  <c r="G34" i="51"/>
  <c r="G36" i="51" s="1"/>
  <c r="G37" i="51" s="1"/>
  <c r="G38" i="51" s="1"/>
  <c r="G33" i="51"/>
  <c r="F139" i="35"/>
  <c r="F153" i="35" s="1"/>
  <c r="F155" i="35" s="1"/>
  <c r="F139" i="37"/>
  <c r="F153" i="37" s="1"/>
  <c r="F155" i="37" s="1"/>
  <c r="C149" i="32"/>
  <c r="C154" i="32" s="1"/>
  <c r="C155" i="32" s="1"/>
  <c r="C168" i="32" s="1"/>
  <c r="C169" i="32" s="1"/>
  <c r="G139" i="35"/>
  <c r="G153" i="35" s="1"/>
  <c r="G155" i="35" s="1"/>
  <c r="C139" i="36"/>
  <c r="C153" i="36" s="1"/>
  <c r="G139" i="37"/>
  <c r="G153" i="37" s="1"/>
  <c r="D149" i="32"/>
  <c r="D154" i="32" s="1"/>
  <c r="D155" i="32" s="1"/>
  <c r="C149" i="34"/>
  <c r="C154" i="34" s="1"/>
  <c r="H139" i="35"/>
  <c r="H153" i="35" s="1"/>
  <c r="H155" i="35" s="1"/>
  <c r="H168" i="35" s="1"/>
  <c r="H169" i="35" s="1"/>
  <c r="H170" i="35" s="1"/>
  <c r="D139" i="36"/>
  <c r="D153" i="36" s="1"/>
  <c r="D155" i="36" s="1"/>
  <c r="H139" i="37"/>
  <c r="H153" i="37" s="1"/>
  <c r="C139" i="35"/>
  <c r="C153" i="35" s="1"/>
  <c r="C155" i="35" s="1"/>
  <c r="C168" i="35" s="1"/>
  <c r="C169" i="35" s="1"/>
  <c r="D34" i="1" l="1"/>
  <c r="C155" i="37"/>
  <c r="C168" i="37" s="1"/>
  <c r="C169" i="37" s="1"/>
  <c r="H155" i="37"/>
  <c r="H168" i="37" s="1"/>
  <c r="H169" i="37" s="1"/>
  <c r="H170" i="37" s="1"/>
  <c r="G155" i="37"/>
  <c r="G168" i="37"/>
  <c r="G169" i="37" s="1"/>
  <c r="G170" i="37" s="1"/>
  <c r="H155" i="36"/>
  <c r="G155" i="36"/>
  <c r="C155" i="36"/>
  <c r="C168" i="36" s="1"/>
  <c r="C169" i="36" s="1"/>
  <c r="E168" i="36"/>
  <c r="E169" i="36" s="1"/>
  <c r="E170" i="36" s="1"/>
  <c r="H168" i="36"/>
  <c r="H169" i="36" s="1"/>
  <c r="H170" i="36" s="1"/>
  <c r="F155" i="36"/>
  <c r="F168" i="36" s="1"/>
  <c r="F169" i="36" s="1"/>
  <c r="F170" i="36" s="1"/>
  <c r="D155" i="34"/>
  <c r="D168" i="34" s="1"/>
  <c r="D169" i="34" s="1"/>
  <c r="D170" i="34" s="1"/>
  <c r="H155" i="33"/>
  <c r="H168" i="33" s="1"/>
  <c r="H169" i="33" s="1"/>
  <c r="H170" i="33" s="1"/>
  <c r="I155" i="33"/>
  <c r="I168" i="33" s="1"/>
  <c r="I169" i="33" s="1"/>
  <c r="I170" i="33" s="1"/>
  <c r="E155" i="33"/>
  <c r="E168" i="33" s="1"/>
  <c r="E169" i="33" s="1"/>
  <c r="E170" i="33" s="1"/>
  <c r="D168" i="33"/>
  <c r="D169" i="33" s="1"/>
  <c r="D170" i="33" s="1"/>
  <c r="G168" i="32"/>
  <c r="G169" i="32" s="1"/>
  <c r="G170" i="32" s="1"/>
  <c r="H155" i="32"/>
  <c r="H168" i="32" s="1"/>
  <c r="H169" i="32" s="1"/>
  <c r="H170" i="32" s="1"/>
  <c r="E168" i="31"/>
  <c r="E169" i="31" s="1"/>
  <c r="E170" i="31" s="1"/>
  <c r="G168" i="31"/>
  <c r="G169" i="31" s="1"/>
  <c r="G170" i="31" s="1"/>
  <c r="D155" i="30"/>
  <c r="D168" i="30"/>
  <c r="D169" i="30" s="1"/>
  <c r="D170" i="30" s="1"/>
  <c r="C168" i="29"/>
  <c r="C169" i="29" s="1"/>
  <c r="G155" i="29"/>
  <c r="F155" i="29"/>
  <c r="D168" i="29"/>
  <c r="D169" i="29" s="1"/>
  <c r="D170" i="29" s="1"/>
  <c r="F168" i="29"/>
  <c r="F169" i="29" s="1"/>
  <c r="F170" i="29" s="1"/>
  <c r="G155" i="28"/>
  <c r="G168" i="28" s="1"/>
  <c r="G169" i="28" s="1"/>
  <c r="G170" i="28" s="1"/>
  <c r="C155" i="28"/>
  <c r="C168" i="28" s="1"/>
  <c r="C169" i="28" s="1"/>
  <c r="G168" i="26"/>
  <c r="G169" i="26" s="1"/>
  <c r="G170" i="26" s="1"/>
  <c r="H155" i="25"/>
  <c r="H168" i="25" s="1"/>
  <c r="H169" i="25" s="1"/>
  <c r="H170" i="25" s="1"/>
  <c r="E155" i="23"/>
  <c r="E168" i="23" s="1"/>
  <c r="E169" i="23" s="1"/>
  <c r="E170" i="23" s="1"/>
  <c r="C155" i="22"/>
  <c r="C168" i="22" s="1"/>
  <c r="C169" i="22" s="1"/>
  <c r="D168" i="37"/>
  <c r="D169" i="37" s="1"/>
  <c r="D170" i="37" s="1"/>
  <c r="H168" i="20"/>
  <c r="H169" i="20" s="1"/>
  <c r="H170" i="20" s="1"/>
  <c r="G168" i="20"/>
  <c r="G169" i="20" s="1"/>
  <c r="G170" i="20" s="1"/>
  <c r="F168" i="19"/>
  <c r="F169" i="19" s="1"/>
  <c r="F170" i="19" s="1"/>
  <c r="D168" i="19"/>
  <c r="D169" i="19" s="1"/>
  <c r="D170" i="19" s="1"/>
  <c r="G168" i="19"/>
  <c r="G169" i="19" s="1"/>
  <c r="G170" i="19" s="1"/>
  <c r="G168" i="34"/>
  <c r="G169" i="34" s="1"/>
  <c r="G170" i="34" s="1"/>
  <c r="D168" i="31"/>
  <c r="D169" i="31" s="1"/>
  <c r="D170" i="31" s="1"/>
  <c r="D168" i="36"/>
  <c r="D169" i="36" s="1"/>
  <c r="D170" i="36" s="1"/>
  <c r="G168" i="29"/>
  <c r="G169" i="29" s="1"/>
  <c r="G170" i="29" s="1"/>
  <c r="D168" i="18"/>
  <c r="D169" i="18" s="1"/>
  <c r="D170" i="18" s="1"/>
  <c r="G168" i="36"/>
  <c r="G169" i="36" s="1"/>
  <c r="G170" i="36" s="1"/>
  <c r="D168" i="35"/>
  <c r="D169" i="35" s="1"/>
  <c r="D170" i="35" s="1"/>
  <c r="D168" i="28"/>
  <c r="D169" i="28" s="1"/>
  <c r="D170" i="28" s="1"/>
  <c r="D168" i="22"/>
  <c r="D169" i="22" s="1"/>
  <c r="D170" i="22" s="1"/>
  <c r="D171" i="22" s="1"/>
  <c r="D168" i="32"/>
  <c r="D169" i="32" s="1"/>
  <c r="D170" i="32" s="1"/>
  <c r="D168" i="24"/>
  <c r="D169" i="24" s="1"/>
  <c r="D170" i="24" s="1"/>
  <c r="D168" i="26"/>
  <c r="D169" i="26" s="1"/>
  <c r="D170" i="26" s="1"/>
  <c r="G168" i="35"/>
  <c r="G169" i="35" s="1"/>
  <c r="G170" i="35" s="1"/>
  <c r="D168" i="23"/>
  <c r="D169" i="23" s="1"/>
  <c r="D170" i="23" s="1"/>
  <c r="G168" i="30"/>
  <c r="G169" i="30" s="1"/>
  <c r="G170" i="30" s="1"/>
  <c r="D168" i="21"/>
  <c r="D169" i="21" s="1"/>
  <c r="D170" i="21" s="1"/>
  <c r="D171" i="21" s="1"/>
  <c r="D172" i="21" s="1"/>
  <c r="D173" i="21" s="1"/>
  <c r="Y173" i="21" s="1"/>
  <c r="G168" i="18"/>
  <c r="G169" i="18" s="1"/>
  <c r="G170" i="18" s="1"/>
  <c r="F168" i="37"/>
  <c r="F169" i="37" s="1"/>
  <c r="F170" i="37" s="1"/>
  <c r="C155" i="25"/>
  <c r="C168" i="25" s="1"/>
  <c r="C169" i="25" s="1"/>
  <c r="I168" i="26"/>
  <c r="I169" i="26" s="1"/>
  <c r="I170" i="26" s="1"/>
  <c r="I168" i="19"/>
  <c r="I169" i="19" s="1"/>
  <c r="I170" i="19" s="1"/>
  <c r="G155" i="24"/>
  <c r="G168" i="24" s="1"/>
  <c r="G169" i="24" s="1"/>
  <c r="G170" i="24" s="1"/>
  <c r="K32" i="12"/>
  <c r="G29" i="2" s="1"/>
  <c r="I168" i="25"/>
  <c r="I169" i="25" s="1"/>
  <c r="I170" i="25" s="1"/>
  <c r="E211" i="47"/>
  <c r="E212" i="47" s="1"/>
  <c r="G45" i="2" s="1"/>
  <c r="H45" i="2" s="1"/>
  <c r="E60" i="7"/>
  <c r="E86" i="7" s="1"/>
  <c r="E87" i="7" s="1"/>
  <c r="F23" i="2" s="1"/>
  <c r="E118" i="40"/>
  <c r="E119" i="40" s="1"/>
  <c r="D168" i="25"/>
  <c r="D169" i="25" s="1"/>
  <c r="D170" i="25" s="1"/>
  <c r="G11" i="30"/>
  <c r="G11" i="26"/>
  <c r="D33" i="7"/>
  <c r="G168" i="23"/>
  <c r="G169" i="23" s="1"/>
  <c r="G170" i="23" s="1"/>
  <c r="D25" i="1"/>
  <c r="G42" i="2"/>
  <c r="H42" i="2" s="1"/>
  <c r="G48" i="2"/>
  <c r="H48" i="2" s="1"/>
  <c r="I155" i="23"/>
  <c r="I168" i="23" s="1"/>
  <c r="I169" i="23" s="1"/>
  <c r="I170" i="23" s="1"/>
  <c r="G155" i="27"/>
  <c r="G168" i="27" s="1"/>
  <c r="G169" i="27" s="1"/>
  <c r="G170" i="27" s="1"/>
  <c r="D171" i="27" s="1"/>
  <c r="D172" i="27" s="1"/>
  <c r="D173" i="27" s="1"/>
  <c r="Y173" i="27" s="1"/>
  <c r="G11" i="33"/>
  <c r="G11" i="27"/>
  <c r="E33" i="8"/>
  <c r="E34" i="8" s="1"/>
  <c r="E86" i="8" s="1"/>
  <c r="E155" i="37"/>
  <c r="E168" i="37" s="1"/>
  <c r="E169" i="37" s="1"/>
  <c r="E170" i="37" s="1"/>
  <c r="D19" i="1"/>
  <c r="D38" i="1"/>
  <c r="G155" i="33"/>
  <c r="G168" i="33" s="1"/>
  <c r="G169" i="33" s="1"/>
  <c r="G170" i="33" s="1"/>
  <c r="C155" i="34"/>
  <c r="C168" i="34" s="1"/>
  <c r="C169" i="34" s="1"/>
  <c r="F155" i="30"/>
  <c r="F168" i="30" s="1"/>
  <c r="F169" i="30" s="1"/>
  <c r="F170" i="30" s="1"/>
  <c r="C168" i="19"/>
  <c r="C169" i="19" s="1"/>
  <c r="F155" i="24"/>
  <c r="F168" i="24" s="1"/>
  <c r="F169" i="24" s="1"/>
  <c r="F170" i="24" s="1"/>
  <c r="H22" i="2"/>
  <c r="D171" i="33" l="1"/>
  <c r="D172" i="33" s="1"/>
  <c r="D173" i="33" s="1"/>
  <c r="Y173" i="33" s="1"/>
  <c r="D171" i="32"/>
  <c r="D172" i="32" s="1"/>
  <c r="D173" i="32" s="1"/>
  <c r="Y173" i="32" s="1"/>
  <c r="D171" i="31"/>
  <c r="D172" i="31" s="1"/>
  <c r="D173" i="31" s="1"/>
  <c r="Y173" i="31" s="1"/>
  <c r="D171" i="30"/>
  <c r="D172" i="30" s="1"/>
  <c r="D173" i="30" s="1"/>
  <c r="Y173" i="30" s="1"/>
  <c r="D171" i="29"/>
  <c r="D172" i="29" s="1"/>
  <c r="D173" i="29" s="1"/>
  <c r="Y173" i="29" s="1"/>
  <c r="D171" i="28"/>
  <c r="D172" i="28" s="1"/>
  <c r="D173" i="28" s="1"/>
  <c r="Y173" i="28" s="1"/>
  <c r="D171" i="20"/>
  <c r="D172" i="20" s="1"/>
  <c r="D173" i="20" s="1"/>
  <c r="Y173" i="20" s="1"/>
  <c r="D171" i="37"/>
  <c r="D171" i="34"/>
  <c r="D172" i="34" s="1"/>
  <c r="D173" i="34" s="1"/>
  <c r="D171" i="19"/>
  <c r="D172" i="19" s="1"/>
  <c r="D173" i="19" s="1"/>
  <c r="Y173" i="19" s="1"/>
  <c r="D171" i="36"/>
  <c r="D171" i="18"/>
  <c r="D172" i="18" s="1"/>
  <c r="D173" i="18" s="1"/>
  <c r="Y173" i="18" s="1"/>
  <c r="D171" i="35"/>
  <c r="D172" i="35" s="1"/>
  <c r="D173" i="35" s="1"/>
  <c r="Y173" i="35" s="1"/>
  <c r="D171" i="24"/>
  <c r="D171" i="23"/>
  <c r="D172" i="23" s="1"/>
  <c r="D173" i="23" s="1"/>
  <c r="D171" i="26"/>
  <c r="H23" i="2"/>
  <c r="F25" i="2"/>
  <c r="D172" i="22"/>
  <c r="D173" i="22" s="1"/>
  <c r="Y173" i="22" s="1"/>
  <c r="D36" i="1"/>
  <c r="D39" i="1"/>
  <c r="D33" i="1"/>
  <c r="D171" i="25"/>
  <c r="H29" i="2"/>
  <c r="G31" i="2"/>
  <c r="H31" i="2" s="1"/>
  <c r="D13" i="1"/>
  <c r="Y173" i="34" l="1"/>
  <c r="D172" i="37"/>
  <c r="D173" i="37" s="1"/>
  <c r="Y173" i="37" s="1"/>
  <c r="D172" i="36"/>
  <c r="Y173" i="23"/>
  <c r="G38" i="2" s="1"/>
  <c r="H38" i="2" s="1"/>
  <c r="D172" i="24"/>
  <c r="D173" i="24" s="1"/>
  <c r="Y173" i="24" s="1"/>
  <c r="D172" i="26"/>
  <c r="D173" i="26" s="1"/>
  <c r="Y173" i="26" s="1"/>
  <c r="F51" i="2"/>
  <c r="H25" i="2"/>
  <c r="D14" i="1"/>
  <c r="G40" i="2"/>
  <c r="H40" i="2" s="1"/>
  <c r="D172" i="25"/>
  <c r="D173" i="25" s="1"/>
  <c r="Y173" i="25" s="1"/>
  <c r="D22" i="1"/>
  <c r="D20" i="1"/>
  <c r="D173" i="36" l="1"/>
  <c r="Y173" i="36" s="1"/>
  <c r="G41" i="2" s="1"/>
  <c r="H41" i="2" s="1"/>
  <c r="D32" i="1" s="1"/>
  <c r="G39" i="2"/>
  <c r="H39" i="2" s="1"/>
  <c r="D16" i="1"/>
  <c r="F52" i="2"/>
  <c r="F53" i="2" s="1"/>
  <c r="D31" i="1"/>
  <c r="D29" i="1"/>
  <c r="G49" i="2" l="1"/>
  <c r="G51" i="2" s="1"/>
  <c r="D30" i="1"/>
  <c r="H49" i="2" l="1"/>
  <c r="G52" i="2"/>
  <c r="H52" i="2" s="1"/>
  <c r="H51" i="2"/>
  <c r="D40" i="1" l="1"/>
  <c r="G53" i="2"/>
  <c r="H53" i="2" s="1"/>
  <c r="D44" i="1" s="1"/>
  <c r="D42" i="1"/>
  <c r="D43" i="1"/>
</calcChain>
</file>

<file path=xl/sharedStrings.xml><?xml version="1.0" encoding="utf-8"?>
<sst xmlns="http://schemas.openxmlformats.org/spreadsheetml/2006/main" count="15535" uniqueCount="2412">
  <si>
    <t>Расчет начальной максимальной цены</t>
  </si>
  <si>
    <t>на выполнение работ по объекту:</t>
  </si>
  <si>
    <t>Реконструкция газопромысловых сооружений Степновской станции подземного хранения газа</t>
  </si>
  <si>
    <t>Наименование предприятия, здания, сооружения, стадии проектирования, этапа, вида проектных или изыскательских работ</t>
  </si>
  <si>
    <t>Выполнение работ по корректировке рабочей и сметной документации объекта «Реконструкция газопромысловых сооружений Степновской СПХГ» , Выполнение диагностического обследования существующих зданий и сооружений, Выполнение комплексных инженерных изысканий.</t>
  </si>
  <si>
    <t>Рабочая документация</t>
  </si>
  <si>
    <t>Наименование проектной (изыскательской) организации</t>
  </si>
  <si>
    <t>Определяется по итогам конкурентных процедур</t>
  </si>
  <si>
    <t>Наименование организации заказчика</t>
  </si>
  <si>
    <t>ООО "Газпром проектирование"</t>
  </si>
  <si>
    <t>№ п/п</t>
  </si>
  <si>
    <t>Наименование видов работ</t>
  </si>
  <si>
    <t>Ссылка на номер локального расчета</t>
  </si>
  <si>
    <t>Стоимость, руб.</t>
  </si>
  <si>
    <t xml:space="preserve">Итого  </t>
  </si>
  <si>
    <t/>
  </si>
  <si>
    <t>Кроме того, НДС 22%</t>
  </si>
  <si>
    <t>22% от п.4</t>
  </si>
  <si>
    <t>Всего с НДС</t>
  </si>
  <si>
    <t>Сумма от п.4-5</t>
  </si>
  <si>
    <t>Главный инженер проекта</t>
  </si>
  <si>
    <t>ООО «Газпром проектирование»</t>
  </si>
  <si>
    <t xml:space="preserve">Саратовский филиал                                                                                               </t>
  </si>
  <si>
    <t>___________________</t>
  </si>
  <si>
    <t xml:space="preserve">А.Г. Гордеев </t>
  </si>
  <si>
    <t>Форма 1пс</t>
  </si>
  <si>
    <t>СВОДНАЯ СМЕТА</t>
  </si>
  <si>
    <t>на проектные работы и инженерные изыскания</t>
  </si>
  <si>
    <t>По объекту:</t>
  </si>
  <si>
    <t xml:space="preserve">Реконструкция газопромысловых сооружений Степновской станции подземного хранения газа
</t>
  </si>
  <si>
    <t>Наименование строительства и стадии проектирования</t>
  </si>
  <si>
    <t>Наименование проектной организации-генерального проектировщика</t>
  </si>
  <si>
    <t>№пп</t>
  </si>
  <si>
    <t>Перечень выполняемых работ</t>
  </si>
  <si>
    <t>Ссылка на № смет по формам 2П, 3П</t>
  </si>
  <si>
    <t>Полная стоимость работ, руб.</t>
  </si>
  <si>
    <t>изыскательских</t>
  </si>
  <si>
    <t>проектных</t>
  </si>
  <si>
    <t>Всего</t>
  </si>
  <si>
    <t>Инженерные изыскания</t>
  </si>
  <si>
    <t>1.1</t>
  </si>
  <si>
    <t>Инженерно-геодезические изыскания</t>
  </si>
  <si>
    <t>1.2</t>
  </si>
  <si>
    <t>Инженерно-геологические изыскания</t>
  </si>
  <si>
    <t>1.3</t>
  </si>
  <si>
    <t xml:space="preserve">Мобильное лазерное сканирование (МЛС) </t>
  </si>
  <si>
    <t>1.4</t>
  </si>
  <si>
    <t>Обследование, сбор исходных данных</t>
  </si>
  <si>
    <t>2.1</t>
  </si>
  <si>
    <t>Обследование и оценка технического состяния строительных конструкций</t>
  </si>
  <si>
    <t>2.2</t>
  </si>
  <si>
    <t>Внесение изменений в техническую документацию</t>
  </si>
  <si>
    <t>2.3</t>
  </si>
  <si>
    <t>Сбор исходных данных</t>
  </si>
  <si>
    <t>2.4</t>
  </si>
  <si>
    <t>3.1</t>
  </si>
  <si>
    <t>Генеральный план</t>
  </si>
  <si>
    <t>3.2</t>
  </si>
  <si>
    <t>Автомобильные дороги</t>
  </si>
  <si>
    <t>3.3</t>
  </si>
  <si>
    <t>Технология производства</t>
  </si>
  <si>
    <t>3.4</t>
  </si>
  <si>
    <t>Отопление, вентиляция и кондиционирование</t>
  </si>
  <si>
    <t>3.5</t>
  </si>
  <si>
    <t xml:space="preserve">Автоматизированная система управления технологическим процессом (АСУ ТП) </t>
  </si>
  <si>
    <t>3.6</t>
  </si>
  <si>
    <t xml:space="preserve">Автоматизированная система управления энергоснабжением (АСУ Э) </t>
  </si>
  <si>
    <t>3.7</t>
  </si>
  <si>
    <t>Автоматизация электрического освещения (АЭО)</t>
  </si>
  <si>
    <t>3.8</t>
  </si>
  <si>
    <t>Система противопожарной безопасности и автоматики (СПБА)</t>
  </si>
  <si>
    <t>3.9</t>
  </si>
  <si>
    <t>Сети связи и сигнализации</t>
  </si>
  <si>
    <t>3.10</t>
  </si>
  <si>
    <t>Электроснабжение</t>
  </si>
  <si>
    <t>3.11</t>
  </si>
  <si>
    <t>Электрохимическая защита</t>
  </si>
  <si>
    <t>3.12</t>
  </si>
  <si>
    <t>Сети водоснабжения и канализации</t>
  </si>
  <si>
    <t>3.13</t>
  </si>
  <si>
    <t>Архитектурно-строительные решения</t>
  </si>
  <si>
    <t>3.14</t>
  </si>
  <si>
    <t>Линейная часть</t>
  </si>
  <si>
    <t>3.15</t>
  </si>
  <si>
    <t>Проект бурения скважин</t>
  </si>
  <si>
    <t>3.16</t>
  </si>
  <si>
    <t>Итого по сводной смете:</t>
  </si>
  <si>
    <t>Кроме того, НДС</t>
  </si>
  <si>
    <t>Всего по сводной смете:</t>
  </si>
  <si>
    <t>Смета №1.1.1</t>
  </si>
  <si>
    <t>№ пп</t>
  </si>
  <si>
    <t>Наименование работ и затрат</t>
  </si>
  <si>
    <t>Единица измерения</t>
  </si>
  <si>
    <t>Кол-во</t>
  </si>
  <si>
    <t>Обоснование стоимости</t>
  </si>
  <si>
    <t>Расчет стоимости, руб.</t>
  </si>
  <si>
    <t>Раздел 1. Полевые работы</t>
  </si>
  <si>
    <t>III. Работы по созданию опорной геодезической сети (ПИИ Таблица 4.1.1)</t>
  </si>
  <si>
    <t>1</t>
  </si>
  <si>
    <t>Создание пунктов плановой опорной геодезической сети без закладки центров методом спутниковых геодезических определений, 2-го разряда в условиях выполнения полевых работ: II категории</t>
  </si>
  <si>
    <t>1 пункт</t>
  </si>
  <si>
    <t>НЗ_ИГДИ-7-8</t>
  </si>
  <si>
    <t>35837*4
A**</t>
  </si>
  <si>
    <t>Кинф = 1.2700 (1) Письмо Минстроя России
N 45358-ИФ/09 от 22.07.2026г (2026г. III квартал)</t>
  </si>
  <si>
    <t>2</t>
  </si>
  <si>
    <t>(35837*4)*0.5
(A**)*К1</t>
  </si>
  <si>
    <t>К1 = 0.5 (ТЧ_п.44_т.7_прим._п.1) При выполнении полевых работ по созданию пунктов плановой опорной геодезической сети без закладки центров методом спутниковых геодезических определений, совмещённых с пунктами высотной опорной сети IV класса, созданных без закладки центров методом спутниковых геодезических определений, (К3)</t>
  </si>
  <si>
    <t>IV. Работы по топографической съёмке в масштабах 1:500 - 1:2000 (ПИИ Таблица 4.1.2)</t>
  </si>
  <si>
    <t>Незастроенная территория</t>
  </si>
  <si>
    <t>Застроенная территория (ПИИ Таблица 4.1.2)</t>
  </si>
  <si>
    <t>3</t>
  </si>
  <si>
    <t>Топографическая съемка тахеометрическим методом и сочетанием тахеометрического метода с методом спутниковых геодезических определений с высотой сечения рельефа через 0,5 метров, застроенной территории в масштабе 1:1000 в условиях выполнения полевых работ: IV категории</t>
  </si>
  <si>
    <t>1 гектар</t>
  </si>
  <si>
    <t>НЗ_ИГДИ-18-17</t>
  </si>
  <si>
    <t>57593*2
A**</t>
  </si>
  <si>
    <t>V. Работы по съёмке подземных инженерных коммуникаций и сооружений (ПИИ Таблица 4.1.2)</t>
  </si>
  <si>
    <t>4</t>
  </si>
  <si>
    <t>Полевые работы по поиску и съемке подземных инженерных коммуникаций при помощи трубокабелеискателя при количестве точек подземных инженерных коммуникаций на 1 гектар снимаемого участка: от 7 до 14 включительно</t>
  </si>
  <si>
    <t>НЗ_ИГДИ-46-2</t>
  </si>
  <si>
    <t>24772*2
A**</t>
  </si>
  <si>
    <t>VII. Работы по привязке инженерно-геологических выработок, геофизических и гидрогеологических точек наблюдения (ПИИ Таблица 4.1.3)</t>
  </si>
  <si>
    <t>Работы по перенесению в натуру проектного положения инженерно-геологических, геофизических, гидрогеологических точек наблюдения (ПИИ Таблица 4.1.3).</t>
  </si>
  <si>
    <t>5</t>
  </si>
  <si>
    <t>Привязка инженерно-геологических выработок, геофизических и гидрогеологических точек наблюдения при расстоянии между точками от 200 (двухсот) до 350 (трехсот пятидесяти) метров включительно, в условиях выполнения полевых работ: III категории</t>
  </si>
  <si>
    <t>1 точка</t>
  </si>
  <si>
    <t>НЗ_ИГДИ-55-12</t>
  </si>
  <si>
    <t>(13975*31)*0.5
(A**)*К1</t>
  </si>
  <si>
    <t>К1 = 0.5 (ТЧ_п.126_т.55_прим._п.1) При работах по перенесению в натуру инженерно-геологических выработок, геофизических, гидрогеологических точек наблюдений, (К8)</t>
  </si>
  <si>
    <t>Работы по привязке фактического положения инженерно-геологических, геофизических, гидрогеологических точек наблюдения после завершения работ (ПИИ Таблица 4.1.3).</t>
  </si>
  <si>
    <t>6</t>
  </si>
  <si>
    <t>13975*31
A**</t>
  </si>
  <si>
    <t>Итоги по разделу 1 Полевые работы:</t>
  </si>
  <si>
    <t xml:space="preserve">     Итого Поз. 1-6</t>
  </si>
  <si>
    <t>1 029 589.50</t>
  </si>
  <si>
    <t xml:space="preserve">     Всего c учетом "Письмо Минстроя России
N 45358-ИФ/09 от 22.07.2026г (2026г. III квартал) 1.2700"</t>
  </si>
  <si>
    <t>1 286 986.88</t>
  </si>
  <si>
    <t xml:space="preserve">     Итого по разделу 1 Полевые работы</t>
  </si>
  <si>
    <t>Раздел 2. Дополнительные затраты на производство полевых работ</t>
  </si>
  <si>
    <t>7</t>
  </si>
  <si>
    <t>Дополнительные затраты на неизбежные перерывы
- 25%</t>
  </si>
  <si>
    <t>руб.</t>
  </si>
  <si>
    <t>НЗ_ИГДИ п.25</t>
  </si>
  <si>
    <t>0.25*1029589.63
B**</t>
  </si>
  <si>
    <t>8</t>
  </si>
  <si>
    <t>Показатели дополнительных затрат на внешний транспорт (ПДЗвнеш) автомобильного транспорта, расстояние от места постоянной работы работников до участка проведения полевых работ
от 2000 до 4000 км включительно
при стоимости полевых работ
от 1000 до 3000 тыс. руб.</t>
  </si>
  <si>
    <t>НЗ_ИГДИ-3-4-4</t>
  </si>
  <si>
    <t>0.2343*1029589.63
B**</t>
  </si>
  <si>
    <t>9</t>
  </si>
  <si>
    <t>Показатели дополнительных затрат на организацию полевых работ (ПДЗорг), расстояние от места постоянной работы работников до участка проведения полевых работ от 1000 до 2000 км включительно: при стоимости полевых работ
свыше/до 3000 тыс. руб. - 7,7 %</t>
  </si>
  <si>
    <t>НЗ_ИГДИ-4-4-4</t>
  </si>
  <si>
    <t>0.3038*1029589.63
B**</t>
  </si>
  <si>
    <t>Итоги по разделу 2 Дополнительные затраты на производство полевых работ:</t>
  </si>
  <si>
    <t xml:space="preserve">     Итого Поз. 7-9</t>
  </si>
  <si>
    <t>811 419.59</t>
  </si>
  <si>
    <t>1 014 274.49</t>
  </si>
  <si>
    <t xml:space="preserve">     Итого по разделу 2 Дополнительные затраты на производство полевых работ</t>
  </si>
  <si>
    <t>Раздел 3. Камеральные работы</t>
  </si>
  <si>
    <t>10</t>
  </si>
  <si>
    <t>Камеральная обработка результатов измерений, выполненных при создании пунктов плановой опорной геодезической сети 4-го класса, 1-го и 2-го разрядов</t>
  </si>
  <si>
    <t>НЗ_ИГДИ-16-1</t>
  </si>
  <si>
    <t>1714*4
A**</t>
  </si>
  <si>
    <t>11</t>
  </si>
  <si>
    <t>Камеральная обработка результатов измерений, выполненных при создании нивелирных пунктов высотной опорной геодезической сети III и IV классов</t>
  </si>
  <si>
    <t>НЗ_ИГДИ-16-3</t>
  </si>
  <si>
    <t>1844*4
A**</t>
  </si>
  <si>
    <t>VI. Работы по созданию и обновлению инженерно-топографических планов в масштабах 1:500 - 1:5000 (ПИИ Таблица 4.1.2)</t>
  </si>
  <si>
    <t>12</t>
  </si>
  <si>
    <t>Камеральные работы по созданию инженерно-топографических планов в масштабе 1:1000 застроенной территории для условий выполнения полевых работ категории IV при площади участка: до 10 гектар включительно</t>
  </si>
  <si>
    <t>НЗ_ИГДИ-48-25</t>
  </si>
  <si>
    <t>2912+5181*2
A+B**</t>
  </si>
  <si>
    <t>Подземные коммуникации (ПИИ Таблица 4.1.2)</t>
  </si>
  <si>
    <t>13</t>
  </si>
  <si>
    <t>Камеральные работы по нанесению подземных инженерных коммуникаций с их техническими характеристиками на инженерно-топографический план в масштабе 1:1000 при количестве подземных инженерных коммуникаций по назначению на участке, подлежащем топографической съемке от 3 (трех) до 8 (восьми) включительно: до 10 гектар включительно</t>
  </si>
  <si>
    <t>НЗ_ИГДИ-52-7</t>
  </si>
  <si>
    <t>326+515*2.000001
A+B**</t>
  </si>
  <si>
    <t>VIII. Работы по трассированию сетей</t>
  </si>
  <si>
    <t>*I. Прочие работы по ИГДИ</t>
  </si>
  <si>
    <t>Итоги по разделу 3 Камеральные работы:</t>
  </si>
  <si>
    <t xml:space="preserve">     Итого Поз. 10-13</t>
  </si>
  <si>
    <t>28 862.00</t>
  </si>
  <si>
    <t>36 077.50</t>
  </si>
  <si>
    <t xml:space="preserve">     Итого по разделу 3 Камеральные работы</t>
  </si>
  <si>
    <t>Раздел 4. Дополнительные затраты на производство камеральных работ</t>
  </si>
  <si>
    <t>14</t>
  </si>
  <si>
    <t>Дополнительные затраты на районные выплаты
- 1.15</t>
  </si>
  <si>
    <t>НЗ_ИГДИ п.40</t>
  </si>
  <si>
    <t>0.1095*28862.05
A**</t>
  </si>
  <si>
    <t>Итоги по разделу 4 Дополнительные затраты на производство камеральных работ:</t>
  </si>
  <si>
    <t xml:space="preserve">     Итого Поз. 14</t>
  </si>
  <si>
    <t>3 160.39</t>
  </si>
  <si>
    <t>3 950.49</t>
  </si>
  <si>
    <t xml:space="preserve">     Итого по разделу 4 Дополнительные затраты на производство камеральных работ</t>
  </si>
  <si>
    <t>Раздел 5. Составление программы инженерно-геодезических изысканий и технического отчёта по результам ИГДИ (ПИИ Таблица 4.1.5;  ПИИ Таблица 4.1.6)</t>
  </si>
  <si>
    <t>15</t>
  </si>
  <si>
    <t>Камеральные работы по составлению программы инженерно-геодезических изысканий при общей стоимости полевых и камеральных работ, определенной по показателям затрат, приведенным в НЗ: 10000 тысяч рублей</t>
  </si>
  <si>
    <t>1 программа</t>
  </si>
  <si>
    <t>НЗ_ИГДИ-80-6</t>
  </si>
  <si>
    <t>36839+(127949-36839)/(5000000-1000000)*(1058451.68-1000000)
A1+(A2-A1)/(*2-*1)*(*-*1)</t>
  </si>
  <si>
    <t>16</t>
  </si>
  <si>
    <t>Камеральные работы по составлению технического отчета по результатам выполнения работ по ИГДИ при общей стоимости полевых и камеральных работ, определенной по показателям затрат, приведенным в НЗ: 10000 тысяч рублей</t>
  </si>
  <si>
    <t>1 отчет</t>
  </si>
  <si>
    <t>НЗ_ИГДИ-81-6</t>
  </si>
  <si>
    <t>76000+(204000-76000)/(5000000-1000000)*(1058451.68-1000000)
A1+(A2-A1)/(*2-*1)*(*-*1)</t>
  </si>
  <si>
    <t>Итоги по разделу 5 Составление программы инженерно-геодезических изысканий и технического отчёта по результам ИГДИ (ПИИ Таблица 4.1.5;  ПИИ Таблица 4.1.6):</t>
  </si>
  <si>
    <t xml:space="preserve">     Итого Поз. 15-16</t>
  </si>
  <si>
    <t>116 040.83</t>
  </si>
  <si>
    <t>145 051.04</t>
  </si>
  <si>
    <t xml:space="preserve">     Итого по разделу 5 Составление программы инженерно-геодезических изысканий и технического отчёта по результам ИГДИ (ПИИ Таблица 4.1.5;  ПИИ Таблица 4.1.6)</t>
  </si>
  <si>
    <t>Итоги по смете:</t>
  </si>
  <si>
    <t xml:space="preserve">          Итого Поз. 1-6</t>
  </si>
  <si>
    <t xml:space="preserve">          Всего c учетом "Письмо Минстроя России
N 45358-ИФ/09 от 22.07.2026г (2026г. III квартал) 1.2700"</t>
  </si>
  <si>
    <t xml:space="preserve">          Итого по разделу 1 Полевые работы</t>
  </si>
  <si>
    <t xml:space="preserve">          Итого Поз. 7-9</t>
  </si>
  <si>
    <t xml:space="preserve">          Итого по разделу 2 Дополнительные затраты на производство полевых работ</t>
  </si>
  <si>
    <t xml:space="preserve">          Итого Поз. 10-13</t>
  </si>
  <si>
    <t xml:space="preserve">          Итого по разделу 3 Камеральные работы</t>
  </si>
  <si>
    <t xml:space="preserve">          Итого Поз. 14</t>
  </si>
  <si>
    <t xml:space="preserve">          Итого по разделу 4 Дополнительные затраты на производство камеральных работ</t>
  </si>
  <si>
    <t xml:space="preserve">          Итого Поз. 15-16</t>
  </si>
  <si>
    <t xml:space="preserve">          Итого по разделу 5 Составление программы инженерно-геодезических изысканий и технического отчёта по результам ИГДИ (ПИИ Таблица 4.1.5;  ПИИ Таблица 4.1.6)</t>
  </si>
  <si>
    <t xml:space="preserve">     Итого</t>
  </si>
  <si>
    <t>Смета №1.1.2</t>
  </si>
  <si>
    <t>Инженерно - геодезические изыскания</t>
  </si>
  <si>
    <t>Ед. изм.</t>
  </si>
  <si>
    <t>Кол-
во</t>
  </si>
  <si>
    <t>Расчет стоимости</t>
  </si>
  <si>
    <t>Стоимость,
руб</t>
  </si>
  <si>
    <t>Сметный расчет составлен по Справочнику базовых цен на инженерные изыскания для строительства.
Инженерно-геодезические изыскания. ПНИИИС, 2004 г.</t>
  </si>
  <si>
    <t>Картографическое вычерчивание топографических планов и карт.
Создание ситуационного плана.</t>
  </si>
  <si>
    <t xml:space="preserve">Ч. II, гл.8, табл.65.
</t>
  </si>
  <si>
    <t>1,2к - применение комп. технологий - ОУ, п.15, д).</t>
  </si>
  <si>
    <t>Категория К-II, Р-II
Категория II</t>
  </si>
  <si>
    <t>1:5000
0,5м</t>
  </si>
  <si>
    <t>камеральные работы:</t>
  </si>
  <si>
    <t>Ч. II, гл.8, табл.65, § 10</t>
  </si>
  <si>
    <t>1 дм2</t>
  </si>
  <si>
    <t>40.0*110*1.2</t>
  </si>
  <si>
    <t>1:10000
0,5м</t>
  </si>
  <si>
    <t>Ч. II, гл.8, табл.65, § 14</t>
  </si>
  <si>
    <t>10.0*154*1.2</t>
  </si>
  <si>
    <t>Итого камеральных работ</t>
  </si>
  <si>
    <t xml:space="preserve"> </t>
  </si>
  <si>
    <t>1*7 128.00</t>
  </si>
  <si>
    <t>Итого с районным
коэффициентом</t>
  </si>
  <si>
    <t>1,08к - районный коэффициент 1,15 - ОУ, п.8, д), табл.3, §2</t>
  </si>
  <si>
    <t>7 128.00*1.08</t>
  </si>
  <si>
    <t>итого:</t>
  </si>
  <si>
    <t>Итого с учетом индекса изменения стоимости к уровню базовых цен по состоянию на 1 января 2001 года</t>
  </si>
  <si>
    <t>Письмо Минстроя России
N 45358-ИФ/09 от 22.07.2026г (2026г. III квартал)</t>
  </si>
  <si>
    <t>7 698.24*7.07</t>
  </si>
  <si>
    <t>Итого</t>
  </si>
  <si>
    <t>Итого
с коэффициентом оптимизации ПАО Газпром</t>
  </si>
  <si>
    <t>Всего по смете</t>
  </si>
  <si>
    <t>Форма 2п</t>
  </si>
  <si>
    <t xml:space="preserve">СМЕТА №1.1.3  </t>
  </si>
  <si>
    <t>Реконструкция ГПС - Объёмы к изм ТЗ (ИГДИ.2)</t>
  </si>
  <si>
    <t>III. Работы по созданию опорной геодезической сети</t>
  </si>
  <si>
    <t>Этап 16; 4212.012.Р.16/0.0004.Г3.001.40203.000-ГСН; Межпоселковый газопровод высокого давления II категории от ПППГ до коллектора КС3-ГРП5; ПОГС - 1шт;
4212.012.Р.3/0.0004.КЛС.02А.41403.001-КЛС; Трассы кабельных линий связи; ГРП-2А Операторная - КС-3 СЭБ (поз. 225); ПОГС - 2шт;
Этап 3; 4212.00.Р.04.МПВ.2.000.НВ.000; Водовод межплощадочный КС3-ГРП2А подземной прокладки; ПОГС – 1шт;
Этап 16; 4212.00.Р.04.КК.10.000.НК.000; Коллектор межплощадочный канализационный ПППГ-КОС; ПОГС – 1шт;
Этап 16; 4212.00.Р.04.МПВ.9.000.НВ.000; Водовод межплощадочный ПППГ-КОС; ПОГС – 1шт;
Этап 27; 4212.00.Р.04.МПВ.8.000.НВ.000; Водовод межплощадочный КОС-КС5; ПОГС – 1шт;
Этап 27; 4212.СРТ.00.Р.04.МПВ.5.1.НВ.000; Водовод межплощадочный к точке подключения ГРП.5; ПОГС – 2шт;
Этап 27; 4212.00.Р.04.МПВ.5.000.НВ.000; Водовод межплощадочный от КС5 до РЛВЖ; ПОГС – 1шт;
4212.012.Р.3/0.0004.ВЭЛ.000.41501.000-ЭВ - ВЛЗ 6 кВ (в габаритах 35 кВ) от ПС 110/35/6 кВ «Степная-газовая» до КСПХГ №5; ПОГС – 3шт;
4212.012.Р.3/0.0004.ВЭЛ.000.41501.000-ЭВ1 - ВЛЗ 6 кВ к ГРП 2А 253м; ПОГС – 1шт;
4212.012.Р.3/0.0004.ВЭЛ.000.41501.000-ЭВ2 - ВЛЗ 6 кВ к ГРП 1А 920м ПОГС – 1шт.</t>
  </si>
  <si>
    <t>(35837*15)*1.27
(A**)*К1</t>
  </si>
  <si>
    <t>К1 = 1.27 Письмо Минстроя России
N 45358-ИФ/09 от 22.07.2026г (2026г. III квартал)</t>
  </si>
  <si>
    <t>(35837*15)*0.5*1.27
(A**)*К1*К2</t>
  </si>
  <si>
    <t>К2 = 1.27 Письмо Минстроя России
N 45358-ИФ/09 от 22.07.2026г (2026г. III квартал)</t>
  </si>
  <si>
    <t>IV. Работы по топографической съёмке в масштабах 1:500 - 1:2000</t>
  </si>
  <si>
    <t>Застроенная территория</t>
  </si>
  <si>
    <t>Этап 16; 4212.012.Р.16/0.0004.Г3.001.40203.000-ГСН; Межпоселковый газопровод высокого давления II категории от ПППГ до коллектора КС3-ГРП5; P=154,55м*6м=0.08га;
4212.012.Р.3/0.0004.КЛС.02А.41403.001-КЛС; Трассы кабельных линий связи; ГРП-2А Операторная - КС-3 СЭБ (поз. 225); P=4500м*6м=2.7га;
Этап 3; 4212.00.Р.04.МПВ.2.000.НВ.000; Водовод межплощадочный КС3-ГРП2А подземной прокладки; P=1900м*6м=1.14а;
Этап 16; 4212.00.Р.04.КК.10.000.НК.000; Коллектор межплощадочный канализационный ПППГ-КОС; P=214м*6м=0.13га;
Этап 16; 4212.00.Р.04.МПВ.9.000.НВ.000; Водовод межплощадочный ПППГ-КОС; P=257м*6м=0.15га;
Этап 27; 4212.00.Р.04.МПВ.8.000.НВ.000; Водовод межплощадочный КОС-КС5; P=665м*6м=0.40га;
Этап 27; 4212.СРТ.00.Р.04.МПВ.5.1.НВ.000; Водовод межплощадочный к точке подключения ГРП.5; P=1370м*6м=0.82га;
Этап 27; 4212.00.Р.04.МПВ.5.000.НВ.000; Водовод межплощадочный от КС5 до РЛВЖ; P=210м*6м=0.13га;
4212.012.Р.3/0.0004.ВЭЛ.000.41501.000-ЭВ - ВЛЗ 6 кВ (в габаритах 35 кВ) от ПС 110/35/6 кВ «Степная-газовая» до КСПХГ №5; P=3927м*6м=2.36га;
4212.012.Р.3/0.0004.ВЭЛ.000.41501.000-ЭВ1 - ВЛЗ 6 кВ к ГРП 2А; P=253м*6м=0.15га;
4212.012.Р.3/0.0004.ВЭЛ.000.41501.000-ЭВ2 - ВЛЗ 6 кВ к ГРП 1А; P=920м*6м=0.55га</t>
  </si>
  <si>
    <t>Топографическая съемка тахеометрическим методом и сочетанием тахеометрического метода с методом спутниковых геодезических определений с высотой сечения рельефа через 0,5 метров, застроенной территории в масштабе 1:500 в условиях выполнения полевых работ: II категории</t>
  </si>
  <si>
    <t>НЗ_ИГДИ-18-11</t>
  </si>
  <si>
    <t>(38848*8.62233)*1.27*0.5
(A**)*К2*К3</t>
  </si>
  <si>
    <t>К3 = 0.5 Обновление ИИ</t>
  </si>
  <si>
    <t>V. Работы по съёмке подземных инженерных коммуникаций и сооружений</t>
  </si>
  <si>
    <t>(24772*8.622335)*1.27*0.5
(A**)*К1*К2</t>
  </si>
  <si>
    <t>К2 = 0.5 Обновление ИИ</t>
  </si>
  <si>
    <t>VII. Работы по привязке инженерно-геологических выработок, геофизических и гидрогеологических точек наблюдения</t>
  </si>
  <si>
    <t>Работы по перенесению в натуру проектного положения инженерно-геологических, геофизических, гидрогеологических точек наблюдения.</t>
  </si>
  <si>
    <t>Работы по привязке фактического положения инженерно-геологических, геофизических, гидрогеологических точек наблюдения после завершения работ.</t>
  </si>
  <si>
    <t xml:space="preserve">     Итого Поз. 1-4</t>
  </si>
  <si>
    <t>1 350 761.10</t>
  </si>
  <si>
    <t>Показатели дополнительных затрат на внешний транспорт (ПДЗвнеш) автомобильного транспорта, расстояние от места постоянной работы работников до участка проведения полевых работ
от 1000 до 2000 км включительно
при стоимости полевых работ
свыше/до 3000 тыс. руб. - 8,2 %</t>
  </si>
  <si>
    <t>(0.1175*1350761.24)*1.27
(B**)*Кинф</t>
  </si>
  <si>
    <t>(0.2345*1350761.24)*1.27
(B**)*Кинф</t>
  </si>
  <si>
    <t>Дополнительные затраты на районные выплаты
- 1.75</t>
  </si>
  <si>
    <t>НЗ_ИГДИ п.33</t>
  </si>
  <si>
    <t>(0*1746703.13)*1.27
(A**)*Кинф</t>
  </si>
  <si>
    <t xml:space="preserve">     Итого Поз. 5-7</t>
  </si>
  <si>
    <t>594 334.95</t>
  </si>
  <si>
    <t>(1714*15)*1.27
(A**)*Кинф</t>
  </si>
  <si>
    <t>(1844*15)*1.27
(A**)*Кинф</t>
  </si>
  <si>
    <t>VI. Работы по созданию и обновлению инженерно-топографических планов в масштабах 1:500 - 1:5000</t>
  </si>
  <si>
    <t>Камеральные работы по созданию инженерно-топографических планов в масштабе 1:500 застроенной территории для условий выполнения полевых работ категории II при площади участка: от 10 до 50 гектар включительно</t>
  </si>
  <si>
    <t>НЗ_ИГДИ-47-18</t>
  </si>
  <si>
    <t>(2556+4071*8.62233)*1.27
(A+B**)*Кинф</t>
  </si>
  <si>
    <t>Подземные коммуникации</t>
  </si>
  <si>
    <t>Камеральные работы по нанесению подземных инженерных коммуникаций с их техническими характеристиками на инженерно-топографический план в масштабе 1:500 при количестве подземных инженерных коммуникаций по назначению на участке, подлежащем топографической съемке от 3 (трех) до 8 (восьми) включительно: от 10 до 50 гектар включительно</t>
  </si>
  <si>
    <t>НЗ_ИГДИ-51-8</t>
  </si>
  <si>
    <t>(643+1018*8.622331)*1.27
(A+B**)*Кинф</t>
  </si>
  <si>
    <t>Камеральные работы по согласованию нанесения на инженерно-топографический план подземных инженерных коммуникаций и их технических характеристик с собственниками (эксплуатирующими организациями): известными</t>
  </si>
  <si>
    <t>1 собственник (эксплуатирующая организация)</t>
  </si>
  <si>
    <t>НЗ_ИГДИ-82-1</t>
  </si>
  <si>
    <t>(21451*20)*1.27
(A**)*Кинф</t>
  </si>
  <si>
    <t>Камеральные работы по согласованию нанесения на инженерно-топографический план подземных инженерных коммуникаций и их технических характеристик с собственниками (эксплуатирующими организациями): неизвестными</t>
  </si>
  <si>
    <t>НЗ_ИГДИ-82-2</t>
  </si>
  <si>
    <t>(29854*20)*1.27
(A**)*Кинф</t>
  </si>
  <si>
    <t xml:space="preserve">     Итого Поз. 8-13</t>
  </si>
  <si>
    <t>1 408 185.05</t>
  </si>
  <si>
    <t>(0.1095*1408185.05)*1.27
(A**)*Кинф</t>
  </si>
  <si>
    <t>192 745.33</t>
  </si>
  <si>
    <t>Раздел 5. Составление программы инженерно-геодезических изысканий и технического отчёта по результам ИГДИ</t>
  </si>
  <si>
    <t>(36839+(127949-36839)/(5000000-1000000)*(2758946.29-1000000))*1.27
(A1+(A2-A1)/(*2-*1)*(*-*1))*Кинф</t>
  </si>
  <si>
    <t>(76000+(204000-76000)/(5000000-1000000)*(2758946.29-1000000))*1.27
(A1+(A2-A1)/(*2-*1)*(*-*1))*Кинф</t>
  </si>
  <si>
    <t>Итоги по разделу 5 Составление программы инженерно-геодезических изысканий и технического отчёта по результам ИГДИ:</t>
  </si>
  <si>
    <t>261 487,220</t>
  </si>
  <si>
    <t xml:space="preserve">     Итого по разделу 5 Составление программы инженерно-геодезических изысканий и технического отчёта по результам ИГДИ</t>
  </si>
  <si>
    <t xml:space="preserve">          Итого Поз. 1-4</t>
  </si>
  <si>
    <t xml:space="preserve">          Итого Поз. 5-7</t>
  </si>
  <si>
    <t xml:space="preserve">          Итого Поз. 8-13</t>
  </si>
  <si>
    <t xml:space="preserve">          Итого по разделу 5 Составление программы инженерно-геодезических изысканий и технического отчёта по результам ИГДИ</t>
  </si>
  <si>
    <t xml:space="preserve">     ВСЕГО по смете</t>
  </si>
  <si>
    <t>СМЕТА №   1.1.4 2026-07-29 Реконструкция ГПС - Убежище + ГС ГРП-2А</t>
  </si>
  <si>
    <t>(35837*10)*1.27
(A**)*К1</t>
  </si>
  <si>
    <t>(35837*10)*0.5*1.27
(A**)*К1*К2</t>
  </si>
  <si>
    <t>Топографическая съемка тахеометрическим методом и сочетанием тахеометрического метода с методом спутниковых геодезических определений с высотой сечения рельефа через 0,5 метров, застроенной территории в масштабе 1:1000 в условиях выполнения полевых работ: II категории</t>
  </si>
  <si>
    <t>НЗ_ИГДИ-18-15</t>
  </si>
  <si>
    <t>(25899*52)*1.27
(A**)*К2</t>
  </si>
  <si>
    <t>(24772*52)*1.27
(A**)*К1</t>
  </si>
  <si>
    <t>3 965 558.75</t>
  </si>
  <si>
    <t>(0.25*3965558.86)*1.27
(B**)*Кинф</t>
  </si>
  <si>
    <t>(0.119*3965558.86)*1.27
(B**)*Кинф</t>
  </si>
  <si>
    <t>(0.088*3965558.86)*1.27
(B**)*Кинф</t>
  </si>
  <si>
    <t>2 265 325.49</t>
  </si>
  <si>
    <t>(1714*10)*1.27
(A**)*Кинф</t>
  </si>
  <si>
    <t>(1844*10)*1.27
(A**)*Кинф</t>
  </si>
  <si>
    <t>Камеральные работы по созданию инженерно-топографических планов в масштабе 1:1000 застроенной территории для условий выполнения полевых работ категории II при площади участка: от 10 до 50 гектар включительно</t>
  </si>
  <si>
    <t>НЗ_ИГДИ-48-18</t>
  </si>
  <si>
    <t>(15559+1017*52)*1.27
(A+B**)*Кинф</t>
  </si>
  <si>
    <t>Камеральные работы по нанесению подземных инженерных коммуникаций с их техническими характеристиками на инженерно-топографический план в масштабе 1:1000 при количестве подземных инженерных коммуникаций по назначению на участке, подлежащем топографической съемке от 3 (трех) до 8 (восьми) включительно: от 10 до 50 гектар включительно</t>
  </si>
  <si>
    <t>НЗ_ИГДИ-52-8</t>
  </si>
  <si>
    <t>(4904+308*52)*1.27
(A+B**)*Кинф</t>
  </si>
  <si>
    <t>Камеральные работы при подготовке ситуационного плана прохождения проектируемой трассы (ее вариантов) при условиях выполнения полевых работ: III категории</t>
  </si>
  <si>
    <t>1 км</t>
  </si>
  <si>
    <t>НЗ_ИГДИ-64-3</t>
  </si>
  <si>
    <t>(310*33.9)*1.27
(A**)*Кинф</t>
  </si>
  <si>
    <t>Камеральные работы при подготовке продольного профиля местности, по которому проходит проектируемая трасса в масштабах (горизонтальном 1:5000, вертикальном 1:500), при условиях производства полевых работ: II категории</t>
  </si>
  <si>
    <t>НЗ_ИГДИ-64-5</t>
  </si>
  <si>
    <t>(1289*33.9)*1.27*1.27
(A**)*К1*Кинф</t>
  </si>
  <si>
    <t>К1 = 1.27 (ТЧ_п.138_т.64_прим._п.2) При работах по подготовке продольного профиля местности, по которому проходит проектируемая трасса в масштабах горизонтальном 1:2000, вертикальном 1:200, (К10)</t>
  </si>
  <si>
    <t>Подготовка схемы установки реперов и закрепления оси трассы закрепительными и выносными знаками</t>
  </si>
  <si>
    <t>НЗ_ИГДИ-64-7</t>
  </si>
  <si>
    <t>(212*33.9)*1.27
(A**)*Кинф</t>
  </si>
  <si>
    <t>Подготовка ведомостей углов поворота, прямых и кривых (прямых и углов)</t>
  </si>
  <si>
    <t>1 угол</t>
  </si>
  <si>
    <t>НЗ_ИГДИ-64-8</t>
  </si>
  <si>
    <t>(49*169.5)*1.27
(A**)*Кинф</t>
  </si>
  <si>
    <t>Подготовка ведомостей координат закрепительных знаков и реперов</t>
  </si>
  <si>
    <t>1 закрепительный знак</t>
  </si>
  <si>
    <t>НЗ_ИГДИ-64-9</t>
  </si>
  <si>
    <t>(49*678)*1.27
(A**)*Кинф</t>
  </si>
  <si>
    <t>17</t>
  </si>
  <si>
    <t>Подготовка ведомости пересекаемых угодий и лесов, водотоков, автомобильных и железных дорог, надземных и подземных сооружений, заболоченных и косогорных участков</t>
  </si>
  <si>
    <t>1 пересечение</t>
  </si>
  <si>
    <t>НЗ_ИГДИ-64-10</t>
  </si>
  <si>
    <t>(54*135.6)*1.27
(A**)*Кинф</t>
  </si>
  <si>
    <t xml:space="preserve">     Итого Поз. 8-17</t>
  </si>
  <si>
    <t>307 637.60</t>
  </si>
  <si>
    <t>18</t>
  </si>
  <si>
    <t>(0.1095*307637.67)*1.27
(A**)*Кинф</t>
  </si>
  <si>
    <t xml:space="preserve">     Итого Поз. 18</t>
  </si>
  <si>
    <t>42 107.91</t>
  </si>
  <si>
    <t>19</t>
  </si>
  <si>
    <t>Камеральные работы по составлению программы инженерно-геодезических изысканий при общей стоимости полевых и камеральных работ, определенной по показателям затрат, приведенным в НЗ:1000 тысяч рублей</t>
  </si>
  <si>
    <t>НЗ_ИГДИ-80-4</t>
  </si>
  <si>
    <t>(36839+(127949-36839)/(5000000-1000000)*(4273196.53-1000000))*1.27
(A1+(A2-A1)/(*2-*1)*(*-*1))*Кинф</t>
  </si>
  <si>
    <t>20</t>
  </si>
  <si>
    <t>Камеральные работы по составлению технического отчета по результатам выполнения работ по ИГДИ при общей стоимости полевых и камеральных работ, определенной по показателям затрат, приведенным в НЗ:1000 тысяч рублей</t>
  </si>
  <si>
    <t>НЗ_ИГДИ-81-4</t>
  </si>
  <si>
    <t>(76000+(204000-76000)/(5000000-1000000)*(4273196.53-1000000))*1.27
(A1+(A2-A1)/(*2-*1)*(*-*1))*Кинф</t>
  </si>
  <si>
    <t xml:space="preserve">     Итого Поз. 19-20</t>
  </si>
  <si>
    <t>365 170.65</t>
  </si>
  <si>
    <t xml:space="preserve">          Итого Поз. 8-17</t>
  </si>
  <si>
    <t xml:space="preserve">          Итого Поз. 18</t>
  </si>
  <si>
    <t xml:space="preserve">          Итого Поз. 19-20</t>
  </si>
  <si>
    <t>Смета №1.2.1</t>
  </si>
  <si>
    <t>на работы по инженерным изысканиям</t>
  </si>
  <si>
    <t>инженерно-геологические</t>
  </si>
  <si>
    <t>(наименование вида инженерных изысканий)</t>
  </si>
  <si>
    <t>Реконструкция газопромысловых сооружений Степновской СПХГ</t>
  </si>
  <si>
    <t>(наименование объекта капитального строительства)</t>
  </si>
  <si>
    <t>№</t>
  </si>
  <si>
    <t>Наименование работ или затрат</t>
  </si>
  <si>
    <t>Обоснование</t>
  </si>
  <si>
    <t>Сметная стоимость в уровне цен, сложившемся на день составления сметной документации, рублей</t>
  </si>
  <si>
    <t>объем</t>
  </si>
  <si>
    <t>I. Полевые работы</t>
  </si>
  <si>
    <t>Рекогносцировочное обследование II
категории сложности</t>
  </si>
  <si>
    <t>Нормативные затраты на работы по инженерно-геологическим изысканиям
Табл.12, п.7</t>
  </si>
  <si>
    <t>Проходка инженерно-геологических скважин колонковым способом бурения:</t>
  </si>
  <si>
    <t>Нормативные затраты на работы по инженерно-геологическим изысканиям</t>
  </si>
  <si>
    <t>диаметром до 160 (ста шестидесяти) миллиметров включительно при глубине скважины до 15 (пятнадцати) метров включительно в грунтах категории:</t>
  </si>
  <si>
    <t>I</t>
  </si>
  <si>
    <t>Табл.14, п.1; Табл.2, п.1</t>
  </si>
  <si>
    <t>II</t>
  </si>
  <si>
    <t>Табл.14, п.2; Табл.2, п.1</t>
  </si>
  <si>
    <t>III</t>
  </si>
  <si>
    <t>Табл.14, п.3; Табл.2, п.1</t>
  </si>
  <si>
    <t>IV</t>
  </si>
  <si>
    <t>Табл.14, п.4; Табл.2, п.1</t>
  </si>
  <si>
    <t>Крепление инженерно-геологических скважин обсадными трубами</t>
  </si>
  <si>
    <t>Нормативные затраты на работы по инженерно-геологическим изысканиям
Табл.25, п.1</t>
  </si>
  <si>
    <t>Проведение гидрогеологических исследований первого от поверхности земли подземного водоносного горизонта в инженерно-геологических скважинах</t>
  </si>
  <si>
    <t>Нормативные затраты на работы по инженерно-геологическим изысканиям
Табл.26, п.1</t>
  </si>
  <si>
    <t>Проходка шурфов при глубине шурфа, метров:</t>
  </si>
  <si>
    <t xml:space="preserve">Нормативные затраты на работы по инженерно-геологическим изысканиям
</t>
  </si>
  <si>
    <t>от 2,5 до 5 включительно в грунтах категории:</t>
  </si>
  <si>
    <t>Табл.30, п.7</t>
  </si>
  <si>
    <t>Табл.30, п.8</t>
  </si>
  <si>
    <t>Предварительная проходка методом разбуривания асфальта, бетона, древесины, крупнообломочных грунтов, техногенных грунтов с поверхности земли для последующего проведения полевых испытаний грунтов методом статического зондирования</t>
  </si>
  <si>
    <t>Нормативные затраты на работы по инженерно-геологическим изысканиям
Табл.43, п.1; Табл.2, п.5</t>
  </si>
  <si>
    <t>Полевые испытания грунтов методом статического зондирования непрерывным вдавливанием на глубину, метров:</t>
  </si>
  <si>
    <t>от 10 до 15 включительно</t>
  </si>
  <si>
    <t>Табл.43, п.3; Табл.2, п.5</t>
  </si>
  <si>
    <t>Дополнительные затраты на производство полевых работ в неблагоприятный период года</t>
  </si>
  <si>
    <t>Нормативные затраты на работы по инженерно-геологическим изысканиям
Табл.3, п.3</t>
  </si>
  <si>
    <t>Дополнительных затрат на неизбежные перерывы</t>
  </si>
  <si>
    <t>Нормативные затраты на работы по инженерно-геологическим изысканиям
п.27</t>
  </si>
  <si>
    <t>Дополнительные затраты на проезд</t>
  </si>
  <si>
    <t>Нормативные затраты на работы по инженерно-геологическим изысканиям
Табл.5, п.5</t>
  </si>
  <si>
    <t>Дополнительные затраты на организацию полевых работ</t>
  </si>
  <si>
    <t>Нормативные затраты на работы по инженерно-геологическим изысканиям
Табл.8, п.5.</t>
  </si>
  <si>
    <t>Дополнительные затраты на районные выплаты</t>
  </si>
  <si>
    <t>Нормативные затраты на работы по инженерно-геологическим изысканиям
п.40</t>
  </si>
  <si>
    <t>Итого по разделу I</t>
  </si>
  <si>
    <t>II. Лабораторные работы</t>
  </si>
  <si>
    <t>Определение влажности грунта методом высушивания до постоянной массы</t>
  </si>
  <si>
    <t>Нормативные затраты на работы по инженерно-геологическим изысканиям
Табл.56, п.1-3; Табл.57, п.1</t>
  </si>
  <si>
    <t>Определение плотности частиц грунта пикнометрическим методом</t>
  </si>
  <si>
    <t>Нормативные затраты на работы по инженерно-геологическим изысканиям
Табл.56, п.1-3; Табл.57, п.4</t>
  </si>
  <si>
    <t>Определение содержания органических веществ в грунте методом прокаливания до постоянной массы</t>
  </si>
  <si>
    <t>Нормативные затраты на работы по инженерно-геологическим изысканиям
Табл.56, п.1-3; Табл.57, п.8</t>
  </si>
  <si>
    <t>Определение гранулометрического (зернового) состава грунта ситовым методом с промывкой водой с разделением грунта по фракциям размерами: свыше 0,5 миллиметра, от 0,25 до 0,5 миллиметра, от 0,1 до 0,25 миллиметра и до 0,1 миллиметра</t>
  </si>
  <si>
    <t>Нормативные затраты на работы по инженерно-геологическим изысканиям
Табл.56, п.1-3; Табл.57, п.10</t>
  </si>
  <si>
    <t>Определение гранулометрического (микроагрегатного) состава грунта ареометрическим методом с разделением грунта на фракции размерами: от 0,05 до 0,1 миллиметра, от 0,01 до 0,05 миллиметра, от 0,005 до 0,01 миллиметра, от 0,001 до 0,002 миллиметра и до 0,001 миллиметра</t>
  </si>
  <si>
    <t>Нормативные затраты на работы по инженерно-геологическим изысканиям
Табл.56, п.1-3; Табл.57, п.14</t>
  </si>
  <si>
    <t>Определение относительной деформации морозного пучения</t>
  </si>
  <si>
    <t>Нормативные затраты на работы по инженерно-геологическим изысканиям
Табл.56, п.1-3; Табл.57, п.16</t>
  </si>
  <si>
    <t>Определение плотности глинистого грунта методом режущего кольца</t>
  </si>
  <si>
    <t>Нормативные затраты на работы по инженерно-геологическим изысканиям
Табл.56, п.1-3; Табл.57, п.17</t>
  </si>
  <si>
    <t>Определение верхнего предела пластичности глинистого грунта - влажности грунта на границе текучести и нижнего предела пластичности глинистого грунта - влажности грунта на границе раскатывания при проведении испытания с использованием образца грунта природной влажности</t>
  </si>
  <si>
    <t>Нормативные затраты на работы по инженерно-геологическим изысканиям
Табл.56, п.1-3; Табл.57, п.18</t>
  </si>
  <si>
    <t>Определение характеристик набухания глинистого грунта методом свободного набухания</t>
  </si>
  <si>
    <t>Нормативные затраты на работы по инженерно-геологическим изысканиям
Табл.56, п.1-3; Табл.57, п.20</t>
  </si>
  <si>
    <t>Определение характеристик свободной усадки глинистого грунта</t>
  </si>
  <si>
    <t>Нормативные затраты на работы по инженерно-геологическим изысканиям
Табл.56, п.1-3; Табл.57, п.21</t>
  </si>
  <si>
    <t>Определение максимальной плотности сухого глинистого грунта и соответствующей ей влажности с увеличением влажности грунта на 1 (один) - 2 (два) процента не менее шести раз</t>
  </si>
  <si>
    <t>Нормативные затраты на работы по инженерно-геологическим изысканиям
Табл.56, п.1-3; Табл.57, п.24</t>
  </si>
  <si>
    <t>Определение коэффициента фильтрации песчаных грунтов при постоянном градиенте напора (стационарный режим фильтрации) с содержанием частиц диаметром менее 0,1 миллиметра до 5 (пяти) процентов включительно</t>
  </si>
  <si>
    <t>Нормативные затраты на работы по инженерно-геологическим изысканиям
Табл.56, п.1-3; Табл.57, п.28</t>
  </si>
  <si>
    <t>Определение характеристик деформируемости песчаного грунта методом компрессионного сжатия при нагружении одного образца грунта не менее чем пятью ступенями статической нагрузки</t>
  </si>
  <si>
    <t>Нормативные затраты на работы по инженерно-геологическим изысканиям
Табл.56, п.1-3; Табл.58, п.1</t>
  </si>
  <si>
    <t>Определение характеристик деформируемости глинистого грунта с показателем текучести менее 0,25 для образцов ненарушенного сложения методом компрессионного сжатия с предварительным водонасыщением образца грунта (при необходимости) и при нагружении одного образца грунта не менее чем пятью ступенями статической нагрузки</t>
  </si>
  <si>
    <t>Нормативные затраты на работы по инженерно-геологическим изысканиям
Табл.56, п.1-3; Табл.58, п.2</t>
  </si>
  <si>
    <t>Определение характеристик просадочности грунта при замачивании водой в компрессионных приборах по схеме "двух кривых" для определения относительной просадочности грунта при различных давлениях начального просадочного давления</t>
  </si>
  <si>
    <t>Нормативные затраты на работы по инженерно-геологическим изысканиям
Табл.56, п.1-3; Табл.58, п.8</t>
  </si>
  <si>
    <t>Определение характеристик набухания и усадки грунта под нагрузкой</t>
  </si>
  <si>
    <t>Нормативные затраты на работы по инженерно-геологическим изысканиям
Табл.56, п.1-3; Табл.58, п.12</t>
  </si>
  <si>
    <t>Определение характеристик прочности песчаного грунта консолидированно-дренированными испытаниями методом одноплоскостного среза при проведении не менее трех испытаний идентичных образцов при различных значениях нормального напряжения</t>
  </si>
  <si>
    <t>Нормативные затраты на работы по инженерно-геологическим изысканиям
Табл.56, п.1-3; Табл.59, п.1</t>
  </si>
  <si>
    <t>Определение характеристик прочности глины с числом пластичности от 17 (семнадцати) до 30 (тридцати) процентов включительно консолидированно-дренированными испытаниями методом одноплоскостного среза при проведении не менее трех испытаний идентичных образцов при различных значениях нормального напряжения</t>
  </si>
  <si>
    <t>Нормативные затраты на работы по инженерно-геологическим изысканиям
Табл.56, п.1-3; Табл.59, п.5</t>
  </si>
  <si>
    <t>Определение характеристик деформируемости методом трехосного сжатия песчаного грунта
Консолидированно-дренированным испытанием (КД)</t>
  </si>
  <si>
    <t>Нормативные затраты на работы по инженерно-геологическим изысканиям
Табл.56, п.1-3; Табл.60, п.22</t>
  </si>
  <si>
    <t>Определение характеристик деформируемости методом трехосного сжатия глины с показателем текучести до 0,25
Консолидированно-дренированным испытанием (КД)</t>
  </si>
  <si>
    <t>Нормативные затраты на работы по инженерно-геологическим изысканиям
Табл.56, п.1-3; Табл.60, п.28</t>
  </si>
  <si>
    <t>Определение физических свойств, химического состава и агрессивности подземных вод
состава</t>
  </si>
  <si>
    <t>Нормативные затраты на работы по инженерно-геологическим изысканиям
Табл.63, п.1</t>
  </si>
  <si>
    <t>Определение физических свойств, химического состава и агрессивности водной вытяжки из грунтов</t>
  </si>
  <si>
    <t>Нормативные затраты на работы по инженерно-геологическим изысканиям
Табл.63, п.3</t>
  </si>
  <si>
    <t>Определение удельного электрического сопротивления и средней плотности катодного тока грунта</t>
  </si>
  <si>
    <t>Нормативные затраты на работы по инженерно-геологическим изысканиям
Табл.63, п.5</t>
  </si>
  <si>
    <t>Нормативные затраты на работы по инженерно-геологическим изысканиям
п.47; Табл.10, п.1</t>
  </si>
  <si>
    <t>Итого по разделу II</t>
  </si>
  <si>
    <t>III. Камеральные работы</t>
  </si>
  <si>
    <t>Камеральная обработка результатов полевых работ по проходке следующих инженерно-геологических выработок:</t>
  </si>
  <si>
    <t>инженерно-геологических скважин в условиях категории сложности инженерно-геологических условий:</t>
  </si>
  <si>
    <t>II (архив)</t>
  </si>
  <si>
    <t>Табл.33, п.2</t>
  </si>
  <si>
    <t>Камеральная обработка результатов полевых работ по проходке шурфов глубиной, метров:</t>
  </si>
  <si>
    <t>до 5 включительно</t>
  </si>
  <si>
    <t>Табл.33, п.5</t>
  </si>
  <si>
    <t>Камеральная обработка результатов полевых испытаний грунтов методом статического зондирования непрерывным вдавливанием зонда</t>
  </si>
  <si>
    <t>Нормативные затраты на работы по инженерно-геологическим изысканиям
Табл.45, п.1</t>
  </si>
  <si>
    <t>Камеральная обработка результатов лабораторных определений физических свойств грунтов:</t>
  </si>
  <si>
    <t>песчаных</t>
  </si>
  <si>
    <t>Табл.62, п.1</t>
  </si>
  <si>
    <t>глинистых</t>
  </si>
  <si>
    <t>Табл.62, п.2</t>
  </si>
  <si>
    <t>органических</t>
  </si>
  <si>
    <t>Табл.62, п.4</t>
  </si>
  <si>
    <t>Камеральная обработка результатов лабораторных исследований механических свойств грунтов (методом компрессионного сжатия, методом одноплоскостного среза, методом трехосного сжатия):</t>
  </si>
  <si>
    <t>Табл.62, п.5</t>
  </si>
  <si>
    <t>Табл.62, п.6</t>
  </si>
  <si>
    <t>Камеральная обработка результатов лабораторных исследований физических свойств, химического состава и агрессивности подземных вод</t>
  </si>
  <si>
    <t>Нормативные затраты на работы по инженерно-геологическим изысканиям
Табл.64, п.1</t>
  </si>
  <si>
    <t>Камеральная обработка результатов лабораторных исследований физических свойств, химического состава и агрессивности водной вытяжки из грунтов и удельного электрического сопротивления и средней плотности катодного тока грунта</t>
  </si>
  <si>
    <t>Нормативные затраты на работы по инженерно-геологическим изысканиям
Табл.64, п.2</t>
  </si>
  <si>
    <t>Составление технического отчета по результатам выполнения работ по ИГИ при общей стоимости камеральных работ в уровне цен по состоянию на 1 января 2024 г. (без учета дополнительных затрат), определенной по показателям затрат, приведенным в НЗ, в условиях инженерно-геологических условий категории сложности, тысяч рублей:</t>
  </si>
  <si>
    <t>250-500</t>
  </si>
  <si>
    <t>Табл.65, п.12-13, прим.3</t>
  </si>
  <si>
    <t>Составление программы инженерно-геологических изысканий для II категории сложности инженерно-геологических условий:</t>
  </si>
  <si>
    <t>при площади земельного участка (участка для строительства) от 10 (десяти) до 100 (ста) гектаров и максимальной глубине исследования, метров:</t>
  </si>
  <si>
    <t>Табл.66, п.17</t>
  </si>
  <si>
    <t>Нормативные затраты на работы по инженерно-геологическим изысканиям
п.45; Табл.10, п.2</t>
  </si>
  <si>
    <t>Итого по разделу III</t>
  </si>
  <si>
    <t>Всего по смете в уровне цен, сложившемся на день составления сметной документации:</t>
  </si>
  <si>
    <t>Смета №1.2.2</t>
  </si>
  <si>
    <t>Реконструкция ГПС - Объёмы к изм ТЗ (МЛС)</t>
  </si>
  <si>
    <t>(35837*6)*1,27
(A**)*Кинф</t>
  </si>
  <si>
    <t>Кинф = 1,2700 (1) Письмо Минстроя России
N 45358-ИФ/09 от 22.07.2026г (2026г. III квартал)</t>
  </si>
  <si>
    <t>(35837*6)*0.5*1,27
(A**)*К1*Кинф</t>
  </si>
  <si>
    <t>Топографическая съёмка методом МЛС
ПППГ - КС-3 СЭБ (поз. 225)
КС-3 СЭБ (поз. 225) - РЛВЖ КПП
КС-3 СЭБ (поз. 225) - КС-5 ПЭБ</t>
  </si>
  <si>
    <t>Создание пунктов съемочной геодезической сети для топографической съемки методами ВЛС ЦАФС, ЦАФС, МЛС и НЛС в условиях выполнения полевых работ: II категории</t>
  </si>
  <si>
    <t>НЗ_ИГДИ-19-2</t>
  </si>
  <si>
    <t>(16439*90)*1,27
(A**)*Кинф</t>
  </si>
  <si>
    <t>В границах нас пункта</t>
  </si>
  <si>
    <t>Топографическая съемка полосы местности вдоль оси (участка оси) линейного объекта шириной до 100 (ста) метров методом МЛС в масштабах 1:500 - 1:2000 расположенного в границах населенных пунктов в условиях выполнения полевых работ при протяженности участка:до 20 км включительно</t>
  </si>
  <si>
    <t>НЗ_ИГДИ-41-1</t>
  </si>
  <si>
    <t>(92160+21504*9)*1,27
(A+B**)*Кинф</t>
  </si>
  <si>
    <t>За границами населенного пункта</t>
  </si>
  <si>
    <t>2 609 673.75</t>
  </si>
  <si>
    <t>(0.25*2609674.02)*1,27
(B**)*Кинф</t>
  </si>
  <si>
    <t>(0.082*2609674.02)*1,27
(B**)*Кинф</t>
  </si>
  <si>
    <t>(0.077*2609674.02)*1,27
(B**)*Кинф</t>
  </si>
  <si>
    <t>1 334 195.84</t>
  </si>
  <si>
    <t>(1714*6)*1,27
(A**)*Кинф</t>
  </si>
  <si>
    <t>(1844*6)*1,27
(A**)*Кинф</t>
  </si>
  <si>
    <t>Камеральная обраьотка измерений МЛС</t>
  </si>
  <si>
    <t>Камеральная обработка результатов измерений, выполненных при создании пунктов съемочной геодезической сети и пунктов геодезической основы, выполненной в виде опознаков и (или) контрольных точек, для топографической съемки методами ВЛС ЦАФС, ЦАФС, МЛС и HЛC</t>
  </si>
  <si>
    <t>НЗ_ИГДИ-27-1</t>
  </si>
  <si>
    <t>(392*90)*1,27
(A**)*Кинф</t>
  </si>
  <si>
    <t>Камеральная обработка результатов МЛС в масштабах 1:500 - 1:2000:до 20 км включительно</t>
  </si>
  <si>
    <t>НЗ_ИГДИ-42-1</t>
  </si>
  <si>
    <t>(12935+1979*9)*1,27
(A+B**)*Кинф</t>
  </si>
  <si>
    <t>I*. Специальные геодезические работы при строительстве и реконструкции зданий и сооружений</t>
  </si>
  <si>
    <t>(21451*5)*1,27
(A**)*Кинф</t>
  </si>
  <si>
    <t xml:space="preserve">     Итого Поз. 8-12</t>
  </si>
  <si>
    <t>243 286.25</t>
  </si>
  <si>
    <t>(0.1095*243286.3)*1,27
(A**)*Кинф</t>
  </si>
  <si>
    <t xml:space="preserve">     Итого Поз. 13</t>
  </si>
  <si>
    <t>33 299.81</t>
  </si>
  <si>
    <t>Камеральные работы по составлению программы инженерно-геодезических изысканий при общей стоимости полевых и камеральных работ, определенной по показателям затрат, приведенным в НЗ:5000 тысяч рублей</t>
  </si>
  <si>
    <t>НЗ_ИГДИ-80-5</t>
  </si>
  <si>
    <t>(36839+(127949-36839)/(5000000-1000000)*(2852960.32-1000000))*1,27
(A1+(A2-A1)/(*2-*1)*(*-*1))*Кинф</t>
  </si>
  <si>
    <t>Камеральные работы по составлению технического отчета по результатам выполнения работ по ИГДИ при общей стоимости полевых и камеральных работ, определенной по показателям затрат, приведенным в НЗ:5000 тысяч рублей</t>
  </si>
  <si>
    <t>НЗ_ИГДИ-81-5</t>
  </si>
  <si>
    <t>(76000+(204000-76000)/(5000000-1000000)*(2852960.32-1000000))*1,27
(A1+(A2-A1)/(*2-*1)*(*-*1))*Кинф</t>
  </si>
  <si>
    <t xml:space="preserve">     Итого Поз. 14-15</t>
  </si>
  <si>
    <t>267 924.41</t>
  </si>
  <si>
    <t xml:space="preserve">          Итого Поз. 8-12</t>
  </si>
  <si>
    <t xml:space="preserve">          Итого Поз. 13</t>
  </si>
  <si>
    <t xml:space="preserve">          Итого Поз. 14-15</t>
  </si>
  <si>
    <t>Смета №2.1</t>
  </si>
  <si>
    <t>на проектные (изыскательские) работы</t>
  </si>
  <si>
    <t>Наименование объекта проектирования или вида проектных работ</t>
  </si>
  <si>
    <t>Наименование, номера глав, таблиц, параграфов и пунктов МНЗ на проектные работы</t>
  </si>
  <si>
    <t>Выполнение обмерных работ и обследований</t>
  </si>
  <si>
    <t xml:space="preserve">Выполнение обмерных работ для каркасных многоэтажных зданий. III категория сложности работ. III категория сложности здания. Высота здания до 7 м. </t>
  </si>
  <si>
    <t>Коэффициенты</t>
  </si>
  <si>
    <t xml:space="preserve">инд.3кв.2026г.к 01.01.2001 на пр.раб. </t>
  </si>
  <si>
    <t>Ктек = 7,22
Письмо Минстроя России от 22.07.2026 №45358-ИФ/09</t>
  </si>
  <si>
    <t xml:space="preserve">Здания, возведенные на просадочных, набухающих грунтах, над горными выработками, в подтапливаемых районах с карстовыми и оползневыми явлениями </t>
  </si>
  <si>
    <t>K1 = 1.2
Таблица 10, п.1 (Ценообразующий)</t>
  </si>
  <si>
    <t xml:space="preserve">Насыщенность оборудованием более 50% площади помещений, затрудняющая производство обмерных и обследовательских работ или выполнение обмеров и обследований в затрудненных условиях (захламленность, стесненность, частично разобраны полы и др.) </t>
  </si>
  <si>
    <t>K2 = 1.15
Таблица 10, п.2 (Ценообразующий)</t>
  </si>
  <si>
    <t xml:space="preserve">Выполнение работ в условиях, требующих обеспечение безопасности (использование дополнительных лестниц и различных приспособлений) </t>
  </si>
  <si>
    <t>K3 = 1.15
Таблица 10, п.6 (Ценообразующий)</t>
  </si>
  <si>
    <t xml:space="preserve">Корректирующий коэффициент, учитывающий строительный объем зданий и сооружений до 5000 м3 </t>
  </si>
  <si>
    <t>K4 = 1.3
Таблица 11, п.5 (Ценообразующий)</t>
  </si>
  <si>
    <t xml:space="preserve">Выполнение инженерных обследований строительных конструкций каркасных многоэтажных зданий. III категория сложности работ. III категория сложности здания. Высота здания до 7 м. </t>
  </si>
  <si>
    <t xml:space="preserve">Выполнение обмерных работ для каркасных одноэтажных зданий. III категория сложности работ. III категория сложности здания. Высота здания до 4 м. </t>
  </si>
  <si>
    <t xml:space="preserve">Корректирующий коэффициент, учитывающий строительный объем зданий и сооружений до 3000 м3 </t>
  </si>
  <si>
    <t>K4 = 2.2
Таблица 11, п.3 (Ценообразующий)</t>
  </si>
  <si>
    <t xml:space="preserve">Выполнение инженерных обследований строительных конструкций каркасных одноэтажных зданий. III категория сложности работ. III категория сложности здания. Высота здания до 4 м. </t>
  </si>
  <si>
    <t xml:space="preserve">Выполнение обмерных работ для каркасных одноэтажных зданий. III категория сложности работ. III категория сложности здания. Высота здания до 6 м. </t>
  </si>
  <si>
    <t xml:space="preserve">Выполнение инженерных обследований строительных конструкций каркасных одноэтажных зданий. III категория сложности работ. III категория сложности здания. Высота здания до 6 м. </t>
  </si>
  <si>
    <t xml:space="preserve">Выполнение инженерных обследований строительных конструкций каркасных одноэтажных зданий. III категория сложности работ. III категория сложности здания. Высота здания до 7 м. </t>
  </si>
  <si>
    <t xml:space="preserve">Выполнение обмерных работ для каркасных одноэтажных зданий. III категория сложности работ. III категория сложности здания. Высота здания до 7 м. </t>
  </si>
  <si>
    <t xml:space="preserve">Выполнение обмерных работ для каркасных многоэтажных зданий. III категория сложности работ. III категория сложности здания. Высота здания до 10 м. </t>
  </si>
  <si>
    <t xml:space="preserve">Выполнение инженерных обследований строительных конструкций каркасных многоэтажных зданий. III категория сложности работ. III категория сложности здания. Высота здания до 10 м. </t>
  </si>
  <si>
    <t>Оределение прочности бетона,  отбор проб и испытания строительных материалов, оследование сетей ИТО.</t>
  </si>
  <si>
    <t xml:space="preserve">Определение прочности бетона в бетонных и железобетонных конструкциях механическими приборами, замеры диаметров отпечатков, камеральная обработка и составление Заключения. При количестве мест определения до 50. Высота до 3 м. </t>
  </si>
  <si>
    <t xml:space="preserve">Физико-механические и химические испытания стали. Внешний осмотр и определение мест отбора проб металла. </t>
  </si>
  <si>
    <t>K1 = 1.15
Таблица 10, п.2 (Ценообразующий)</t>
  </si>
  <si>
    <t>K2 = 1.2
Таблица 10, п.1 (Ценообразующий)</t>
  </si>
  <si>
    <t xml:space="preserve">Физико-механические и химические испытания стали. Обработка результатов испытаний. </t>
  </si>
  <si>
    <t xml:space="preserve">Обследование систем горячего водоснабжения. Обследование технического состояния элементов системы. Описание системы. Обследование трубопроводов и установление дефектов. Объем здания до 8 тыс.м3. </t>
  </si>
  <si>
    <t>21</t>
  </si>
  <si>
    <t xml:space="preserve">Обследование систем отопления. Обследование технического состояния элементов системы. Описание системы. Выявление неисправностей и дефектов трубопроводов, стояков, подводок и т.п.. Объем здания до 5 тыс.м3. </t>
  </si>
  <si>
    <t>22</t>
  </si>
  <si>
    <t xml:space="preserve">Обследование систем вентиляции. Обследование технического состояния элементов системы. Описание конструктивного решения системы. Выявление дефектов (герметичности, целостности, соответствия сечения проектному решению) и т.д.. Объем здания до 5 тыс.м3. </t>
  </si>
  <si>
    <t>23</t>
  </si>
  <si>
    <t xml:space="preserve">Обследование систем мусороудаления. Обследование технического состояния элементов системы. Обследование ствола, загрузочных клапанов, шибера. Проверка целостности и герметичности стыковых соединений ствола  и загрузочных клапанов. Проверка нарушения плотности притвора и запора двери мусорокамеры и т.д.. Объем здания до 5 тыс.м3. </t>
  </si>
  <si>
    <t>24</t>
  </si>
  <si>
    <t xml:space="preserve">Обследование состояния водостоков. Обследование технического состояния элементов водостоков. Описание конструктивной системы. Выявление неисправностей и повреждений водоотводящих устройств. Объем здания до 5 тыс.м3. </t>
  </si>
  <si>
    <t>25</t>
  </si>
  <si>
    <t>Обследование состояния электрических сетей и средств связи. Проверка исправности шкафов вводных и вводно-распределительных устройств; внутридомовых электрических сетей питания, этажных щитков и шкафов; осветительных установок общедомовых помещений, включая светильники; электрических установок систем дымоудаления, автоматической сигнализации внутреннего пожарного водопровода, грузовых и пассажирских лифтов; автоматически запирающих устройств (АЗУ) дверей дома и пр. Выявление неисправностей, повреждений, следов ремонтов и др. На площадь здания</t>
  </si>
  <si>
    <t>26</t>
  </si>
  <si>
    <t>Итого по смете:</t>
  </si>
  <si>
    <t>27</t>
  </si>
  <si>
    <t>Новое начисление</t>
  </si>
  <si>
    <t>К1 = 0.8 Коэффициент оптимизации ПАО "Газпром"  («Порядок формирования стоимости проектно-изыскательских работ для строительства и реконструкции объектов ПАО «Газпром» от 28.12.2017г. п.5.41) (Ценообразующий)</t>
  </si>
  <si>
    <t>28</t>
  </si>
  <si>
    <t>29</t>
  </si>
  <si>
    <t>Расчет командировочных расходов (Омск - Саратовская обл. - Омск)</t>
  </si>
  <si>
    <t>Изыскательские</t>
  </si>
  <si>
    <t>30</t>
  </si>
  <si>
    <t>Всего по смете:</t>
  </si>
  <si>
    <t>Командировочные расходы</t>
  </si>
  <si>
    <t>1) Расчет командировочных расходов</t>
  </si>
  <si>
    <t>Маршрут</t>
  </si>
  <si>
    <t>Кол-во поездок</t>
  </si>
  <si>
    <t>Кол-во человек</t>
  </si>
  <si>
    <t>Кол-во дней ком-ки, дн.</t>
  </si>
  <si>
    <t>Проживание, сутки</t>
  </si>
  <si>
    <t>Ст-ть проживания в сутки, руб./день</t>
  </si>
  <si>
    <t>Ст-ть проезда туда, руб.</t>
  </si>
  <si>
    <t>Ст-ть проезда обратно, руб.</t>
  </si>
  <si>
    <t>Суточные, руб./день.</t>
  </si>
  <si>
    <t>Омск - Саратовская обл. - Омск</t>
  </si>
  <si>
    <t>Стоимость проезда</t>
  </si>
  <si>
    <t>чел-поездок *</t>
  </si>
  <si>
    <t>руб. =</t>
  </si>
  <si>
    <t>Стоимость проживания</t>
  </si>
  <si>
    <t>чел.-дн. *</t>
  </si>
  <si>
    <t>Суточные всего</t>
  </si>
  <si>
    <t>Всего:</t>
  </si>
  <si>
    <t xml:space="preserve">форма №3П
</t>
  </si>
  <si>
    <t>Смета №2.2</t>
  </si>
  <si>
    <t>Исполнители</t>
  </si>
  <si>
    <t>Количество человеко-дней</t>
  </si>
  <si>
    <t>Средняя оплата труда за 1 день</t>
  </si>
  <si>
    <t>Оплата труда (всего), руб.</t>
  </si>
  <si>
    <t>количество</t>
  </si>
  <si>
    <t>должность</t>
  </si>
  <si>
    <t>Главный специалист</t>
  </si>
  <si>
    <t>Начальник отдела</t>
  </si>
  <si>
    <t>Руководитель группы в составе отдела</t>
  </si>
  <si>
    <t>Ведущий инженер</t>
  </si>
  <si>
    <t>Инженер 1 категории</t>
  </si>
  <si>
    <t>Итого оплата труда (руб.) 1 920 615.00</t>
  </si>
  <si>
    <t>Итого оплата труда
Сумма от п.2</t>
  </si>
  <si>
    <t>Коэффициент отношения заработной платы исполнителей к себестоимости работ
Коэф-т-делитель 0.45 от п.3
1 920 615.00 руб. / 0.45</t>
  </si>
  <si>
    <t>Прибыль
8% от п.4
4 268 033.33 руб. * 8/100</t>
  </si>
  <si>
    <t>Стоимость работы
Сумма от п.4-5</t>
  </si>
  <si>
    <t>Итого за вычетом кураторских затрат
Разделить на коэф-т 1,02 от п. 6</t>
  </si>
  <si>
    <t>форма №3П</t>
  </si>
  <si>
    <t>Приложение к ______________________________________</t>
  </si>
  <si>
    <t>Раздел 1. Определение трудоемкости (трудозатрат) выполняемой работы</t>
  </si>
  <si>
    <t xml:space="preserve">№ пп </t>
  </si>
  <si>
    <t>Оплата труда (всего),руб.</t>
  </si>
  <si>
    <t>Раздел 1 «Исходно-разрешительная документация»</t>
  </si>
  <si>
    <t>ГИП</t>
  </si>
  <si>
    <t>Раздел 2 «Согласование места размещения объекта»</t>
  </si>
  <si>
    <t>Раздел 3 «Градостроительная документация»</t>
  </si>
  <si>
    <t>Раздел 4 «Технические условия на подключение»</t>
  </si>
  <si>
    <t>Раздел 5 «Технические требования на пересечения»</t>
  </si>
  <si>
    <t>Составление пояснительной записки.</t>
  </si>
  <si>
    <t>Раздел 2. Определение стоимости работы</t>
  </si>
  <si>
    <t>Наименование показателей</t>
  </si>
  <si>
    <t>Значение показателей</t>
  </si>
  <si>
    <t>Общая з/п непосредственных исполнителей</t>
  </si>
  <si>
    <t>Коэффициент отношения з/п непосредственных исполнителей к себестоимости</t>
  </si>
  <si>
    <t>Себестоимость исходя из установленного коэффициента
Разделить на коэф-т 0.45 от п.1</t>
  </si>
  <si>
    <t>Уровень рентабельности (по отношению к себестоимости)</t>
  </si>
  <si>
    <t>%</t>
  </si>
  <si>
    <t>Прибыль
8% от п.2</t>
  </si>
  <si>
    <t>Стоимость работы
Сумма от п.2-3</t>
  </si>
  <si>
    <t>Итого за вычетом кураторских затрат
Разделить на коэф-т 1,02 от п. 4</t>
  </si>
  <si>
    <t>Всего стоимость по смете</t>
  </si>
  <si>
    <t xml:space="preserve">форма 2П, 707/пр
</t>
  </si>
  <si>
    <t>Этап 12 (Площадка РЛВЖ)
Разработка комплекта 4212.012.Р.12/0.0004.ПРЛВЖ.000.00000.000-ГП</t>
  </si>
  <si>
    <t xml:space="preserve">Генеральный план и транспорт в составе: вертикальная планировка, благоустройство и озеленение, внутриплощадочные автодороги, сводный план коммуникаций и сетей, участка. Площадь от 0.5 га до 10 га включительно. </t>
  </si>
  <si>
    <t>НЗ №849/пр Объекты газовой промышленности. 2023 г. Таблица 3.8. Объекты общетехнического назначения, п.10
A = 31.1 тыс.руб; B = 122.993 тыс.руб;
Xзад = 4.9 (га);
Количество = 1</t>
  </si>
  <si>
    <t>Полный комплекс работ
(100%):
(A + B * Xзад) * Количество * Ктек * Кст
(31 100 руб. + 122 993 руб. * 4.9) * 1 * 1.56 * 0.6</t>
  </si>
  <si>
    <t>Стадия: Рабочая документация</t>
  </si>
  <si>
    <t>Кст = 0.6</t>
  </si>
  <si>
    <t xml:space="preserve">инд.3кв.2026г.к 01.01.2022 на пр.раб. </t>
  </si>
  <si>
    <t>Ктек = 1.56
Письмо Минстроя России от 23.07.2026 №45358-ИФ/09</t>
  </si>
  <si>
    <t xml:space="preserve">Инженерная подготовка территории. Объем отсыпки (намыва) грунта от 20 до 50 тыс.куб.м. включительно. </t>
  </si>
  <si>
    <t>НЗ №912/пр Инженерная защита территорий, зданий и сооружений от опасных геологических процессов. 2023 г. Таблица 3.2. Объекты регулирования стока поверхностных вод, водопонижения, п.1
A = 87.1 тыс.руб; B = 24.266 тыс.руб;
Xзад = 45 (тыс.куб.м.);
Количество = 1</t>
  </si>
  <si>
    <t>(A + B * Xзад) * Количество * Ктек * Кст
(87 100 руб. + 24 266 руб. * 45) * 1 * 1.56 * 0.6</t>
  </si>
  <si>
    <t>Этап 16 (Площадка печей подогревателей газа Степновской СПХГ)
Разработка комплекта 4212.012.Р.16/0.0004.ПлППГ.000.00000.000-ГП</t>
  </si>
  <si>
    <t>НЗ №849/пр Объекты газовой промышленности. 2023 г. Таблица 3.8. Объекты общетехнического назначения, п.10
A = 31.1 тыс.руб; B = 122.993 тыс.руб;
Xзад = 2 (га);
Количество = 1</t>
  </si>
  <si>
    <t>Полный комплекс работ
(100%):
(A + B * Xзад) * Количество * Ктек * Кст
(31 100 руб. + 122 993 руб. * 2) * 1 * 1.56 * 0.6</t>
  </si>
  <si>
    <t xml:space="preserve">Инженерная подготовка территории. Объем отсыпки (намыва) грунта от 6 до 20 тыс.куб.м. включительно. </t>
  </si>
  <si>
    <t>НЗ №912/пр Инженерная защита территорий, зданий и сооружений от опасных геологических процессов. 2023 г. Таблица 3.2. Объекты регулирования стока поверхностных вод, водопонижения, п.1
A = 85.7 тыс.руб; B = 24.336 тыс.руб;
Xзад = 20 (тыс.куб.м.);
Количество = 1</t>
  </si>
  <si>
    <t>(A + B * Xзад) * Количество * Ктек * Кст
(85 700 руб. + 24 336 руб. * 20) * 1 * 1.56 * 0.6</t>
  </si>
  <si>
    <t>Этап 17 (УЗРГ.000-Узел замера расхода газа)</t>
  </si>
  <si>
    <t>НЗ №849/пр Объекты газовой промышленности. 2023 г. Таблица 3.8. Объекты общетехнического назначения, п.10
A = 31.1 тыс.руб; B = 122.993 тыс.руб;
Xзад = 1 (га);
Количество = 1</t>
  </si>
  <si>
    <t>Полный комплекс работ
(100%):
(A + B * Xзад) * Количество * Ктек * Кст
(31 100 руб. + 122 993 руб. * 1) * 1 * 1.56 * 0.6</t>
  </si>
  <si>
    <t>НЗ №912/пр Инженерная защита территорий, зданий и сооружений от опасных геологических процессов. 2023 г. Таблица 3.2. Объекты регулирования стока поверхностных вод, водопонижения, п.1
A = 85.7 тыс.руб; B = 24.336 тыс.руб;
Xзад = 15 (тыс.куб.м.);
Количество = 1</t>
  </si>
  <si>
    <t>(A + B * Xзад) * Количество * Ктек * Кст
(85 700 руб. + 24 336 руб. * 15) * 1 * 1.56 * 0.6</t>
  </si>
  <si>
    <t>Этап 27 (Объекты на площадке КС-5 (частично))
Разработка комплекта 4212.00.Р.04.КСПХГ.5.000.ГП.000</t>
  </si>
  <si>
    <t xml:space="preserve">Генеральный план и транспорт в составе: вертикальная планировка, благоустройство и озеленение, внутриплощадочные автодороги, сводный план коммуникаций и сетей, участка. Площадь от 10 га до 20 га включительно. </t>
  </si>
  <si>
    <t>НЗ №849/пр Объекты газовой промышленности. 2023 г. Таблица 3.8. Объекты общетехнического назначения, п.10
A = 258.9 тыс.руб; B = 100.213 тыс.руб;
Xзад = 13 (га);
Количество = 1</t>
  </si>
  <si>
    <t>Полный комплекс работ
(100%):
(A + B * Xзад) * Количество * Ктек * Кст
(258 900 руб. + 100 213 руб. * 13) * 1 * 1.56 * 0.6</t>
  </si>
  <si>
    <t>Этап 3</t>
  </si>
  <si>
    <t>Этап 3 (Объекты на площадке ГРП 2А)
Разработка комплекта "4212.012.Р.3/0.0004.ГРП.02А.00000.000-ГП"</t>
  </si>
  <si>
    <t>НЗ №849/пр Объекты газовой промышленности. 2023 г. Таблица 3.8. Объекты общетехнического назначения, п.10
A = 31.1 тыс.руб; B = 122.993 тыс.руб;
Xзад = 5 (га);
Количество = 1</t>
  </si>
  <si>
    <t>Полный комплекс работ
(100%):
(A + B * Xзад) * Количество * Ктек * Кст
(31 100 руб. + 122 993 руб. * 5) * 1 * 1.56 * 0.6*0,7</t>
  </si>
  <si>
    <t>Объем работ</t>
  </si>
  <si>
    <t>Кобъем = 0.7</t>
  </si>
  <si>
    <t>НЗ №912/пр Инженерная защита территорий, зданий и сооружений от опасных геологических процессов. 2023 г. Таблица 3.2. Объекты регулирования стока поверхностных вод, водопонижения, п.1
A = 87.1 тыс.руб; B = 24.266 тыс.руб;
Xзад = 50 (тыс.куб.м.);
Количество = 1</t>
  </si>
  <si>
    <t>(A + B * Xзад) * Количество * Ктек * Кст
(87 100 руб. + 24 266 руб. * 50) * 1 * 1.56 * 0.6*0,7</t>
  </si>
  <si>
    <t>Этап 3 (Шг.2А - Сеть газосборная ГРП 2А). Площадки БКЭС.</t>
  </si>
  <si>
    <t>НЗ №849/пр Объекты газовой промышленности. 2023 г. Таблица 3.8. Объекты общетехнического назначения, п.10
A = 31.1 тыс.руб; B = 122.993 тыс.руб;
Xмин = 0.5;
Xзад = 0.4 (га);
Количество = 1</t>
  </si>
  <si>
    <t>Полный комплекс работ
(100%):
(A + B * (0.4 * Xмин + 0.6 * Xзад)) * Количество * Ктек * Кст
(31 100 руб. + 122 993 руб. * (0.4 * 0.5 + 0.6 * 0.4)) * 1 * 1.56 * 0.6*0,7</t>
  </si>
  <si>
    <t>Коэф-т 1 от п.11 * 0.8
6 421 451.99 руб. * 1 * 0.8</t>
  </si>
  <si>
    <t>Этап 16 (Площадка печей подогревателей газа Степновской СПХГ)
ПАД.011 - Подъездная автомобильная дорога к ПППГ
Разработка комплекта 4212.012.Р.16/0.0004.ПАД.011.40712.000-АД</t>
  </si>
  <si>
    <t>Автомобильные дороги технической категории IV. Категория сложности проектирования: 3. Протяженность от 0.2 до 0.5 километра включительно.</t>
  </si>
  <si>
    <t>НЗ №51/пр Строительство, реконструкция и капитальный ремонт автомобильных дорог, их конструктивных элементов и сооружений на них. 2025 г. Таблица 3.5. Автомобильные дороги технической категории IV, п.2.3
A = 290.1 тыс.руб; B = 1 856.633 тыс.руб;
Протяженность дороги L = 0.23229 км;
Количество = 1;</t>
  </si>
  <si>
    <t>(A + B * L) * Количество * Ктек * Кст
(290 100 руб. + 1 856 633 руб. * 0.23229) * 1 * 1.4 * 0.6</t>
  </si>
  <si>
    <t xml:space="preserve">инд.3кв.2026г.к 01.01.2023 на пр.раб. </t>
  </si>
  <si>
    <t>Ктек = 1.4
Письмо Минстроя России от 23.07.2026 №45358-ИФ/09</t>
  </si>
  <si>
    <t xml:space="preserve">Примыкание автомобильных дорог в одном уровне с устройством переходно-скоростных полос движения, островков безопасности. Категория сложности проектирования: 3. </t>
  </si>
  <si>
    <t>НЗ №51/пр Строительство, реконструкция и капитальный ремонт автомобильных дорог, их конструктивных элементов и сооружений на них. 2025 г. Таблица 3.7. Развязки, п.2.3
A = 1 622.6 тыс.руб; 
Количество = 1 (объект)</t>
  </si>
  <si>
    <t>A * Количество * Ктек * Кст * K1
1 622 600 руб. * 1 * 1.4 * 0.6 * 0.47</t>
  </si>
  <si>
    <t xml:space="preserve">Пересечение (примыкание) автомобильных дорог в одном уровне определяется с корректирующим коэффициентом для примыканий без устройства переходно-скоростных полос </t>
  </si>
  <si>
    <t>K1 = 0.47
Табл.4, п.9 (Ценообразующий)</t>
  </si>
  <si>
    <t>Этап 16 (Площадка печей подогревателей газа Степновской СПХГ)
ПАД.010 - Подъездная автомобильная дорога к УЗРГ
Разработка комплекта 4212.012.Р.16/0.0004.ПАД.010.40712.000-АД</t>
  </si>
  <si>
    <t>НЗ №51/пр Строительство, реконструкция и капитальный ремонт автомобильных дорог, их конструктивных элементов и сооружений на них. 2025 г. Таблица 3.5. Автомобильные дороги технической категории IV, п.2.3
A = 290.1 тыс.руб; B = 1 856.633 тыс.руб;
Протяженность дороги L = 0.29304 км;
Количество = 1;</t>
  </si>
  <si>
    <t>(A + B * L) * Количество * Ктек * Кст
(290 100 руб. + 1 856 633 руб. * 0.29304) * 1 * 1.4 * 0.6</t>
  </si>
  <si>
    <t xml:space="preserve">Водопропускные трубы на автомобильных дорогах протяженностью, м. Круглые и прямоугольные железобетонные трубы отверстием до 2000 мм. </t>
  </si>
  <si>
    <t>Искусственные сооружения. 2015 г. Таблица 2. Водопропускные трубы на железных и автомобильных дорогах, п.2.4
A = 5.61 тыс.руб; B = 0.24 тыс.руб;
Xзад = 13 (м);
Количество = 1</t>
  </si>
  <si>
    <t>(A + B * Xзад) * Количество * Ктек * Кст
(5 610 руб. + 240 руб. * 13) * 1 * 7.22 * 0.66</t>
  </si>
  <si>
    <t>Кст = 0.66</t>
  </si>
  <si>
    <t>Ктек = 7.22
Письмо Минстроя России от 23.07.2026 №45358-ИФ/09</t>
  </si>
  <si>
    <t>Этап 27 (Объекты на площадке КС-5 (частично))
ПАД.009 - Подъездная автомобильная дорога к РЛВЖ
Разработка комплекта 4212.012.Р.12/0.0004.ПАД.009.40712.000-АД</t>
  </si>
  <si>
    <t>НЗ №51/пр Строительство, реконструкция и капитальный ремонт автомобильных дорог, их конструктивных элементов и сооружений на них. 2025 г. Таблица 3.5. Автомобильные дороги технической категории IV, п.2.3
A = 290.1 тыс.руб; B = 1 856.633 тыс.руб;
Протяженность дороги L = 0.28839 км;
Количество = 1;</t>
  </si>
  <si>
    <t>(A + B * L) * Количество * Ктек * Кст
(290 100 руб. + 1 856 633 руб. * 0.28839) * 1 * 1.4 * 0.6</t>
  </si>
  <si>
    <t>Этап 27 (Объекты на площадке КС-5 (частично))
ПАД.051 - Подъездная автомобильная дорога №1 к КС 5
Разработка комплекта 4212.012.Р.12/0.0004.ПАД.051.40712.000-АД</t>
  </si>
  <si>
    <t>НЗ №51/пр Строительство, реконструкция и капитальный ремонт автомобильных дорог, их конструктивных элементов и сооружений на них. 2025 г. Таблица 3.5. Автомобильные дороги технической категории IV, п.2.3
A = 290.1 тыс.руб; B = 1 856.633 тыс.руб;
Протяженность дороги L = 0.43480 км;
Количество = 1;</t>
  </si>
  <si>
    <t>(A + B * L) * Количество * Ктек * Кст
(290 100 руб. + 1 856 633 руб. * 0.43480) * 1 * 1.4 * 0.6</t>
  </si>
  <si>
    <t>Искусственные сооружения. 2015 г. Таблица 2. Водопропускные трубы на железных и автомобильных дорогах, п.2.4
A = 5.61 тыс.руб; B = 0.24 тыс.руб;
Xзад = 14 (м);
Количество = 1</t>
  </si>
  <si>
    <t>(A + B * Xзад) * Количество * Ктек * Кст
(5 610 руб. + 240 руб. * 14) * 1 * 7.22 * 0.66</t>
  </si>
  <si>
    <t>Этап 27 (Объекты на площадке КС-5 (частично))
ПАД.052 - Подъездная автомобильная дорога №2 к КС5
Разработка комплекта 4212.012.Р.12/0.0004.ПАД.052.40712.000-АД</t>
  </si>
  <si>
    <t>Автомобильные дороги технической категории IV. Категория сложности проектирования: 3. Протяженность от 0.5 до 1 километра включительно.</t>
  </si>
  <si>
    <t>НЗ №51/пр Строительство, реконструкция и капитальный ремонт автомобильных дорог, их конструктивных элементов и сооружений на них. 2025 г. Таблица 3.5. Автомобильные дороги технической категории IV, п.3.3
A = 652.3 тыс.руб; B = 1 132.306 тыс.руб;
Протяженность дороги L = 0.94891 км;
Количество = 1;</t>
  </si>
  <si>
    <t>(A + B * L) * Количество * Ктек * Кст
(652 300 руб. + 1 132 306 руб. * 0.94891) * 1 * 1.4 * 0.6</t>
  </si>
  <si>
    <t>Этап 3 (Объекты на площадке ГРП 2А)
ПАД.02А - Подъездная автомобильная дорога к ГРП 2А
Разработка комплекта 4212.012.Р.3/0.0004.ПАД.02А.40712.000-АД</t>
  </si>
  <si>
    <t>НЗ №51/пр Строительство, реконструкция и капитальный ремонт автомобильных дорог, их конструктивных элементов и сооружений на них. 2025 г. Таблица 3.5. Автомобильные дороги технической категории IV, п.2.3
A = 290.1 тыс.руб; B = 1 856.633 тыс.руб;
Протяженность дороги L = 0.31524 км;
Количество = 1;</t>
  </si>
  <si>
    <t>(A + B * L) * Количество * Ктек * Кст
(290 100 руб. + 1 856 633 руб. * 0.31524) * 1 * 1.4 * 0.6*0,7</t>
  </si>
  <si>
    <t>A * Количество * Ктек * Кст * K1
1 622 600 руб. * 1 * 1.4 * 0.6 * 0.47*0,7</t>
  </si>
  <si>
    <t>Коэф-т 1 от п.15 * 0.8
9 035 650.24 руб. * 1 * 0.8</t>
  </si>
  <si>
    <t>Этап 2 (Объекты на площадке КС 3)</t>
  </si>
  <si>
    <t>201 - Установка регенерации метанола</t>
  </si>
  <si>
    <t>Установка регенерации метанола (огневая регенерация) производительностью от 1 куб.м/час до 5 куб.м/час включительно</t>
  </si>
  <si>
    <t>НЗ №849/пр Объекты газовой промышленности. 2023 г. Таблица 3.7. Объекты подготовки газа, газового конденсата (УКПГ, УППГ, УПТГ, ГС), п.8
A = 1 202.4 тыс. руб.B = 412.925 тыс. руб.;
Xмакс = 5;
Хзад = 20 (куб.м/час);
Количество = 1</t>
  </si>
  <si>
    <t xml:space="preserve">Стоимость проектных работ для зданий и сооружений блочного (модульного) типа высокой заводской готовности определяется на основании параметров цены проектных работ с применением корректирующего коэффициента </t>
  </si>
  <si>
    <t>K1 = 0.2
Глава 2, п.15 (Ценообразующий)</t>
  </si>
  <si>
    <t>211 - Площадка емкостей и АВО</t>
  </si>
  <si>
    <t>230 - Узел подключения ГРП</t>
  </si>
  <si>
    <t>Установка переключающей арматуры производительностью от 10 млн.куб.м/сут до 60 млн.куб.м/сут включительно</t>
  </si>
  <si>
    <t>НЗ №849/пр Объекты газовой промышленности. 2023 г. Таблица 3.7. Объекты подготовки газа, газового конденсата (УКПГ, УППГ, УПТГ, ГС), п.1
A = 1 087.3 тыс. руб.B = 47.464 тыс. руб.;
Xмакс = 60;
Хзад = 80 (млн.куб.м/сут);
Количество = 1</t>
  </si>
  <si>
    <t>Этап 12 (Площадка РЛВЖ)</t>
  </si>
  <si>
    <t>001 - Резервуарный парк метанола V=2х700 м3</t>
  </si>
  <si>
    <t>Товарно-сырьевой склад ГЖ и ЛВЖ из вертикальных стальных резервуаров объемом от 1 тыс.куб.м до 5 тыс.куб.м включительно</t>
  </si>
  <si>
    <t>НЗ №849/пр Объекты газовой промышленности. 2023 г. Таблица 3.7. Объекты подготовки газа, газового конденсата (УКПГ, УППГ, УПТГ, ГС), п.29
A = 532 тыс. руб.B = 618.795 тыс. руб.;
Хзад = 1.4 (тыс.куб.м);
Количество = 1</t>
  </si>
  <si>
    <t>002 - Здание насосной парков метанола и ДЭГа (ТЭГа)</t>
  </si>
  <si>
    <t>Насосная перекачки ГЖ и ЛВЖ с общей установленной производительностью насосов от 80 куб.м/час до 150 куб.м/час включительно</t>
  </si>
  <si>
    <t>НЗ №849/пр Объекты газовой промышленности. 2023 г. Таблица 3.7. Объекты подготовки газа, газового конденсата (УКПГ, УППГ, УПТГ, ГС), п.27
A = 471.8 тыс. руб.B = 10.314 тыс. руб.;
Xмакс = 150;
Хзад = 306 (куб.м/час);
Количество = 1</t>
  </si>
  <si>
    <t>003 - Емкость приемно-дренажная для метанола V=40 м3</t>
  </si>
  <si>
    <t>Установка дренажной емкости с погружным насосом объемом до 50 куб.м</t>
  </si>
  <si>
    <t>НЗ №849/пр Объекты газовой промышленности. 2023 г. Таблица 3.7. Объекты подготовки газа, газового конденсата (УКПГ, УППГ, УПТГ, ГС), п.39
A = 990.6 тыс. руб.
Количество = 1 (объект)</t>
  </si>
  <si>
    <t>005 - Резервуарный парк конденсата  V=2х200м3</t>
  </si>
  <si>
    <t>006 - Ёмкость приёмно-дренажная для ДЭГа (ТЭГа) V=25м3</t>
  </si>
  <si>
    <t>007 - Автомобильная эстакада стояков налива конденсата</t>
  </si>
  <si>
    <t>Сливно-наливные установки ГЖ и ЛВЖ, неавтоматизированные для налива в автоцистерны, количество стояков от 2 до 10 включительно</t>
  </si>
  <si>
    <t>НЗ №849/пр Объекты газовой промышленности. 2023 г. Таблица 3.7. Объекты подготовки газа, газового конденсата (УКПГ, УППГ, УПТГ, ГС), п.33
A = 952.6 тыс. руб.B = 21.23 тыс. руб.;
Хзад = 2 (стояк);
Количество = 1</t>
  </si>
  <si>
    <t>008 - Площадка манифольдной парка метанола</t>
  </si>
  <si>
    <t>НЗ №849/пр Объекты газовой промышленности. 2023 г. Таблица 3.7. Объекты подготовки газа, газового конденсата (УКПГ, УППГ, УПТГ, ГС), п.1
A = 1 087.3 тыс. руб.B = 47.464 тыс. руб.;
Xмин = 10;
Хзад = 0.0007 (млн.куб.м/сут);
Количество = 1</t>
  </si>
  <si>
    <t>К'пон = Xзад / (0.5 * Xмин)</t>
  </si>
  <si>
    <t>К'пон = 0.1
понижающий коэффициент, учитывающий разницу в трудоемкости работ по проектируемому объекту и объекту аналогу. (Методика 707/пр п.131(3)) (Ценообразующий)</t>
  </si>
  <si>
    <t>009 - Ёмкость приёмно-дренажная для конденсата V=40м3</t>
  </si>
  <si>
    <t>010 - Площадка свечи с гидрозатвором (метанол)</t>
  </si>
  <si>
    <t>Установка факела вертикального производительностью от 7.5 млн.куб.м/сут до 25 млн.куб.м/сут включительно</t>
  </si>
  <si>
    <t>НЗ №849/пр Объекты газовой промышленности. 2023 г. Таблица 3.7. Объекты подготовки газа, газового конденсата (УКПГ, УППГ, УПТГ, ГС), п.23
A = 1 320.8 тыс. руб.B = 9.459 тыс. руб.;
Xмин = 7.5;
Хзад = 0.00528 (млн.куб.м/сут);
Количество = 1</t>
  </si>
  <si>
    <t>011 - Площадка свечи с гидрозатвором (конденсат)</t>
  </si>
  <si>
    <t>Установка факельного сепаратора и сборника жидкости производительностью по сбрасываемому газу от 7.5 млн.куб.м/сут до 25 млн.куб.м/сут включительно</t>
  </si>
  <si>
    <t>НЗ №849/пр Объекты газовой промышленности. 2023 г. Таблица 3.7. Объекты подготовки газа, газового конденсата (УКПГ, УППГ, УПТГ, ГС), п.22
A = 415.6 тыс. руб.B = 32.687 тыс. руб.;
Xмин = 7.5;
Хзад = 0.005280 (млн.куб.м/сут);
Количество = 1</t>
  </si>
  <si>
    <t>012 - Площадка манифольдной резервуарного парка конденсата</t>
  </si>
  <si>
    <t>Установка по приему, травлению, крашению и перемешиванию метанола производительностью от 25 куб.м до 100 куб.м включительно</t>
  </si>
  <si>
    <t>НЗ №849/пр Объекты газовой промышленности. 2023 г. Таблица 3.7. Объекты подготовки газа, газового конденсата (УКПГ, УППГ, УПТГ, ГС), п.28
A = 51.6 тыс. руб.B = 33.004 тыс. руб.;
Xмакс = 100;
Хзад = 220 (куб.м);
Количество = 1</t>
  </si>
  <si>
    <t>015 - Установка по производству азота</t>
  </si>
  <si>
    <t>Станция азотная производительностью от 500 куб.м/час до 1000 куб.м/час включительно</t>
  </si>
  <si>
    <t>НЗ №849/пр Объекты газовой промышленности. 2023 г. Таблица 3.7. Объекты подготовки газа, газового конденсата (УКПГ, УППГ, УПТГ, ГС), п.35
A = 6 131.1 тыс. руб.B = 4.907 тыс. руб.;
Хзад = 500 (куб.м/час);
Количество = 1</t>
  </si>
  <si>
    <t>Коэффициент на объём работ</t>
  </si>
  <si>
    <t>016 - Ресиверы азота</t>
  </si>
  <si>
    <t>021 - Резервуар, емкость расходная дизельного топлива</t>
  </si>
  <si>
    <t>Промежуточный склад ГЖ и ЛВЖ из горизонтальных стальных резервуаров объемом от 50 куб.м до 200 куб.м включительно</t>
  </si>
  <si>
    <t>НЗ №849/пр Объекты газовой промышленности. 2023 г. Таблица 3.7. Объекты подготовки газа, газового конденсата (УКПГ, УППГ, УПТГ, ГС), п.31
A = 467.7 тыс. руб.B = 0.398 тыс. руб.;
Xмин = 50;
Хзад = 15 (куб.м);
Количество = 1</t>
  </si>
  <si>
    <t>К'пон = 0.6
понижающий коэффициент, учитывающий разницу в трудоемкости работ по проектируемому объекту и объекту аналогу. (Методика 707/пр п.131(3)) (Ценообразующий)</t>
  </si>
  <si>
    <t>Сети внутриплощадочные (Т=0,25км, дренажные трубопроводы ТК=0,52 км)</t>
  </si>
  <si>
    <t xml:space="preserve">Межцеховые и внеплощадочные сети на эстакадах (теплогазоматериалопроводы). Протяженность до 1 км включительно. </t>
  </si>
  <si>
    <t>НЗ №849/пр Объекты газовой промышленности. 2023 г. Таблица 3.7. Объекты подготовки газа, газового конденсата (УКПГ, УППГ, УПТГ, ГС), п.25
A = 3 998.8 тыс.руб; 
Количество = 1 (объект)</t>
  </si>
  <si>
    <t>Этап 16 (Площадка печей подогревателей газа Степновской СПХГ)</t>
  </si>
  <si>
    <t>001 - Установка подогрева газа</t>
  </si>
  <si>
    <t>Установка подогрева газа с производительностью по расходу газа от 100 до 150 куб.м/ч</t>
  </si>
  <si>
    <t>НЗ №849/пр Объекты газовой промышленности. 2023 г. Таблица 3.7. Объекты подготовки газа, газового конденсата (УКПГ, УППГ, УПТГ, ГС), п.36
A = 439.6 тыс. руб.
Количество = 1 (объект)</t>
  </si>
  <si>
    <t>002 - Установка подготовки топливного и импульсного газа</t>
  </si>
  <si>
    <t>Установка подготовки топливного, пускового газа. Установка подготовки импульсного газа. Установка подготовки топливного газа на собственные нужды КС</t>
  </si>
  <si>
    <t>НЗ №849/пр Объекты газовой промышленности. 2023 г. Таблица 3.3. Компрессорные станции на магистральных газопроводах (КС), п.13
A = 647.3 тыс. руб.
Количество = 1 (объект)</t>
  </si>
  <si>
    <t>003 - Площадка ресиверов импульсного газа</t>
  </si>
  <si>
    <t>010 - Склад хранения топлива дизельное</t>
  </si>
  <si>
    <t>НЗ №849/пр Объекты газовой промышленности. 2023 г. Таблица 3.7. Объекты подготовки газа, газового конденсата (УКПГ, УППГ, УПТГ, ГС), п.31
A = 467.7 тыс. руб.B = 0.398 тыс. руб.;
Xмин = 50;
Хзад = 20 (куб.м);
Количество = 1</t>
  </si>
  <si>
    <t>К'пон = 0.8
понижающий коэффициент, учитывающий разницу в трудоемкости работ по проектируемому объекту и объекту аналогу. (Методика 707/пр п.131(3)) (Ценообразующий)</t>
  </si>
  <si>
    <t>015 - Компрессорная сжатого воздуха</t>
  </si>
  <si>
    <t>Компрессорная станция сжатого воздуха с установкой осушки для нужд КИП и А производительностью от 30 тыс.куб.м/час до 50 тыс.куб.м/час включительно</t>
  </si>
  <si>
    <t>НЗ №849/пр Объекты газовой промышленности. 2023 г. Таблица 3.9. Сооружения на дожимных компрессорных станциях (ДКС), п.5
A = 212.1 тыс. руб.B = 3.31 тыс. руб.;
Xмин = 30;
Хзад = 0.006 (тыс.куб.м/час);
Количество = 1</t>
  </si>
  <si>
    <t xml:space="preserve">Этап 17 (Площадка УЗРГ)
</t>
  </si>
  <si>
    <t>001 - Узел замера расхода газа</t>
  </si>
  <si>
    <t>Пункт коммерческого измерения газа производительностью от 10 тыс.куб.м/сут до 60 тыс.куб.м/сут включительно</t>
  </si>
  <si>
    <t>НЗ №849/пр Объекты газовой промышленности. 2023 г. Таблица 3.7. Объекты подготовки газа, газового конденсата (УКПГ, УППГ, УПТГ, ГС), п.17
A = 405.1 тыс. руб.B = 7.36 тыс. руб.;
Xмакс = 60;
Хзад = 81.84 (тыс.куб.м/сут);
Количество = 1</t>
  </si>
  <si>
    <t>(A + B * (0.4 * Xмакс + 0.6 * Xзад)) * Количество * Ктек * Кст
(405 100 руб. + 7 360 руб. * (0.4 * 60 + 0.6 * 81.84)) * 1 * 1.56 * 0.6</t>
  </si>
  <si>
    <t>Этап 27 Объекты на площадке КС-5 (частично)</t>
  </si>
  <si>
    <t>Склад дизтоплива расходный V=25 м3</t>
  </si>
  <si>
    <t>Надземные трубопроводы (диам. 32х4 - 5м, 57х4 - 10м, 89х4 - 60м, 219х8 - 0,5м)</t>
  </si>
  <si>
    <t>Подземные трубопроводы (диам. 57х4 - 5м, 89х4 - 40м, 219х8 - 4,5м)</t>
  </si>
  <si>
    <t>31</t>
  </si>
  <si>
    <t xml:space="preserve">Трубопроводы (межцеховые и шлейфы) диаметром до 300 мм. Протяженность от 1 км до 5 км включительно. </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</si>
  <si>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0.5 (км);
Количество = 1</t>
  </si>
  <si>
    <t>Резервуар горизонтальный цилиндрический надземный V=25м3</t>
  </si>
  <si>
    <t>32</t>
  </si>
  <si>
    <t>НЗ №849/пр Объекты газовой промышленности. 2023 г. Таблица 3.7. Объекты подготовки газа, газового конденсата (УКПГ, УППГ, УПТГ, ГС), п.31
A = 467.7 тыс. руб.B = 0.398 тыс. руб.;
Xмин = 50;
Хзад = 25 (куб.м);
Количество = 1</t>
  </si>
  <si>
    <t>Резервуар горизонтальный цилиндрический подземный V=3м3</t>
  </si>
  <si>
    <t>33</t>
  </si>
  <si>
    <t>НЗ №849/пр Объекты газовой промышленности. 2023 г. Таблица 3.7. Объекты подготовки газа, газового конденсата (УКПГ, УППГ, УПТГ, ГС), п.31
A = 467.7 тыс. руб.B = 0.398 тыс. руб.;
Xмин = 50;
Хзад = 3 (куб.м);
Количество = 1</t>
  </si>
  <si>
    <t>К'пон = 0.12
понижающий коэффициент, учитывающий разницу в трудоемкости работ по проектируемому объекту и объекту аналогу. (Методика 707/пр п.131(3)) (Ценообразующий)</t>
  </si>
  <si>
    <t>Колодец приёмный (сливной) на одну линию приёма DN 80. Габариты - 1800х1000х850 мм. Надземный</t>
  </si>
  <si>
    <t>34</t>
  </si>
  <si>
    <t xml:space="preserve">Здания и сооружения. Дренажная емкость. Без насоса. </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</si>
  <si>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п.1.91
A = 103.6 тыс.руб; 
Количество = 1 (емкость)</t>
  </si>
  <si>
    <t>Линейные трубопроводы</t>
  </si>
  <si>
    <t>35</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</si>
  <si>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0.95 (км);
Количество = 1</t>
  </si>
  <si>
    <t>Общестанционные трубопроводы</t>
  </si>
  <si>
    <t>36</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</si>
  <si>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0.1 (км);
Количество = 1</t>
  </si>
  <si>
    <t>К'пон = 0.2
понижающий коэффициент, учитывающий разницу в трудоемкости работ по проектируемому объекту и объекту аналогу. (Методика 707/пр п.131(3)) (Ценообразующий)</t>
  </si>
  <si>
    <t>Этап 16</t>
  </si>
  <si>
    <t>4212.012.Р.16/0.0004.Г3.001.40203.000-ГСН</t>
  </si>
  <si>
    <t>37</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</si>
  <si>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0.172 (км);
Количество = 1</t>
  </si>
  <si>
    <t>К'пон = 0.34
понижающий коэффициент, учитывающий разницу в трудоемкости работ по проектируемому объекту и объекту аналогу. (Методика 707/пр п.131(3)) (Ценообразующий)</t>
  </si>
  <si>
    <t>Этап 2</t>
  </si>
  <si>
    <t>поз.188 Склад дизтоплива расходный V=5 м3</t>
  </si>
  <si>
    <t>38</t>
  </si>
  <si>
    <t>НЗ №849/пр Объекты газовой промышленности. 2023 г. Таблица 3.7. Объекты подготовки газа, газового конденсата (УКПГ, УППГ, УПТГ, ГС), п.31
A = 467.7 тыс. руб.B = 0.398 тыс. руб.;
Xмин = 50;
Хзад = 5 (куб.м);
Количество = 1</t>
  </si>
  <si>
    <t>поз.189 Подземная дренажная емкость дизтоплива V=3 м3</t>
  </si>
  <si>
    <t>39</t>
  </si>
  <si>
    <t>поз.224 Механическая мастерская</t>
  </si>
  <si>
    <t>40</t>
  </si>
  <si>
    <t>Ремонтно-механическая мастерская (РММ) со складом оборудования, материалов и другие, аналогичные здания и сооружения объемом 5000 куб.м</t>
  </si>
  <si>
    <t>НЗ №849/пр Объекты газовой промышленности. 2023 г. Таблица 3.8. Объекты общетехнического назначения, п.4
A = 556.1 тыс. руб.
Количество = 1 (объект)</t>
  </si>
  <si>
    <t>поз.229 Площадка теплообменника, насосов и концевой трапной установки</t>
  </si>
  <si>
    <t>42</t>
  </si>
  <si>
    <t>НЗ №849/пр Объекты газовой промышленности. 2023 г. Таблица 3.7. Объекты подготовки газа, газового конденсата (УКПГ, УППГ, УПТГ, ГС), п.27
A = 471.8 тыс. руб.B = 10.314 тыс. руб.;
Xмин = 80;
Хзад = 10 (куб.м/час);
Количество = 1</t>
  </si>
  <si>
    <t>К'пон = 0.25
понижающий коэффициент, учитывающий разницу в трудоемкости работ по проектируемому объекту и объекту аналогу. (Методика 707/пр п.131(3)) (Ценообразующий)</t>
  </si>
  <si>
    <t>поз.232 Емкость дренажная метанола V=40м3</t>
  </si>
  <si>
    <t>43</t>
  </si>
  <si>
    <t>поз.233 Емкость дренажная метанола V=25м3</t>
  </si>
  <si>
    <t>44</t>
  </si>
  <si>
    <t>поз.253 Склад дизтоплива расходный V=25 м3</t>
  </si>
  <si>
    <t>45</t>
  </si>
  <si>
    <t>поз.254 Склад дизтоплива расходный V=25 м3</t>
  </si>
  <si>
    <t>46</t>
  </si>
  <si>
    <t>поз.255 Склад дизтоплива расходный V=25 м3</t>
  </si>
  <si>
    <t>47</t>
  </si>
  <si>
    <t>поз.260 Дренажная ёмкость (метанол) V=8м3</t>
  </si>
  <si>
    <t>48</t>
  </si>
  <si>
    <t>Коммуникации по эстакадам (изм. 0) 4212.012.Р.16/0.0004.ПлППГ.000.31613.000-ИК1</t>
  </si>
  <si>
    <t>49</t>
  </si>
  <si>
    <t>4212.012.Р.16/0.0004.ВПК.007.41304.000-ИК</t>
  </si>
  <si>
    <t>50</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</si>
  <si>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0.662 (км);
Количество = 1</t>
  </si>
  <si>
    <t>4212.012.Р.16/0.0004.ВПК.008.41304.000-ИК</t>
  </si>
  <si>
    <t>51</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</si>
  <si>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0.643 (км);
Количество = 1</t>
  </si>
  <si>
    <t>Этап 12</t>
  </si>
  <si>
    <t>поз.4 Площадка расходных ёмкостей ДЭГа (ТЭГа) V=2х50м3</t>
  </si>
  <si>
    <t>52</t>
  </si>
  <si>
    <t>НЗ №849/пр Объекты газовой промышленности. 2023 г. Таблица 3.7. Объекты подготовки газа, газового конденсата (УКПГ, УППГ, УПТГ, ГС), п.29
A = 532 тыс. руб.B = 618.795 тыс. руб.;
Xмин = 1;
Хзад = 0.01 (тыс.куб.м);
Количество = 1</t>
  </si>
  <si>
    <t>4212.012.Р.12/0.0004.ВПК.006.41304.000-ИК</t>
  </si>
  <si>
    <t>53</t>
  </si>
  <si>
    <t>НЗ №849/пр Объекты газовой промышленности. 2023 г. Таблица 3.6. Объекты сбора газа (шлейфы, коллекторы и межцеховые трубопроводы), п.1
A = 61.9 тыс.руб; B = 15.484 тыс.руб;
Xзад = 1.274 (км);
Количество = 1</t>
  </si>
  <si>
    <t>Этап 3 (Объекты на площадке ГРП 2А)</t>
  </si>
  <si>
    <t>001 - Технологический корпус №1</t>
  </si>
  <si>
    <t>54</t>
  </si>
  <si>
    <t>Установка первичной сепарации газа производительностью от 10 млн.куб.м/сут до 60 млн.куб.м/сут включительно</t>
  </si>
  <si>
    <t>НЗ №849/пр Объекты газовой промышленности. 2023 г. Таблица 3.7. Объекты подготовки газа, газового конденсата (УКПГ, УППГ, УПТГ, ГС), п.2
A = 1 493.1 тыс. руб.B = 22.794 тыс. руб.;
Хзад = 10.95 (млн.куб.м/сут);
Количество = 1</t>
  </si>
  <si>
    <t>002 - Технологический корпус №2</t>
  </si>
  <si>
    <t>55</t>
  </si>
  <si>
    <t>004 - Резервуар, емкость дренажно-аварийная</t>
  </si>
  <si>
    <t>56</t>
  </si>
  <si>
    <t>Установка дренажной емкости без погружного насоса объемом до 50 куб.м</t>
  </si>
  <si>
    <t>НЗ №849/пр Объекты газовой промышленности. 2023 г. Таблица 3.7. Объекты подготовки газа, газового конденсата (УКПГ, УППГ, УПТГ, ГС), п.40
A = 699.9 тыс. руб.
Количество = 1 (объект)</t>
  </si>
  <si>
    <t>005 - Резервуар, емкость расходная метанола</t>
  </si>
  <si>
    <t>57</t>
  </si>
  <si>
    <t>НЗ №849/пр Объекты газовой промышленности. 2023 г. Таблица 3.7. Объекты подготовки газа, газового конденсата (УКПГ, УППГ, УПТГ, ГС), п.31
A = 467.7 тыс. руб.B = 0.398 тыс. руб.;
Хзад = 100 (куб.м);
Количество = 1</t>
  </si>
  <si>
    <t>006 - Резервуар, емкость дренажно-аварийная</t>
  </si>
  <si>
    <t>58</t>
  </si>
  <si>
    <t>008 - Станция насосная</t>
  </si>
  <si>
    <t>59</t>
  </si>
  <si>
    <t>Установка приема, смешения и подачи ингибитора в скважины производительностью от 20 л/час до 200 л/час включительно</t>
  </si>
  <si>
    <t>НЗ №849/пр Объекты газовой промышленности. 2023 г. Таблица 3.7. Объекты подготовки газа, газового конденсата (УКПГ, УППГ, УПТГ, ГС), п.20
A = 114.1 тыс. руб.B = 19.581 тыс. руб.;
Xмакс = 200;
Хзад = 1000 (л/час);
Количество = 1</t>
  </si>
  <si>
    <t>016 - Склад дизтоплива расходный V=10 м3</t>
  </si>
  <si>
    <t>60</t>
  </si>
  <si>
    <t>НЗ №849/пр Объекты газовой промышленности. 2023 г. Таблица 3.7. Объекты подготовки газа, газового конденсата (УКПГ, УППГ, УПТГ, ГС), п.31
A = 467.7 тыс. руб.B = 0.398 тыс. руб.;
Xмин = 50;
Хзад = 10 (куб.м);
Количество = 1</t>
  </si>
  <si>
    <t>К'пон = 0.4
понижающий коэффициент, учитывающий разницу в трудоемкости работ по проектируемому объекту и объекту аналогу. (Методика 707/пр п.131(3)) (Ценообразующий)</t>
  </si>
  <si>
    <t>019 - Здание операторной</t>
  </si>
  <si>
    <t>61</t>
  </si>
  <si>
    <t xml:space="preserve">Центральной пункт управления, диспетчерская, операторная, СЭБ, СЭРБ. Объем от 100 куб.м до 1000 куб.м включительно. </t>
  </si>
  <si>
    <t>НЗ №849/пр Объекты газовой промышленности. 2023 г. Таблица 3.8. Объекты общетехнического назначения, п.1
A = 1 007.2 тыс.руб; B = 1.085 тыс.руб;
Xзад = 907.2 (куб.м);
Количество = 1</t>
  </si>
  <si>
    <t>024 - Свеча Ду 800мм, Н=30м</t>
  </si>
  <si>
    <t>62</t>
  </si>
  <si>
    <t>НЗ №849/пр Объекты газовой промышленности. 2023 г. Таблица 3.7. Объекты подготовки газа, газового конденсата (УКПГ, УППГ, УПТГ, ГС), п.23
A = 1 320.8 тыс. руб.B = 9.459 тыс. руб.;
Xмин = 7.5;
Хзад = 4.7088 (млн.куб.м/сут);
Количество = 1</t>
  </si>
  <si>
    <t>025 - Установка свечных сепараторов</t>
  </si>
  <si>
    <t>63</t>
  </si>
  <si>
    <t>НЗ №849/пр Объекты газовой промышленности. 2023 г. Таблица 3.7. Объекты подготовки газа, газового конденсата (УКПГ, УППГ, УПТГ, ГС), п.22
A = 415.6 тыс. руб.B = 32.687 тыс. руб.;
Xмин = 7.5;
Хзад = 4.7088 (млн.куб.м/сут);
Количество = 1</t>
  </si>
  <si>
    <t>031 - Ресиверы азота</t>
  </si>
  <si>
    <t>64</t>
  </si>
  <si>
    <t>НЗ №849/пр Объекты газовой промышленности. 2023 г. Таблица 3.7. Объекты подготовки газа, газового конденсата (УКПГ, УППГ, УПТГ, ГС), п.35
A = 6 131.1 тыс. руб.B = 4.907 тыс. руб.;
Xмин = 500;
Хзад = 150 (куб.м/час);
Количество = 1</t>
  </si>
  <si>
    <t>Сети внутриплощадочные (ТК1=0,2 км, ТК2=0,25км, ТК3= 0,35км, ТК4=0,37км)</t>
  </si>
  <si>
    <t>65</t>
  </si>
  <si>
    <t xml:space="preserve">Межцеховые и внеплощадочные сети на эстакадах (теплогазоматериалопроводы). Протяженность от 1 км до 5 км включительно. </t>
  </si>
  <si>
    <t>НЗ №849/пр Объекты газовой промышленности. 2023 г. Таблица 3.7. Объекты подготовки газа, газового конденсата (УКПГ, УППГ, УПТГ, ГС), п.25
A = 3 051.8 тыс.руб; B = 946.944 тыс.руб;
Xзад = 1.17 (км);
Количество = 1</t>
  </si>
  <si>
    <t>ВТМ.2А - Метанолопровод внутрипромысловый  к ГРП.2А</t>
  </si>
  <si>
    <t>4212.00.Р.04.ВТМ.2А.000.Л.000 Инв номер 783977</t>
  </si>
  <si>
    <t>66</t>
  </si>
  <si>
    <t>НЗ №849/пр Объекты газовой промышленности. 2023 г. Таблица 3.6. Объекты сбора газа (шлейфы, коллекторы и межцеховые трубопроводы), п.1
A = 61.9 тыс.руб; B = 15.484 тыс.руб;
Xзад = 1.485 (км);
Количество = 1</t>
  </si>
  <si>
    <t>Г3.2А - Межпоселковый газопровод высокого давления II категории от коллектора ПППГ-ГРП5 до ГРП 2А</t>
  </si>
  <si>
    <t>4212.00.Р.04.Г3.2А.000.ГСН.000 Инв номер 784436</t>
  </si>
  <si>
    <t>67</t>
  </si>
  <si>
    <t>НЗ №849/пр Объекты газовой промышленности. 2023 г. Таблица 3.6. Объекты сбора газа (шлейфы, коллекторы и межцеховые трубопроводы), п.1
A = 61.9 тыс.руб; B = 15.484 тыс.руб;
Xзад = 2.42 (км);
Количество = 1</t>
  </si>
  <si>
    <t>Внутриплощадочные сети 4212.00.Р.04 - Реконструкция газопромысловых сооружений Степновской СПХГ.</t>
  </si>
  <si>
    <t>4212.012.Р.3/0.0004.ГРП.02А.31610.000-ТХ</t>
  </si>
  <si>
    <t>68</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</si>
  <si>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0.235 (км);
Количество = 1</t>
  </si>
  <si>
    <t>К'пон = 0.47
понижающий коэффициент, учитывающий разницу в трудоемкости работ по проектируемому объекту и объекту аналогу. (Методика 707/пр п.131(3)) (Ценообразующий)</t>
  </si>
  <si>
    <t>4212.00.Р.04.ВТГз.2А.000.Л.000</t>
  </si>
  <si>
    <t>69</t>
  </si>
  <si>
    <t>НЗ №849/пр Объекты газовой промышленности. 2023 г. Таблица 3.6. Объекты сбора газа (шлейфы, коллекторы и межцеховые трубопроводы), п.1
A = 61.9 тыс.руб; B = 15.484 тыс.руб;
Xзад = 2 (км);
Количество = 1</t>
  </si>
  <si>
    <t>4212.00.Р.04.ВТК.ГРП.2А.000.Л.000</t>
  </si>
  <si>
    <t>70</t>
  </si>
  <si>
    <t>4212.00.Р.04.ГК.2 А.000.Л.000</t>
  </si>
  <si>
    <t>71</t>
  </si>
  <si>
    <t>72</t>
  </si>
  <si>
    <t>73</t>
  </si>
  <si>
    <t>74</t>
  </si>
  <si>
    <t>Смета №3</t>
  </si>
  <si>
    <t>Поз. 220 Здание котельной</t>
  </si>
  <si>
    <t xml:space="preserve">Автономные источники теплоснабжения (АИТ). Теплопроизводительность свыше 10 до 20 МВт. </t>
  </si>
  <si>
    <t>Газооборудование и газоснабжение промышленных предприятий, зданий и сооружений. 2015 г. Таблица 2. Автономные источники теплоснабжения (АИТ), п.4
A = 770.111 тыс.руб; B = 14.84 тыс.руб;
Xзад = 20 (МВт);
Количество = 1</t>
  </si>
  <si>
    <t>(A + B * Xзад) * Количество * Ктек * Кст
(770 111 руб. + 14 840 руб. * 20) * 1 * 7.22 * 0.6</t>
  </si>
  <si>
    <t>224 Механическая мастерская</t>
  </si>
  <si>
    <t>A * Количество * Ктек * Кст
556 100 руб. * 1 * 1.56 * 0.6</t>
  </si>
  <si>
    <t>Поз. 226 Здание установки разделения и выветривания конденсата</t>
  </si>
  <si>
    <t>Установка стабилизации конденсата по схеме выветривания с прямым огневым нагревом производительностью от 50 т/час до 200 т/час включительно по сырью</t>
  </si>
  <si>
    <t>НЗ №849/пр Объекты газовой промышленности. 2023 г. Таблица 3.7. Объекты подготовки газа, газового конденсата (УКПГ, УППГ, УПТГ, ГС), п.13
A = 4 367 тыс. руб.B = 13.577 тыс. руб.;
Хзад = 50 (т/час по сырью);
Количество = 1</t>
  </si>
  <si>
    <t>(A + B * Xзад) * Количество * Ктек * Кст
(4 367 000 руб. + 13 577 руб. * 50) * 1 * 1.56 * 0.6</t>
  </si>
  <si>
    <t>4212.012.Р.12/0.0004.ПРЛВЖ.000.31194.004-ТС</t>
  </si>
  <si>
    <t xml:space="preserve">Внутриплощадочные инженерные сети. Тепло-, газо-, материалопроводы на эстакадах. Длина трассы до 0.1 км. </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</si>
  <si>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п.2.3
A = 1 695.18 тыс.руб; B = 1 100.96 тыс.руб;
Xмин = 0.1;
Xзад = 0.015 (км);
Количество = 1</t>
  </si>
  <si>
    <t>(A + B * (0.4 * Xмин + 0.6 * (Xмин / 2))) * Количество * Кпон * Ктек * Кст * K1
(1 695 180 руб. + 1 100 960 руб. * (0.4 * 0.1 + 0.6 * (0.1 / 2))) * 1 * 0.3 * 7.22 * 0.6 * 0.5 * 0.7</t>
  </si>
  <si>
    <t>К'пон = 0.3
понижающий коэффициент, учитывающий разницу в трудоемкости работ по проектируемому объекту и объекту аналогу. (Методика 707/пр п.131(3)) (Ценообразующий)</t>
  </si>
  <si>
    <t>При проектировании трассы с 1-5 трубопроводами вводится коэффициент</t>
  </si>
  <si>
    <t>K1 = 0.5
Глава 2.5, п.2.5.6 (Ценообразующий)</t>
  </si>
  <si>
    <t xml:space="preserve">Исключенные разделы документации </t>
  </si>
  <si>
    <t>1. Схема планировочной организации земельного участка</t>
  </si>
  <si>
    <t>5%</t>
  </si>
  <si>
    <t>2. Архитектурные решения. Конструктивные и объемно-планировочные решения</t>
  </si>
  <si>
    <t>25%</t>
  </si>
  <si>
    <t>4212.012.Р.12/0.0004.ПРЛВЖ.000.31122.006-ТС</t>
  </si>
  <si>
    <t>4212.00.Р.04.РЛВЖ.000.000.ТК.000</t>
  </si>
  <si>
    <t xml:space="preserve">Внутриплощадочные инженерные сети. Тепло-, газо-, материалопроводы на эстакадах. Длина трассы свыше 0.1 до 0.3 км. </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</si>
  <si>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п.2.4
A = 1 700.5 тыс.руб; B = 1 047.8 тыс.руб;
Xзад = 0.3 (км);
Количество = 1</t>
  </si>
  <si>
    <t>(A + B * Xзад) * Количество * Ктек * Кст * K1
(1 700 500 руб. + 1 047 800 руб. * 0.3) * 1 * 7.22 * 0.6 * 0.5 * 0.7</t>
  </si>
  <si>
    <t>Этап 15 (Установка огневой регенерации ДЭГа КС-3 Степновской СПХГ. 2 пусковой комплекс)</t>
  </si>
  <si>
    <t>4212.008.Р.0/0.0004.КСПХГ.003.0211.200-ТС</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</si>
  <si>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п.2.3
A = 1 695.18 тыс.руб; B = 1 100.96 тыс.руб;
Xмин = 0.1;
Xзад = 0.07 (км);
Количество = 1</t>
  </si>
  <si>
    <t>(A + B * (0.4 * Xмин + 0.6 * Xзад)) * Количество * Ктек * Кст * K1
(1 695 180 руб. + 1 100 960 руб. * (0.4 * 0.1 + 0.6 * 0.07)) * 1 * 7.22 * 0.6 * 0.5 * 0.7</t>
  </si>
  <si>
    <t>4212.00.Р.04.КС.3.000.ТК.000</t>
  </si>
  <si>
    <t xml:space="preserve">Внутриплощадочные инженерные сети. Тепло-, газо-, материалопроводы на эстакадах. Длина трассы свыше 0.5 до 0.85 км. </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</si>
  <si>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п.2.6
A = 1 765.51 тыс.руб; B = 901.79 тыс.руб;
Xзад = 0.55 (км);
Количество = 1</t>
  </si>
  <si>
    <t>(A + B * Xзад) * Количество * Ктек * Кст * K1
(1 765 510 руб. + 901 790 руб. * 0.55) * 1 * 7.22 * 0.6 * 0.5 * 0.7</t>
  </si>
  <si>
    <t>4212.00.Р.04.КС.3.000.ТК1.000</t>
  </si>
  <si>
    <t xml:space="preserve">Внутриплощадочные инженерные сети. Тепло-, газо-, материалопроводы на эстакадах. Длина трассы свыше 0.3 до 0.5 км. </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</si>
  <si>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п.2.5
A = 1 712.5 тыс.руб; B = 1 007.8 тыс.руб;
Xзад = 0.36 (км);
Количество = 1</t>
  </si>
  <si>
    <t>(A + B * Xзад) * Количество * Ктек * Кст * K1
(1 712 500 руб. + 1 007 800 руб. * 0.36) * 1 * 7.22 * 0.6 * 0.5 * 0.7</t>
  </si>
  <si>
    <t>4212.00.Р.04.КС.3.000.ТК3.000</t>
  </si>
  <si>
    <t xml:space="preserve">Внутриплощадочные инженерные сети. Тепло-, газо-, материалопроводы на эстакадах. Длина трассы свыше 0.85 до 4 км. </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</si>
  <si>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п.2.7
A = 1 959.98 тыс.руб; B = 673 тыс.руб;
Xзад = 2.2 (км);
Количество = 1</t>
  </si>
  <si>
    <t>(A + B * Xзад) * Количество * Ктек * Кст * K1
(1 959 980 руб. + 673 000 руб. * 2.2) * 1 * 7.22 * 0.6 * 0.5 * 0.7</t>
  </si>
  <si>
    <t>4212.012.Р.16/0.0004.ПлППГ.000.35704.001-ТС</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</si>
  <si>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п.2.6
A = 1 765.51 тыс.руб; B = 901.79 тыс.руб;
Xзад = 0.6 (км);
Количество = 1</t>
  </si>
  <si>
    <t>(A + B * Xзад) * Количество * Ктек * Кст * K1
(1 765 510 руб. + 901 790 руб. * 0.6) * 1 * 7.22 * 0.6 * 0.8 * 0.7</t>
  </si>
  <si>
    <t xml:space="preserve">При проектировании трассы с трубопроводами от 6 до 25 вводится коэффициент </t>
  </si>
  <si>
    <t>K1 = 0.8
Глава 2.5, п.2.5.6 (Ценообразующий)</t>
  </si>
  <si>
    <t>4212.012.Р.16/0.0004.ПлППГ.000.38616.004-ТС</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</si>
  <si>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п.2.3
A = 1 695.18 тыс.руб; B = 1 100.96 тыс.руб;
Xмин = 0.1;
Xзад = 0.04 (км);
Количество = 1</t>
  </si>
  <si>
    <t>(A + B * (0.4 * Xмин + 0.6 * (Xмин / 2))) * Количество * Кпон * Ктек * Кст * K1
(1 695 180 руб. + 1 100 960 руб. * (0.4 * 0.1 + 0.6 * (0.1 / 2))) * 1 * 0.8 * 7.22 * 0.6 * 0.5 * 0.7</t>
  </si>
  <si>
    <t>Поз.5 Блок-бокс электропарогенератора</t>
  </si>
  <si>
    <t>Котлы, парогенераторы ТЭЦ, котельных t до 400 °С</t>
  </si>
  <si>
    <t>Промышленные печи, сушила, дымовые и вентиляционные трубы, конструкции тепловой изоляции и антикоррозионной защиты. 2004 год. Часть 2. Базовые цены на проектные работы. Глава 3. Теплоизоляционные конструкции. Таблица 34. Аппараты  п.10
A = 162.75 тыс. руб.
Количество = 1 (котел, парогенератор)</t>
  </si>
  <si>
    <t>Полный комплекс работ
(100%):
A * Количество * Ктек * Кст
162 750 руб. * 1 * 7.22 * 0.6</t>
  </si>
  <si>
    <t>Этап 27 (Объекты на площадке КС-5 (частично))</t>
  </si>
  <si>
    <t>4212.00.Р.04.КСПХГ.5.000.ТС.000</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</si>
  <si>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п.2.7
A = 1 959.98 тыс.руб; B = 673 тыс.руб;
Xзад = 1.5 (км);
Количество = 1</t>
  </si>
  <si>
    <t>(A + B * Xзад) * Количество * Ктек * Кст * K1
(1 959 980 руб. + 673 000 руб. * 1.5) * 1 * 7.22 * 0.6 * 0.5 * 0.7</t>
  </si>
  <si>
    <t>4212.00.Р.04.КСПХГ.5.12.ТМ.000</t>
  </si>
  <si>
    <t xml:space="preserve">Автономные источники теплоснабжения (АИТ). Теплопроизводительность свыше 1 до 5 МВт. </t>
  </si>
  <si>
    <t>Газооборудование и газоснабжение промышленных предприятий, зданий и сооружений. 2015 г. Таблица 2. Автономные источники теплоснабжения (АИТ), п.2
A = 379.281 тыс.руб; B = 76.551 тыс.руб;
Xзад = 2.25 (МВт);
Количество = 1</t>
  </si>
  <si>
    <t>(A + B * Xзад) * Количество * Ктек * Кст
(379 281 руб. + 76 551 руб. * 2.25) * 1 * 7.22 * 0.6</t>
  </si>
  <si>
    <t>4212.012.Р.3/0.0004.ГРП.02А.31201.025-ТС</t>
  </si>
  <si>
    <t>4212.012.Р.3/0.0004.ГРП.02А.31111.004-ТС</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</si>
  <si>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п.2.3
A = 1 695.18 тыс.руб; B = 1 100.96 тыс.руб;
Xмин = 0.1;
Xзад = 0.01 (км);
Количество = 1</t>
  </si>
  <si>
    <t>(A + B * (0.4 * Xмин + 0.6 * (Xмин / 2))) * Количество * Кпон * Ктек * Кст * K1
(1 695 180 руб. + 1 100 960 руб. * (0.4 * 0.1 + 0.6 * (0.1 / 2))) * 1 * 0.2 * 7.22 * 0.6 * 0.5 * 0.7</t>
  </si>
  <si>
    <t>4212.00.Р.04.ГРП.2А.000.ТК2.000</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</si>
  <si>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п.2.4
A = 1 700.5 тыс.руб; B = 1 047.8 тыс.руб;
Xзад = 0.25 (км);
Количество = 1</t>
  </si>
  <si>
    <t>(A + B * Xзад) * Количество * Ктек * Кст * K1
(1 700 500 руб. + 1 047 800 руб. * 0.25) * 1 * 7.22 * 0.6 * 0.5 * 0.7</t>
  </si>
  <si>
    <t>4212.00.Р.04.ГРП.2А.000.ТК4.000</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</si>
  <si>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п.2.5
A = 1 712.5 тыс.руб; B = 1 007.8 тыс.руб;
Xзад = 0.37 (км);
Количество = 1</t>
  </si>
  <si>
    <t>(A + B * Xзад) * Количество * Ктек * Кст * K1
(1 712 500 руб. + 1 007 800 руб. * 0.37) * 1 * 7.22 * 0.6 * 0.5 * 0.7</t>
  </si>
  <si>
    <t>4212.012.Р.3/0.0004.ГРП.02А.21701.012-ТМ</t>
  </si>
  <si>
    <t>Газооборудование и газоснабжение промышленных предприятий, зданий и сооружений. 2015 г. Таблица 2. Автономные источники теплоснабжения (АИТ), п.2
A = 379.281 тыс.руб; B = 76.551 тыс.руб;
Xзад = 1.95 (МВт);
Количество = 1</t>
  </si>
  <si>
    <t>(A + B * Xзад) * Количество * Ктек * Кст
(379 281 руб. + 76 551 руб. * 1.95) * 1 * 7.22 * 0.6</t>
  </si>
  <si>
    <t>Коэф-т 1 от п.21 * 0.8
54 143 984.08 руб. * 1 * 0.8</t>
  </si>
  <si>
    <t>Смета №3.5.1</t>
  </si>
  <si>
    <t>Этап 12 (Площадка РЛВЖ) АСУ ТП</t>
  </si>
  <si>
    <t>Наименование объекта</t>
  </si>
  <si>
    <t>Сети внутриплощадочные
001 - Резервуарный парк метанола V=2х700 м3
002 - Здание насосной парков метанола и ДЭГа (ТЭГа)
003 - Емкость приемно-дренажная для метанола V=40 м3
004 - Площадка расходных ёмкостей ДЭГа (ТЭГа) V=2х50м3
005 - Резервуарный парк конденсата  V=2х200м3
006 - Ёмкость приёмно-дренажная для ДЭГа (ТЭГа) V=25м3
008 - Площадка манифольдной парка метанола
009 - Ёмкость приёмно-дренажная для конденсата V=40м3
010 - Площадка свечи с гидрозатвором (метанол)
011 - Площадка свечи с гидрозатвором (конденсат)
012 - Площадка манифольдной резервуарного парка конденсата
021 - Резервуар, емкость расходная дизельного топлива</t>
  </si>
  <si>
    <t>Стадия</t>
  </si>
  <si>
    <t>Наименование организации Заказчика</t>
  </si>
  <si>
    <t>Наименование проектной организации</t>
  </si>
  <si>
    <t>Смета составлена на основании "СБЦ на проектные работы в строительстве "Автоматизированные системы управления технологическими процессами (АСУТП)" (2016г.)</t>
  </si>
  <si>
    <t>1. Краткая характеристика объекта автоматизации:</t>
  </si>
  <si>
    <t>Новое строительство</t>
  </si>
  <si>
    <t>Реконструкция, модернизация, тех. перевооружение</t>
  </si>
  <si>
    <t xml:space="preserve">Требование на разработку ТЗ к созданию АСУ ТП: </t>
  </si>
  <si>
    <t>Нет</t>
  </si>
  <si>
    <t>Да</t>
  </si>
  <si>
    <t>Требуемые части документации АСУ ТП:</t>
  </si>
  <si>
    <t>ОР</t>
  </si>
  <si>
    <t>ОО</t>
  </si>
  <si>
    <t>ИО</t>
  </si>
  <si>
    <t>ТО</t>
  </si>
  <si>
    <t>МО</t>
  </si>
  <si>
    <t>ПО</t>
  </si>
  <si>
    <t>2. Исходные данные:</t>
  </si>
  <si>
    <t>Трудоемкость разработки ТЗ на создание АСУ ТП</t>
  </si>
  <si>
    <t>Основные факторы, определяющие трудоемкость разработки</t>
  </si>
  <si>
    <t>Количество баллов</t>
  </si>
  <si>
    <t>Фактор</t>
  </si>
  <si>
    <t>Наименование</t>
  </si>
  <si>
    <t>Определение</t>
  </si>
  <si>
    <t>ТЗ</t>
  </si>
  <si>
    <t>Ф1</t>
  </si>
  <si>
    <t>Степень научно-технической новизны (ТОУ)</t>
  </si>
  <si>
    <t>I степень - ТОУ имеет действующие аналоги в России и, возможно за рубежом</t>
  </si>
  <si>
    <t>II степень - ТОУ имеет действующие аналоги только за рубежом</t>
  </si>
  <si>
    <t>III степень - ни с конструкторской, ни с технологической точек зрения ТОУ не является принципиально новым объектом, но действующих аналогов не имеет</t>
  </si>
  <si>
    <t>IV степень - с конструкторской и (или) технологической точек зрения ТОУ является принципиально новым объектом</t>
  </si>
  <si>
    <t>Ф2</t>
  </si>
  <si>
    <t>Характер протекания управляемого технологического процесса во времени</t>
  </si>
  <si>
    <t>Непрерывный (с длительным поддержанием режимов, близких к установившимся, и практически безостановочной подачей сырья и реагентов)</t>
  </si>
  <si>
    <t>Полунепрерывный (непрерывный, с существенными для управления переходными режимами, вызванными либо добавками (заменами) сырья или реагентов, либо выдачей продукции)</t>
  </si>
  <si>
    <t>Непрерывно-дискретный - I (сочетающий непрерывные и прерывистые режимы на различных стадиях процесса)</t>
  </si>
  <si>
    <t>Непрерывно-дискретный - II (сочетающий непрерывные и прерывистые режимы с малой длительностью непрерывных режимов в аварийных условиях)</t>
  </si>
  <si>
    <t>2.5</t>
  </si>
  <si>
    <t>Циклический (прерывистый, с существенной для управления длительностью интервалов непрерывного функционирования и циклическим следованием интервалов с различными режимами)</t>
  </si>
  <si>
    <t>2.6</t>
  </si>
  <si>
    <t>Дискретный (прерывистый, с малой, несущественной для управления, длительностью непрерывных технологических операций)</t>
  </si>
  <si>
    <t>Ф3</t>
  </si>
  <si>
    <t>Количество технологических операций, выполняемых на ТОУ</t>
  </si>
  <si>
    <t>свыше 10 до 20</t>
  </si>
  <si>
    <t>до 5</t>
  </si>
  <si>
    <t>свыше 5 до 10</t>
  </si>
  <si>
    <t>свыше 20 до 35</t>
  </si>
  <si>
    <t>свыше 35 до 50</t>
  </si>
  <si>
    <t>свыше 50 до 70</t>
  </si>
  <si>
    <t>свыше 70 до 100</t>
  </si>
  <si>
    <t>за каждые 50 свыше 100</t>
  </si>
  <si>
    <t>Ф4</t>
  </si>
  <si>
    <t>Количество переменных, характеризующих ТОУ</t>
  </si>
  <si>
    <t>свыше 470 до 600</t>
  </si>
  <si>
    <t>4.1</t>
  </si>
  <si>
    <t>до 20</t>
  </si>
  <si>
    <t>4.2</t>
  </si>
  <si>
    <t>свыше 20 до 50</t>
  </si>
  <si>
    <t>4.3</t>
  </si>
  <si>
    <t>свыше 50 до 100</t>
  </si>
  <si>
    <t>4.4</t>
  </si>
  <si>
    <t>свыше 100 до 170</t>
  </si>
  <si>
    <t>4.5</t>
  </si>
  <si>
    <t>свыше 170 до 250</t>
  </si>
  <si>
    <t>4.6</t>
  </si>
  <si>
    <t>свыше 250 до 350</t>
  </si>
  <si>
    <t>4.7</t>
  </si>
  <si>
    <t>свыше 350 до 470</t>
  </si>
  <si>
    <t>4.8</t>
  </si>
  <si>
    <t>4.9</t>
  </si>
  <si>
    <t>свыше 600 до 800</t>
  </si>
  <si>
    <t>4.10</t>
  </si>
  <si>
    <t>свыше 800 до 1000</t>
  </si>
  <si>
    <t>4.11</t>
  </si>
  <si>
    <t>свыше 1000 до 1300</t>
  </si>
  <si>
    <t>4.12</t>
  </si>
  <si>
    <t>свыше 1300 до 1600</t>
  </si>
  <si>
    <t>4.13</t>
  </si>
  <si>
    <t>свыше 1600 до 2000</t>
  </si>
  <si>
    <t>4.14</t>
  </si>
  <si>
    <t>за каждые 500 свыше 2000</t>
  </si>
  <si>
    <t>ИТОГО (ƩБч):</t>
  </si>
  <si>
    <t>Трудоемкость разработки документации на АСУ ТП</t>
  </si>
  <si>
    <t>Количество баллов для частей проектной документации (Бч)</t>
  </si>
  <si>
    <t>1.5</t>
  </si>
  <si>
    <t>1.6</t>
  </si>
  <si>
    <t>Ф5</t>
  </si>
  <si>
    <t>Количество технологических операций, контролируемых или управляемых АСУ ТП</t>
  </si>
  <si>
    <t>За каждые 50 свыше 100 начисляется еще по баллу</t>
  </si>
  <si>
    <t>2.7</t>
  </si>
  <si>
    <t>Ф6</t>
  </si>
  <si>
    <t>Степень развитости информационных функций АСУ ТП</t>
  </si>
  <si>
    <t>III степень - косвенное измерение (вычисление) отдельных комплексных показателей функционирования ТОУ</t>
  </si>
  <si>
    <t>I степень - параллельные контроль и измерение параметров состояния ТОУ</t>
  </si>
  <si>
    <t>II степень - централизованный контроль и измерение параметров состояния ТОУ</t>
  </si>
  <si>
    <t>IV степень - анализ и обобщенная оценка состояния процесса в целом по его модели (распознавание ситуаций, диагностика аварийных состояний, поиск "узкого места", прогноз хода процесса)</t>
  </si>
  <si>
    <t>Ф7</t>
  </si>
  <si>
    <t>Степень развитости управляющих функций АСУ ТП</t>
  </si>
  <si>
    <t>III степень - многосвязное автоматическое регулирование или автоматическое программное логическое управление по циклу с разветвлениями</t>
  </si>
  <si>
    <t>I степень - одноконтурное автоматическое регулирование или автоматическое однотактное логическое управление (переключения, блокировки и тому подобное)</t>
  </si>
  <si>
    <t>7.2</t>
  </si>
  <si>
    <t>II степень - каскадное и (или) программное автоматическое регулирование или автоматическое программное логическое управление по "жесткому" циклу</t>
  </si>
  <si>
    <t>7.3</t>
  </si>
  <si>
    <t>7.4</t>
  </si>
  <si>
    <t>IV степень - оптимальное управление установившимися режимами (в статике)</t>
  </si>
  <si>
    <t>7.5</t>
  </si>
  <si>
    <t>V степень - оптимальное управление переходными процессами или процессом в целом (оптимизация в динамике)</t>
  </si>
  <si>
    <t>7.6</t>
  </si>
  <si>
    <t>VI степень - оптимальное управление быстропротекающими переходными процессами в аварийных условиях</t>
  </si>
  <si>
    <t>7.7</t>
  </si>
  <si>
    <t>VII степень - оптимальное управление с адаптацией (самообучением и изменением алгоритмов и параметров системы)</t>
  </si>
  <si>
    <t>Ф8</t>
  </si>
  <si>
    <t>Режим выполнения управляющих фукций АСУ ТП</t>
  </si>
  <si>
    <t>Автоматический режим прямого (непосредственного) цифрового (или аналого-цифрового) управления</t>
  </si>
  <si>
    <t>5.1</t>
  </si>
  <si>
    <t>Автоматизированный "ручной" режим</t>
  </si>
  <si>
    <t>5.2</t>
  </si>
  <si>
    <t>Автоматизированный режим "советчика"</t>
  </si>
  <si>
    <t>5.3</t>
  </si>
  <si>
    <t>Автоматизированный диалоговый режим</t>
  </si>
  <si>
    <t>5.4</t>
  </si>
  <si>
    <t>Автоматический режим косвенного управления</t>
  </si>
  <si>
    <t>5.5</t>
  </si>
  <si>
    <t>Ф9</t>
  </si>
  <si>
    <t>Количество переменных, измеряемых, контролируемых и регистрируемых АСУ ТП</t>
  </si>
  <si>
    <t>6.1</t>
  </si>
  <si>
    <t>6.2</t>
  </si>
  <si>
    <t>6.3</t>
  </si>
  <si>
    <t>6.4</t>
  </si>
  <si>
    <t>6.5</t>
  </si>
  <si>
    <t>6.6</t>
  </si>
  <si>
    <t>6.7</t>
  </si>
  <si>
    <t>6.8</t>
  </si>
  <si>
    <t>6.9</t>
  </si>
  <si>
    <t>6.10</t>
  </si>
  <si>
    <t>6.11</t>
  </si>
  <si>
    <t>6.12</t>
  </si>
  <si>
    <t>6.13</t>
  </si>
  <si>
    <t>6.14</t>
  </si>
  <si>
    <t>Ф10</t>
  </si>
  <si>
    <t>Количество управляющих воздействий, вырабатываемых АСУ ТП</t>
  </si>
  <si>
    <t>свыше 90 до 120</t>
  </si>
  <si>
    <t>свыше 20 до 40</t>
  </si>
  <si>
    <t>свыше 40 до 60</t>
  </si>
  <si>
    <t>свыше 60 до 90</t>
  </si>
  <si>
    <t>7.8</t>
  </si>
  <si>
    <t>свыше 120 до 160</t>
  </si>
  <si>
    <t>7.9</t>
  </si>
  <si>
    <t>свыше 160 до 200</t>
  </si>
  <si>
    <t>свыше 200 до 250</t>
  </si>
  <si>
    <t>свыше 250 до 300</t>
  </si>
  <si>
    <t>свыше 300 до 350</t>
  </si>
  <si>
    <t>свыше 350 до 400</t>
  </si>
  <si>
    <t>за каждые 70 свыше 400</t>
  </si>
  <si>
    <t>3. Устанавливаются следующие значения коэффициентов:</t>
  </si>
  <si>
    <t>Величина коэффициента для частей проектной документации</t>
  </si>
  <si>
    <t>Коэффициенты к установленным ценам и условия их применения</t>
  </si>
  <si>
    <t>Обозначение</t>
  </si>
  <si>
    <t>Тип</t>
  </si>
  <si>
    <t>Условия применения</t>
  </si>
  <si>
    <t>Значение</t>
  </si>
  <si>
    <t>Испол</t>
  </si>
  <si>
    <t>Размер Коэф</t>
  </si>
  <si>
    <t>К1</t>
  </si>
  <si>
    <t>ПН</t>
  </si>
  <si>
    <t>АСУТП не является впервые разрабатываемой
(0,4 - 0,8)</t>
  </si>
  <si>
    <t>К об</t>
  </si>
  <si>
    <t>АСУ выполняется в сокращенном, против учтенного ценами, объеме</t>
  </si>
  <si>
    <t>К12</t>
  </si>
  <si>
    <t>Разработка документации на АСУТП выполняется в связи с ее реконструкцией (модернизацией, техническим перевооружением) (от 0,4 до 0,8)</t>
  </si>
  <si>
    <t>К2</t>
  </si>
  <si>
    <t>ПВ</t>
  </si>
  <si>
    <t>АСУТП разрабатывается с целью тиражирования на нескольких однотипных ТОУ (1,2 - 1,4)</t>
  </si>
  <si>
    <t>К3</t>
  </si>
  <si>
    <t>Исходные требования заказчика к АСУТП предусматривают высокую степень развитости управляющих функций системы (1,1 - 1,2)</t>
  </si>
  <si>
    <t>К4</t>
  </si>
  <si>
    <t>АСУТП разрабатывается с учетом нескольких вариантов её построения (реализации) (от 1,05 до 1,3)</t>
  </si>
  <si>
    <t>К5</t>
  </si>
  <si>
    <t>АСУТП создается с использованием технических средств, находящихся в стадии освоения производства (от 1,05 до 1,2)</t>
  </si>
  <si>
    <t>К6</t>
  </si>
  <si>
    <t>АСУТП создается с использованием зарубежных технических средств (от 1,05 до 1,25)</t>
  </si>
  <si>
    <t>К7</t>
  </si>
  <si>
    <t>АСУТП создается с использованием для передачи данных аппаратуры телемеханики, либо средств беспроводной связи, в том числе радиосвязи, либо средств высокочастотной связи по высоковольтным линиям электропередачи (1,1)</t>
  </si>
  <si>
    <t>К8</t>
  </si>
  <si>
    <t>АСУТП или автоматизированный технологический комплекс (АТК), в составе которого она создается, включены в план (перечень объектов) экспериментального проектирования и строительства либо в перечень уникальных или особо важных (важнейших) объектов (строек) (от 1,1 до 1,3)</t>
  </si>
  <si>
    <t>К10.1</t>
  </si>
  <si>
    <t>Производство (объект) повышенного риска (взрывоопасное, пожароопасное) (1,05)</t>
  </si>
  <si>
    <t>К10.2</t>
  </si>
  <si>
    <t>АСУТП подлежит для эксплуатации в зоне холодного климата (1,1)</t>
  </si>
  <si>
    <t>К13</t>
  </si>
  <si>
    <t>АСУТП создается на действующем или реконструируемом (модернизируемом, расширяемом, технически перевооружаемом) ТОУ или ТОУ импортной поставки</t>
  </si>
  <si>
    <t>К15</t>
  </si>
  <si>
    <t>Создание АСУТП предусматривает разработку её метрологического обеспечения (от 1,03 до 1,3)</t>
  </si>
  <si>
    <t>Итого понижающие коэффициенты</t>
  </si>
  <si>
    <t>Итого повышающие коэффициенты</t>
  </si>
  <si>
    <t>Кт</t>
  </si>
  <si>
    <t>Итого коэффициент учитывающий трудоемкость</t>
  </si>
  <si>
    <t>К рк</t>
  </si>
  <si>
    <t>Районный коэффициент</t>
  </si>
  <si>
    <t>К ин</t>
  </si>
  <si>
    <t>Коэффициент инфляции</t>
  </si>
  <si>
    <t>Кст (П)</t>
  </si>
  <si>
    <t>Коэффициент для стадии "П", учитывающий распределение базовой цены между стадиями проектирования</t>
  </si>
  <si>
    <t>Кст (Р)</t>
  </si>
  <si>
    <t>Коэффициент для стадии "Р", учитывающий распределение базовой цены между стадиями проектирования</t>
  </si>
  <si>
    <t>4. Расчёт базовой цены разработки документации по АСУ ТП:</t>
  </si>
  <si>
    <t>№
пп</t>
  </si>
  <si>
    <t>Базовая цена разработки документации</t>
  </si>
  <si>
    <t>Примечание</t>
  </si>
  <si>
    <t>Расчетное количество баллов (п.2.1)</t>
  </si>
  <si>
    <t>Ценностные множители для частей документации на АСУТП</t>
  </si>
  <si>
    <t>Кол-во КП</t>
  </si>
  <si>
    <t>Базовая цена двухстадийной разработки проектной документации на АСУ ТП, тыс.руб.</t>
  </si>
  <si>
    <t>С учетом общего коэффициента учитывающего трудоемкость, тыс.руб.</t>
  </si>
  <si>
    <t>С учетом ценообразующих коэффициентов, тыс.руб.</t>
  </si>
  <si>
    <t>Базовая цена разработки документации для стадии "Р", тыс.руб.</t>
  </si>
  <si>
    <t>Базовая цена разработки документации для стадии "Р"  (руб.), с учетом распределения базовой цены между стадиями проектирования (п.3), для всех частей проектной документации,   в текущих ценах</t>
  </si>
  <si>
    <t>Базовая цена разработки документации для стадии "Р"  (руб.), для всех частей проектной документации, за вычетом цены проектной документации на автоматизацию по основному договору,  в текущих ценах   с К оптимиз.=0,8</t>
  </si>
  <si>
    <t>Итого цена стадии  Р в текущих ценах</t>
  </si>
  <si>
    <t>Смета №3.5.2</t>
  </si>
  <si>
    <t>Этап 15 (Установка огневой регенерации ДЭГа КС-3 Степновской СПХГ. 2 пусковой комплекс) АСУ ТП</t>
  </si>
  <si>
    <t xml:space="preserve">Сети внутриплощадочные
234 - Емкость аварийная дренажная для ДЭГа (ТЭГа) V=40м3
</t>
  </si>
  <si>
    <t>Смета №3.5.3</t>
  </si>
  <si>
    <t>Этап 16 (Площадка печей подогревателей газа Степновской СПХГ) АСУ ТП</t>
  </si>
  <si>
    <t>Сети внутриплощадочные
001 - Установка подогрева газа
006 - Блок-бокс КИПиА
010 - Склад хранения топлива дизельное</t>
  </si>
  <si>
    <t>Смета №3.5.4</t>
  </si>
  <si>
    <t>Этап 27 (Объекты на площадке КС-5) АСУ ТП</t>
  </si>
  <si>
    <t>Сети внутриплощадочные
007 - Здание насосной станции хозяйственно-питьевого водоснабженияпроизводственно-энергетического блока
028 - Резервуар, емкость расходная дизельного топлива
029 - Распределительное устройство закрытое, ЗРУ
040 - Здание КПП</t>
  </si>
  <si>
    <t>Смета №3.5.5</t>
  </si>
  <si>
    <t>Этап 2 (Объекты на площадке КС 3) АСУ ТП</t>
  </si>
  <si>
    <t xml:space="preserve">110 - Насосная станция II подъема
188 - Склад дизтоплива расходный V=5 м3
189 - Подземная дренажная емкость дизтоплива V=3 м3
220 - Здание котельной
224 - Механическая мастерская
229 - Площадка теплообменников, насосов и концевой трапной установки
232 - Емкость дренажная метанола V=40м3
233 - Емкость дренажная метанола V=25м3.
253 - Склад дизтоплива расходный V=25 м3
254 - Склад дизтоплива расходный V=25 м3
255 - Склад дизтоплива расходный V=25 м3
260 - Дренажная ёмкость (метанол) V=8м3
</t>
  </si>
  <si>
    <t>Смета №3.5.6</t>
  </si>
  <si>
    <t>Этап 3 (Объекты на площадке ГРП 2А) АСУ ТП</t>
  </si>
  <si>
    <t>Сети внутриплощадочные
001 - Технологический корпус №1
002 - Технологический корпус №2
004 - Резервуар, емкость дренажно-аварийная
005 - Резервуар, емкость расходная метанола
006 - Резервуар, емкость дренажно-аварийная
008 - Станция насосная
009 - Здание станции насосной водоснабжения производственного
016 - Склад дизтоплива расходный V=10 м3
019 - Здание операторной
022 - Здание контрольно- пропускного пункта</t>
  </si>
  <si>
    <t>Смета №3.6.1</t>
  </si>
  <si>
    <t>Этап 2 (Объекты на площадке КС 3) АСУ Э</t>
  </si>
  <si>
    <t>104 - Распределительное устройство закрытое, ЗРУ</t>
  </si>
  <si>
    <t>Смета №3.6.2</t>
  </si>
  <si>
    <t>Этап 15 (Установка огневой регенерации ДЭГа КС-3 Степновской СПХГ. 2 пусковой комплекс) АСУ Э</t>
  </si>
  <si>
    <t>Сети внутриплощадочные</t>
  </si>
  <si>
    <t>Смета №3.6.3</t>
  </si>
  <si>
    <t>Этап 16 (Площадка печей подогревателей газа Степновской СПХГ) АСУ Э</t>
  </si>
  <si>
    <t>Смета №3.6.4</t>
  </si>
  <si>
    <t>Этап 27 (Объекты на площадке КС-5) АСУ Э</t>
  </si>
  <si>
    <t>Сети внутриплощадочные
029 - Распределительное устройство закрытое, ЗРУ</t>
  </si>
  <si>
    <t>Смета №3.6.5</t>
  </si>
  <si>
    <t>Этап 3 (Объекты на площадке ГРП 2А) АСУ Э</t>
  </si>
  <si>
    <t>Смета №3.7,22</t>
  </si>
  <si>
    <t>Этап 15 (Установка огневой регенерации ДЭГа КС-3 Степновской СПХГ. 2 пусковой комплекс) АЭО</t>
  </si>
  <si>
    <t>Смета №3.7.2</t>
  </si>
  <si>
    <t>Этап 16 (Площадка печей подогревателей газа Степновской СПХГ) АЭО</t>
  </si>
  <si>
    <t>Смета №3.7.3</t>
  </si>
  <si>
    <t>Этап 3 (Объекты на площадке ГРП 2А) АЭО</t>
  </si>
  <si>
    <t>Смета №3.8.1</t>
  </si>
  <si>
    <t>Этап 12 (Площадка РЛВЖ) СПБА</t>
  </si>
  <si>
    <t xml:space="preserve">Сети внутриплощадочные
002 - Здание насосной парков метанола и ДЭГа (ТЭГа)
</t>
  </si>
  <si>
    <t>Смета №3.8.2</t>
  </si>
  <si>
    <t>Этап 15 (Установка огневой регенерации ДЭГа КС-3 Степновской СПХГ. 2 пусковой комплекс) СПБА</t>
  </si>
  <si>
    <r>
      <rPr>
        <sz val="10"/>
        <color theme="1"/>
        <rFont val="Arial"/>
      </rPr>
      <t xml:space="preserve">Сети внутриплощадочные
</t>
    </r>
    <r>
      <rPr>
        <sz val="10"/>
        <color indexed="2"/>
        <rFont val="Arial"/>
      </rPr>
      <t>226 - Здание установки разделения и выветривания конденсата</t>
    </r>
    <r>
      <rPr>
        <sz val="10"/>
        <color theme="1"/>
        <rFont val="Arial"/>
      </rPr>
      <t xml:space="preserve">
</t>
    </r>
  </si>
  <si>
    <t>226 - 14 этап - Газпром проектирование</t>
  </si>
  <si>
    <t>Смета №3.8.3</t>
  </si>
  <si>
    <t>Этап 16 (Площадка печей подогревателей газа Степновской СПХГ) СПБА</t>
  </si>
  <si>
    <t xml:space="preserve">Сети внутриплощадочные
</t>
  </si>
  <si>
    <t>Смета №3.8.4</t>
  </si>
  <si>
    <t>Этап 27 (Объекты на площадке КС-5) СПБА</t>
  </si>
  <si>
    <t xml:space="preserve">007 - Здание насосной станции хозяйственно-питьевого водоснабженияпроизводственно-энергетического блока
</t>
  </si>
  <si>
    <t>Смета №3.8.5</t>
  </si>
  <si>
    <t>Этап 2 (Объекты на площадке КС 3) СПБА</t>
  </si>
  <si>
    <t xml:space="preserve">
224 - Механическая мастерская
</t>
  </si>
  <si>
    <t>Смета №3.8.6</t>
  </si>
  <si>
    <t>Этап 3 (Объекты на площадке ГРП 2А) СПБА</t>
  </si>
  <si>
    <t xml:space="preserve">Сети внутриплощадочные
001 - Технологический корпус №1
002 - Технологический корпус №2
008 - Станция насосная
009 - Здание станции насосной водоснабжения производственного
019 - Здание операторной
</t>
  </si>
  <si>
    <t>Форма 2П</t>
  </si>
  <si>
    <t>Сметы №3.9.1</t>
  </si>
  <si>
    <t>на   проектные работы</t>
  </si>
  <si>
    <t>Наименование объекта, стадии, этапа проектных работ</t>
  </si>
  <si>
    <t xml:space="preserve">Наименование проектной </t>
  </si>
  <si>
    <t>(изыскательской) организации</t>
  </si>
  <si>
    <t>Наименование организации</t>
  </si>
  <si>
    <t>заказчика</t>
  </si>
  <si>
    <t>№ пп.</t>
  </si>
  <si>
    <t>Характеристика предприятия, здания, сооружения или виды работ</t>
  </si>
  <si>
    <t>Номер частей, глав, таблиц, процентов, параграфов и пунктов указаний к разделу Справочника базовых цен на проектные и изыскательские работы для строительства</t>
  </si>
  <si>
    <t>Расчет стоимости: (a+b*)*Ki, или (объем строительно-монтажных работ) * проц./100 или количество * цена</t>
  </si>
  <si>
    <t>Пожарная сигнализация на площади 705 м2</t>
  </si>
  <si>
    <t>СБЦ на ПРС "Системы противопожарной и  охранной защиты"   (табл. 3 п.5)</t>
  </si>
  <si>
    <t>1152*0,6*55,26*1,5*1,2*1,1*1,3</t>
  </si>
  <si>
    <t>К=0,6(стадия Р)</t>
  </si>
  <si>
    <t>К=55,26(инфляц.)</t>
  </si>
  <si>
    <t>К=1,5 п.3 (управление ПЗ и ПБ)</t>
  </si>
  <si>
    <t>К=1,2 п.2.2 (установка вне здания РПИ)</t>
  </si>
  <si>
    <t>К=1,1 п.2.5  (вынос оборудования из здания)</t>
  </si>
  <si>
    <t>К=1,3 п.2.5 (взрывоопасность )</t>
  </si>
  <si>
    <t>Система оповещения людей о пожаре на площади  705 м2</t>
  </si>
  <si>
    <t>СБЦ на ПРС "Системы противопожарной и  охранной защиты"   (табл. 4 п.5)</t>
  </si>
  <si>
    <t>922*0,6*55,26*1,4*1,1*1,3</t>
  </si>
  <si>
    <t>К=1,4 (тип 3)</t>
  </si>
  <si>
    <t>К=1,3 п.2.5 (взрывоопасность)</t>
  </si>
  <si>
    <t>Установка оперативно-диспетчерской связи до 50</t>
  </si>
  <si>
    <t>СБЦ ПР для стр-ва, объекты связи, 2010г.  (табл.9 п.1)</t>
  </si>
  <si>
    <t>(1020+15*5)*0,52*7,22</t>
  </si>
  <si>
    <t>К=0,52(стадия Р)</t>
  </si>
  <si>
    <t>К=7,22 (инфляц.)</t>
  </si>
  <si>
    <t xml:space="preserve">Производственная громкоговорящая связь 12 абонентов </t>
  </si>
  <si>
    <t>СБЦ ПР для стр-ва, объекты связи, 2010г.  (табл.9 п.4)</t>
  </si>
  <si>
    <t>(1650+76*5)*0,52*7,22</t>
  </si>
  <si>
    <t>Сеть комплексная средств связи и передачи информации на промплощадке 50 пар (телефон,ГГС)</t>
  </si>
  <si>
    <t>СЦБ ПР для стр-ва, объекты связи  (табл.9 п.11)</t>
  </si>
  <si>
    <t>(1950+19*10)*0,52*7,22</t>
  </si>
  <si>
    <t>Локальная вычислительная сеть с числом узлов 1</t>
  </si>
  <si>
    <t>СБЦ ПР для стр-ва, объекты связи, 2010г. (табл.24 п.2)</t>
  </si>
  <si>
    <t>(2450+3680*1)*0,5*7,22</t>
  </si>
  <si>
    <t>К=0,5 (стадия Р)</t>
  </si>
  <si>
    <t>СКС в здании</t>
  </si>
  <si>
    <t>СБЦ ПР для стр-ва, объекты связи, 2010г. (табл.24 п.8)</t>
  </si>
  <si>
    <t>(2450+3680*5)*0,5*7,22</t>
  </si>
  <si>
    <t>СПД до 100 каналов (ГПТ+контроллер проект в СПБА)</t>
  </si>
  <si>
    <t>СЦБ ПР для стр-ва, объекты связи  (табл.2 п.2)</t>
  </si>
  <si>
    <t>(25980+4623*15)*0,58*7,22</t>
  </si>
  <si>
    <t>К=0,58 (стадия Р)</t>
  </si>
  <si>
    <t>ИТОГО  002 - Здание насосной парков метанола и ДЭГа (ТЭГа):</t>
  </si>
  <si>
    <t>019 - Здание КПП</t>
  </si>
  <si>
    <t>Пожарная сигнализация на площади 50 м2</t>
  </si>
  <si>
    <t>СБЦ на ПРС "Системы противопожарной и  охранной защиты"   (табл. 3 п.1)</t>
  </si>
  <si>
    <t>600*0,6*55,26*1,5*1,2</t>
  </si>
  <si>
    <t>Система оповещения людей о пожаре на площади  50 м2</t>
  </si>
  <si>
    <t>СБЦ на ПРС "Системы противопожарной и  охранной защиты"   (табл. 4 п.1)</t>
  </si>
  <si>
    <t>480*0,6*55,26*1,4</t>
  </si>
  <si>
    <t>(1020+15*10)*0,52*7,22</t>
  </si>
  <si>
    <t>(1650+76*10)*0,52*7,22</t>
  </si>
  <si>
    <t>(2450+3680*10)*0,5*7,22</t>
  </si>
  <si>
    <t>СПД до 100 каналов (контроллер)</t>
  </si>
  <si>
    <t>(25980+4623*10)*0,58*7,22</t>
  </si>
  <si>
    <t>4212.012.Р.12/0.0004.ПРЛВЖ.000.21801.019-УС</t>
  </si>
  <si>
    <t>НЕ ОПРЕДЕЛЕН ОБЪЕМ РАБОТЫ, К-Т ОТСУТСТВУЕТ</t>
  </si>
  <si>
    <t>ИТОГО 019 - Здание КПП:</t>
  </si>
  <si>
    <t>Пожарная сигнализация на площади 300 м2 РПИ наружные установки</t>
  </si>
  <si>
    <t>СБЦ на ПРС "Системы противопожарной и  охранной защиты"   (табл. 3 п.3)</t>
  </si>
  <si>
    <t>820*0,6*55,26*1,5*1,2</t>
  </si>
  <si>
    <t>Кабельная линия связи суммарной протяженностью трасс от 1 до 15 км до (ПС+СОП) 3,56 км</t>
  </si>
  <si>
    <t>СБЦ ПР для стр-ва, объекты связи, 2010г. (табл.4 п.8)</t>
  </si>
  <si>
    <t>(2290+5510*3,56)*0,62*7,22</t>
  </si>
  <si>
    <t>К=0,62(стадия Р)</t>
  </si>
  <si>
    <t>СПД до 100 каналов</t>
  </si>
  <si>
    <t>Кабельная линия связи суммарной протяженностью трасс от 1 до 15 км до связь 1,9 км</t>
  </si>
  <si>
    <t>(2290+5510*1,9)*0,62*7,22</t>
  </si>
  <si>
    <t xml:space="preserve">Интегрирующий комплекс приема, обработки и хранения видеоинформации видеонаблюдения </t>
  </si>
  <si>
    <t>СБЦ ПР для стр-ва, объекты связи  (табл.20 п.10)</t>
  </si>
  <si>
    <t>85450*1*7,22</t>
  </si>
  <si>
    <t>К=1(стадия Р)</t>
  </si>
  <si>
    <t>Установка видеокамер 34 шт.</t>
  </si>
  <si>
    <t>СБЦ ПР для стр-ва, объекты связи  (табл.20 п.7)</t>
  </si>
  <si>
    <t>(36610+4570*26,4)*1*1,1*7,22</t>
  </si>
  <si>
    <t>К=1,1 (п. 2.45 примеч к табл.)</t>
  </si>
  <si>
    <t xml:space="preserve">АРМ охранного видеонаблюдения </t>
  </si>
  <si>
    <t>СЦБ ПР для стр-ва, объекты связи  (табл.24 п.1)</t>
  </si>
  <si>
    <t>2400*1*7,22</t>
  </si>
  <si>
    <t>Кабельная линия связи суммарной протяженностью трасс от 1 до 15 км до (охранное видеонаблюдение) 5 км</t>
  </si>
  <si>
    <t>(2290+5510*5)*1*7,22</t>
  </si>
  <si>
    <t>Локальная вычислительная сеть видеонаблюдения с числом узлов 10</t>
  </si>
  <si>
    <t>(2450+3680*10)*1*7,22</t>
  </si>
  <si>
    <t>ИТОГО Сети внутриплощадочные:</t>
  </si>
  <si>
    <t>ИТОГО этап 12.Площадка РЛВЖ</t>
  </si>
  <si>
    <t>Итого с учетом коэффициента оптимизации ПАО "Газпром":</t>
  </si>
  <si>
    <t>«Порядок формирования стоимости проектно-изыскательских работ для строительства и реконструкции объектов ПАО «Газпром» от 28.12.2017г. п.5.41</t>
  </si>
  <si>
    <t>К=0,8</t>
  </si>
  <si>
    <t>Сметы №3.9.2</t>
  </si>
  <si>
    <t>Этап 13</t>
  </si>
  <si>
    <t>225 - Здание служебно-эксплуатационного блока</t>
  </si>
  <si>
    <t>4212.00.Р.04.КС.3.225.УС.000</t>
  </si>
  <si>
    <t>4212.00.Р.04.КС.3.225.АТС.000</t>
  </si>
  <si>
    <t>ИТОГО 225 - Здание служебно-эксплуатационного блока:</t>
  </si>
  <si>
    <t>ИТОГО Этап 13 Объекты на площадке КС 3</t>
  </si>
  <si>
    <t>Сметы №3.9.3</t>
  </si>
  <si>
    <t>Этап 15</t>
  </si>
  <si>
    <t>152 - Здание операторной</t>
  </si>
  <si>
    <t>Пожарная сигнализация на площади 504 м2</t>
  </si>
  <si>
    <t>СБЦ на ПРС "Системы противопожарной и  охранной защиты"   (табл. 3 п.4)</t>
  </si>
  <si>
    <t>972*0,6*55,26*1,5*1,2*1,1*1,3</t>
  </si>
  <si>
    <t>Система оповещения людей о пожаре на площади  504 м2</t>
  </si>
  <si>
    <t>СБЦ на ПРС "Системы противопожарной и  охранной защиты"   (табл. 4 п.4)</t>
  </si>
  <si>
    <t xml:space="preserve">СПД до 100 каналов </t>
  </si>
  <si>
    <t>ИТОГО  152 - Здание операторной:</t>
  </si>
  <si>
    <t>226 - Здание установки разделения и выветривания конденсата</t>
  </si>
  <si>
    <t>Пожарная сигнализация на площади 760 м2</t>
  </si>
  <si>
    <t>Система оповещения людей о пожаре на площади  760 м2</t>
  </si>
  <si>
    <t>(1950+19*5)*0,52*7,22</t>
  </si>
  <si>
    <t>ИТОГО 226 - Здание установки разделения и выветривания конденсата:</t>
  </si>
  <si>
    <t>Кабельная линия связи суммарной протяженностью трасс от 1 до 15 км до (ПС+СОП) 15 км</t>
  </si>
  <si>
    <t>(2290+5510*15)*0,62*7,22</t>
  </si>
  <si>
    <t>Кабельная линия связи суммарной протяженностью трасс от 1 до 15 км до связь 15 км</t>
  </si>
  <si>
    <t xml:space="preserve"> БС УКВ радиосвязи в готовом здании</t>
  </si>
  <si>
    <t>СБЦ ПР для стр-ва, объекты связи, 2010г. (табл.15 п.1)</t>
  </si>
  <si>
    <t>109850*0,5*7,22</t>
  </si>
  <si>
    <t xml:space="preserve">УКВ радиосвязь с стационарной БС (34 шт.) </t>
  </si>
  <si>
    <t>СБЦ ПР для стр-ва, объекты связи, 2010г. (табл.9 п.25)</t>
  </si>
  <si>
    <t>(7790+628*34)*0,5*7,22</t>
  </si>
  <si>
    <t>Антенна УКВ радиосвязи</t>
  </si>
  <si>
    <t>СБЦ ПР для стр-ва, объекты связи, 2010г. (табл.17 п.8)</t>
  </si>
  <si>
    <t>24880*0,5*7,22</t>
  </si>
  <si>
    <t xml:space="preserve">Расчеты и построение санитарно-защитных зон </t>
  </si>
  <si>
    <t>СБЦ ПР для стр-ва, объекты связи  (табл.19 п.17)</t>
  </si>
  <si>
    <t>6400*1*7,22</t>
  </si>
  <si>
    <t>К=1 (стадия Р)</t>
  </si>
  <si>
    <t xml:space="preserve">Расчеты и построение зон ограничения застройки </t>
  </si>
  <si>
    <t>СБЦ ПР для стр-ва, объекты связи  (табл.19 п.22)</t>
  </si>
  <si>
    <t>9060*1*1,08*1*7,22</t>
  </si>
  <si>
    <t>К=1,08 (район.)</t>
  </si>
  <si>
    <t xml:space="preserve">Расчеты и построение зоны покрытия базовой станции УКВ радиосвязи </t>
  </si>
  <si>
    <t>СБЦ ПР для стр-ва, объекты связи  (табл.19 п.46)</t>
  </si>
  <si>
    <t>8340*1,7*1*6,53</t>
  </si>
  <si>
    <t>Расчет качественных показателей для одного частотного интервала, количество интервалов 1 шт.</t>
  </si>
  <si>
    <t>СБЦ ПР для стр-ва, объекты связи  (табл.19 п.43)</t>
  </si>
  <si>
    <t>3280*1*7,22</t>
  </si>
  <si>
    <t>Устройство настройки и подключения фидерной линии к выходным устройствам передатчика</t>
  </si>
  <si>
    <t>СБЦ ПР для стр-ва, объекты связи  (табл.17 п.42)</t>
  </si>
  <si>
    <t>9650*0,6*7,22</t>
  </si>
  <si>
    <t>К=0,6 (стадия П)</t>
  </si>
  <si>
    <t xml:space="preserve"> БС DECT в готовом здании</t>
  </si>
  <si>
    <t>Локальная вычислительная сеть видеонаблюдения с числом узлов 5 для DECT</t>
  </si>
  <si>
    <t>К=0,5(стадия Р)</t>
  </si>
  <si>
    <t>ИТОГО Этап 15 (Установка огневой регенерации ДЭГа КС-3 Степновской СПХГ. 2 пусковой комплекс)</t>
  </si>
  <si>
    <t>Сметы №3.9.4</t>
  </si>
  <si>
    <t>Кабельная линия связи суммарной протяженностью трасс от 1 до 15 км до (ПС+СОП) 3,6 км</t>
  </si>
  <si>
    <t>(2290+5510*3,6)*0,62*7,22</t>
  </si>
  <si>
    <t>4212.012.Р.16/0.0004.ПлППГ.000.00000.000-СС</t>
  </si>
  <si>
    <t>СБЦ ПР для стр-ва, объекты связи</t>
  </si>
  <si>
    <t>ИТОГО Этап 16 (Площадка печей подогревателей газа Степновской СПХГ)</t>
  </si>
  <si>
    <t>Сметы №3.9.5</t>
  </si>
  <si>
    <t>Этап 17</t>
  </si>
  <si>
    <t>Внутриплощадочные сети</t>
  </si>
  <si>
    <t>Кабельная линия связи суммарной протяженностью трасс от 1 до 15 км до (ПС+СОП) 1,67 км</t>
  </si>
  <si>
    <t>(2290+5510*1,67)*0,62*7,22</t>
  </si>
  <si>
    <t>4212.00.Р.04.УЗРГ.000.000.СС.000</t>
  </si>
  <si>
    <t>ИТОГО Внутриплощадочные сети:</t>
  </si>
  <si>
    <t>ИТОГО Этап 17 Площадка УЗРГ</t>
  </si>
  <si>
    <t>Сметы №3.9.6</t>
  </si>
  <si>
    <t>Этап 27</t>
  </si>
  <si>
    <t>007 - Здание насосной станции хозяйственно-питьевого водоснабженияпроизводственно-энергетического блока</t>
  </si>
  <si>
    <t>Пожарная сигнализация на площади 105 м2</t>
  </si>
  <si>
    <t>СБЦ на ПРС "Системы противопожарной и  охранной защиты"   (табл. 3 п.2)</t>
  </si>
  <si>
    <t>692*0,6*55,26*1,5*1,2*1,1*1,3</t>
  </si>
  <si>
    <t>Система оповещения людей о пожаре на площади  300 м2</t>
  </si>
  <si>
    <t>СБЦ на ПРС "Системы противопожарной и  охранной защиты"   (табл. 4 п.3)</t>
  </si>
  <si>
    <t>656*0,6*55,26*1,4*1,1*1,3</t>
  </si>
  <si>
    <t>ИТОГО 007 - Здание насосной станции хозяйственно-питьевого водоснабженияпроизводственно-энергетического блока:</t>
  </si>
  <si>
    <t>029 - Распределительное устройство закрытое, ЗРУ</t>
  </si>
  <si>
    <t>Пожарная сигнализация на площади 300 м2</t>
  </si>
  <si>
    <t>820*0,6*55,26*1,5*1,2*1,1*1,3</t>
  </si>
  <si>
    <t>Система оповещения людей о пожаре на площади  72*15= 1080 м2</t>
  </si>
  <si>
    <t>СБЦ на ПРС "Системы противопожарной и  охранной защиты"   (табл. 4 п.6)</t>
  </si>
  <si>
    <t>1843*0,6*55,26*1,4*1,1*1,3</t>
  </si>
  <si>
    <t>(1020+15*15)*0,52*7,22</t>
  </si>
  <si>
    <t>(1650+76*15)*0,52*7,22</t>
  </si>
  <si>
    <t>(2450+3680*15)*0,5*7,22</t>
  </si>
  <si>
    <t>(25980+4623*20)*0,58*7,22</t>
  </si>
  <si>
    <t>ИТОГО  029 - Распределительное устройство закрытое, ЗРУ:</t>
  </si>
  <si>
    <t>040 - Здание КПП</t>
  </si>
  <si>
    <t>Пожарная сигнализация на площади 90 м2</t>
  </si>
  <si>
    <t>600*0,6*55,26*1,5*1,2*1,1*1,3</t>
  </si>
  <si>
    <t>Система оповещения людей о пожаре на площади  90 м2</t>
  </si>
  <si>
    <t>480*0,6*55,26*1,4*1,1*1,3</t>
  </si>
  <si>
    <t>(1020+15*11)*0,52*7,22</t>
  </si>
  <si>
    <t>(1650+76*11)*0,52*7,22</t>
  </si>
  <si>
    <t>(2450+3680*11)*0,5*7,22</t>
  </si>
  <si>
    <t>(25980+4623*5)*0,58*7,22</t>
  </si>
  <si>
    <t>итого</t>
  </si>
  <si>
    <t>Кабельная линия связи суммарной протяженностью трасс от 1 до 15 км до (ПС+СОП) 3,68 км</t>
  </si>
  <si>
    <t>(2290+5510*3,68)*0,62*7,22</t>
  </si>
  <si>
    <t>Кабельная линия связи суммарной протяженностью трасс от 1 до 15 км радиофикация, ВОЛС 15 км</t>
  </si>
  <si>
    <t>Кабельная линия связи суммарной протяженностью трасс от 1 до 15 км телефонизация, ДС 15 км</t>
  </si>
  <si>
    <t>85450*0,5*7,22</t>
  </si>
  <si>
    <t>Установка видеокамер 25 шт.</t>
  </si>
  <si>
    <t>(36610+4570*19,8)*0,5*1,1*7,22</t>
  </si>
  <si>
    <t>2400*0,5*7,22</t>
  </si>
  <si>
    <t>(2290+5510*5)*0,62*7,22</t>
  </si>
  <si>
    <t>ВПК.006 - Внеплощадочные коммуникации от КС.3 до РЛВЖ</t>
  </si>
  <si>
    <t>4212.012.Р.12/0.0004.ВПК.006.41305.000-КЛС</t>
  </si>
  <si>
    <t>ВПК.005 - Коммуникации внеплощадочные от КС.3 до КС.5</t>
  </si>
  <si>
    <t>4212.012.Р.12/0.0004.ВПК.005.41305.000-КЛС изм.0</t>
  </si>
  <si>
    <t>ИТОГО Этап 27 (Объекты на площадке КС-5 (частично))</t>
  </si>
  <si>
    <t>Смета №3.9.7</t>
  </si>
  <si>
    <t>Расчет стоимости: (a+bx)*Ki, или (объем строительно-монтажных работ) * проц./100 или количество x цена</t>
  </si>
  <si>
    <t>ЭТАП 3</t>
  </si>
  <si>
    <t xml:space="preserve"> 001 - Технологический корпус №1</t>
  </si>
  <si>
    <t>Пожарная сигнализация на площади 80,8*15= 1212м2</t>
  </si>
  <si>
    <t>СБЦ на ПРС "Системы противопожарной и  охранной защиты"   (табл. 3 п.6)</t>
  </si>
  <si>
    <t>2304x0,6x55,26x1,5x1,2x1,1x1,3</t>
  </si>
  <si>
    <t>Система оповещения людей о пожаре на площади  80,8*15= 1212м2</t>
  </si>
  <si>
    <t>1843x0,6x55,26x1,4x1,1x1,3</t>
  </si>
  <si>
    <t>(1020+15x15)x0,52x7,22</t>
  </si>
  <si>
    <t>(1650+76x15)x0,52x7,22</t>
  </si>
  <si>
    <t>(1950+19x10)x0,52x7,22</t>
  </si>
  <si>
    <t>(2450+3680x1)x0,5x7,22</t>
  </si>
  <si>
    <t>(2450+3680x15)x0,5x7,22</t>
  </si>
  <si>
    <t>(25980+4623x20)x0,58x7,22</t>
  </si>
  <si>
    <t>ИТОГО  001 - Технологический корпус №1:</t>
  </si>
  <si>
    <t xml:space="preserve"> 002 - Технологический корпус №2</t>
  </si>
  <si>
    <t>Пожарная сигнализация на площади 72*15= 1080 м2</t>
  </si>
  <si>
    <t>ИТОГО  002 - Технологический корпус №2:</t>
  </si>
  <si>
    <t xml:space="preserve"> 008 - Станция насосная</t>
  </si>
  <si>
    <t>Пожарная сигнализация на площади 27,5*9=248 м2</t>
  </si>
  <si>
    <t>820x0,6x55,26x1,5x1,2x1,1x1,3</t>
  </si>
  <si>
    <t>Система оповещения людей о пожаре на площади  27,5*9=248 м2</t>
  </si>
  <si>
    <t>656x0,6x55,26x1,4x1,1x1,3</t>
  </si>
  <si>
    <t>(1020+15x11)x0,52x7,22</t>
  </si>
  <si>
    <t>(1650+76x11)x0,52x7,22</t>
  </si>
  <si>
    <t>(2450+3680x11)x0,5x7,22</t>
  </si>
  <si>
    <t>СПД до 100 каналов (контроллер проект в СПБА)</t>
  </si>
  <si>
    <t>(25980+4623x10)x0,58x7,22</t>
  </si>
  <si>
    <t>ИТОГО  008 - Станция насосная:</t>
  </si>
  <si>
    <t>009 - Здание станции насосной водоснабжения производственного</t>
  </si>
  <si>
    <t>Пожарная сигнализация на площади 54 м2</t>
  </si>
  <si>
    <t>600x0,6x55,26x1,5x1,2x1,1x1,3</t>
  </si>
  <si>
    <t>Система оповещения людей о пожаре на площади  54 м2</t>
  </si>
  <si>
    <t>480x0,6x55,26x1,4x1,1x1,3</t>
  </si>
  <si>
    <t>(25980+4623x5)x0,58x7,22</t>
  </si>
  <si>
    <t>ИТОГО 009 - Здание станции насосной водоснабжения производственного:</t>
  </si>
  <si>
    <t>Пожарная сигнализация на площади 250 м2</t>
  </si>
  <si>
    <t>820x0,6x55,26x1,5x1,2</t>
  </si>
  <si>
    <t>Система оповещения людей о пожаре на площади  250 м2</t>
  </si>
  <si>
    <t>656x0,6x55,26x1,4x1,1</t>
  </si>
  <si>
    <t>(25980+4623x30)x0,58x7,22</t>
  </si>
  <si>
    <t>ИТОГО 019 - Здание операторной:</t>
  </si>
  <si>
    <t>022 - Здание контрольно- пропускного пункта</t>
  </si>
  <si>
    <t>600x0,6x55,26x1,5x1,2</t>
  </si>
  <si>
    <t>480x0,6x55,26x1,4</t>
  </si>
  <si>
    <t>(1020+15x10)x0,52x7,22</t>
  </si>
  <si>
    <t>(1650+76x10)x0,52x7,22</t>
  </si>
  <si>
    <t>(2450+3680x10)x0,5x7,22</t>
  </si>
  <si>
    <t>ИТОГО 022 - Здание контрольно- пропускного пункта:</t>
  </si>
  <si>
    <t>(2290+5510x3,68)x0,62x7,22</t>
  </si>
  <si>
    <t>Кабельная линия связи суммарной протяженностью трасс от 1 до 15 км до связь 1,8 км</t>
  </si>
  <si>
    <t>(2290+5510x1,8)x0,62x7,22</t>
  </si>
  <si>
    <t>85450x0,5x7,22</t>
  </si>
  <si>
    <t>(36610+4570x26,4)x0,5x1,1x7,22</t>
  </si>
  <si>
    <t>2400x0,5x7,22</t>
  </si>
  <si>
    <t>(2290+5510x5)x0,62x7,22</t>
  </si>
  <si>
    <t>ИТОГО этап 3 Объекты на площадке ГРП 2А</t>
  </si>
  <si>
    <t>104 - Здание закрытого распределительного устройства 6кВ</t>
  </si>
  <si>
    <t>Закрытый распределительный пункт 6-20 кВ двухсекционный с количеством ячеек 26 . Всего один РП-10 кВ.</t>
  </si>
  <si>
    <t>СБЦ «Объекты нефтеперерабатывающей и нефтехимической промышленность», 2015г, таб.11 п.11.</t>
  </si>
  <si>
    <t>157250x1x7,22x0,6x1,15x1,45x0,8x1,08</t>
  </si>
  <si>
    <t>К1=7,22-инфляционный коэффициент</t>
  </si>
  <si>
    <t>К2=0,6  - ст. "Р"</t>
  </si>
  <si>
    <t>К3=1,15 - п. 2.12 СБЦОНПиНХП (микропроцессорные устройства РЗА)</t>
  </si>
  <si>
    <t>К4=1+(25-16)*5/100=1,45 - количество ячеек больше 16 шт. (см. п. 2.8.2 СБЦ ОНПиНХП)</t>
  </si>
  <si>
    <t xml:space="preserve">К5=0,8 - объем кор-ки </t>
  </si>
  <si>
    <t>К6=1,08 - районный коэф-т</t>
  </si>
  <si>
    <t>Расчет токов короткого замыкания в сети 10 кВ и 0,4 кВ. Всего 4 линии.</t>
  </si>
  <si>
    <t>СБЦ «Объекты нефтеперерабатывающей и нефтехимической промышленность», 2015г, таб.11 п.19.</t>
  </si>
  <si>
    <t>10070x4x7,22x0,6x1,08</t>
  </si>
  <si>
    <t>К3=1,08 - районный коэф-т</t>
  </si>
  <si>
    <t>Расчет релейной защиты. Всего 4 расчета.</t>
  </si>
  <si>
    <t>11880x4x7,22x0,6x1,08</t>
  </si>
  <si>
    <t xml:space="preserve">Линейная автоматика электрических сетей напряжением до 20 кВ. Всего 4 участка в сети. </t>
  </si>
  <si>
    <t>СБЦ «Объекты нефтеперерабатывающей и нефтехимической промышленность», 2015г, таб.11 п.15.</t>
  </si>
  <si>
    <t xml:space="preserve">Прокладка кабельных линий 10кВ, 0,4 кВ до потребителей по кабельным конструкциям. Суммарная протяжённость трассы  -0,05 км. </t>
  </si>
  <si>
    <t>СБЦ «Объекты нефтеперерабатывающей и нефтехимической промышленности», 2015 г, табл.8, п.2.10.</t>
  </si>
  <si>
    <t>433690x0,05x7,22x0,6x1,08</t>
  </si>
  <si>
    <t>220 - Здание котельной</t>
  </si>
  <si>
    <t xml:space="preserve">Установка низковольтных щитов управления (НКУ-0,4 кВ), в помещении размером до 20 м2. Всего 3 шт. </t>
  </si>
  <si>
    <t>СБЦ на проектные работы "Объекты магистрального транспорта нефти".   т.4, п.24.2.</t>
  </si>
  <si>
    <t>21120x3x7,22x0,6x1,08</t>
  </si>
  <si>
    <t xml:space="preserve">Прокладка кабельных линий  0,4 кВ до потребителей по кабельным конструкциям. Суммарная протяжённость трассы  -0,2 км. </t>
  </si>
  <si>
    <t>433690x0,2x7,22x0,6x1,08</t>
  </si>
  <si>
    <t>Расчет токов короткого замыкания в сети  0,4 кВ. Всего 5 линий.</t>
  </si>
  <si>
    <t>10070x5x7,22x0,6x1,08</t>
  </si>
  <si>
    <t xml:space="preserve">Проектирование заземляющего устройства зданий и сооружений. Всего 1 объект  </t>
  </si>
  <si>
    <t>СБЦ на проектные работы "Объекты магистрального транспорта нефти".   т.4, п.22.1.</t>
  </si>
  <si>
    <t>8870x1x7,22x0,6x1,08x0,25</t>
  </si>
  <si>
    <t>К4=0,25 - п.3.9.8 СБЦ</t>
  </si>
  <si>
    <t>224 - Механическая мастерская</t>
  </si>
  <si>
    <t xml:space="preserve">Установка низковольтных щитов управления (НКУ-0,4 кВ), в помещении размером до 20 м2. Всего 5 шт. </t>
  </si>
  <si>
    <t>21120x5x7,22x0,6x1,08</t>
  </si>
  <si>
    <t xml:space="preserve">Прокладка кабельных линий  0,4 кВ до потребителей по кабельным конструкциям. Суммарная протяжённость трассы  -0,3 км. </t>
  </si>
  <si>
    <t>433690x0,3x7,22x0,6x1,08</t>
  </si>
  <si>
    <t>Расчет токов короткого замыкания в сети  0,4 кВ. Всего 8 линий.</t>
  </si>
  <si>
    <t>10070x8x7,22x0,6x1,08</t>
  </si>
  <si>
    <t>237 - Блок-бокс дизельной электростанции  "Звезда-1000НК-02М3"</t>
  </si>
  <si>
    <t xml:space="preserve">Проектирование аварийной дизельной электростанции (АДЭС). Всего одна АДЭС мощностью 1000 кВт. </t>
  </si>
  <si>
    <t xml:space="preserve"> таб. 3.15 п.1.Приложение к приказу №847/пр от 13.12.2023</t>
  </si>
  <si>
    <t>(463700+1299x1000)x1,71x0,6x1,08x0,35</t>
  </si>
  <si>
    <t>К1=1,71-инфляционный коэффициент</t>
  </si>
  <si>
    <t>К4=0,35 - Методические указания от 29.12.2009 г. Часть III п.3.2</t>
  </si>
  <si>
    <t>250 - Блок-бокс дизельной электростанции</t>
  </si>
  <si>
    <t xml:space="preserve">Проектирование аварийной дизельной электростанции (АДЭС). Всего одна АДЭС мощностью 630 кВт. </t>
  </si>
  <si>
    <t>(425200+1342x630)x1,71x0,6x1,08x0,35</t>
  </si>
  <si>
    <t>К3=0,35 - Методические указания от 29.12.2009 г. Часть III п.3.2</t>
  </si>
  <si>
    <t>250а - Блок-бокс дизельной электростанции</t>
  </si>
  <si>
    <t>251 - Контейнер для аппаратуры</t>
  </si>
  <si>
    <t xml:space="preserve">Установка низковольтных щитов управления (НКУ-0,4 кВ), в помещении размером до 20 м2. Всего 2 шт. </t>
  </si>
  <si>
    <t>21120x2x7,22x0,6x1,08</t>
  </si>
  <si>
    <t xml:space="preserve">Прокладка кабельных линий  0,4 кВ до потребителей по кабельным конструкциям. Суммарная протяжённость трассы  -0,1 км. </t>
  </si>
  <si>
    <t>433690x0,1x7,22x0,6x1,08</t>
  </si>
  <si>
    <t>272 - Блочно-комплектная трансформаторная подстанция 2БКТПА-250/6/0.4-УХЛ1</t>
  </si>
  <si>
    <t>Закрытая двухтрансформаторная подстанция 10/0,4 кВ, без распределительного устройства высокого напряжения, мощностью 2х250 кВА. Всего три КТП 6/0,4 кВ.</t>
  </si>
  <si>
    <t>СЦБ «Объекты нефтеперерабатывающей и нефтехимической промышленности», 2015 г, табл.11, п.2.</t>
  </si>
  <si>
    <t>59070x1x7,22x0,6x1,08x1,15</t>
  </si>
  <si>
    <t>К4=1,15 - п. 2.12 СБЦОНПиНХП (микропроцессорные устройства РЗА)</t>
  </si>
  <si>
    <t>Установка низковольтных щитов управления (НКУ-0,4 кВ), в помещении размером до 20 м2. Всего 4 шт. (ЭМ, ЭО)</t>
  </si>
  <si>
    <t>21120x4x7,22x0,6x1,08</t>
  </si>
  <si>
    <t>Проектирование системы бесперебойного питания , системы постоянного тока. Всего 1 панель. (ЭМ)</t>
  </si>
  <si>
    <t>СБЦ «Газооборудование и газоснабжение промышленных предприятий, зданий и сооружений», 2015г., таб. 19, п.1.</t>
  </si>
  <si>
    <t>11083x1x7,22x0,6x1,08</t>
  </si>
  <si>
    <t>К2=0,6 - Cтадия "Р"</t>
  </si>
  <si>
    <t>Расчет токов короткого замыкания в сети 10 кВ и 0,4 кВ. Всего 9 линий.(ЭМ,ЭО)</t>
  </si>
  <si>
    <t>СБЦ «Объекты нефтеперерабатывающей и нефтехимической промышленность», 2015г, таб.11 п.17.</t>
  </si>
  <si>
    <t>2640x9x7,22x0,6x1,08</t>
  </si>
  <si>
    <t>Расчет релейной защиты. Всего 2 расчета.</t>
  </si>
  <si>
    <t>СБЦ «Объекты нефтеперерабатывающей и нефтехимической промышленность», 2015г, таб.11 п.9.</t>
  </si>
  <si>
    <t>4790x2x7,22x0,6x1,08</t>
  </si>
  <si>
    <t>Выбор компенсирующих устройств (приказ от 23 июня 2015 года № 380 Министерства энергетики Российской Федерации). Всего 2 устройства.</t>
  </si>
  <si>
    <t>НЗ. 2023 г.  п.6 таб. 3.18 (Приложение к приказу №847/пр от 28.11.2023)</t>
  </si>
  <si>
    <t>11800x2x1,71x0,6x1,08</t>
  </si>
  <si>
    <t>К1=1,71 инфляционный коэффициент</t>
  </si>
  <si>
    <t xml:space="preserve">Линейная автоматика электрических сетей напряжением до 20 кВ. Всего 2 участка в сети. </t>
  </si>
  <si>
    <t>СБЦ «Объекты нефтеперерабатывающей и нефтехимической промышленность», 2015г, таб.11 п.13.</t>
  </si>
  <si>
    <t>4130x2x7,22x0,6x1,08</t>
  </si>
  <si>
    <t>273 - Блок-бокс дизельной электростанции "БКАЭ-0,4-315-К"</t>
  </si>
  <si>
    <t xml:space="preserve">Проектирование аварийной дизельной электростанции (АДЭС). Всего одна АДЭС мощностью 315 кВт. </t>
  </si>
  <si>
    <t>(224900+1742x315)x1,71x0,6x1,08x0,35</t>
  </si>
  <si>
    <t>2 - Здание насосной парков метанола и ДЭГа (ТЭГа)</t>
  </si>
  <si>
    <t>Закрытая двухтрансформаторная подстанция 10/0,4 кВ, без распределительного устройства высокого напряжения, мощностью 2х630 кВА. Всего три КТП 10/0,4 кВ.</t>
  </si>
  <si>
    <t>Установка низковольтных щитов управления (НКУ-0,4 кВ), в помещении размером до 20 м2. Всего 9 шт. (ЭМ, ЭО)</t>
  </si>
  <si>
    <t>21120x9x7,22x0,6x1,08</t>
  </si>
  <si>
    <t>Система электрического обогрева (с использованием саморегулирующихся электрических нагревательных лент) для наружных трубопроводов, кровли зданий . Общая длина нагревателей 15 м.</t>
  </si>
  <si>
    <t>СБЦ «Объекты нефтеперерабатывающей и нефтехимической промышленности», 2015 г, табл.8, п.1.96</t>
  </si>
  <si>
    <t>(11000+550x15)x7,22x0,6x1,08</t>
  </si>
  <si>
    <t>014 - Блок-бокс дизельной электростанции</t>
  </si>
  <si>
    <t>(224900+1742x630)x1,71x0,6x1,08x0,35</t>
  </si>
  <si>
    <t>Установка низковольтных щитов управления (НКУ-0,4 кВ), в помещении размером до 20 м2. Всего 4 шт. (компл. ЭМ, ЭО)</t>
  </si>
  <si>
    <t>Прокладка кабельных линий  0,4 кВ до потребителей по кабельным конструкциям. Суммарная протяжённость трассы  -0,3 км. (ЭМ,  ЭО)</t>
  </si>
  <si>
    <t>Расчет токов короткого замыкания в сети  0,4 кВ. Всего 5 линии.(ЭМ,ЭО)</t>
  </si>
  <si>
    <t>Проектирование заземляющего устройства зданий и сооружений. Всего 1 объект  (ЭМ1)</t>
  </si>
  <si>
    <t>8870x1x7,22x0,6x1,08</t>
  </si>
  <si>
    <t>Наружное освещение. Молниезащита. Заземление. (ЭН)</t>
  </si>
  <si>
    <t xml:space="preserve">Наружное освещение территории  и проектируемых сооружений. Общая площадь2, 3 га. </t>
  </si>
  <si>
    <t>СБЦ «Объекты нефтеперерабатывающей и нефтехимической промышленности», 2015 г, табл.8, п.3.8.</t>
  </si>
  <si>
    <t>34650x2,3x7,22x0,6x1,08</t>
  </si>
  <si>
    <t xml:space="preserve">Молниезащита проектируемых зданий и сооружений. Всего 1 объект. </t>
  </si>
  <si>
    <t>СБЦ на проектные работы "Объекты магистрального транспорта нефти".   т.4, п.20.1.</t>
  </si>
  <si>
    <t>8450x1x7,22x0,6x1,08</t>
  </si>
  <si>
    <t>Электроснабжение электрообогрева. (4212.00.Р.04.РЛВЖ.000.000.ЭОК)</t>
  </si>
  <si>
    <t xml:space="preserve">Установка низковольтных щитов управления (НКУ-0,4 кВ), в помещении размером до 20 м2. Всего 1 шт. </t>
  </si>
  <si>
    <t>21120x1x7,22x0,6x1,08</t>
  </si>
  <si>
    <t xml:space="preserve">Прокладка кабельных линий  0,4 кВ до потребителей по кабельной непроходной эстакаде. Суммарная протяжённость трассы проектируемой кабельной эстакады -0,35 км. </t>
  </si>
  <si>
    <t>433690x0,35x7,22x0,6x1,08</t>
  </si>
  <si>
    <t>Расчет токов короткого замыкания в сети 10 кВ и 0,4 кВ. Всего 17 линий.</t>
  </si>
  <si>
    <t>2640x17x7,22x0,6x1,08</t>
  </si>
  <si>
    <t>Сети электроснабжения (4212.00.Р.04.РЛВЖ.000.000.ЭС)</t>
  </si>
  <si>
    <t xml:space="preserve">Прокладка кабельных линий 10кВ, 0,4 кВ до потребителей по кабельной непроходной эстакаде. Суммарная протяжённость трассы проектируемой кабельной эстакады -0,6 км. </t>
  </si>
  <si>
    <t>433690x0,6x7,22x0,6x1,08</t>
  </si>
  <si>
    <t>Расчет токов короткого замыкания в сети 10 кВ и 0,4 кВ. Всего 25 линий.</t>
  </si>
  <si>
    <t>2640x25x7,22x0,6x1,08</t>
  </si>
  <si>
    <t>Электрообогрев. (4212.00.Р.04.РЛВЖ.000.000.ОЭ)</t>
  </si>
  <si>
    <t>Система электрического обогрева (с использованием саморегулирующихся электрических нагревательных лент) для наружных трубопроводов, кровли зданий . Общая длина нагревателей 1070 м.</t>
  </si>
  <si>
    <t>(11000+550x1070)x7,22x0,6x1,08</t>
  </si>
  <si>
    <t>КЭЛ.000 - Межплощадочная кабельная линия электропередачи от ВЛ 6 кВ до площадки РЛВЖ</t>
  </si>
  <si>
    <t>4212/СРТ.00.Р.04.КЭЛ.000.000.ЭК</t>
  </si>
  <si>
    <t xml:space="preserve">Прокладка кабельных линий 6кВ до потребителей по кабельной непроходной эстакаде. Суммарная протяжённость трассы проектируемой кабельной эстакады -0,25 км. </t>
  </si>
  <si>
    <t>433690x0,25x7,22x0,6x1,08</t>
  </si>
  <si>
    <t>Расчет токов короткого замыкания в сети 10 кВ и 0,4 кВ. Всего 2 линии.</t>
  </si>
  <si>
    <t>2640x2x7,22x0,6x1,08</t>
  </si>
  <si>
    <t>ВПК.6 - Внеплощадочные коммуникации от КС3 до РЛВЖ</t>
  </si>
  <si>
    <t>4212.00.Р.04.ВПК.6.000.ОЭ.000</t>
  </si>
  <si>
    <t>Система электрического обогрева (с использованием саморегулирующихся электрических нагревательных лент) для наружных трубопроводов, кровли зданий . Общая длина нагревателей 4358 м.</t>
  </si>
  <si>
    <t>(11000+550x4358)x7,22x0,6x1,08</t>
  </si>
  <si>
    <t>1 - Установка подогрева газа</t>
  </si>
  <si>
    <t>Система электрического обогрева (с использованием саморегулирующихся электрических нагревательных лент) для наружных трубопроводов, кровли зданий . Общая длина нагревателей 1225 м.</t>
  </si>
  <si>
    <t>(11000+550x1225)x7,22x0,6x1,08</t>
  </si>
  <si>
    <t>7 - Блок-бокс трансформаторной подстанции</t>
  </si>
  <si>
    <t>Закрытая двухтрансформаторная подстанция 10/0,4 кВ, с распределительным устройством высокого напряжения, мощностью 2х2500 кВА. Всего три КТП 10/0,4 кВ.</t>
  </si>
  <si>
    <t>85470x1x7,22x0,6x1,08x1,1x1,15</t>
  </si>
  <si>
    <t>К3=1,1-см. п. 2.8.1 СБЦ</t>
  </si>
  <si>
    <t>Расчет токов короткого замыкания в сети 10 кВ и 0,4 кВ. Всего 6 линий.</t>
  </si>
  <si>
    <t>2640x6x7,22x0,6x1,08</t>
  </si>
  <si>
    <t>4790x4x7,22x0,6x1,08</t>
  </si>
  <si>
    <t>8 - Блок-бокс дизельной электростанции</t>
  </si>
  <si>
    <t>(224900+1742x1000)x1,71x0,6x1,08x0,35</t>
  </si>
  <si>
    <t>9 - Блок-бокс дизельной электростанции</t>
  </si>
  <si>
    <t xml:space="preserve">Наружное освещение территории  и проектируемых сооружений. Общая площадь 1,5 га. </t>
  </si>
  <si>
    <t>34650x1,5x7,22x0,6x1,08</t>
  </si>
  <si>
    <t>Электроснабжение электрообогрева. (4212.012.Р.16/0.0004.ПлППГ.000.31704.000-ЭОЭ)</t>
  </si>
  <si>
    <t>Сети электроснабжения (ЭС)</t>
  </si>
  <si>
    <t xml:space="preserve">Прокладка кабельных линий 10кВ, 0,4 кВ до потребителей по кабельной непроходной эстакаде. Суммарная протяжённость трассы проектируемой кабельной эстакады -0,35 км. </t>
  </si>
  <si>
    <t>Расчет токов короткого замыкания в сети 10 кВ и 0,4 кВ. Всего 8 линий.</t>
  </si>
  <si>
    <t>2640x8x7,22x0,6x1,08</t>
  </si>
  <si>
    <t>Межплощадочные кабельные линии 6 кВ от ЗРУ 6 кВ КС-4 до площадки ППГ</t>
  </si>
  <si>
    <t>4212.012.Р.16/0.0004.КЭЛ.000.41502.000-ЭК</t>
  </si>
  <si>
    <t xml:space="preserve">Прокладка кабельных линий 6кВ до потребителей по кабельной непроходной эстакаде. Суммарная протяжённость трассы проектируемой кабельной эстакады -0,7 км. </t>
  </si>
  <si>
    <t>433690x0,7x7,22x0,6x1,08</t>
  </si>
  <si>
    <t>Линия электропередач кабельная 6 кВ</t>
  </si>
  <si>
    <t>4212.001.Р.007.0004.ПлППГ.000.0000.000-ЭК</t>
  </si>
  <si>
    <t>Электрообогрев.(4212.012.Р.16/0.0004.ПлППГ.000.23715.000-ОЭ)</t>
  </si>
  <si>
    <t>Система электрического обогрева (с использованием саморегулирующихся электрических нагревательных лент) для наружных трубопроводов, кровли зданий . Общая длина нагревателей 300 м.</t>
  </si>
  <si>
    <t>(11000+550x300)x7,22x0,6x1,08</t>
  </si>
  <si>
    <t>Этап 17 (Площадка УЗРГ)</t>
  </si>
  <si>
    <t>(11000+550x76)x7,22x0,6x1,08</t>
  </si>
  <si>
    <t>004 - Блочно-комплектная трансформаторная подстанция 2БКТП-ЭГ-160/6/0,4-УХЛ1</t>
  </si>
  <si>
    <t>Закрытая двухтрансформаторная подстанция 10/0,4 кВ, с распределительным устройством высокого напряжения, мощностью 2х160 кВА. Всего три КТП 10/0,4 кВ.</t>
  </si>
  <si>
    <t>85470x1x7,22x0,6x1,08x1,15</t>
  </si>
  <si>
    <t>Сети электроснабжения 6 кВ (4212.00.Р.04.УЗРГ.000.000.ЭК)</t>
  </si>
  <si>
    <t>Электрокабельные сети 6 кВ, проложенные в траншях</t>
  </si>
  <si>
    <t>СБЦ «Объекты нефтеперерабатывающей и нефтехимической промышленность», 2015г, таб.8 п.2.9.</t>
  </si>
  <si>
    <t>25540x1,5x7,22x0,6x1,08</t>
  </si>
  <si>
    <t>Расчет токов короткого замыкания в сети 6 кВ и 0,4 кВ. Всего 2 линии.</t>
  </si>
  <si>
    <t>Сети электроснабжения 0,4 кВ (4212.00.Р.04.УЗРГ.000.000.ЭС)</t>
  </si>
  <si>
    <t>Электрокабельные сети 0,4 кВ, проложенные в траншях</t>
  </si>
  <si>
    <t>25540x6,45x7,22x0,6x1,08</t>
  </si>
  <si>
    <t>Расчет токов короткого замыкания в сети 6 кВ и 0,4 кВ. Всего 24 линии.</t>
  </si>
  <si>
    <t>2640x24x7,22x0,6x1,08</t>
  </si>
  <si>
    <t>7-Водопроводная насосная станция</t>
  </si>
  <si>
    <t>Установка низковольтных щитов управления (НКУ-0,4 кВ), в помещении размером до 20 м2. Всего 7 шт. ( ЭМ, ЭО)</t>
  </si>
  <si>
    <t>21120x7x7,22x0,6x1,08</t>
  </si>
  <si>
    <t>10070x9x7,22x0,6x1,08</t>
  </si>
  <si>
    <t>Проектирование заземляющего устройства зданий и сооружений. Всего 1 объект  (ЭГ)</t>
  </si>
  <si>
    <t>29 - Здание закрытого распределительного устройства 6 кВ</t>
  </si>
  <si>
    <t>Закрытый распределительный пункт 6-20 кВ двухсекционный с количеством ячеек 28 . Всего один РП-10 кВ.</t>
  </si>
  <si>
    <t>157250x1x7,22x0,6x1,15x1,55x0,8x1,08</t>
  </si>
  <si>
    <t>К4=1+(27-16)*5/100=1,55 - количество ячеек больше 16 шт. (см. п. 2.8.2 СБЦ ОНПиНХП)</t>
  </si>
  <si>
    <t>Расчет токов короткого замыкания в сети 10 кВ и 0,4 кВ. Всего 12 линии.</t>
  </si>
  <si>
    <t>10070x12x7,22x0,6x1,08</t>
  </si>
  <si>
    <t>Расчет релейной защиты. Всего 12 расчета.</t>
  </si>
  <si>
    <t>11880x12x7,22x0,6x1,08</t>
  </si>
  <si>
    <t xml:space="preserve">Линейная автоматика электрических сетей напряжением до 20 кВ. Всего 12 участка в сети. </t>
  </si>
  <si>
    <t xml:space="preserve">Прокладка кабельных линий 10кВ, 0,4 кВ до потребителей по кабельным конструкциям. Суммарная протяжённость трассы  -0,1 км. </t>
  </si>
  <si>
    <t>40-Здание контрольно-пропускного пункта</t>
  </si>
  <si>
    <t>Проектирование заземляющего устройства зданий и сооружений. Всего 1 объект  (ЭМ)</t>
  </si>
  <si>
    <t>Сети электроснабжения 6 кВ, 0,4 кВ (4212.001.Р.007.0004.КСПХГ.5.4702.000-ЭС)</t>
  </si>
  <si>
    <t xml:space="preserve">Прокладка кабельных линий 10кВ, 0,4 кВ до потребителей по кабельной непроходной эстакаде. Суммарная протяжённость трассы проектируемой кабельной эстакады -0,59 км. </t>
  </si>
  <si>
    <t>433690x0,5x7,22x0,6x1,08</t>
  </si>
  <si>
    <t>Расчет токов короткого замыкания в сети 10 кВ и 0,4 кВ. Всего 12 линий.</t>
  </si>
  <si>
    <t>Наружное освещение.  (ЭН)</t>
  </si>
  <si>
    <t xml:space="preserve">Наружное освещение территории  и проектируемых сооружений. Общая площадь 2,5 га. </t>
  </si>
  <si>
    <t>34650x2,5x7,22x0,6x1,08</t>
  </si>
  <si>
    <t>Молниезащита. Заземление. (ЭГ)</t>
  </si>
  <si>
    <t>Электроснабжение электрообогрева. (4212.00.Р.04.КСПХГ.5.000.ЭОК)</t>
  </si>
  <si>
    <t xml:space="preserve">Прокладка кабельных линий  0,4 кВ до потребителей по кабельной непроходной эстакаде. Суммарная протяжённость трассы проектируемой кабельной эстакады -0,7 км. </t>
  </si>
  <si>
    <t>2640x12x7,22x0,6x1,08</t>
  </si>
  <si>
    <t>Электроснабжение электрообогрева. (4212.00.Р.04.КСПХГ.5.000.ЭОК1)</t>
  </si>
  <si>
    <t>ВЛЗ 6 кВ (в габаритах 35 кВ)  от ПС 110/35/6 кВ «Степная-газовая» до  КСПХГ №5</t>
  </si>
  <si>
    <t>Проектирование одноцепной ВЛ-6 кВ в габаритах 35 кВ, общей длиной 8 км.</t>
  </si>
  <si>
    <t>Стоимость строительства в ценах 2001г.</t>
  </si>
  <si>
    <t xml:space="preserve">СБЦП 81-2001-24. Справочник базовых цен на проектные  работы в строительстве.  Объекты энергетики. Электросетевые объекты. 2016г. Проект-аналог  №49211/13 "Обустройство Южно-Гавриковского месторождения. Куст скважин №1. Разведочные скважины №№8, 100, 123". Локальный сметный расчет №04-04 в ценах 01.01.2001г,  С1=8347750 руб.  </t>
  </si>
  <si>
    <t>8347750x1x1,33=11102508</t>
  </si>
  <si>
    <t>Общая длина линии в проекте аналоге - 6 км. Коэффициент, учитывающий длину проектируемой ВЛ-35 кВ: К1=8/6=1,33</t>
  </si>
  <si>
    <t>Процент базовой цены на проектные работы от общей стоимости строительства в ценах 2001 г.</t>
  </si>
  <si>
    <t>СБЦП 81-2001-24. Справочник базовых цен на проектные  работы в строительстве.  Объекты энергетики. Электросетевые объекты. 2016г. Таблица №2.</t>
  </si>
  <si>
    <t>3,59-((3,59-3,49)/(11970000-8976000))x(11970000-11102507,5)=4</t>
  </si>
  <si>
    <t xml:space="preserve">Стоимость проектных работ в ценах 2026г. </t>
  </si>
  <si>
    <t>К2=7,22-инфляционный коэффициент</t>
  </si>
  <si>
    <t>К3=0,6 - Cтадия "Р"</t>
  </si>
  <si>
    <t>1 - Технологический корпус №1</t>
  </si>
  <si>
    <t>Установка низковольтных щитов управления (НКУ-0,4 кВ), в помещении размером до 20 м2. Всего 6 шт. (компл. ЭМ, ЭО)</t>
  </si>
  <si>
    <t>21120x6x7,22x0,6x1,08</t>
  </si>
  <si>
    <t>Проектирование системы бесперебойного питания , системы постоянного тока. Всего 4 панели. (ЭМ)</t>
  </si>
  <si>
    <t>11083x4x7,22x0,6x1,08</t>
  </si>
  <si>
    <t>Прокладка кабельных линий  0,4 кВ до потребителей по кабельным конструкциям. Суммарная протяжённость трассы  -0,6 км. (ЭМ, ЭМ1, ЭО)</t>
  </si>
  <si>
    <t>Расчет токов короткого замыкания в сети  0,4 кВ. Всего 9 линий.(ЭМ,ЭО)</t>
  </si>
  <si>
    <t>2 - Технологический корпус №2</t>
  </si>
  <si>
    <t>8 - Технологическая насосная</t>
  </si>
  <si>
    <t>Установка низковольтных щитов управления (НКУ-0,4 кВ), в помещении размером до 20 м2. Всего 5 шт. (компл. ЭМ, ЭО)</t>
  </si>
  <si>
    <t>Устройство ЧРП для электронасосной дозирования . Всего 2 шт</t>
  </si>
  <si>
    <t>СБЦ на проектные работы "Объекты магистрального транспорта нефти".   т.4, п.47.</t>
  </si>
  <si>
    <t>400910x(1+(1*0,5))x7,22x0,6x0,35x1,08</t>
  </si>
  <si>
    <t>К4=1,08 - районный коэф-т</t>
  </si>
  <si>
    <t>Прокладка кабельных линий  0,4 кВ до потребителей по кабельным конструкциям. Суммарная протяжённость трассы  -0,3 км. (ЭМ, ЭО)</t>
  </si>
  <si>
    <t>9 - Водопроводная насосная станция</t>
  </si>
  <si>
    <t>Прокладка кабельных линий  0,4 кВ до потребителей по кабельным конструкциям. Суммарная протяжённость трассы  -0,15 км. (ЭМ, ЭО)</t>
  </si>
  <si>
    <t>433690x0,15x7,22x0,6x1,08</t>
  </si>
  <si>
    <t>14 - Блочно-комплектная автоматизированная дизельная электростанция "БКАЭ-0,4-400-К"</t>
  </si>
  <si>
    <t xml:space="preserve">Проектирование аварийной дизельной электростанции (АДЭС). Всего одна АДЭС мощностью 400 кВт. </t>
  </si>
  <si>
    <t>(224900+1742x400)x1,71x0,6x1,08x0,35</t>
  </si>
  <si>
    <t>19 - Здание операторной</t>
  </si>
  <si>
    <t>Прокладка кабельных линий  0,4 кВ до потребителей по кабельным конструкциям. Суммарная протяжённость трассы  -0,3 км. (ЭМ, ЭМ1, ЭО)</t>
  </si>
  <si>
    <t>22 - Здание контрольно- пропускного пункта</t>
  </si>
  <si>
    <t>26 - Блочно-комплектная трансформаторная подстанция 2БКТПА-400/6/0,4-УХЛ1</t>
  </si>
  <si>
    <t>Закрытая двухтрансформаторная подстанция 10/0,4 кВ, без распределительного устройства высокого напряжения, мощностью 2х400 кВА. Всего три КТП 6/0,4 кВ.</t>
  </si>
  <si>
    <t xml:space="preserve">Установка низковольтных щитов управления (НКУ-0,4 кВ), в помещении размером до 20 м2. Всего 4 шт. </t>
  </si>
  <si>
    <t>Сети электроснабжения (4212.00.Р.04.ГРП.2А.000.ЭС)</t>
  </si>
  <si>
    <t xml:space="preserve">Прокладка кабельных линий 10кВ, 0,4 кВ до потребителей по кабельной непроходной эстакаде. Суммарная протяжённость трассы проектируемой кабельной эстакады -1,0 км. </t>
  </si>
  <si>
    <t>433690x1x7,22x0,6x1,08</t>
  </si>
  <si>
    <t>Наружное освещение. Молниезащита. Заземление.(4212.00.Р.04.ГРП.2А.000.ЭН)</t>
  </si>
  <si>
    <t xml:space="preserve">Наружное освещение территории  и проектируемых сооружений. Общая площадь 3 га. </t>
  </si>
  <si>
    <t>34650x3x7,22x0,6x1,08</t>
  </si>
  <si>
    <t>Электроснабжение электрообогрева. (4212.00.Р.04.ГРП.2А.000.ЭОК)</t>
  </si>
  <si>
    <t xml:space="preserve">Прокладка кабельных линий  0,4 кВ до потребителей по кабельной непроходной эстакаде. Суммарная протяжённость трассы проектируемой кабельной эстакады -0,3 км. </t>
  </si>
  <si>
    <t>Электрообогрев. (4212.00.Р.04.ГРП.2А.000.ОЭ)</t>
  </si>
  <si>
    <t>Система электрического обогрева (с использованием саморегулирующихся электрических нагревательных лент) для наружных трубопроводов, кровли зданий . Общая длина нагревателей 725 м.</t>
  </si>
  <si>
    <t>(11000+550x725)x7,22x0,6x1,08</t>
  </si>
  <si>
    <t>4212.00.Р.04.ГРП.2А.000.ЭК</t>
  </si>
  <si>
    <t xml:space="preserve">Прокладка кабельных линий 10кВ, 0,4 кВ до потребителей по кабельной непроходной эстакаде. Суммарная протяжённость трассы проектируемой кабельной эстакады -0,5 км. </t>
  </si>
  <si>
    <t>4212.012.Р.3/0.0004.ВЭЛ.000.41501.000-ЭВ1 ВЛ-6 кВ ЗРУ 6 кВ ПС110/35/6 - 2БКТПА (поз.26)</t>
  </si>
  <si>
    <t>Воздушная линия электропередачи одноцепная напряжением свыше 1 до 20 кВ ,  общей длиной 0,15 км</t>
  </si>
  <si>
    <t xml:space="preserve"> таб. 3.17  "Нормативные затраты на работы по подготовки проектной документации" (Приложение к приказу №847/пр от 13.12.2023)</t>
  </si>
  <si>
    <t>(33000+39900x0,15)x1,71x0,6x1,08</t>
  </si>
  <si>
    <t>Расчет закрепления опор . Всего 3 расчета</t>
  </si>
  <si>
    <t>п.4 таб. 3.18 "Нормативные затраты на работы по подготовки проектной документации" (Приложение к приказу №847/пр от 13.12.2023)</t>
  </si>
  <si>
    <t>13400x3x1,71x0,6x1,08</t>
  </si>
  <si>
    <t>Механический расчет проводов 10 кВ. Всего 1 расчёт.</t>
  </si>
  <si>
    <t>п.2 таб. 3.18 "Нормативные затраты на работы по подготовки проектной документации" (Приложение к приказу №847/пр от 13.12.2023)</t>
  </si>
  <si>
    <t>9200x1x1,71x0,6x1,08</t>
  </si>
  <si>
    <t>Установка реклоузеров (пунктов секционирования) 6 кВ в точке подключения и по трассе проектируемой ВЛ-6 кВ. Всего 1 шт.</t>
  </si>
  <si>
    <t>п.8.1 таб. 3.13 "Нормативные затраты на работы по подготовки проектной документации" (Приложение к приказу №847/пр от 13.12.2023)</t>
  </si>
  <si>
    <t>33700x1x1,71x0,6x1,08</t>
  </si>
  <si>
    <t>Расчет заземления . Всего 2 шт.</t>
  </si>
  <si>
    <t>п.8 таб. 3.18 "Нормативные затраты на работы по подготовки проектной документации" (Приложение к приказу №847/пр от 13.12.2023)</t>
  </si>
  <si>
    <t>7700x2x1,71x0,6x1,08</t>
  </si>
  <si>
    <t xml:space="preserve">Прокладка кабельных линий  0,4 кВ до потребителей по кабельной непроходной эстакаде. Суммарная протяжённость трассы проектируемой кабельной эстакады -0,735 км. </t>
  </si>
  <si>
    <t>433690x0,735x7,22x0,6x1,08</t>
  </si>
  <si>
    <t>4212.012.Р.3/0.0004.ВЭЛ.000.41501.000-ЭВ2</t>
  </si>
  <si>
    <t>Воздушная линия электропередачи одноцепная напряжением свыше 1 до 20 кВ ,  общей длиной 13,541 км</t>
  </si>
  <si>
    <t>(85000+31509x13,541)x1,71x0,6x1,08</t>
  </si>
  <si>
    <t>Расчет закрепления опор . Всего 19 расчетов</t>
  </si>
  <si>
    <t>13400x19x1,71x0,6x1,08</t>
  </si>
  <si>
    <t>Механический расчет проводов 10 кВ. Всего 7 расчётов.</t>
  </si>
  <si>
    <t>9200x7x1,71x0,6x1,08</t>
  </si>
  <si>
    <t>Установка реклоузеров (пунктов секционирования) 6 кВ в точке подключения и по трассе проектируемой ВЛ-6 кВ. Всего 4 шт.</t>
  </si>
  <si>
    <t>33700x4x1,71x0,6x1,08</t>
  </si>
  <si>
    <t>Установка разъединителей 6 кВ по трассе проектируемой ВЛ-6 кВ. Всего 31 шт.</t>
  </si>
  <si>
    <t>33700x(1+(30*0,5))x1,71x0,6x1,08</t>
  </si>
  <si>
    <t>Расчет заземления . Всего 19 шт.</t>
  </si>
  <si>
    <t>7700x19x1,71x0,6x1,08</t>
  </si>
  <si>
    <t xml:space="preserve">Проектирование БКЭС с закрытой трансформаторной подстанцией без распределительного устройства высокого напряжения мощностью до 160 кВА, с установкой оборудования связи, АСУ, СКЗ. Всего 18 шт.  </t>
  </si>
  <si>
    <t>59070x18x7,22x0,6x1,15x1,08x0,5</t>
  </si>
  <si>
    <t>К5=0,5 - однотр-рая подстанция п.2.8.1 СБЦ</t>
  </si>
  <si>
    <t>Расчет токов короткого замыкания в сети 10 кВ и 0,4 кВ. Всего 18 линий.</t>
  </si>
  <si>
    <t>2640x18x7,22x0,6x1,08</t>
  </si>
  <si>
    <t>4790x18x7,22x0,6x1,08</t>
  </si>
  <si>
    <t>Выбор компенсирующих устройств (приказ от 23 июня 2015 года № 380 Министерства энергетики Российской Федерации). Всего 4 устройства.</t>
  </si>
  <si>
    <t>11800x18x1,71x0,6x1,08</t>
  </si>
  <si>
    <t>4130x18x7,22x0,6x1,08</t>
  </si>
  <si>
    <t xml:space="preserve">Проектирование заземляющего устройства зданий и сооружений. Всего 18 объектов  </t>
  </si>
  <si>
    <t>8870x18x7,22x0,6x1,08x0,25</t>
  </si>
  <si>
    <t>Сеть газосборная ГПР 2А</t>
  </si>
  <si>
    <t xml:space="preserve">Воздушная линия электропередачи одноцепная напряжением от 1 до 5 км ,  общей длиной 4,5км (компл. Шг.2А ЭВ1) </t>
  </si>
  <si>
    <t>(33000+39900x4,5)x1,71x0,6x1,08</t>
  </si>
  <si>
    <t xml:space="preserve">К1=1,71-инфляционный коэффициент </t>
  </si>
  <si>
    <t>К2=0,6 - стадия "Р",</t>
  </si>
  <si>
    <t xml:space="preserve">Воздушная линия электропередачи одноцепная напряжением свыше 10 до 20 км ,  общей длиной 15,2км  (компл. Шг.2А ЭВ2) </t>
  </si>
  <si>
    <t>(85000+31509x15)x1,71x0,6x1,08</t>
  </si>
  <si>
    <t>13400x(1+(18*0,5))x1,71x0,6x1,08</t>
  </si>
  <si>
    <t>Воздушный переход воздушной линией электропередачи через водные преграды , железные дороги и другие инженерные сооружения напряжением  свыше 1 до 20 кВ протяженностью 50 п.м.. ( 5 переходов -компл. ЭВ1, 28 переходов-компл.ЭВ2)</t>
  </si>
  <si>
    <t>п.7.2 таб. 3.18 "Нормативные затраты на работы по подготовки проектной документации" (Приложение к приказу №847/пр от 13.12.2023)</t>
  </si>
  <si>
    <t>(14200+138x50)x1,71x0,6x1,08x33</t>
  </si>
  <si>
    <t>К4=33 Ценообразующий коэф-т</t>
  </si>
  <si>
    <t>Механический расчет проводов 10 кВ. Всего 14 расчётов.</t>
  </si>
  <si>
    <t>9200x14x1,71x0,6x1,08</t>
  </si>
  <si>
    <t>Установка пунктов секционирования 6 кВ в точке подключения и по трассе проектируемой ВЛ-6 кВ. Всего 4 шт.</t>
  </si>
  <si>
    <t>Установка разъединителей 6 кВ в точке подключения и по трассе проектируемой ВЛ-6 кВ. Всего 36 шт.</t>
  </si>
  <si>
    <t>п.8.2 таб. 3.13 "Нормативные затраты на работы по подготовки проектной документации" (Приложение к приказу №847/пр от 13.12.2023)</t>
  </si>
  <si>
    <t>2900x36x1,71x0,6x1,08</t>
  </si>
  <si>
    <t>Расчет заземления опор  . Всего 5 шт.</t>
  </si>
  <si>
    <t>7700x5x1,71x0,6x1,08</t>
  </si>
  <si>
    <t xml:space="preserve">Проектирование БКЭС с закрытой трансформаторной подстанцией без распределительного устройства высокого напряжения мощностью до 160 кВА, с установкой оборудования связи, АСУ, СКЗ. Всего 20 шт.  </t>
  </si>
  <si>
    <t>59070x(1+(19*0,8))x7,22x0,6x1,15x1,08x0,5</t>
  </si>
  <si>
    <t xml:space="preserve">К1=7,22-инфляционный коэффициент </t>
  </si>
  <si>
    <t>К5=0,5 - п. 2.8.1 СБЦОНПиНХП (однотрансформаторные подстанции)</t>
  </si>
  <si>
    <t xml:space="preserve">Установка низковольтных щитов управления (НКУ-0,4 кВ), в помещении размером до 20 м2. Всего 20 шт. </t>
  </si>
  <si>
    <t>21120x(1+(19*0,8))x7,22x0,6x1,08</t>
  </si>
  <si>
    <t xml:space="preserve">Прокладка кабельных линий 10кВ, 0,4 кВ до потребителей по кабельной непроходной эстакаде. Суммарная протяжённость трассы проектируемой кабельной эстакады -0,4 км. </t>
  </si>
  <si>
    <t>433690x0,4x7,22x0,6x1,08</t>
  </si>
  <si>
    <t>Расчет токов короткого замыкания в сети 10 кВ и 0,4 кВ. Всего 20 линий.</t>
  </si>
  <si>
    <t>2640x20x7,22x0,6x1,08</t>
  </si>
  <si>
    <t>Электрический расчет компенсации реактивной мощности, выбор компенсирующих устройств, определение места их установки. Всего 20 устройств.</t>
  </si>
  <si>
    <t>п.6 таб. 3.18 Приложение к приказу №847/пр от 13.12.2023</t>
  </si>
  <si>
    <t>11800x(1+(19*0,5))x1,71x0,6x1,08</t>
  </si>
  <si>
    <t xml:space="preserve">Молниезащита проектируемых зданий и сооружений. Всего 20 объектов. </t>
  </si>
  <si>
    <t>8450x20x7,22x0,6x1,08x0,2</t>
  </si>
  <si>
    <t>К4=0,2 - п.3.9.7 СБЦ ОМТН</t>
  </si>
  <si>
    <t xml:space="preserve">Проектирование заземляющего устройства зданий и сооружений. Всего 20 объектов  </t>
  </si>
  <si>
    <t>8870x20x7,22x0,6x1,08x0,25</t>
  </si>
  <si>
    <t>К4=0,25 - п.3.9.8 СБЦ ОМТН</t>
  </si>
  <si>
    <t>Итого:</t>
  </si>
  <si>
    <t>4212.012.Р.12/0.0004.ПРЛВЖ.000.00000.000-ЭХЗ</t>
  </si>
  <si>
    <t>Электрозащитная установка от коррозии (катодная, электродренажная). От 1 до 5 установок. Всего 1 установка</t>
  </si>
  <si>
    <t>СБЦ-2015 (Приказ Минстроя от 27.02.2015 № 140/пр, приложение №4 "СБЦ на преоктные работы в строительстве "Газооборудование и газоснабжение промышленных предприятий, зданий и сооружений" табл. 16 п.1</t>
  </si>
  <si>
    <t>(5148+30850*1)*7,22*0,6</t>
  </si>
  <si>
    <t>К2=0,6 Cтадия "Р"</t>
  </si>
  <si>
    <t>Проектирование вентильных перемычек (блоки БСЗ)..Всего 6 установок</t>
  </si>
  <si>
    <t>СБЦ-2015 (Приказ Минстроя от 27.02.2015 № 140/пр, приложение №4 "СБЦ на преоктные работы в строительстве "Газооборудование и газоснабжение промышленных предприятий, зданий и сооружений" табл. 16 п.2</t>
  </si>
  <si>
    <t>(34658+24948*6)*7,22*0,6*0,031</t>
  </si>
  <si>
    <t xml:space="preserve">К3=0,031 п.2.4.3 СБЦ </t>
  </si>
  <si>
    <t>Проектирование глубинного анадного заземлителя (ГАЗ). Всего 5 шт</t>
  </si>
  <si>
    <t>СБЦ-2015 "Газооборудование и газоснабжение промышленных предприятий, зданий и сооружений" глава 2.4 п. 2.4.2 ,табл. 19 п.4</t>
  </si>
  <si>
    <t>20435*7,22*0,6*5</t>
  </si>
  <si>
    <t>К3=5 Ценообразующий коэф-т</t>
  </si>
  <si>
    <t>Контрольно-измерительные пункты (КИП). Количество КИП всего по объекту -20 шт.</t>
  </si>
  <si>
    <t>СБЦ-2015 (Приказ Минстроя от 27.02.2015 № 140/пр, приложение №4 "СБЦ на преоктные работы в строительстве "Газооборудование и газоснабжение промышленных предприятий, зданий и сооружений" табл. 16 п.4</t>
  </si>
  <si>
    <t>(107483+194000*20)*7,22*0,6*0,007</t>
  </si>
  <si>
    <t xml:space="preserve">К3=0,007 п.2.4.3 СБЦ </t>
  </si>
  <si>
    <t>Проектирование протекторной установки (УПЗ).Количество УПЗ всего по объекту -20 шт.</t>
  </si>
  <si>
    <t>СБЦ-2015"Газооборудование и газоснабжение промышленных предприятий, зданий и сооружений"  глава 2.4 п. 2.4.2 ,табл. 19 п.4</t>
  </si>
  <si>
    <t>20435*7,22*0,6*20*0,1</t>
  </si>
  <si>
    <t>К3=20 Ценообразующий коэф-т</t>
  </si>
  <si>
    <t>К4=0,1- СБЦ-2015 глава 2.4 п. 2.4.1</t>
  </si>
  <si>
    <t>Проектирование кабельных линий напряжением до 1.0 кВ. Всего 3 км</t>
  </si>
  <si>
    <t>СБЦ-2015 "Газооборудование и газоснабжение промышленных предприятий, зданий и сооружений"глава 2.4 п. 2.4.2 ,табл. 19 п.2</t>
  </si>
  <si>
    <t>(9996+22090*3)*7,22*0,6</t>
  </si>
  <si>
    <t>4212.012.Р.16/0.0004.ПлППГ.000.00000.000-ЭХЗ</t>
  </si>
  <si>
    <t>Проектирование вентильных перемычек (блоки БСЗ)..Всего 2 установки</t>
  </si>
  <si>
    <t>(5148+30850*2)*7,22*0,6*0,031</t>
  </si>
  <si>
    <t>Проектирование глубинного анадного заземлителя (ГАЗ). Всего 10 шт</t>
  </si>
  <si>
    <t>20435*7,22*0,6*10</t>
  </si>
  <si>
    <t>К3=10 Ценообразующий коэф-т</t>
  </si>
  <si>
    <t>Контрольно-измерительные пункты (КИП). Количество КИП всего по объекту -15 шт.</t>
  </si>
  <si>
    <t>СБЦ-2015 (Приказ Минстроя от 27.02.2015 № 140/пр, приложение №4 "СБЦ на преоктные работы в строительстве "Газооборудование и газоснабжение промышленных предприятий, зданий и сооружений" табл. 16 п.3</t>
  </si>
  <si>
    <t>(55448+22869*15)*7,22*0,6*0,007</t>
  </si>
  <si>
    <t>Проектирование протекторной установки (УПЗ).Количество УПЗ всего по объекту -15 шт.</t>
  </si>
  <si>
    <t>20435*7,22*0,6*15*0,1</t>
  </si>
  <si>
    <t>К3=15 Ценообразующий коэф-т</t>
  </si>
  <si>
    <t>4212.012.Р.16/0.0004.Г3.001.40203.000-ЭХЗ</t>
  </si>
  <si>
    <t>Проектирование глубинного анадного заземлителя (ГАЗ). Всего 3 шт</t>
  </si>
  <si>
    <t>20435*7,22*0,6*3</t>
  </si>
  <si>
    <t>К3=3 Ценообразующий коэф-т</t>
  </si>
  <si>
    <t>Контрольно-измерительные пункты (КИП). Количество КИП всего по объекту -50 шт.</t>
  </si>
  <si>
    <t>СБЦ-2015 (Приказ Минстроя от 27.02.2015 № 140/пр, приложение №4 "СБЦ на преоктные работы в строительстве "Газооборудование и газоснабжение промышленных предприятий, зданий и сооружений" табл. 16 п.5</t>
  </si>
  <si>
    <t>495483*7,22*0,6*0,007*50</t>
  </si>
  <si>
    <t>К3=50 Ценообразующий коэф-т</t>
  </si>
  <si>
    <t>Проектирование протекторной установки (УПЗ).Количество УПЗ всего по объекту -30 шт.</t>
  </si>
  <si>
    <t>20435*7,22*0,6*30*0,1</t>
  </si>
  <si>
    <t>К3=30 Ценообразующий коэф-т</t>
  </si>
  <si>
    <t>Проектирование кабельных линий напряжением до 1.0 кВ. Всего 5 км</t>
  </si>
  <si>
    <t>(9996+22090*5)*7,22*0,6</t>
  </si>
  <si>
    <t>дополнено</t>
  </si>
  <si>
    <t>Гпп.УЗРГ - Газопровод подключения УЗРГ к САЦ</t>
  </si>
  <si>
    <t>4212.001.Р.007.0004.Гпп.УЗРГ.0000.000-ЭХЗ</t>
  </si>
  <si>
    <t>Проектирование вентильных перемычек (блоки БСЗ)..Всего 3 установки</t>
  </si>
  <si>
    <t>(5148+30850*3)*7,22*0,6*0,031</t>
  </si>
  <si>
    <t>Проектирование глубинного анадного заземлителя (ГАЗ). Всего 6 шт</t>
  </si>
  <si>
    <t>20435*7,22*0,6*6</t>
  </si>
  <si>
    <t>К3=6 Ценообразующий коэф-т</t>
  </si>
  <si>
    <t>Контрольно-измерительные пункты (КИП). Количество КИП всего по объекту -30 шт.</t>
  </si>
  <si>
    <t>495483*7,22*0,6*0,007*10</t>
  </si>
  <si>
    <t>К4=1+(29*0,3)=10 Ценообразующий коэф-т</t>
  </si>
  <si>
    <t>20435*7,22*0,6*10*0,1</t>
  </si>
  <si>
    <t>К3=1+(29*0,3)=10 Ценообразующий коэф-т</t>
  </si>
  <si>
    <t>СБЦ-2015 "Газооборудование и газоснабжение промышленных предприятий, зданий и сооружений"глава 2.4 п. 2.4.2 ,табл. 19 п.3</t>
  </si>
  <si>
    <t>4212.012.Р.3/0.0004.ГРП.02А.00000.000-ЭХЗ1, 4212.012.Р.3/0.0004.ГРП.02А.00000.000-ЭХЗ2, 4212.012.Р.3/0.0004.ГРП.02А.00000.000-ЭХЗ3</t>
  </si>
  <si>
    <t>(5148+30850x1)x7,22x0,6</t>
  </si>
  <si>
    <t>Проектирование вентильных перемычек (блоки БСЗ)..Всего 4 установки</t>
  </si>
  <si>
    <t>(5148+30850x4)x7,22x0,6x0,031</t>
  </si>
  <si>
    <t>Проектирование глубинного анадного заземлителя (ГАЗ). Всего 8 шт</t>
  </si>
  <si>
    <t>20435x7,22x0,6x8</t>
  </si>
  <si>
    <t>К3=8 Ценообразующий коэф-т</t>
  </si>
  <si>
    <t>Контрольно-измерительные пункты (КИП). Количество КИП всего по объекту -40 шт.</t>
  </si>
  <si>
    <t>495483x7,22x0,6x0,007x40</t>
  </si>
  <si>
    <t>К4=40 Ценообразующий коэф-т</t>
  </si>
  <si>
    <t>Проектирование протекторной установки (УПЗ).Количество УПЗ всего по объекту -40 шт.</t>
  </si>
  <si>
    <t>20435x7,22x0,6x40x0,1</t>
  </si>
  <si>
    <t>К3=40 Ценообразующий коэф-т</t>
  </si>
  <si>
    <t>Проектирование кабельных линий напряжением до 1.0 кВ. Всего 4 км</t>
  </si>
  <si>
    <t>(9996+22090x4)x7,22x0,6</t>
  </si>
  <si>
    <t>ГК.2 А - Коллектор газосборный КС 3 - ГРП 2А</t>
  </si>
  <si>
    <t>4212.001.Р.007.0004.ГК.2А.0000.000-ЭХЗ1</t>
  </si>
  <si>
    <t>Проектирование вентильных перемычек (блоки БСЗ)..Всего 100 установок</t>
  </si>
  <si>
    <t>495483x7,22x0,6x0,031x30,7</t>
  </si>
  <si>
    <t>К4=1+(99*0,3)=30,7 Ценообразующий коэф-т</t>
  </si>
  <si>
    <t>Контрольно-измерительные пункты (КИП). Количество КИП всего по объекту -130 шт.</t>
  </si>
  <si>
    <t>495483x7,22x0,6x0,007x39,7</t>
  </si>
  <si>
    <t>К4=1+(129*0,3)=39,7 Ценообразующий коэф-т</t>
  </si>
  <si>
    <t>Проектирование протекторной установки (УПЗ).Количество УПЗ всего по объекту -110 шт.</t>
  </si>
  <si>
    <t>20435x7,22x0,6x33,7x0,1</t>
  </si>
  <si>
    <t>К3=1+(109*0,3)=33,7 Ценообразующий коэф-т</t>
  </si>
  <si>
    <t>(9996+22090x3)x7,22x0,6</t>
  </si>
  <si>
    <t>4212.001.Р.007.0004.ГК.2А.0000.000-ЭХЗ2</t>
  </si>
  <si>
    <t>Шг.2А - Сеть газосборная ГРП 2А</t>
  </si>
  <si>
    <t>4212.00.Р.04.Шг.2А.000.ЭХЗ.000</t>
  </si>
  <si>
    <t>Проектирование вентильных перемычек (блоки БСЗ)..Всего 20 установок</t>
  </si>
  <si>
    <t>(107483+19400x(1+(19*0,3)))x7,22x0,6x0,031</t>
  </si>
  <si>
    <t>Проектирование глубинного анадного заземлителя (ГАЗ). Всего16 шт</t>
  </si>
  <si>
    <t>20435x7,22x0,6x1</t>
  </si>
  <si>
    <t>К3=1 Ценообразующий коэф-т</t>
  </si>
  <si>
    <t>Контрольно-измерительные пункты (КИП). Количество КИП всего по объекту -410 шт.</t>
  </si>
  <si>
    <t>495483x7,22x0,6x0,007x123,7</t>
  </si>
  <si>
    <t>К4=1+(409*0,3)=123,7 Ценообразующий коэф-т</t>
  </si>
  <si>
    <t>Проектирование протекторной установки (УПЗ).Количество УПЗ всего по объекту -220 шт.</t>
  </si>
  <si>
    <t>20435x7,22x0,6x66,7x0,1</t>
  </si>
  <si>
    <t>К3=1+(219*0,3)=66,7 Ценообразующий коэф-т</t>
  </si>
  <si>
    <t>Проектирование кабельных линий напряжением до 1.0 кВ. Всего 16 км</t>
  </si>
  <si>
    <t>(9996+22090x16)x7,22x0,6</t>
  </si>
  <si>
    <t>4212.00.Р.04.Шг.2А.000.ЭХЗ1.000</t>
  </si>
  <si>
    <t>Контрольно-измерительные пункты (КИП). Количество КИП всего по объекту - 10 шт.</t>
  </si>
  <si>
    <t>(34658+24948x10)x7,22x0,6x0,007</t>
  </si>
  <si>
    <t>20435x7,22x0,6x15x0,1</t>
  </si>
  <si>
    <t>Проектирование кабельных линий напряжением до 1.0 кВ. Всего 0,12 км</t>
  </si>
  <si>
    <t>(5112+26974x0,12)x7,22x0,6</t>
  </si>
  <si>
    <t>4212.00.Р.04.Шг.2А.000.ЭХЗ2.000</t>
  </si>
  <si>
    <t>Проектирование кабельных линий напряжением до 1.0 кВ. Всего 0,15 км</t>
  </si>
  <si>
    <t>(5112+26974x0,15)x7,22x0,6</t>
  </si>
  <si>
    <t>4212.00.Р.04.Шг.2А.000.ЭХЗ3.000</t>
  </si>
  <si>
    <t>Проектирование глубинного анадного заземлителя (ГАЗ). Всего 1 шт</t>
  </si>
  <si>
    <t>Контрольно-измерительные пункты (КИП). Количество КИП всего по объекту - 750 шт.</t>
  </si>
  <si>
    <t>495483x7,22x0,6x0,007x225,7</t>
  </si>
  <si>
    <t>К4=1+(749*0,3)=225,7 Ценообразующий коэф-т</t>
  </si>
  <si>
    <t>Проектирование протекторной установки (УПЗ).Количество УПЗ всего по объекту -670 шт.</t>
  </si>
  <si>
    <t>20435x7,22x0,6x201,7x0,1</t>
  </si>
  <si>
    <t>К3=1+(669*0,3)=201,7 Ценообразующий коэф-т</t>
  </si>
  <si>
    <t>Проектирование кабельных линий напряжением до 1.0 кВ. Всего 22 км</t>
  </si>
  <si>
    <t>(9996+22090x22)x7,22x0,6</t>
  </si>
  <si>
    <t>4212.00.Р.04.Шг.2А.000.ЭХЗ4.000</t>
  </si>
  <si>
    <t>Контрольно-измерительные пункты (КИП). Количество КИП всего по объекту - 5 шт.</t>
  </si>
  <si>
    <t>(5148+30850x5)x7,22x0,6x0,007</t>
  </si>
  <si>
    <t>Проектирование протекторной установки (УПЗ).Количество УПЗ всего по объекту -10 шт.</t>
  </si>
  <si>
    <t>20435x7,22x0,6x10x0,1</t>
  </si>
  <si>
    <t>Проектирование кабельных линий напряжением до 1.0 кВ. Всего 0,1 км</t>
  </si>
  <si>
    <t>(5112+26974x0,1)x7,22x0,6</t>
  </si>
  <si>
    <t>4212.00.Р.04.Шг.2А.000.ЭХЗ5.000</t>
  </si>
  <si>
    <t>20435x7,22x0,6x30x0,1</t>
  </si>
  <si>
    <t>Проектирование кабельных линий напряжением до 1.0 кВ. Всего 0,3 км</t>
  </si>
  <si>
    <t>(5112+26974x0,3)x7,22x0,6</t>
  </si>
  <si>
    <t>4212.00.Р.04.Шг.2А.000.ЭХЗ6.000</t>
  </si>
  <si>
    <t>4212.00.Р.04.Шг.2А.000.ЭХЗ7.000</t>
  </si>
  <si>
    <t>4212.00.Р.04.Шг.2А.000.ЭХЗ8.000</t>
  </si>
  <si>
    <t>Проектирование кабельных линий напряжением до 1.0 кВ. Всего 0,20 км</t>
  </si>
  <si>
    <t>(5112+26974x0,2)x7,22x0,6</t>
  </si>
  <si>
    <t>4212.00.Р.04.Шг.2А.000.ЭХЗ9.000</t>
  </si>
  <si>
    <t>4212.00.Р.04.Шг.2А.000.ЭХЗ10.000</t>
  </si>
  <si>
    <t>Контрольно-измерительные пункты (КИП). Количество КИП всего по объекту - 40 шт.</t>
  </si>
  <si>
    <t>495483x7,22x0,6x0,007x12,7</t>
  </si>
  <si>
    <t>К4=1+(39*0,3)=12,7 Ценообразующий коэф-т</t>
  </si>
  <si>
    <t>Проектирование протекторной установки (УПЗ).Количество УПЗ всего по объекту -120 шт.</t>
  </si>
  <si>
    <t>20435x7,22x0,6x36,7x0,1</t>
  </si>
  <si>
    <t>К3=1+(119*0,3)=36,7 Ценообразующий коэф-т</t>
  </si>
  <si>
    <t>Проектирование кабельных линий напряжением до 1.0 кВ. Всего 1,5 км</t>
  </si>
  <si>
    <t>(9996+22090x1,5)x7,22x0,6</t>
  </si>
  <si>
    <t>4212.00.Р.04.Шг.2А.000.ЭХЗ11.000</t>
  </si>
  <si>
    <t>Проектирование глубинного анадного заземлителя (ГАЗ). Всего 20 шт</t>
  </si>
  <si>
    <t>20435x7,22x0,6x6,7</t>
  </si>
  <si>
    <t>К3=1+(19*0,3)=6,7 Ценообразующий коэф-т</t>
  </si>
  <si>
    <t>Проектирование кабельных линий напряжением до 1.0 кВ. Всего 20 км</t>
  </si>
  <si>
    <t>(9996+22090x20)x7,22x0,6</t>
  </si>
  <si>
    <t>4212.00.Р.04.Шг.2А.000.ЭХЗ12.000</t>
  </si>
  <si>
    <t>20435x7,22x0,6x3,7</t>
  </si>
  <si>
    <t>К3=1+(9*0,3)=3,7 Ценообразующий коэф-т</t>
  </si>
  <si>
    <t>Проектирование кабельных линий напряжением до 1.0 кВ. Всего 0,50 км</t>
  </si>
  <si>
    <t>(5112+26974x0,5)x7,22x0,6</t>
  </si>
  <si>
    <t>Этап 12 РЛВЖ</t>
  </si>
  <si>
    <t>Система автоматического пенного пожаротушения насосной поз.2 площадью F=162 кв.м.</t>
  </si>
  <si>
    <t>Спр. баз. цен "Системы противопожарной и охранной защиты"  т.1 п.23</t>
  </si>
  <si>
    <t>2300*55,26*1,3*1,3*1,15*1,14*0,75*0,7</t>
  </si>
  <si>
    <t>k=55,26</t>
  </si>
  <si>
    <t>к=1,3 п.2.5</t>
  </si>
  <si>
    <t>к=1,3 п.3</t>
  </si>
  <si>
    <t>к=1,15 п.9</t>
  </si>
  <si>
    <t>к=1,14 п.11</t>
  </si>
  <si>
    <t>к=0,75 ст.Р</t>
  </si>
  <si>
    <t>к=0,7 объем</t>
  </si>
  <si>
    <t>Пункт пенного пожаротушения</t>
  </si>
  <si>
    <t>Спр. баз. цен "Объекты нефтеперерабатывающей пр-ти"  2015 г. т.8 п.1.104</t>
  </si>
  <si>
    <t>696000*7,22*0,6*0,7</t>
  </si>
  <si>
    <t>k=7,22 инфл.</t>
  </si>
  <si>
    <t>к=0,6 ст.Р</t>
  </si>
  <si>
    <t>Система автоматического газового пожаротушения помещения КТП насосной поз.2</t>
  </si>
  <si>
    <t>СБЦ "Системы противопожарной и охранной защиты" т.2 п.1</t>
  </si>
  <si>
    <t>2560*55,26*1,3*0,9</t>
  </si>
  <si>
    <t>к=1.3 п.3</t>
  </si>
  <si>
    <t>к=0,9 ст.РП</t>
  </si>
  <si>
    <t xml:space="preserve">Резервуар производственно-дождевых сточных вод поз.13 емк. 188 куб.м. </t>
  </si>
  <si>
    <t>Спр. баз. цен "ВиК"  2015 г. т.5 п.10</t>
  </si>
  <si>
    <t>(21960+79880*0,188)*7,22*0,4*0,7</t>
  </si>
  <si>
    <t>к=0,4 ст.Р</t>
  </si>
  <si>
    <t>Дренажная емкость бытовых сточных вод поз.20</t>
  </si>
  <si>
    <t>Спр. баз. цен "Объекты нефтеперерабатывающей пр-ти"  2015 г. т.8 п.1.92</t>
  </si>
  <si>
    <t>146600*1*7,22*0,6*0,7</t>
  </si>
  <si>
    <t>Сети противопожарного  водопровода В2 подземной прокладки  L=0,9 км. С учетом коэф. застройки больше 0,5 и кол-вом пересеч. больше 10.</t>
  </si>
  <si>
    <t>Спр. баз. цен "ВиК"  2015 г. т.3 п.1 с учетом п.1.12. К= К застр. + Кпересеч.=1(0,4+0,1)=1,5</t>
  </si>
  <si>
    <t>(64940+34770*0,9)*7,22*1,5*1,15*0,4*0,7</t>
  </si>
  <si>
    <t>к=1,5</t>
  </si>
  <si>
    <t>к=1,15 полиэтилен</t>
  </si>
  <si>
    <t>Сети хозяйственно-питьевого  водопровода В1 подземной прокладки  L=0,4 км. С учетом коэф. застройки больше 0,5 и кол-вом пересеч. больше 10.</t>
  </si>
  <si>
    <t>(64940+34770*0,4)*7,22*1,5*1,15*0,4*0,7</t>
  </si>
  <si>
    <t xml:space="preserve">Сети хозяйственно-бытовой канализации К1, I-я группа  L=0,035 км. </t>
  </si>
  <si>
    <t>Спр. баз. цен "ВиК"  2015 г. т.8 п.4</t>
  </si>
  <si>
    <t>(114690+16850*0,035)*7,22*1,15*0,4*0,7</t>
  </si>
  <si>
    <t xml:space="preserve">Сети канализации К4 самотечные, I-я группа  L=0,371 км. </t>
  </si>
  <si>
    <t>(114690+16850*0,37)*7,22*0,4*0,7</t>
  </si>
  <si>
    <t>Система охлаждения рез.парка лафетными стволами F=1800 кв.м.</t>
  </si>
  <si>
    <t>Спр. баз. цен "Системы противопожарной и охранной защиты"  т.1 п.27</t>
  </si>
  <si>
    <t>6398*55,26*1,2*1,3*0,7*0,75*0,7</t>
  </si>
  <si>
    <t>k=55,26 инфл.</t>
  </si>
  <si>
    <t>к=1,2 п.2.2</t>
  </si>
  <si>
    <t>k=0,7 п.4</t>
  </si>
  <si>
    <t>Этап 15 ДЭГ КС3</t>
  </si>
  <si>
    <t>КНС промышленных стоков поз.261 Q=10 м3/ч</t>
  </si>
  <si>
    <t xml:space="preserve">Спр. баз. цен "ВиК"  т.9 п.1 </t>
  </si>
  <si>
    <t>(147380+242530*0,01)*7,22*1,15*0,4*0,7</t>
  </si>
  <si>
    <t xml:space="preserve">к=1,15 взрывооп.         </t>
  </si>
  <si>
    <t>Этап 16 ПлППГ</t>
  </si>
  <si>
    <t>Сети хозяйственно-питьевого  водопровода В1 подземной прокладки  L=0,48 км. С учетом коэф. застройки больше 0,5 и кол-вом пересеч. больше 10.</t>
  </si>
  <si>
    <t>(64940+34770*0,48)*7,22*1,5*1,15*0,4*0,7</t>
  </si>
  <si>
    <t xml:space="preserve">Сети канализации К4 самотечные, I-я группа  L=0,04 км. </t>
  </si>
  <si>
    <t>(114690+16850*0,04)*7,22*0,4*0,7</t>
  </si>
  <si>
    <t xml:space="preserve">Сети производственной канализации К3Н, напорные,  L=0,07 км. </t>
  </si>
  <si>
    <t>Спр. баз. цен "ВиК"  2015 г. т.3 п.1 с учетом п.1.12. К= К застр. + Кпересеч.+ Книтки=1(0,4+0,1+ 0,15)=1,65</t>
  </si>
  <si>
    <t>(64940+34770*0,07)*7,22*1,15*0,4*0,7</t>
  </si>
  <si>
    <t>Коллектор межплощадочный канализационный ПППГ-КОС напорный подземной прокладки  L=0,214 км. 4212.012.Р.16/0.0004.КК.010.41202.000-НК</t>
  </si>
  <si>
    <t>(64940+34770*0,214)*7,22*1,15*0,4*0,7</t>
  </si>
  <si>
    <t>Водовод межплощадочный ПППГ-КОС подземной прокладки  L=0,257 км. 4212.012.Р.16/0.0004.МПВ.009.31502.000-НВ</t>
  </si>
  <si>
    <t>(64940+34770*0,257)*7,22*1,15*0,4*0,7</t>
  </si>
  <si>
    <t>Этап 27 КС5</t>
  </si>
  <si>
    <t xml:space="preserve">Насосная станция противопожарного водоснабжения поз.5.7 Q= 360 м3/час </t>
  </si>
  <si>
    <t xml:space="preserve">Спр. баз. цен "ВиК"  2015 г. т.5 п.3 </t>
  </si>
  <si>
    <t>(179590+353530*0,36)*7,22*1,1*0,4</t>
  </si>
  <si>
    <t>к=1,1 микропроцесс.</t>
  </si>
  <si>
    <t>Резервуары для противопожарного запаса воды поз.5.8, 5.9 емк. 250 куб.м. 2 шт.</t>
  </si>
  <si>
    <t>(21960+79880*0,25)*7,22*2*0,4</t>
  </si>
  <si>
    <t>к=2-2 шт.</t>
  </si>
  <si>
    <t xml:space="preserve">Резервуар производственно-дождевых сточных вод поз.43 емк. 188 куб.м. </t>
  </si>
  <si>
    <t xml:space="preserve">Водовод межплощадочный  КОС-КС5 подземной прокладки  L=0,665 км. </t>
  </si>
  <si>
    <t>(64940+34770*0,665)*7,22*1,15*0,4*0,7</t>
  </si>
  <si>
    <t xml:space="preserve">Водовод межплощадочный до ГРП5 подземной прокладки  L=1,37 км. </t>
  </si>
  <si>
    <t>(64940+34770*1,37)*7,22*1,15*0,4*0,7</t>
  </si>
  <si>
    <t xml:space="preserve">Водовод межплощадочный КС5-РЛВЖ подземной прокладки  L=0,21 км. </t>
  </si>
  <si>
    <t>(64940+34770*0,21)*7,22*1,15*0,4*0,7</t>
  </si>
  <si>
    <t>Система автоматического газового пожаротушения помещени технологического корпуса №1 (4 напр.)</t>
  </si>
  <si>
    <t xml:space="preserve">СБЦ "Системы противопожарной и охранной защиты" т.2 п.2 </t>
  </si>
  <si>
    <t>3814x55,26x1,3x1,3x0,9x1</t>
  </si>
  <si>
    <t>к=1.3 п.2.5</t>
  </si>
  <si>
    <t>е=0,9 ст.РП</t>
  </si>
  <si>
    <t>к=1 объем</t>
  </si>
  <si>
    <t>Система автоматического газового пожаротушения помещени технологического корпуса №2 (4 напр.)</t>
  </si>
  <si>
    <t>Система автоматического газового пожаротушения помещени технологической насосной поз.8</t>
  </si>
  <si>
    <t>2560x55,26x1,3x1,3x0,9x1</t>
  </si>
  <si>
    <t>Система автоматического газового пожаротушения помещений операторной поз.19</t>
  </si>
  <si>
    <t>2560x55,26x1,3x0,75x0,7</t>
  </si>
  <si>
    <t xml:space="preserve">Насосная станция противопожарного водоснабжения поз.9 Q= 200 м3/час </t>
  </si>
  <si>
    <t>(179590+353530x0,2)x7,22x1,1x0,4x0,7</t>
  </si>
  <si>
    <t>Резервуары для противопожарного запаса воды поз.10, 11 емк. 200 куб.м. 2 шт.</t>
  </si>
  <si>
    <t>(21960+79880x0,2)x7,22x2x0,4x0,7</t>
  </si>
  <si>
    <t>Дренажная емкость бытовых сточных вод поз.17, поз.32</t>
  </si>
  <si>
    <t>146600x1x7,22x2x0,6x0,7</t>
  </si>
  <si>
    <t xml:space="preserve">Резервуар производственно-дождевых сточных вод поз.18 емк. 188 куб.м. </t>
  </si>
  <si>
    <t>(21960+79880x0,188)x7,22x0,4x0,7</t>
  </si>
  <si>
    <t>Сети противопожарного  водопровода В2 подземной прокладки  L=0,8 км. С учетом коэф. застройки больше 0,5 и кол-вом пересеч. больше 10.</t>
  </si>
  <si>
    <t>(64940+34770x0,8)x7,22x1,5x1,15x0,4x0,7</t>
  </si>
  <si>
    <t>Сети хозяйственно-питьевого  водопровода В1 подземной прокладки  L=0,24 км. С учетом коэф. застройки больше 0,5 и кол-вом пересеч. больше 10.</t>
  </si>
  <si>
    <t>(64940+34770x0,24)x7,22x1,5x1,15x0,4x0,7</t>
  </si>
  <si>
    <t xml:space="preserve">Сети хозяйственно-бытовой канализации К1, I-я группа  L=0,08 км. </t>
  </si>
  <si>
    <t>(114690+16850x0,08)x7,22x1,15x0,4x0,7</t>
  </si>
  <si>
    <t xml:space="preserve">Сети канализации К3, К4 самотечные, I-я группа  L=0,11 км. </t>
  </si>
  <si>
    <t>(114690+16850x0,11)x7,22x0,4x0,7</t>
  </si>
  <si>
    <t xml:space="preserve">Сети производственной канализации К3Н, напорные,  L=0,1 км. </t>
  </si>
  <si>
    <t>(64940+34770x1,1)x7,22x1,15x0,4x0,7</t>
  </si>
  <si>
    <t>Водовод межплощадочный В1 КС3-ГРП2А подземной прокладки  L=1,9 км. С учетом  кол-вом пересеч. больше 10.</t>
  </si>
  <si>
    <t>(64940+34770x1,9)x7,22x1,5x1,15x1,15x0,4x0,7</t>
  </si>
  <si>
    <t>к=1,15 2 нитки</t>
  </si>
  <si>
    <t>Итого по этапу 3</t>
  </si>
  <si>
    <t>Здания и сооружения. Контрольно-пропускной пункт на 2 прохода с постом охраны</t>
  </si>
  <si>
    <t>Объекты нефтеперерабатывающей и нефтехимической промышленности. 2015 г. Таблица 8. Объекты подсобно-производственного, вспомогательного и общезаводского назначения, внутриплощадочные инженерные сети, схема планировочной организации земельного участка, п.1.71
A = 125 тыс. руб.
Количество = 1 (пункт)</t>
  </si>
  <si>
    <t>A * Количество * Ктек * Кст
125 000 руб. * 1 * 7,22 * 0.6</t>
  </si>
  <si>
    <t>Коэф-т 1 от п.3 * 0.8
1 065 000.00 руб. * 1 * 0.8</t>
  </si>
  <si>
    <t>4212.00.Р.04.Шг.2А.000.Л.000 Инв номер 763390</t>
  </si>
  <si>
    <t>НЗ №849/пр Объекты газовой промышленности. 2023 г. Таблица 3.6. Объекты сбора газа (шлейфы, коллекторы и межцеховые трубопроводы), п.1
A = 61.9 тыс.руб; B = 15.484 тыс.руб;
Xзад = 1.0125 (км);
Количество = 1</t>
  </si>
  <si>
    <t>(A + B * Xзад) * Количество * Ктек * Кст
(61 900 руб. + 15 484 руб. * 1.0125) * 1 * 1,56 * 0.6</t>
  </si>
  <si>
    <t>Ктек = 1,56
Письмо Минстроя России от 22.07.2026 №45358-ИФ/09</t>
  </si>
  <si>
    <t>НЗ №849/пр Объекты газовой промышленности. 2023 г. Таблица 3.6. Объекты сбора газа (шлейфы, коллекторы и межцеховые трубопроводы), п.1
A = 61.9 тыс.руб; B = 15.484 тыс.руб;
Xзад = 2.33152 (км);
Количество = 1</t>
  </si>
  <si>
    <t>(A + B * Xзад) * Количество * Ктек * Кст
(61 900 руб. + 15 484 руб. * 2.33152) * 1 * 1,56 * 0.6</t>
  </si>
  <si>
    <t>4212.00.Р.04.Шг.2А.000.Л1.000 Инв номер 763400</t>
  </si>
  <si>
    <t>НЗ №849/пр Объекты газовой промышленности. 2023 г. Таблица 3.6. Объекты сбора газа (шлейфы, коллекторы и межцеховые трубопроводы), п.1
A = 61.9 тыс.руб; B = 15.484 тыс.руб;
Xзад = 2.73962 (км);
Количество = 1</t>
  </si>
  <si>
    <t>(A + B * Xзад) * Количество * Ктек * Кст
(61 900 руб. + 15 484 руб. * 2.73962) * 1 * 1,56 * 0.6</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</si>
  <si>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0.5418 (км);
Количество = 1</t>
  </si>
  <si>
    <t>(A + B * (0.4 * Xмин + 0.6 * Xзад)) * Количество * Ктек * Кст
(61 900 руб. + 15 484 руб. * (0.4 * 1 + 0.6 * 0.5418)) * 1 * 1,56 * 0.6</t>
  </si>
  <si>
    <t>4212.00.Р.04.Шг.2А.000.Л2.000 Инв номер 763405</t>
  </si>
  <si>
    <t>НЗ №849/пр Объекты газовой промышленности. 2023 г. Таблица 3.6. Объекты сбора газа (шлейфы, коллекторы и межцеховые трубопроводы), п.1
A = 61.9 тыс.руб; B = 15.484 тыс.руб;
Xзад = 3.16977 (км);
Количество = 1</t>
  </si>
  <si>
    <t>(A + B * Xзад) * Количество * Ктек * Кст
(61 900 руб. + 15 484 руб. * 3.16977) * 1 * 1,56 * 0.6</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</si>
  <si>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0.39605 (км);
Количество = 1</t>
  </si>
  <si>
    <t>(A + B * (0.4 * Xмин + 0.6 * (Xмин / 2))) * Количество * Кпон * Ктек * Кст
(61 900 руб. + 15 484 руб. * (0.4 * 1 + 0.6 * (1 / 2))) * 1 * 0.79 * 1,56 * 0.6</t>
  </si>
  <si>
    <t>К'пон = 0.79
понижающий коэффициент, учитывающий разницу в трудоемкости работ по проектируемому объекту и объекту аналогу. (Методика 707/пр п.131(3)) (Ценообразующий)</t>
  </si>
  <si>
    <t>4212.00.Р.04.Шг.2А.000.Л3.000 Инв номер 763410</t>
  </si>
  <si>
    <t xml:space="preserve">Трубопроводы (межцеховые и шлейфы) диаметром до 300 мм. Протяженность от 5 км до 20 км включительно. </t>
  </si>
  <si>
    <t>НЗ №849/пр Объекты газовой промышленности. 2023 г. Таблица 3.6. Объекты сбора газа (шлейфы, коллекторы и межцеховые трубопроводы), п.1
A = 88.5 тыс.руб; B = 10.167 тыс.руб;
Xзад = 5.1931 (км);
Количество = 1</t>
  </si>
  <si>
    <t>(A + B * Xзад) * Количество * Ктек * Кст
(88 500 руб. + 10 167 руб. * 5.1931) * 1 * 1,56 * 0.6</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</si>
  <si>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0.02816 (км);
Количество = 1</t>
  </si>
  <si>
    <t>(A + B * (0.4 * Xмин + 0.6 * (Xмин / 2))) * Количество * Кпон * Ктек * Кст
(61 900 руб. + 15 484 руб. * (0.4 * 1 + 0.6 * (1 / 2))) * 1 * 0.1 * 1,56 * 0.6</t>
  </si>
  <si>
    <t>НЗ №849/пр Объекты газовой промышленности. 2023 г. Таблица 3.6. Объекты сбора газа (шлейфы, коллекторы и межцеховые трубопроводы), п.1
A = 61.9 тыс.руб; B = 15.484 тыс.руб;
Xзад = 3.61309 (км);
Количество = 1</t>
  </si>
  <si>
    <t>(A + B * Xзад) * Количество * Ктек * Кст
(61 900 руб. + 15 484 руб. * 3.61309) * 1 * 1,56 * 0.6</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</si>
  <si>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0.26027 (км);
Количество = 1</t>
  </si>
  <si>
    <t>(A + B * (0.4 * Xмин + 0.6 * (Xмин / 2))) * Количество * Кпон * Ктек * Кст
(61 900 руб. + 15 484 руб. * (0.4 * 1 + 0.6 * (1 / 2))) * 1 * 0.52 * 1,56 * 0.6</t>
  </si>
  <si>
    <t>К'пон = 0.52
понижающий коэффициент, учитывающий разницу в трудоемкости работ по проектируемому объекту и объекту аналогу. (Методика 707/пр п.131(3)) (Ценообразующий)</t>
  </si>
  <si>
    <t>4212.00.Р.04.Шг.2А.000.Л4.000 Инв номер 763415</t>
  </si>
  <si>
    <t>НЗ №849/пр Объекты газовой промышленности. 2023 г. Таблица 3.6. Объекты сбора газа (шлейфы, коллекторы и межцеховые трубопроводы), п.1
A = 61.9 тыс.руб; B = 15.484 тыс.руб;
Xзад = 2.005 (км);
Количество = 1</t>
  </si>
  <si>
    <t>(A + B * Xзад) * Количество * Ктек * Кст
(61 900 руб. + 15 484 руб. * 2.005) * 1 * 1,56 * 0.6</t>
  </si>
  <si>
    <t>НЗ №849/пр Объекты газовой промышленности. 2023 г. Таблица 3.6. Объекты сбора газа (шлейфы, коллекторы и межцеховые трубопроводы), п.1
A = 61.9 тыс.руб; B = 15.484 тыс.руб;
Xзад = 2.129 (км);
Количество = 1</t>
  </si>
  <si>
    <t>(A + B * Xзад) * Количество * Ктек * Кст
(61 900 руб. + 15 484 руб. * 2.129) * 1 * 1,56 * 0.6</t>
  </si>
  <si>
    <t>4212.00.Р.04.Шг.2А.000.Л5.000 Инв номер 781366</t>
  </si>
  <si>
    <t>НЗ №849/пр Объекты газовой промышленности. 2023 г. Таблица 3.6. Объекты сбора газа (шлейфы, коллекторы и межцеховые трубопроводы), п.1
A = 88.5 тыс.руб; B = 10.167 тыс.руб;
Xзад = 6.116 (км);
Количество = 1</t>
  </si>
  <si>
    <t>(A + B * Xзад) * Количество * Ктек * Кст
(88 500 руб. + 10 167 руб. * 6.116) * 1 * 1,56 * 0.6</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</si>
  <si>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0.434 (км);
Количество = 1</t>
  </si>
  <si>
    <t>(A + B * (0.4 * Xмин + 0.6 * (Xмин / 2))) * Количество * Кпон * Ктек * Кст
(61 900 руб. + 15 484 руб. * (0.4 * 1 + 0.6 * (1 / 2))) * 1 * 0.87 * 1,56 * 0.6</t>
  </si>
  <si>
    <t>К'пон = 0.87
понижающий коэффициент, учитывающий разницу в трудоемкости работ по проектируемому объекту и объекту аналогу. (Методика 707/пр п.131(3)) (Ценообразующий)</t>
  </si>
  <si>
    <t>4212.00.Р.04.Шг.2А.000.Л6.000 Инв номер 781457</t>
  </si>
  <si>
    <t>НЗ №849/пр Объекты газовой промышленности. 2023 г. Таблица 3.6. Объекты сбора газа (шлейфы, коллекторы и межцеховые трубопроводы), п.1
A = 61.9 тыс.руб; B = 15.484 тыс.руб;
Xзад = 3.754 (км);
Количество = 1</t>
  </si>
  <si>
    <t>(A + B * Xзад) * Количество * Ктек * Кст
(61 900 руб. + 15 484 руб. * 3.754) * 1 * 1,56 * 0.6</t>
  </si>
  <si>
    <t>НЗ №849/пр Объекты газовой промышленности. 2023 г. Таблица 3.6. Объекты сбора газа (шлейфы, коллекторы и межцеховые трубопроводы), п.1
A = 61.9 тыс.руб; B = 15.484 тыс.руб;
Xмин = 1;
Xзад = 0.136 (км);
Количество = 1</t>
  </si>
  <si>
    <t>(A + B * (0.4 * Xмин + 0.6 * (Xмин / 2))) * Количество * Кпон * Ктек * Кст
(61 900 руб. + 15 484 руб. * (0.4 * 1 + 0.6 * (1 / 2))) * 1 * 0.27 * 1,56 * 0.6</t>
  </si>
  <si>
    <t>К'пон = 0.27
понижающий коэффициент, учитывающий разницу в трудоемкости работ по проектируемому объекту и объекту аналогу. (Методика 707/пр п.131(3)) (Ценообразующий)</t>
  </si>
  <si>
    <t>Коэф-т 1 от п.17 * 0.8
1 255 046.79 руб. * 1 * 0.8</t>
  </si>
  <si>
    <t>Смета №3.15.1</t>
  </si>
  <si>
    <t>Расчет  стоимости выполнения работ по себестоимости (на основе трудозатрат) и сложившемуся уровню рентабельности</t>
  </si>
  <si>
    <t>Проект бурения скважин, в т.ч. разделы:
- пояснительная записка;
- геологическая часть;
- объем подготовительно-заключительных работ;
- выбор бурового оборудования;                                             
- расчет времени на бурение и крепление скважины;
- прокаткомплектов оборудования;
- пожарная безопасность;
- выводы;
- графическая часть.</t>
  </si>
  <si>
    <t>Заместитель ГИПа</t>
  </si>
  <si>
    <t>Руководитель группы  в состе отдела</t>
  </si>
  <si>
    <t>Инженер I категории</t>
  </si>
  <si>
    <t>Итого з/п непосредственных исполнителей</t>
  </si>
  <si>
    <t>Общая з/п непосредственных исполнителей
Сумма от п.3</t>
  </si>
  <si>
    <t>Применяемый коэффициент к стоимости работы, установленный в связи с дополнительными затратами проектных организаций, расположенных в районах, для работников которых предусмотрены льготные выплаты (северные надбавки и доплаты, районные коэффициенты и др.)</t>
  </si>
  <si>
    <t>Всего стоимость работы
Коэф-т 1 от п.4</t>
  </si>
  <si>
    <t>Итого за вычетом кураторских затрат
Разделить на коэф-т 1,02 от п. 5</t>
  </si>
  <si>
    <t>Всего стоимость работы (руб.):</t>
  </si>
  <si>
    <t>Смета №3.15.2</t>
  </si>
  <si>
    <t>(A + B * (0.4 * Xмакс + 0.6 * Xзад)) * Количество * Ктек * Кст * K1 * K2
(1 202 400 руб. + 412 925 руб. * (0.4 * 5 + 0.6 * 20)) * 1 * 1.56 * 0.6 * 0.2 * 0.7</t>
  </si>
  <si>
    <t>K2 = 0.7
 (Ценообразующий)</t>
  </si>
  <si>
    <t>(A + B * (0.4 * Xмакс + 0.6 * Xзад)) * Количество * Ктек * Кст * K1
(1 087 300 руб. + 47 464 руб. * (0.4 * 60 + 0.6 * 80)) * 1 * 1.56 * 0.6 * 0.7</t>
  </si>
  <si>
    <t>K1 = 0.7
 (Ценообразующий)</t>
  </si>
  <si>
    <t>(A + B * Xзад) * Количество * Ктек * Кст * K1
(532 000 руб. + 618 795 руб. * 1.4) * 1 * 1.56 * 0.6 * 0.7</t>
  </si>
  <si>
    <t>(A + B * (0.4 * Xмакс + 0.6 * Xзад)) * Количество * Ктек * Кст * K1
(471 800 руб. + 10 314 руб. * (0.4 * 150 + 0.6 * 306)) * 1 * 1.56 * 0.6 * 0.7</t>
  </si>
  <si>
    <t>A * Количество * Ктек * Кст * K1
990 600 руб. * 1 * 1.56 * 0.6 * 0.7</t>
  </si>
  <si>
    <t>(A + B * Xзад) * Количество * Ктек * Кст * K1
(952 600 руб. + 21 230 руб. * 2) * 1 * 1.56 * 0.6 * 0.7</t>
  </si>
  <si>
    <t>(A + B * (0.4 * Xмин + 0.6 * (Xмин / 2))) * Количество * Кпон * Ктек * Кст * K1
(1 087 300 руб. + 47 464 руб. * (0.4 * 10 + 0.6 * (10 / 2))) * 1 * 0.1 * 1.56 * 0.6 * 0.7</t>
  </si>
  <si>
    <t>(A + B * (0.4 * Xмин + 0.6 * (Xмин / 2))) * Количество * Кпон * Ктек * Кст * K1
(1 320 800 руб. + 9 459 руб. * (0.4 * 7.5 + 0.6 * (7.5 / 2))) * 1 * 0.1 * 1.56 * 0.6 * 0.7</t>
  </si>
  <si>
    <t>(A + B * (0.4 * Xмин + 0.6 * (Xмин / 2))) * Количество * Кпон * Ктек * Кст * K1
(415 600 руб. + 32 687 руб. * (0.4 * 7.5 + 0.6 * (7.5 / 2))) * 1 * 0.1 * 1.56 * 0.6 * 0.7</t>
  </si>
  <si>
    <t>(A + B * (0.4 * Xмакс + 0.6 * Xзад)) * Количество * Ктек * Кст * K1
(51 600 руб. + 33 004 руб. * (0.4 * 100 + 0.6 * 220)) * 1 * 1.56 * 0.6 * 0.7</t>
  </si>
  <si>
    <t>(A + B * Xзад) * Количество * Ктек * Кст * K1
(6 131 100 руб. + 4 907 руб. * 500) * 1 * 1.56 * 0.6 * 0.7</t>
  </si>
  <si>
    <t>(A + B * (0.4 * Xмин + 0.6 * (Xмин / 2))) * Количество * Кпон * Ктек * Кст * K1
(467 700 руб. + 398 руб. * (0.4 * 50 + 0.6 * (50 / 2))) * 1 * 0.6 * 1.56 * 0.6 * 0.7</t>
  </si>
  <si>
    <t>A * Количество * Ктек * Кст * K1
3 998 800 руб. * 1 * 1.56 * 0.6 * 0.7</t>
  </si>
  <si>
    <t>202 - Установка осушки газа (реконструкция)</t>
  </si>
  <si>
    <t>Установка абсорбционной осушки газа производительностью от 10 млн.куб.м/сут до 40 млн.куб.м/сут включительно</t>
  </si>
  <si>
    <t>НЗ №849/пр Объекты газовой промышленности. 2023 г. Таблица 3.7. Объекты подготовки газа, газового конденсата (УКПГ, УППГ, УПТГ, ГС), п.6
A = 1 397.9 тыс. руб.B = 10.491 тыс. руб.;
Xмакс = 40;
Хзад = 80 (млн.куб.м/сут);
Количество = 1</t>
  </si>
  <si>
    <t>(A + B * (0.4 * Xмакс + 0.6 * Xзад)) * Количество * Ктек * Кст * K1
(1 397 900 руб. + 10 491 руб. * (0.4 * 40 + 0.6 * 80)) * 1 * 1.56 * 0.6 * 0.7</t>
  </si>
  <si>
    <t>НЗ №849/пр Объекты газовой промышленности. 2023 г. Таблица 3.7. Объекты подготовки газа, газового конденсата (УКПГ, УППГ, УПТГ, ГС), п.13
A = 4 367 тыс. руб.B = 13.577 тыс. руб.;
Xмин = 50;
Хзад = 10.2 (т/час по сырью);
Количество = 1</t>
  </si>
  <si>
    <t>(A + B * (0.4 * Xмин + 0.6 * (Xмин / 2))) * Количество * Кпон * Ктек * Кст * K1
(4 367 000 руб. + 13 577 руб. * (0.4 * 50 + 0.6 * (50 / 2))) * 1 * 0.41 * 1.56 * 0.6 * 0.7</t>
  </si>
  <si>
    <t>К'пон = 0.41
понижающий коэффициент, учитывающий разницу в трудоемкости работ по проектируемому объекту и объекту аналогу. (Методика 707/пр п.131(3)) (Ценообразующий)</t>
  </si>
  <si>
    <t>228 - Площадка печей подогрева конденсата</t>
  </si>
  <si>
    <t>262 - Ресиверы азота  V=2х32м3</t>
  </si>
  <si>
    <t>(A + B * (0.4 * Xмин + 0.6 * (Xмин / 2))) * Количество * Кпон * Ктек * Кст * K1
(6 131 100 руб. + 4 907 руб. * (0.4 * 500 + 0.6 * (500 / 2))) * 1 * 0.6 * 1.56 * 0.6 * 0.7</t>
  </si>
  <si>
    <t>264 - Компрессорная сжатого воздуха</t>
  </si>
  <si>
    <t>НЗ №849/пр Объекты газовой промышленности. 2023 г. Таблица 3.9. Сооружения на дожимных компрессорных станциях (ДКС), п.5
A = 212.1 тыс. руб.B = 3.31 тыс. руб.;
Xмин = 30;
Хзад = 0.1 (тыс.куб.м/час);
Количество = 1</t>
  </si>
  <si>
    <t>(A + B * (0.4 * Xмин + 0.6 * (Xмин / 2))) * Количество * Кпон * Ктек * Кст * K1
(212 100 руб. + 3 310 руб. * (0.4 * 30 + 0.6 * (30 / 2))) * 1 * 0.1 * 1.56 * 0.6 * 0.7</t>
  </si>
  <si>
    <t>A * Количество * Ктек * Кст * K1
439 600 руб. * 1 * 1.56 * 0.6 * 0.7</t>
  </si>
  <si>
    <t>A * Количество * Ктек * Кст * K1
647 300 руб. * 1 * 1.56 * 0.6 * 0.7</t>
  </si>
  <si>
    <t>K1 = 0.7
0,7 (Ценообразующий)</t>
  </si>
  <si>
    <t>(A + B * (0.4 * Xмин + 0.6 * (Xмин / 2))) * Количество * Кпон * Ктек * Кст * K1
(467 700 руб. + 398 руб. * (0.4 * 50 + 0.6 * (50 / 2))) * 1 * 0.8 * 1.56 * 0.6 * 0.7</t>
  </si>
  <si>
    <t>(A + B * (0.4 * Xмин + 0.6 * Xзад)) * Количество * Ктек * Кст * K1
(61 900 руб. + 15 484 руб. * (0.4 * 1 + 0.6 * 0.5)) * 1 * 1.56 * 0.6 * 0.7</t>
  </si>
  <si>
    <t>(A + B * (0.4 * Xмин + 0.6 * Xзад)) * Количество * Ктек * Кст * K1
(467 700 руб. + 398 руб. * (0.4 * 50 + 0.6 * 25)) * 1 * 1.56 * 0.6 * 0.7</t>
  </si>
  <si>
    <t>(A + B * (0.4 * Xмин + 0.6 * (Xмин / 2))) * Количество * Кпон * Ктек * Кст * K1
(467 700 руб. + 398 руб. * (0.4 * 50 + 0.6 * (50 / 2))) * 1 * 0.12 * 1.56 * 0.6 * 0.7</t>
  </si>
  <si>
    <t>A * Количество * Ктек * Кст * K1
103 600 руб. * 1 * 7.22 * 0.6 * 0.7</t>
  </si>
  <si>
    <t>(A + B * (0.4 * Xмин + 0.6 * Xзад)) * Количество * Ктек * Кст * K1
(61 900 руб. + 15 484 руб. * (0.4 * 1 + 0.6 * 0.95)) * 1 * 1.56 * 0.6 * 0.7</t>
  </si>
  <si>
    <t>(A + B * (0.4 * Xмин + 0.6 * (Xмин / 2))) * Количество * Кпон * Ктек * Кст * K1
(61 900 руб. + 15 484 руб. * (0.4 * 1 + 0.6 * (1 / 2))) * 1 * 0.2 * 1.56 * 0.6 * 0.7</t>
  </si>
  <si>
    <t>(A + B * (0.4 * Xмин + 0.6 * (Xмин / 2))) * Количество * Кпон * Ктек * Кст * K1
(61 900 руб. + 15 484 руб. * (0.4 * 1 + 0.6 * (1 / 2))) * 1 * 0.34 * 1.56 * 0.6 * 0.7</t>
  </si>
  <si>
    <t>(A + B * (0.4 * Xмин + 0.6 * (Xмин / 2))) * Количество * Кпон * Ктек * Кст * K1
(467 700 руб. + 398 руб. * (0.4 * 50 + 0.6 * (50 / 2))) * 1 * 0.2 * 1.56 * 0.6 * 0.7</t>
  </si>
  <si>
    <t>A * Количество * Ктек * Кст * K1
556 100 руб. * 1 * 1.56 * 0.6 * 0.7</t>
  </si>
  <si>
    <t>поз.226 Здание установки разделения и выветривания конденсата</t>
  </si>
  <si>
    <t>41</t>
  </si>
  <si>
    <t>НЗ №849/пр Объекты газовой промышленности. 2023 г. Таблица 3.7. Объекты подготовки газа, газового конденсата (УКПГ, УППГ, УПТГ, ГС), п.13
A = 4 367 тыс. руб.B = 13.577 тыс. руб.;
Xмин = 50;
Хзад = 44.633 (т/час по сырью);
Количество = 1</t>
  </si>
  <si>
    <t>(A + B * (0.4 * Xмин + 0.6 * Xзад)) * Количество * Ктек * Кст * K1
(4 367 000 руб. + 13 577 руб. * (0.4 * 50 + 0.6 * 44.633)) * 1 * 1.56 * 0.6 * 0.7</t>
  </si>
  <si>
    <t>(A + B * (0.4 * Xмин + 0.6 * (Xмин / 2))) * Количество * Кпон * Ктек * Кст * K1
(471 800 руб. + 10 314 руб. * (0.4 * 80 + 0.6 * (80 / 2))) * 1 * 0.25 * 1.56 * 0.6 * 0.7</t>
  </si>
  <si>
    <t>(A + B * (0.4 * Xмин + 0.6 * Xзад)) * Количество * Ктек * Кст * K1
(61 900 руб. + 15 484 руб. * (0.4 * 1 + 0.6 * 0.662)) * 1 * 1.56 * 0.6 * 0.7</t>
  </si>
  <si>
    <t>(A + B * (0.4 * Xмин + 0.6 * Xзад)) * Количество * Ктек * Кст * K1
(61 900 руб. + 15 484 руб. * (0.4 * 1 + 0.6 * 0.643)) * 1 * 1.56 * 0.6 * 0.7</t>
  </si>
  <si>
    <t>(A + B * (0.4 * Xмин + 0.6 * (Xмин / 2))) * Количество * Кпон * Ктек * Кст * K1
(532 000 руб. + 618 795 руб. * (0.4 * 1 + 0.6 * (1 / 2))) * 1 * 0.1 * 1.56 * 0.6 * 0.7</t>
  </si>
  <si>
    <t>(A + B * Xзад) * Количество * Ктек * Кст * K1
(61 900 руб. + 15 484 руб. * 1.274) * 1 * 1.56 * 0.6 * 0.7</t>
  </si>
  <si>
    <t>(A + B * Xзад) * Количество * Ктек * Кст * K1
(1 493 100 руб. + 22 794 руб. * 10.95) * 1 * 1.56 * 0.6 * 0.7</t>
  </si>
  <si>
    <t>A * Количество * Ктек * Кст * K1
699 900 руб. * 1 * 1.56 * 0.6 * 0.7</t>
  </si>
  <si>
    <t>(A + B * Xзад) * Количество * Ктек * Кст * K1
(467 700 руб. + 398 руб. * 100) * 1 * 1.56 * 0.6 * 0.7</t>
  </si>
  <si>
    <t>(A + B * (0.4 * Xмакс + 0.6 * Xзад)) * Количество * Ктек * Кст * K1
(114 100 руб. + 19 581 руб. * (0.4 * 200 + 0.6 * 1000)) * 1 * 1.56 * 0.6 * 0.7</t>
  </si>
  <si>
    <t>(A + B * (0.4 * Xмин + 0.6 * (Xмин / 2))) * Количество * Кпон * Ктек * Кст * K1
(467 700 руб. + 398 руб. * (0.4 * 50 + 0.6 * (50 / 2))) * 1 * 0.4 * 1.56 * 0.6 * 0.7</t>
  </si>
  <si>
    <t>(A + B * Xзад) * Количество * Ктек * Кст * K1
(1 007 200 руб. + 1 085 руб. * 907.2) * 1 * 1.56 * 0.6 * 0.7</t>
  </si>
  <si>
    <t>(A + B * (0.4 * Xмин + 0.6 * Xзад)) * Количество * Ктек * Кст * K1
(1 320 800 руб. + 9 459 руб. * (0.4 * 7.5 + 0.6 * 4.7088)) * 1 * 1.56 * 0.6 * 0.7</t>
  </si>
  <si>
    <t>(A + B * (0.4 * Xмин + 0.6 * Xзад)) * Количество * Ктек * Кст * K1
(415 600 руб. + 32 687 руб. * (0.4 * 7.5 + 0.6 * 4.7088)) * 1 * 1.56 * 0.6 * 0.7</t>
  </si>
  <si>
    <t>(A + B * Xзад) * Количество * Ктек * Кст * K1
(3 051 800 руб. + 946 944 руб. * 1.17) * 1 * 1.56 * 0.6 * 0.7</t>
  </si>
  <si>
    <t>(A + B * Xзад) * Количество * Ктек * Кст * K1
(61 900 руб. + 15 484 руб. * 1.485) * 1 * 1.56 * 0.6 * 0.7</t>
  </si>
  <si>
    <t>(A + B * Xзад) * Количество * Ктек * Кст * K1
(61 900 руб. + 15 484 руб. * 2.42) * 1 * 1.56 * 0.6 * 0.7</t>
  </si>
  <si>
    <t>(A + B * (0.4 * Xмин + 0.6 * (Xмин / 2))) * Количество * Кпон * Ктек * Кст * K1
(61 900 руб. + 15 484 руб. * (0.4 * 1 + 0.6 * (1 / 2))) * 1 * 0.47 * 1.56 * 0.6 * 0.7</t>
  </si>
  <si>
    <t>(A + B * Xзад) * Количество * Ктек * Кст * K1
(61 900 руб. + 15 484 руб. * 2) * 1 * 1.56 * 0.6 * 0.7</t>
  </si>
  <si>
    <t>Коэф-т 1 от п.72 * 0.8
73 415 807.13 руб. * 1 * 0.8</t>
  </si>
  <si>
    <t>Коэффициент на объем работ по Этапам 2, 3, 12, 15, 16, 27</t>
  </si>
  <si>
    <t>Коэф-т 0.7 от п.22
43 315 187.26 руб. * 0.7</t>
  </si>
  <si>
    <t>Коб</t>
  </si>
  <si>
    <t>Итого с учетом коэффициента на объем работ:</t>
  </si>
  <si>
    <t>К=0,7</t>
  </si>
  <si>
    <t>Итого по этапу 2:</t>
  </si>
  <si>
    <t>Итого по этапу 12:</t>
  </si>
  <si>
    <t>Итого по этапу 16:</t>
  </si>
  <si>
    <t>Итого по этапу 17:</t>
  </si>
  <si>
    <t>Итого по этапу 27:</t>
  </si>
  <si>
    <t>Итого по этапу 3:</t>
  </si>
  <si>
    <t>С Коэффициентом на объем работ 
по Этапам 2, 3, 12, 15, 16, 27</t>
  </si>
  <si>
    <t>Итого по Этапу 17:</t>
  </si>
  <si>
    <t>Итого по этапу 12</t>
  </si>
  <si>
    <t>Итого по этапу 15</t>
  </si>
  <si>
    <t>Итого по этапу 16</t>
  </si>
  <si>
    <t>Итого по этапу 27</t>
  </si>
  <si>
    <t>Этап 3 ГРП 2А</t>
  </si>
  <si>
    <t>11 - Площадка свечи с гидрозатвором (конденсат)</t>
  </si>
  <si>
    <t>3,56x111025,075x7,22x0,6</t>
  </si>
  <si>
    <t>1. КС-3. Производственно-энергетический блок (поз. 103)</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</si>
  <si>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2. Базовые цены на выполнение обмерных работ для многоэтажных зданий, п.5
A = 0.9296 тыс.руб; 
Xзад = 45.97 (100 м3);
Количество = 1 (100 м3)</t>
  </si>
  <si>
    <t>A * Xзад * Количество * Ктек * K1 * K2 * K3 * K4
929.6 руб. * 45.97 * 1 * 7.22 * 1.2 * 1.15 * 1.15 * 1.3</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</si>
  <si>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4. Цены на выполнение инженерных обследований строительных конструкций многоэтажных зданий, п.5
A = 0.9044 тыс.руб; 
Xзад = 45.97 (100 м3);
Количество = 1 (100 м3)</t>
  </si>
  <si>
    <t>A * Xзад * Количество * Ктек * K1 * K2 * K3 * K4
904.4 руб. * 45.97 * 1 * 7.22 * 1.2 * 1.15 * 1.15 * 1.3</t>
  </si>
  <si>
    <t>2. КС-3. Здание закрытого распределительного устройства 6кВ (поз.104)</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</si>
  <si>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 Базовые цены на выполнение обмерных работ для одноэтажных зданий, п.2
A = 0.9468 тыс.руб; 
Xзад = 8.045 (100 м3);
Количество = 1 (100 м3)</t>
  </si>
  <si>
    <t>A * Xзад * Количество * Ктек * K1 * K2 * K3 * K4
946.8 руб. * 8.045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</si>
  <si>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3. Базовые цены на выполнение инженерных обследований строительных конструкций одноэтажных зданий, п.2
A = 0.9102 тыс.руб; 
Xзад = 8.045 (100 м3);
Количество = 1 (100 м3)</t>
  </si>
  <si>
    <t>A * Xзад * Количество * Ктек * K1 * K2 * K3 * K4
910.2 руб. * 8.045 * 1 * 7.22 * 1.2 * 1.15 * 1.15 * 2.2</t>
  </si>
  <si>
    <t>3. КС-3. Здание операторной (поз. 152)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</si>
  <si>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2. Базовые цены на выполнение обмерных работ для многоэтажных зданий, п.5
A = 0.9296 тыс.руб; 
Xзад = 37.25 (100 м3);
Количество = 1 (100 м3)</t>
  </si>
  <si>
    <t>A * Xзад * Количество * Ктек * K1 * K2 * K3 * K4
929.6 руб. * 37.25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</si>
  <si>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4. Цены на выполнение инженерных обследований строительных конструкций многоэтажных зданий, п.5
A = 0.9044 тыс.руб; 
Xзад = 37.25 (100 м3);
Количество = 1 (100 м3)</t>
  </si>
  <si>
    <t>A * Xзад * Количество * Ктек * K1 * K2 * K3 * K4
904.4 руб. * 37.25 * 1 * 7.22 * 1.2 * 1.15 * 1.15 * 2.2</t>
  </si>
  <si>
    <t>4. КС-3. Установка регенерации метанола (поз. 201)</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</si>
  <si>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 Базовые цены на выполнение обмерных работ для одноэтажных зданий, п.4
A = 0.8732 тыс.руб; 
Xзад = 24.21 (100 м3);
Количество = 1 (100 м3)</t>
  </si>
  <si>
    <t>A * Xзад * Количество * Ктек * K1 * K2 * K3 * K4
873.2 руб. * 24.21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</si>
  <si>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3. Базовые цены на выполнение инженерных обследований строительных конструкций одноэтажных зданий, п.4
A = 0.8558 тыс.руб; 
Xзад = 24.21 (100 м3);
Количество = 1 (100 м3)</t>
  </si>
  <si>
    <t>A * Xзад * Количество * Ктек * K1 * K2 * K3 * K4
855.8 руб. * 24.21 * 1 * 7.22 * 1.2 * 1.15 * 1.15 * 2.2</t>
  </si>
  <si>
    <t>5. КС-3. Установка осушки газа (поз. 202)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</si>
  <si>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3. Базовые цены на выполнение инженерных обследований строительных конструкций одноэтажных зданий, п.4
A = 0.8558 тыс.руб; 
Xзад = 47.47 (100 м3);
Количество = 1 (100 м3)</t>
  </si>
  <si>
    <t>A * Xзад * Количество * Ктек * K1 * K2 * K3 * K4
855.8 руб. * 47.47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</si>
  <si>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 Базовые цены на выполнение обмерных работ для одноэтажных зданий, п.4
A = 0.8732 тыс.руб; 
Xзад = 47.47 (100 м3);
Количество = 1 (100 м3)</t>
  </si>
  <si>
    <t>A * Xзад * Количество * Ктек * K1 * K2 * K3 * K4
873.2 руб. * 47.47 * 1 * 7.22 * 1.2 * 1.15 * 1.15 * 2.2</t>
  </si>
  <si>
    <t>6. КС-3. Здание насосной метанола и ДЭГ (поз. 203)</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</si>
  <si>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3. Базовые цены на выполнение инженерных обследований строительных конструкций одноэтажных зданий, п.5
A = 0.829 тыс.руб; 
Xзад = 51.85 (100 м3);
Количество = 1 (100 м3)</t>
  </si>
  <si>
    <t>A * Xзад * Количество * Ктек * K1 * K2 * K3 * K4
829 руб. * 51.85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</si>
  <si>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 Базовые цены на выполнение обмерных работ для одноэтажных зданий, п.5
A = 0.8378 тыс.руб; 
Xзад = 51.85 (100 м3);
Количество = 1 (100 м3)</t>
  </si>
  <si>
    <t>A * Xзад * Количество * Ктек * K1 * K2 * K3 * K4
837.8 руб. * 51.85 * 1 * 7.22 * 1.2 * 1.15 * 1.15 * 2.2</t>
  </si>
  <si>
    <t>7. КС-3. Площадка емкостей и АВО (поз. 211)</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</si>
  <si>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3. Базовые цены на выполнение инженерных обследований строительных конструкций одноэтажных зданий, п.5
A = 0.829 тыс.руб; 
Xзад = 41.53 (100 м3);
Количество = 1 (100 м3)</t>
  </si>
  <si>
    <t>A * Xзад * Количество * Ктек * K1 * K2 * K3 * K4
829 руб. * 41.53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</si>
  <si>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 Базовые цены на выполнение обмерных работ для одноэтажных зданий, п.5
A = 0.8378 тыс.руб; 
Xзад = 41.53 (100 м3);
Количество = 1 (100 м3)</t>
  </si>
  <si>
    <t>A * Xзад * Количество * Ктек * K1 * K2 * K3 * K4
837.8 руб. * 41.53 * 1 * 7.22 * 1.2 * 1.15 * 1.15 * 2.2</t>
  </si>
  <si>
    <t>8. КС-3. ПЭБ (поз. 215)</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</si>
  <si>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2. Базовые цены на выполнение обмерных работ для многоэтажных зданий, п.8
A = 0.828 тыс.руб; 
Xзад = 26.223 (100 м3);
Количество = 1 (100 м3)</t>
  </si>
  <si>
    <t>A * Xзад * Количество * Ктек * K1 * K2 * K3 * K4
828 руб. * 26.223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</si>
  <si>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4. Цены на выполнение инженерных обследований строительных конструкций многоэтажных зданий, п.8
A = 0.8334 тыс.руб; 
Xзад = 26.223 (100 м3);
Количество = 1 (100 м3)</t>
  </si>
  <si>
    <t>A * Xзад * Количество * Ктек * K1 * K2 * K3 * K4
833.4 руб. * 26.223 * 1 * 7.22 * 1.2 * 1.15 * 1.15 * 2.2</t>
  </si>
  <si>
    <t>9. ВС-3. Здание установки мехочистки и осушки газа (поз. 180)</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</si>
  <si>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 Базовые цены на выполнение обмерных работ для одноэтажных зданий, п.4
A = 0.8732 тыс.руб; 
Xзад = 21.6 (100 м3);
Количество = 1 (100 м3)</t>
  </si>
  <si>
    <t>A * Xзад * Количество * Ктек * K1 * K2 * K3 * K4
873.2 руб. * 21.6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</si>
  <si>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3. Базовые цены на выполнение инженерных обследований строительных конструкций одноэтажных зданий, п.4
A = 0.8558 тыс.руб; 
Xзад = 21.6 (100 м3);
Количество = 1 (100 м3)</t>
  </si>
  <si>
    <t>A * Xзад * Количество * Ктек * K1 * K2 * K3 * K4
855.8 руб. * 21.6 * 1 * 7.22 * 1.2 * 1.15 * 1.15 * 2.2</t>
  </si>
  <si>
    <t>10. КС-3. Здание закрытого распределительного устройства 6кВ</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</si>
  <si>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 Базовые цены на выполнение обмерных работ для одноэтажных зданий, п.2
A = 0.9468 тыс.руб; 
Xзад = 10.8 (100 м3);
Количество = 1 (100 м3)</t>
  </si>
  <si>
    <t>A * Xзад * Количество * Ктек * K1 * K2 * K3 * K4
946.8 руб. * 10.8 * 1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</si>
  <si>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3. Базовые цены на выполнение инженерных обследований строительных конструкций одноэтажных зданий, п.2
A = 0.9102 тыс.руб; 
Xзад = 10.8 (100 м3);
Количество = 1 (100 м3)</t>
  </si>
  <si>
    <t>A * Xзад * Количество * Ктек * K1 * K2 * K3 * K4
910.2 руб. * 10.8 * 1 * 7.22 * 1.2 * 1.15 * 1.15 * 2.2</t>
  </si>
  <si>
    <t>11. КС-3. Блок-бокс дизельной электростанции "БКАЭ-0,4-630-К" (поз. 250, поз. 250а)</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</si>
  <si>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 Базовые цены на выполнение обмерных работ для одноэтажных зданий, п.2
A = 0.9468 тыс.руб; 
Xзад = 1.44 (100 м3);
Количество = 2 (100 м3)</t>
  </si>
  <si>
    <t>A * Xзад * Количество * Ктек * K1 * K2 * K3 * K4
946.8 руб. * 1.44 * 2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</si>
  <si>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3. Базовые цены на выполнение инженерных обследований строительных конструкций одноэтажных зданий, п.2
A = 0.9102 тыс.руб; 
Xзад = 1.44 (100 м3);
Количество = 2 (100 м3)</t>
  </si>
  <si>
    <t>A * Xзад * Количество * Ктек * K1 * K2 * K3 * K4
910.2 руб. * 1.44 * 2 * 7.22 * 1.2 * 1.15 * 1.15 * 2.2</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</si>
  <si>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13. Базовые цены на определение прочности бетона в конструкциях, п.1.1
A = 0.0706 тыс.руб; 
Xзад = 10 (одно место испытаний);
Количество = 12 (одно место испытаний)</t>
  </si>
  <si>
    <t>Полный комплекс работ
(100%):
A * Xзад * Количество * Ктек * K1 * K2 * K3
70.6 руб. * 10 * 12 * 7.22 * 1.2 * 1.15 * 1.15</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</si>
  <si>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14. Базовые цены на отбор проб и испытания строительных материалов, п.12.1
A = 0.2422 тыс.руб; 
Xзад = 10 (1 образец);
Количество = 12 (1 образец)</t>
  </si>
  <si>
    <t>Полный комплекс работ
(100%):
A * Xзад * Количество * Ктек * K1 * K2 * K3
242.2 руб. * 10 * 12 * 7.22 * 1.15 * 1.2 * 1.15</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</si>
  <si>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14. Базовые цены на отбор проб и испытания строительных материалов, п.12.5
A = 0.0434 тыс.руб; 
Xзад = 10 (1 образец);
Количество = 12 (1 образец)</t>
  </si>
  <si>
    <t>Полный комплекс работ
(100%):
A * Xзад * Количество * Ктек * K1 * K2 * K3
43.4 руб. * 10 * 12 * 7.22 * 1.15 * 1.2 * 1.15</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</si>
  <si>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15. Базовые цены на выполнение работ по обследованию систем инженерного обеспечения зданий и сооружений, п.1.4
A = 2.2 тыс.руб; 
Количество = 12 (здание, тыс.м3)</t>
  </si>
  <si>
    <t>Полный комплекс работ
(100%):
A * Количество * Ктек * K1 * K2 * K3
2 200 руб. * 12 * 7.22 * 1.15 * 1.2 * 1.15</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</si>
  <si>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15. Базовые цены на выполнение работ по обследованию систем инженерного обеспечения зданий и сооружений, п.2.3
A = 2.5 тыс.руб; 
Количество = 12 (здание, тыс.м3)</t>
  </si>
  <si>
    <t>Полный комплекс работ
(100%):
A * Количество * Ктек * K1 * K2 * K3
2 500 руб. * 12 * 7.22 * 1.15 * 1.2 * 1.15</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</si>
  <si>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15. Базовые цены на выполнение работ по обследованию систем инженерного обеспечения зданий и сооружений, п.4.3
A = 3.5 тыс.руб; 
Количество = 12 (здание, тыс.м3)</t>
  </si>
  <si>
    <t>Полный комплекс работ
(100%):
A * Количество * Ктек * K1 * K2 * K3
3 500 руб. * 12 * 7.22 * 1.15 * 1.2 * 1.15</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</si>
  <si>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15. Базовые цены на выполнение работ по обследованию систем инженерного обеспечения зданий и сооружений, п.5.3
A = 3.5 тыс.руб; 
Количество = 12 (здание, тыс.м3)</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</si>
  <si>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15. Базовые цены на выполнение работ по обследованию систем инженерного обеспечения зданий и сооружений, п.7.3
A = 1.5 тыс.руб; 
Количество = 12 (здание, тыс.м3)</t>
  </si>
  <si>
    <t>Полный комплекс работ
(100%):
A * Количество * Ктек * K1 * K2 * K3
1 500 руб. * 12 * 7.22 * 1.15 * 1.2 * 1.15</t>
  </si>
  <si>
    <t>Справочник базовых цен на обмерные работы и обследования зданий и сооружений. 2016 г. Глава 3. Базовые цены на выполнение обмерных работ и обследований. Таблица 15. Базовые цены на выполнение работ по обследованию систем инженерного обеспечения зданий и сооружений, п.8.1
B = 1.2 тыс. руб.;
Хзад = 1 (1000 м2);
Количество = 12</t>
  </si>
  <si>
    <t>Полный комплекс работ
(100%):
(A + B * Xзад) * Количество * Ктек * K1 * K2 * K3
(0 руб. + 1 200 руб. * 1) * 12 * 7.22 * 1.15 * 1.2 * 1.15</t>
  </si>
  <si>
    <t>Коэф-т 1 от п.32 * 0.8
15 551 945.98 руб. * 1 * 0.8</t>
  </si>
  <si>
    <t>К1 = 1.08 Коэффициент районный (Письмо ГК РФ по жилищной и строительной политике от 30 июня 1998 г. N 9-10-17/40) (Ценообразующий)</t>
  </si>
  <si>
    <t>Коэф-т 1 от п.33 * 1.08
12 441 556.78 руб. * 1 * 1.08</t>
  </si>
  <si>
    <t>Адепт: Проект v 2026.4.2 © ООО"Адепт"</t>
  </si>
  <si>
    <t xml:space="preserve">Степн.ПХГ - Обследование
</t>
  </si>
  <si>
    <t>Внесение изменений в техническую документацию:
- КС-3. Здание ПЭБ (поз. 103)-
- КС-3. ЗРУ (поз. 104)
- КС-3. Установка регенерации метанола (поз. 201)
- КС-3. Установка осушки газа (поз. 202)
- КС-3. Здание насосной метанола и ДЭГ (поз. 203)
- КС-3. Площадка емкостей и АВО (поз. 211)
- КС-3. ПЭБ (поз. 215)
- ВС-3. Здание установки мехочистки и осушки газа (поз. 180)
- КС-3. Здание закрытого распределительного устройства 6кВ
- Блок-бокс дизельной электростанции "БКАЭ-0,4-630-К" (поз. 250, поз. 250а)
• Определение теплотехнических показателей наружных ограждающих конструкций с выполнением расчетов.
• Оценка пожарной безопасности на соответствие требованиям действующих нормативных документов в области пожарной безопасности.
• Рекомендации по восстановлению конструкций.
• Разработка комплектов рабочей документации по восстановлению строительных конструкций.</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</si>
</sst>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_-* #,##0.00\ _₽_-;\-* #,##0.00\ _₽_-;_-* &quot;-&quot;??\ _₽_-;_-@_-"/>
    <numFmt numFmtId="165" formatCode="_-* #,##0.00_р_._-;\-* #,##0.00_р_._-;_-* &quot;-&quot;??_р_._-;_-@_-"/>
    <numFmt numFmtId="166" formatCode="0.000000"/>
    <numFmt numFmtId="167" formatCode="_-* #,##0_р_._-;\-* #,##0_р_._-;_-* &quot;-&quot;_р_._-;_-@_-"/>
    <numFmt numFmtId="168" formatCode="0\x"/>
    <numFmt numFmtId="169" formatCode="0.0#"/>
    <numFmt numFmtId="170" formatCode="#,##0.0"/>
    <numFmt numFmtId="171" formatCode="#,##0.0#"/>
    <numFmt numFmtId="172" formatCode="0.00000"/>
    <numFmt numFmtId="173" formatCode="0.0"/>
    <numFmt numFmtId="174" formatCode="#,##0.00_р_."/>
  </numFmts>
  <fonts count="48" x14ac:knownFonts="1">
    <font>
      <sz val="11"/>
      <color theme="1"/>
      <name val="Calibri"/>
    </font>
    <font>
      <sz val="11"/>
      <color theme="1"/>
      <name val="Calibri"/>
      <scheme val="minor"/>
    </font>
    <font>
      <sz val="11"/>
      <name val="Calibri"/>
    </font>
    <font>
      <sz val="10"/>
      <name val="Arial Cyr"/>
    </font>
    <font>
      <sz val="10"/>
      <name val="Arial"/>
    </font>
    <font>
      <sz val="10"/>
      <name val="Courier New Cyr"/>
    </font>
    <font>
      <sz val="10"/>
      <name val="Courier"/>
    </font>
    <font>
      <sz val="11"/>
      <name val="Arial"/>
    </font>
    <font>
      <sz val="7"/>
      <name val="Arial"/>
    </font>
    <font>
      <b/>
      <sz val="10"/>
      <name val="Arial"/>
    </font>
    <font>
      <b/>
      <sz val="11"/>
      <name val="Calibri"/>
    </font>
    <font>
      <sz val="10"/>
      <color theme="0"/>
      <name val="Arial"/>
    </font>
    <font>
      <sz val="8"/>
      <name val="Arial"/>
    </font>
    <font>
      <b/>
      <sz val="9"/>
      <name val="Arial"/>
    </font>
    <font>
      <sz val="9"/>
      <name val="Arial"/>
    </font>
    <font>
      <b/>
      <i/>
      <sz val="8"/>
      <name val="Arial"/>
    </font>
    <font>
      <i/>
      <sz val="8"/>
      <name val="Arial"/>
    </font>
    <font>
      <b/>
      <sz val="8"/>
      <name val="Arial"/>
    </font>
    <font>
      <sz val="9"/>
      <color theme="1"/>
      <name val="Arial"/>
    </font>
    <font>
      <b/>
      <i/>
      <sz val="9"/>
      <name val="Arial"/>
    </font>
    <font>
      <b/>
      <sz val="12"/>
      <name val="Arial"/>
    </font>
    <font>
      <u/>
      <sz val="10"/>
      <name val="Arial"/>
    </font>
    <font>
      <sz val="6"/>
      <name val="Arial"/>
    </font>
    <font>
      <sz val="10"/>
      <name val="Times New Roman"/>
    </font>
    <font>
      <sz val="10"/>
      <color theme="1"/>
      <name val="Arial"/>
    </font>
    <font>
      <b/>
      <sz val="10"/>
      <color theme="1"/>
      <name val="Arial"/>
    </font>
    <font>
      <i/>
      <sz val="10"/>
      <color theme="1"/>
      <name val="Arial"/>
    </font>
    <font>
      <i/>
      <sz val="10"/>
      <name val="Arial"/>
    </font>
    <font>
      <sz val="10"/>
      <color indexed="2"/>
      <name val="Arial"/>
    </font>
    <font>
      <b/>
      <sz val="10"/>
      <color indexed="2"/>
      <name val="Arial"/>
    </font>
    <font>
      <b/>
      <sz val="10"/>
      <color rgb="FF002060"/>
      <name val="Arial"/>
    </font>
    <font>
      <b/>
      <i/>
      <sz val="10"/>
      <name val="Arial"/>
    </font>
    <font>
      <sz val="10"/>
      <color rgb="FF002060"/>
      <name val="Arial"/>
    </font>
    <font>
      <b/>
      <u/>
      <sz val="10"/>
      <color rgb="FFC00000"/>
      <name val="Arial"/>
    </font>
    <font>
      <b/>
      <u/>
      <sz val="10"/>
      <name val="Arial"/>
    </font>
    <font>
      <sz val="10"/>
      <name val="Arial"/>
      <family val="2"/>
      <charset val="204"/>
    </font>
    <font>
      <b/>
      <sz val="10"/>
      <name val="Arial"/>
      <family val="2"/>
      <charset val="204"/>
    </font>
    <font>
      <sz val="10"/>
      <color theme="1"/>
      <name val="Arial"/>
      <family val="2"/>
      <charset val="204"/>
    </font>
    <font>
      <sz val="10"/>
      <color rgb="FF660033"/>
      <name val="Arial"/>
      <family val="2"/>
      <charset val="204"/>
    </font>
    <font>
      <sz val="11"/>
      <color rgb="FF660033"/>
      <name val="Calibri"/>
      <family val="2"/>
      <charset val="204"/>
    </font>
    <font>
      <b/>
      <sz val="10"/>
      <color rgb="FF660033"/>
      <name val="Arial"/>
      <family val="2"/>
      <charset val="204"/>
    </font>
    <font>
      <b/>
      <u/>
      <sz val="10"/>
      <color rgb="FFC00000"/>
      <name val="Arial"/>
      <family val="2"/>
      <charset val="204"/>
    </font>
    <font>
      <b/>
      <sz val="11"/>
      <color theme="1"/>
      <name val="Arial"/>
      <family val="2"/>
      <charset val="204"/>
    </font>
    <font>
      <sz val="11"/>
      <name val="Arial"/>
      <family val="2"/>
      <charset val="204"/>
    </font>
    <font>
      <sz val="11"/>
      <color theme="1"/>
      <name val="Arial"/>
      <family val="2"/>
      <charset val="204"/>
    </font>
    <font>
      <b/>
      <sz val="12"/>
      <color theme="1"/>
      <name val="Arial"/>
      <family val="2"/>
      <charset val="204"/>
    </font>
    <font>
      <b/>
      <sz val="12"/>
      <name val="Arial"/>
      <family val="2"/>
      <charset val="204"/>
    </font>
    <font>
      <sz val="12"/>
      <color theme="1"/>
      <name val="Arial"/>
      <family val="2"/>
      <charset val="204"/>
    </font>
  </fonts>
  <fills count="12">
    <fill>
      <patternFill patternType="none"/>
    </fill>
    <fill>
      <patternFill patternType="gray125"/>
    </fill>
    <fill>
      <patternFill patternType="solid">
        <fgColor theme="0"/>
        <bgColor theme="0"/>
      </patternFill>
    </fill>
    <fill>
      <patternFill patternType="solid">
        <fgColor theme="2" tint="-9.9978637043366805E-2"/>
        <bgColor theme="2" tint="-9.9978637043366805E-2"/>
      </patternFill>
    </fill>
    <fill>
      <patternFill patternType="solid">
        <fgColor indexed="5"/>
        <bgColor indexed="5"/>
      </patternFill>
    </fill>
    <fill>
      <patternFill patternType="solid">
        <fgColor theme="0" tint="-4.9989318521683403E-2"/>
        <bgColor theme="0" tint="-4.9989318521683403E-2"/>
      </patternFill>
    </fill>
    <fill>
      <patternFill patternType="solid">
        <fgColor indexed="65"/>
      </patternFill>
    </fill>
    <fill>
      <patternFill patternType="solid">
        <fgColor theme="0" tint="-0.14999847407452621"/>
        <bgColor theme="0" tint="-0.14999847407452621"/>
      </patternFill>
    </fill>
    <fill>
      <patternFill patternType="solid">
        <fgColor theme="7" tint="0.79998168889431442"/>
        <bgColor theme="7" tint="0.79998168889431442"/>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30">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auto="1"/>
      </left>
      <right style="thin">
        <color auto="1"/>
      </right>
      <top/>
      <bottom style="thin">
        <color auto="1"/>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s>
  <cellStyleXfs count="29">
    <xf numFmtId="0" fontId="0" fillId="0" borderId="0"/>
    <xf numFmtId="0" fontId="1" fillId="0" borderId="0"/>
    <xf numFmtId="0" fontId="1" fillId="0" borderId="0"/>
    <xf numFmtId="0" fontId="2" fillId="0" borderId="0"/>
    <xf numFmtId="0" fontId="3" fillId="0" borderId="0"/>
    <xf numFmtId="0" fontId="4" fillId="0" borderId="0"/>
    <xf numFmtId="0" fontId="4" fillId="0" borderId="0"/>
    <xf numFmtId="0" fontId="4" fillId="0" borderId="0"/>
    <xf numFmtId="0" fontId="1" fillId="0" borderId="0"/>
    <xf numFmtId="0" fontId="1" fillId="0" borderId="0"/>
    <xf numFmtId="0" fontId="1"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5" fillId="0" borderId="0"/>
    <xf numFmtId="0" fontId="6" fillId="0" borderId="0"/>
    <xf numFmtId="0" fontId="6" fillId="0" borderId="0"/>
    <xf numFmtId="164" fontId="1" fillId="0" borderId="0" applyFont="0" applyFill="0" applyBorder="0" applyProtection="0"/>
    <xf numFmtId="165" fontId="3" fillId="0" borderId="0" applyFont="0" applyFill="0" applyBorder="0" applyProtection="0"/>
    <xf numFmtId="165" fontId="3" fillId="0" borderId="0" applyFont="0" applyFill="0" applyBorder="0" applyProtection="0"/>
  </cellStyleXfs>
  <cellXfs count="859">
    <xf numFmtId="0" fontId="0" fillId="0" borderId="0" xfId="0"/>
    <xf numFmtId="0" fontId="4" fillId="2" borderId="0" xfId="0" applyFont="1" applyFill="1" applyAlignment="1">
      <alignment horizontal="center" vertical="top" wrapText="1"/>
    </xf>
    <xf numFmtId="0" fontId="4" fillId="0" borderId="0" xfId="0" applyFont="1" applyAlignment="1">
      <alignment horizontal="left" vertical="top" wrapText="1"/>
    </xf>
    <xf numFmtId="0" fontId="9" fillId="2" borderId="6" xfId="0" applyFont="1" applyFill="1" applyBorder="1" applyAlignment="1">
      <alignment horizontal="center" vertical="center" wrapText="1"/>
    </xf>
    <xf numFmtId="0" fontId="9" fillId="0" borderId="6" xfId="0" applyFont="1" applyBorder="1" applyAlignment="1">
      <alignment horizontal="center" vertical="center" wrapText="1"/>
    </xf>
    <xf numFmtId="0" fontId="10" fillId="0" borderId="0" xfId="0" applyFont="1"/>
    <xf numFmtId="0" fontId="9" fillId="0" borderId="0" xfId="0" applyFont="1" applyAlignment="1">
      <alignment horizontal="left" vertical="top" wrapText="1"/>
    </xf>
    <xf numFmtId="0" fontId="0" fillId="0" borderId="0" xfId="0" applyAlignment="1">
      <alignment vertical="center"/>
    </xf>
    <xf numFmtId="0" fontId="4" fillId="2" borderId="6" xfId="0" applyFont="1" applyFill="1" applyBorder="1" applyAlignment="1">
      <alignment horizontal="center" vertical="center" wrapText="1"/>
    </xf>
    <xf numFmtId="0" fontId="4" fillId="0" borderId="6" xfId="0" applyFont="1" applyBorder="1" applyAlignment="1">
      <alignment horizontal="center" vertical="center" wrapText="1"/>
    </xf>
    <xf numFmtId="4" fontId="4" fillId="0" borderId="6" xfId="0" applyNumberFormat="1" applyFont="1" applyBorder="1" applyAlignment="1">
      <alignment horizontal="center" vertical="center" wrapText="1"/>
    </xf>
    <xf numFmtId="0" fontId="4" fillId="0" borderId="0" xfId="0" applyFont="1" applyAlignment="1">
      <alignment horizontal="left" vertical="center" wrapText="1"/>
    </xf>
    <xf numFmtId="0" fontId="4" fillId="2" borderId="6" xfId="0" quotePrefix="1" applyFont="1" applyFill="1" applyBorder="1" applyAlignment="1">
      <alignment horizontal="center" vertical="center" wrapText="1"/>
    </xf>
    <xf numFmtId="0" fontId="9" fillId="3" borderId="6" xfId="0" applyFont="1" applyFill="1" applyBorder="1" applyAlignment="1">
      <alignment horizontal="left" vertical="center" wrapText="1"/>
    </xf>
    <xf numFmtId="0" fontId="9" fillId="3" borderId="6" xfId="0" applyFont="1" applyFill="1" applyBorder="1" applyAlignment="1">
      <alignment horizontal="center" vertical="center" wrapText="1"/>
    </xf>
    <xf numFmtId="4" fontId="9" fillId="3" borderId="6" xfId="0" applyNumberFormat="1" applyFont="1" applyFill="1" applyBorder="1" applyAlignment="1">
      <alignment horizontal="center" vertical="center" wrapText="1"/>
    </xf>
    <xf numFmtId="0" fontId="11" fillId="4" borderId="0" xfId="0" applyFont="1" applyFill="1" applyAlignment="1">
      <alignment horizontal="left" vertical="center" wrapText="1"/>
    </xf>
    <xf numFmtId="0" fontId="11" fillId="0" borderId="0" xfId="0" applyFont="1" applyAlignment="1">
      <alignment horizontal="left" vertical="center" wrapText="1"/>
    </xf>
    <xf numFmtId="9" fontId="4" fillId="3" borderId="6" xfId="0" applyNumberFormat="1" applyFont="1" applyFill="1" applyBorder="1" applyAlignment="1">
      <alignment horizontal="center" vertical="center" wrapText="1"/>
    </xf>
    <xf numFmtId="4" fontId="4" fillId="3" borderId="6" xfId="0" applyNumberFormat="1" applyFont="1" applyFill="1" applyBorder="1" applyAlignment="1">
      <alignment horizontal="center" vertical="center" wrapText="1"/>
    </xf>
    <xf numFmtId="0" fontId="12" fillId="0" borderId="0" xfId="14" applyFont="1"/>
    <xf numFmtId="0" fontId="7" fillId="0" borderId="0" xfId="14" applyFont="1"/>
    <xf numFmtId="0" fontId="13" fillId="0" borderId="0" xfId="14" applyFont="1" applyAlignment="1">
      <alignment vertical="top"/>
    </xf>
    <xf numFmtId="0" fontId="4" fillId="0" borderId="0" xfId="14" applyFont="1"/>
    <xf numFmtId="0" fontId="4" fillId="0" borderId="0" xfId="14" applyFont="1" applyAlignment="1">
      <alignment horizontal="center"/>
    </xf>
    <xf numFmtId="0" fontId="4" fillId="0" borderId="0" xfId="14" applyFont="1" applyAlignment="1">
      <alignment horizontal="right"/>
    </xf>
    <xf numFmtId="0" fontId="14" fillId="0" borderId="10" xfId="14" applyFont="1" applyBorder="1" applyAlignment="1">
      <alignment horizontal="center" vertical="center" wrapText="1"/>
    </xf>
    <xf numFmtId="0" fontId="12" fillId="0" borderId="6" xfId="14" applyFont="1" applyBorder="1" applyAlignment="1">
      <alignment horizontal="center" wrapText="1"/>
    </xf>
    <xf numFmtId="0" fontId="12" fillId="0" borderId="7" xfId="14" applyFont="1" applyBorder="1" applyAlignment="1">
      <alignment horizontal="center" wrapText="1"/>
    </xf>
    <xf numFmtId="49" fontId="12" fillId="0" borderId="10" xfId="14" applyNumberFormat="1" applyFont="1" applyBorder="1" applyAlignment="1">
      <alignment horizontal="center" vertical="top" wrapText="1"/>
    </xf>
    <xf numFmtId="0" fontId="12" fillId="0" borderId="10" xfId="14" applyFont="1" applyBorder="1" applyAlignment="1">
      <alignment horizontal="left" vertical="top" wrapText="1"/>
    </xf>
    <xf numFmtId="0" fontId="12" fillId="0" borderId="10" xfId="14" applyFont="1" applyBorder="1" applyAlignment="1">
      <alignment horizontal="center" vertical="top" wrapText="1"/>
    </xf>
    <xf numFmtId="1" fontId="12" fillId="0" borderId="10" xfId="14" applyNumberFormat="1" applyFont="1" applyBorder="1" applyAlignment="1">
      <alignment horizontal="center" vertical="top" wrapText="1"/>
    </xf>
    <xf numFmtId="4" fontId="12" fillId="0" borderId="10" xfId="14" applyNumberFormat="1" applyFont="1" applyBorder="1" applyAlignment="1">
      <alignment horizontal="right" vertical="top" wrapText="1"/>
    </xf>
    <xf numFmtId="0" fontId="12" fillId="0" borderId="11" xfId="14" applyFont="1" applyBorder="1"/>
    <xf numFmtId="0" fontId="12" fillId="0" borderId="11" xfId="14" applyFont="1" applyBorder="1" applyAlignment="1">
      <alignment wrapText="1"/>
    </xf>
    <xf numFmtId="49" fontId="16" fillId="0" borderId="11" xfId="14" applyNumberFormat="1" applyFont="1" applyBorder="1" applyAlignment="1">
      <alignment wrapText="1"/>
    </xf>
    <xf numFmtId="49" fontId="16" fillId="0" borderId="11" xfId="14" applyNumberFormat="1" applyFont="1" applyBorder="1" applyAlignment="1">
      <alignment horizontal="center" wrapText="1"/>
    </xf>
    <xf numFmtId="49" fontId="16" fillId="0" borderId="11" xfId="14" applyNumberFormat="1" applyFont="1" applyBorder="1" applyAlignment="1">
      <alignment horizontal="right" wrapText="1"/>
    </xf>
    <xf numFmtId="0" fontId="12" fillId="0" borderId="6" xfId="14" applyFont="1" applyBorder="1" applyAlignment="1">
      <alignment vertical="top"/>
    </xf>
    <xf numFmtId="49" fontId="17" fillId="0" borderId="6" xfId="14" applyNumberFormat="1" applyFont="1" applyBorder="1" applyAlignment="1">
      <alignment horizontal="right" vertical="top"/>
    </xf>
    <xf numFmtId="49" fontId="17" fillId="0" borderId="0" xfId="14" applyNumberFormat="1" applyFont="1" applyAlignment="1">
      <alignment horizontal="right"/>
    </xf>
    <xf numFmtId="49" fontId="12" fillId="0" borderId="6" xfId="14" applyNumberFormat="1" applyFont="1" applyBorder="1" applyAlignment="1">
      <alignment horizontal="right" vertical="top"/>
    </xf>
    <xf numFmtId="2" fontId="12" fillId="0" borderId="10" xfId="14" applyNumberFormat="1" applyFont="1" applyBorder="1" applyAlignment="1">
      <alignment horizontal="center" vertical="top" wrapText="1"/>
    </xf>
    <xf numFmtId="166" fontId="12" fillId="0" borderId="10" xfId="14" applyNumberFormat="1" applyFont="1" applyBorder="1" applyAlignment="1">
      <alignment horizontal="center" vertical="top" wrapText="1"/>
    </xf>
    <xf numFmtId="0" fontId="17" fillId="5" borderId="6" xfId="14" applyFont="1" applyFill="1" applyBorder="1" applyAlignment="1">
      <alignment vertical="top"/>
    </xf>
    <xf numFmtId="4" fontId="17" fillId="5" borderId="6" xfId="14" applyNumberFormat="1" applyFont="1" applyFill="1" applyBorder="1" applyAlignment="1">
      <alignment horizontal="right" vertical="top"/>
    </xf>
    <xf numFmtId="4" fontId="7" fillId="0" borderId="0" xfId="14" applyNumberFormat="1" applyFont="1"/>
    <xf numFmtId="4" fontId="12" fillId="0" borderId="0" xfId="14" applyNumberFormat="1" applyFont="1"/>
    <xf numFmtId="0" fontId="18" fillId="0" borderId="0" xfId="15" applyFont="1" applyAlignment="1">
      <alignment vertical="center"/>
    </xf>
    <xf numFmtId="0" fontId="18" fillId="0" borderId="0" xfId="15" applyFont="1" applyAlignment="1">
      <alignment horizontal="center" vertical="center"/>
    </xf>
    <xf numFmtId="0" fontId="14" fillId="0" borderId="6" xfId="15" applyFont="1" applyBorder="1" applyAlignment="1">
      <alignment horizontal="center" vertical="center" wrapText="1"/>
    </xf>
    <xf numFmtId="167" fontId="14" fillId="0" borderId="6" xfId="15" applyNumberFormat="1" applyFont="1" applyBorder="1" applyAlignment="1">
      <alignment horizontal="center" vertical="center" wrapText="1"/>
    </xf>
    <xf numFmtId="0" fontId="14" fillId="0" borderId="10" xfId="15" applyFont="1" applyBorder="1" applyAlignment="1">
      <alignment horizontal="center" vertical="center" wrapText="1"/>
    </xf>
    <xf numFmtId="0" fontId="14" fillId="0" borderId="12" xfId="15" applyFont="1" applyBorder="1" applyAlignment="1">
      <alignment horizontal="center" vertical="center"/>
    </xf>
    <xf numFmtId="0" fontId="14" fillId="0" borderId="6" xfId="15" applyFont="1" applyBorder="1" applyAlignment="1">
      <alignment horizontal="left" vertical="center" wrapText="1"/>
    </xf>
    <xf numFmtId="0" fontId="14" fillId="0" borderId="6" xfId="15" applyFont="1" applyBorder="1" applyAlignment="1">
      <alignment vertical="center" wrapText="1"/>
    </xf>
    <xf numFmtId="168" fontId="14" fillId="0" borderId="6" xfId="15" applyNumberFormat="1" applyFont="1" applyBorder="1" applyAlignment="1">
      <alignment vertical="center"/>
    </xf>
    <xf numFmtId="0" fontId="14" fillId="0" borderId="6" xfId="15" applyFont="1" applyBorder="1" applyAlignment="1">
      <alignment horizontal="center" vertical="center"/>
    </xf>
    <xf numFmtId="3" fontId="19" fillId="0" borderId="6" xfId="15" applyNumberFormat="1" applyFont="1" applyBorder="1" applyAlignment="1">
      <alignment vertical="center"/>
    </xf>
    <xf numFmtId="0" fontId="14" fillId="0" borderId="13" xfId="15" applyFont="1" applyBorder="1" applyAlignment="1">
      <alignment horizontal="center" vertical="center"/>
    </xf>
    <xf numFmtId="0" fontId="14" fillId="0" borderId="11" xfId="15" applyFont="1" applyBorder="1" applyAlignment="1">
      <alignment vertical="center" wrapText="1"/>
    </xf>
    <xf numFmtId="169" fontId="14" fillId="0" borderId="6" xfId="15" applyNumberFormat="1" applyFont="1" applyBorder="1" applyAlignment="1">
      <alignment horizontal="center" vertical="center"/>
    </xf>
    <xf numFmtId="0" fontId="14" fillId="0" borderId="6" xfId="15" applyFont="1" applyBorder="1" applyAlignment="1">
      <alignment horizontal="left" vertical="center"/>
    </xf>
    <xf numFmtId="0" fontId="14" fillId="0" borderId="0" xfId="15" applyFont="1" applyAlignment="1">
      <alignment vertical="center"/>
    </xf>
    <xf numFmtId="169" fontId="14" fillId="0" borderId="6" xfId="15" applyNumberFormat="1" applyFont="1" applyBorder="1" applyAlignment="1">
      <alignment vertical="center" wrapText="1"/>
    </xf>
    <xf numFmtId="3" fontId="14" fillId="0" borderId="6" xfId="15" applyNumberFormat="1" applyFont="1" applyBorder="1" applyAlignment="1">
      <alignment horizontal="right" vertical="center"/>
    </xf>
    <xf numFmtId="169" fontId="14" fillId="0" borderId="6" xfId="15" applyNumberFormat="1" applyFont="1" applyBorder="1" applyAlignment="1">
      <alignment vertical="center"/>
    </xf>
    <xf numFmtId="4" fontId="14" fillId="0" borderId="6" xfId="15" applyNumberFormat="1" applyFont="1" applyBorder="1" applyAlignment="1">
      <alignment horizontal="right" vertical="center" wrapText="1"/>
    </xf>
    <xf numFmtId="4" fontId="13" fillId="0" borderId="6" xfId="15" applyNumberFormat="1" applyFont="1" applyBorder="1" applyAlignment="1">
      <alignment horizontal="right" vertical="center"/>
    </xf>
    <xf numFmtId="0" fontId="14" fillId="0" borderId="14" xfId="15" applyFont="1" applyBorder="1" applyAlignment="1">
      <alignment horizontal="center" vertical="center"/>
    </xf>
    <xf numFmtId="0" fontId="14" fillId="0" borderId="7" xfId="15" applyFont="1" applyBorder="1" applyAlignment="1">
      <alignment horizontal="center" vertical="center"/>
    </xf>
    <xf numFmtId="170" fontId="14" fillId="0" borderId="6" xfId="15" applyNumberFormat="1" applyFont="1" applyBorder="1" applyAlignment="1">
      <alignment horizontal="center" vertical="center" wrapText="1"/>
    </xf>
    <xf numFmtId="3" fontId="14" fillId="0" borderId="6" xfId="15" applyNumberFormat="1" applyFont="1" applyBorder="1" applyAlignment="1">
      <alignment vertical="center"/>
    </xf>
    <xf numFmtId="171" fontId="14" fillId="0" borderId="6" xfId="15" applyNumberFormat="1" applyFont="1" applyBorder="1" applyAlignment="1">
      <alignment horizontal="right" vertical="center"/>
    </xf>
    <xf numFmtId="3" fontId="14" fillId="0" borderId="6" xfId="15" applyNumberFormat="1" applyFont="1" applyBorder="1" applyAlignment="1">
      <alignment horizontal="right" vertical="center" wrapText="1"/>
    </xf>
    <xf numFmtId="171" fontId="14" fillId="0" borderId="6" xfId="15" applyNumberFormat="1" applyFont="1" applyBorder="1" applyAlignment="1">
      <alignment horizontal="right" vertical="center" wrapText="1"/>
    </xf>
    <xf numFmtId="4" fontId="13" fillId="0" borderId="6" xfId="15" applyNumberFormat="1" applyFont="1" applyBorder="1" applyAlignment="1">
      <alignment vertical="center"/>
    </xf>
    <xf numFmtId="4" fontId="14" fillId="0" borderId="6" xfId="15" applyNumberFormat="1" applyFont="1" applyBorder="1" applyAlignment="1">
      <alignment horizontal="right" vertical="center"/>
    </xf>
    <xf numFmtId="171" fontId="14" fillId="0" borderId="6" xfId="15" applyNumberFormat="1" applyFont="1" applyBorder="1" applyAlignment="1">
      <alignment vertical="center"/>
    </xf>
    <xf numFmtId="0" fontId="13" fillId="5" borderId="7" xfId="15" applyFont="1" applyFill="1" applyBorder="1" applyAlignment="1">
      <alignment horizontal="center" vertical="center"/>
    </xf>
    <xf numFmtId="0" fontId="13" fillId="5" borderId="6" xfId="15" applyFont="1" applyFill="1" applyBorder="1" applyAlignment="1">
      <alignment vertical="center" wrapText="1"/>
    </xf>
    <xf numFmtId="0" fontId="13" fillId="5" borderId="6" xfId="15" applyFont="1" applyFill="1" applyBorder="1" applyAlignment="1">
      <alignment horizontal="center" vertical="center" wrapText="1"/>
    </xf>
    <xf numFmtId="171" fontId="13" fillId="5" borderId="6" xfId="15" applyNumberFormat="1" applyFont="1" applyFill="1" applyBorder="1" applyAlignment="1">
      <alignment vertical="center"/>
    </xf>
    <xf numFmtId="3" fontId="13" fillId="5" borderId="6" xfId="15" applyNumberFormat="1" applyFont="1" applyFill="1" applyBorder="1" applyAlignment="1">
      <alignment vertical="center"/>
    </xf>
    <xf numFmtId="4" fontId="13" fillId="5" borderId="6" xfId="15" applyNumberFormat="1" applyFont="1" applyFill="1" applyBorder="1" applyAlignment="1">
      <alignment horizontal="right" vertical="center" wrapText="1"/>
    </xf>
    <xf numFmtId="4" fontId="13" fillId="5" borderId="6" xfId="15" applyNumberFormat="1" applyFont="1" applyFill="1" applyBorder="1" applyAlignment="1">
      <alignment horizontal="right" vertical="center"/>
    </xf>
    <xf numFmtId="0" fontId="12" fillId="0" borderId="0" xfId="20" applyFont="1"/>
    <xf numFmtId="0" fontId="7" fillId="0" borderId="0" xfId="20" applyFont="1"/>
    <xf numFmtId="0" fontId="12" fillId="0" borderId="0" xfId="20" applyFont="1" applyAlignment="1">
      <alignment horizontal="right"/>
    </xf>
    <xf numFmtId="0" fontId="14" fillId="0" borderId="0" xfId="20" applyFont="1"/>
    <xf numFmtId="0" fontId="4" fillId="0" borderId="0" xfId="20" applyFont="1"/>
    <xf numFmtId="0" fontId="4" fillId="0" borderId="0" xfId="20" applyFont="1" applyAlignment="1">
      <alignment horizontal="center"/>
    </xf>
    <xf numFmtId="0" fontId="4" fillId="0" borderId="0" xfId="20" applyFont="1" applyAlignment="1">
      <alignment horizontal="right"/>
    </xf>
    <xf numFmtId="0" fontId="14" fillId="0" borderId="10" xfId="20" applyFont="1" applyBorder="1" applyAlignment="1">
      <alignment horizontal="center" vertical="center" wrapText="1"/>
    </xf>
    <xf numFmtId="0" fontId="12" fillId="0" borderId="6" xfId="20" applyFont="1" applyBorder="1" applyAlignment="1">
      <alignment horizontal="center" wrapText="1"/>
    </xf>
    <xf numFmtId="0" fontId="12" fillId="0" borderId="7" xfId="20" applyFont="1" applyBorder="1" applyAlignment="1">
      <alignment horizontal="center" wrapText="1"/>
    </xf>
    <xf numFmtId="49" fontId="12" fillId="0" borderId="10" xfId="20" applyNumberFormat="1" applyFont="1" applyBorder="1" applyAlignment="1">
      <alignment horizontal="center" vertical="top" wrapText="1"/>
    </xf>
    <xf numFmtId="0" fontId="12" fillId="0" borderId="10" xfId="20" applyFont="1" applyBorder="1" applyAlignment="1">
      <alignment horizontal="left" vertical="top" wrapText="1"/>
    </xf>
    <xf numFmtId="0" fontId="12" fillId="0" borderId="10" xfId="20" applyFont="1" applyBorder="1" applyAlignment="1">
      <alignment horizontal="center" vertical="top" wrapText="1"/>
    </xf>
    <xf numFmtId="1" fontId="12" fillId="0" borderId="10" xfId="20" applyNumberFormat="1" applyFont="1" applyBorder="1" applyAlignment="1">
      <alignment horizontal="center" vertical="top" wrapText="1"/>
    </xf>
    <xf numFmtId="4" fontId="12" fillId="0" borderId="10" xfId="20" applyNumberFormat="1" applyFont="1" applyBorder="1" applyAlignment="1">
      <alignment horizontal="right" vertical="top" wrapText="1"/>
    </xf>
    <xf numFmtId="0" fontId="12" fillId="0" borderId="11" xfId="20" applyFont="1" applyBorder="1"/>
    <xf numFmtId="0" fontId="12" fillId="0" borderId="11" xfId="20" applyFont="1" applyBorder="1" applyAlignment="1">
      <alignment wrapText="1"/>
    </xf>
    <xf numFmtId="49" fontId="16" fillId="0" borderId="11" xfId="20" applyNumberFormat="1" applyFont="1" applyBorder="1" applyAlignment="1">
      <alignment wrapText="1"/>
    </xf>
    <xf numFmtId="49" fontId="16" fillId="0" borderId="11" xfId="20" applyNumberFormat="1" applyFont="1" applyBorder="1" applyAlignment="1">
      <alignment horizontal="center" wrapText="1"/>
    </xf>
    <xf numFmtId="49" fontId="16" fillId="0" borderId="11" xfId="20" applyNumberFormat="1" applyFont="1" applyBorder="1" applyAlignment="1">
      <alignment horizontal="right" wrapText="1"/>
    </xf>
    <xf numFmtId="172" fontId="12" fillId="0" borderId="10" xfId="20" applyNumberFormat="1" applyFont="1" applyBorder="1" applyAlignment="1">
      <alignment horizontal="center" vertical="top" wrapText="1"/>
    </xf>
    <xf numFmtId="166" fontId="12" fillId="0" borderId="10" xfId="20" applyNumberFormat="1" applyFont="1" applyBorder="1" applyAlignment="1">
      <alignment horizontal="center" vertical="top" wrapText="1"/>
    </xf>
    <xf numFmtId="0" fontId="12" fillId="0" borderId="6" xfId="20" applyFont="1" applyBorder="1" applyAlignment="1">
      <alignment vertical="top"/>
    </xf>
    <xf numFmtId="49" fontId="17" fillId="0" borderId="6" xfId="20" applyNumberFormat="1" applyFont="1" applyBorder="1" applyAlignment="1">
      <alignment horizontal="right" vertical="top"/>
    </xf>
    <xf numFmtId="49" fontId="17" fillId="0" borderId="0" xfId="20" applyNumberFormat="1" applyFont="1" applyAlignment="1">
      <alignment horizontal="right"/>
    </xf>
    <xf numFmtId="49" fontId="12" fillId="0" borderId="6" xfId="20" applyNumberFormat="1" applyFont="1" applyBorder="1" applyAlignment="1">
      <alignment horizontal="right" vertical="top"/>
    </xf>
    <xf numFmtId="2" fontId="12" fillId="0" borderId="10" xfId="20" applyNumberFormat="1" applyFont="1" applyBorder="1" applyAlignment="1">
      <alignment horizontal="center" vertical="top" wrapText="1"/>
    </xf>
    <xf numFmtId="0" fontId="12" fillId="0" borderId="10" xfId="20" applyFont="1" applyBorder="1" applyAlignment="1">
      <alignment horizontal="right" vertical="top" wrapText="1"/>
    </xf>
    <xf numFmtId="4" fontId="12" fillId="0" borderId="6" xfId="20" applyNumberFormat="1" applyFont="1" applyBorder="1" applyAlignment="1">
      <alignment horizontal="right" vertical="top"/>
    </xf>
    <xf numFmtId="4" fontId="7" fillId="0" borderId="0" xfId="20" applyNumberFormat="1" applyFont="1"/>
    <xf numFmtId="0" fontId="12" fillId="5" borderId="6" xfId="20" applyFont="1" applyFill="1" applyBorder="1" applyAlignment="1">
      <alignment vertical="top"/>
    </xf>
    <xf numFmtId="4" fontId="17" fillId="5" borderId="6" xfId="20" applyNumberFormat="1" applyFont="1" applyFill="1" applyBorder="1" applyAlignment="1">
      <alignment horizontal="right" vertical="top"/>
    </xf>
    <xf numFmtId="49" fontId="12" fillId="0" borderId="0" xfId="20" applyNumberFormat="1" applyFont="1" applyAlignment="1">
      <alignment vertical="top" wrapText="1"/>
    </xf>
    <xf numFmtId="4" fontId="12" fillId="0" borderId="0" xfId="20" applyNumberFormat="1" applyFont="1" applyAlignment="1">
      <alignment vertical="top" wrapText="1"/>
    </xf>
    <xf numFmtId="4" fontId="12" fillId="0" borderId="0" xfId="20" applyNumberFormat="1" applyFont="1"/>
    <xf numFmtId="0" fontId="2" fillId="0" borderId="0" xfId="14" applyFont="1"/>
    <xf numFmtId="0" fontId="12" fillId="0" borderId="0" xfId="14" applyFont="1" applyAlignment="1">
      <alignment horizontal="right"/>
    </xf>
    <xf numFmtId="0" fontId="14" fillId="0" borderId="0" xfId="14" applyFont="1"/>
    <xf numFmtId="173" fontId="12" fillId="0" borderId="10" xfId="14" applyNumberFormat="1" applyFont="1" applyBorder="1" applyAlignment="1">
      <alignment horizontal="center" vertical="top" wrapText="1"/>
    </xf>
    <xf numFmtId="4" fontId="12" fillId="0" borderId="6" xfId="14" applyNumberFormat="1" applyFont="1" applyBorder="1" applyAlignment="1">
      <alignment horizontal="right" vertical="top"/>
    </xf>
    <xf numFmtId="4" fontId="17" fillId="0" borderId="6" xfId="14" applyNumberFormat="1" applyFont="1" applyBorder="1" applyAlignment="1">
      <alignment horizontal="right" vertical="top"/>
    </xf>
    <xf numFmtId="49" fontId="12" fillId="0" borderId="0" xfId="14" applyNumberFormat="1" applyFont="1" applyAlignment="1">
      <alignment vertical="top" wrapText="1"/>
    </xf>
    <xf numFmtId="0" fontId="4" fillId="0" borderId="0" xfId="4" applyFont="1"/>
    <xf numFmtId="0" fontId="4" fillId="0" borderId="0" xfId="4" applyFont="1" applyAlignment="1">
      <alignment horizontal="center"/>
    </xf>
    <xf numFmtId="0" fontId="20" fillId="0" borderId="0" xfId="4" applyFont="1" applyAlignment="1">
      <alignment vertical="center"/>
    </xf>
    <xf numFmtId="0" fontId="14" fillId="0" borderId="6" xfId="4" applyFont="1" applyBorder="1" applyAlignment="1">
      <alignment horizontal="center" vertical="center" wrapText="1"/>
    </xf>
    <xf numFmtId="0" fontId="14" fillId="0" borderId="13" xfId="4" applyFont="1" applyBorder="1" applyAlignment="1">
      <alignment horizontal="center" vertical="center" wrapText="1"/>
    </xf>
    <xf numFmtId="0" fontId="14" fillId="0" borderId="6" xfId="4" applyFont="1" applyBorder="1" applyAlignment="1">
      <alignment vertical="center" wrapText="1"/>
    </xf>
    <xf numFmtId="0" fontId="4" fillId="0" borderId="0" xfId="4" applyFont="1" applyAlignment="1">
      <alignment wrapText="1"/>
    </xf>
    <xf numFmtId="0" fontId="14" fillId="0" borderId="6" xfId="21" applyFont="1" applyBorder="1" applyAlignment="1">
      <alignment horizontal="center" vertical="center" wrapText="1"/>
    </xf>
    <xf numFmtId="0" fontId="14" fillId="0" borderId="6" xfId="21" applyFont="1" applyBorder="1" applyAlignment="1">
      <alignment vertical="center" wrapText="1"/>
    </xf>
    <xf numFmtId="0" fontId="14" fillId="6" borderId="6" xfId="21" applyFont="1" applyFill="1" applyBorder="1" applyAlignment="1">
      <alignment horizontal="center" vertical="center" wrapText="1"/>
    </xf>
    <xf numFmtId="1" fontId="14" fillId="6" borderId="9" xfId="21" applyNumberFormat="1" applyFont="1" applyFill="1" applyBorder="1" applyAlignment="1">
      <alignment horizontal="center" vertical="center" wrapText="1"/>
    </xf>
    <xf numFmtId="2" fontId="14" fillId="0" borderId="13" xfId="4" applyNumberFormat="1" applyFont="1" applyBorder="1" applyAlignment="1">
      <alignment horizontal="center" vertical="center" wrapText="1"/>
    </xf>
    <xf numFmtId="0" fontId="14" fillId="0" borderId="10" xfId="4" applyFont="1" applyBorder="1" applyAlignment="1">
      <alignment horizontal="center" vertical="center" wrapText="1"/>
    </xf>
    <xf numFmtId="0" fontId="14" fillId="0" borderId="10" xfId="4" applyFont="1" applyBorder="1" applyAlignment="1">
      <alignment vertical="center" wrapText="1"/>
    </xf>
    <xf numFmtId="1" fontId="14" fillId="0" borderId="10" xfId="4" applyNumberFormat="1" applyFont="1" applyBorder="1" applyAlignment="1">
      <alignment horizontal="center" vertical="center" wrapText="1"/>
    </xf>
    <xf numFmtId="1" fontId="14" fillId="0" borderId="13" xfId="4" applyNumberFormat="1" applyFont="1" applyBorder="1" applyAlignment="1">
      <alignment horizontal="center" vertical="center" wrapText="1"/>
    </xf>
    <xf numFmtId="0" fontId="14" fillId="0" borderId="11" xfId="4" applyFont="1" applyBorder="1" applyAlignment="1">
      <alignment horizontal="center" vertical="center" wrapText="1"/>
    </xf>
    <xf numFmtId="0" fontId="14" fillId="0" borderId="11" xfId="21" applyFont="1" applyBorder="1" applyAlignment="1">
      <alignment vertical="center" wrapText="1"/>
    </xf>
    <xf numFmtId="0" fontId="14" fillId="0" borderId="11" xfId="21" applyFont="1" applyBorder="1" applyAlignment="1">
      <alignment horizontal="center" vertical="center" wrapText="1"/>
    </xf>
    <xf numFmtId="1" fontId="14" fillId="0" borderId="11" xfId="21" applyNumberFormat="1" applyFont="1" applyBorder="1" applyAlignment="1">
      <alignment horizontal="center" vertical="center" wrapText="1"/>
    </xf>
    <xf numFmtId="0" fontId="14" fillId="0" borderId="11" xfId="4" applyFont="1" applyBorder="1" applyAlignment="1">
      <alignment horizontal="right" vertical="center" wrapText="1"/>
    </xf>
    <xf numFmtId="1" fontId="14" fillId="0" borderId="11" xfId="4" applyNumberFormat="1" applyFont="1" applyBorder="1" applyAlignment="1">
      <alignment horizontal="center" vertical="center" wrapText="1"/>
    </xf>
    <xf numFmtId="0" fontId="14" fillId="0" borderId="15" xfId="4" applyFont="1" applyBorder="1" applyAlignment="1">
      <alignment horizontal="center" vertical="center" wrapText="1"/>
    </xf>
    <xf numFmtId="0" fontId="14" fillId="0" borderId="15" xfId="4" applyFont="1" applyBorder="1" applyAlignment="1">
      <alignment horizontal="right" vertical="center" wrapText="1"/>
    </xf>
    <xf numFmtId="0" fontId="14" fillId="0" borderId="15" xfId="21" applyFont="1" applyBorder="1" applyAlignment="1">
      <alignment horizontal="center" vertical="center" wrapText="1"/>
    </xf>
    <xf numFmtId="1" fontId="14" fillId="0" borderId="15" xfId="21" applyNumberFormat="1" applyFont="1" applyBorder="1" applyAlignment="1">
      <alignment horizontal="center" vertical="center" wrapText="1"/>
    </xf>
    <xf numFmtId="0" fontId="14" fillId="0" borderId="15" xfId="4" applyFont="1" applyBorder="1" applyAlignment="1">
      <alignment horizontal="left" vertical="center" wrapText="1"/>
    </xf>
    <xf numFmtId="1" fontId="14" fillId="0" borderId="6" xfId="4" applyNumberFormat="1" applyFont="1" applyBorder="1" applyAlignment="1">
      <alignment horizontal="center" vertical="center" wrapText="1"/>
    </xf>
    <xf numFmtId="0" fontId="14" fillId="0" borderId="10" xfId="4" applyFont="1" applyBorder="1" applyAlignment="1">
      <alignment horizontal="left" vertical="center" wrapText="1"/>
    </xf>
    <xf numFmtId="0" fontId="14" fillId="0" borderId="15" xfId="4" applyFont="1" applyBorder="1" applyAlignment="1">
      <alignment vertical="center" wrapText="1"/>
    </xf>
    <xf numFmtId="0" fontId="14" fillId="0" borderId="6" xfId="21" applyFont="1" applyBorder="1" applyAlignment="1">
      <alignment horizontal="left" vertical="center" wrapText="1"/>
    </xf>
    <xf numFmtId="1" fontId="14" fillId="0" borderId="6" xfId="21" applyNumberFormat="1" applyFont="1" applyBorder="1" applyAlignment="1">
      <alignment horizontal="center" vertical="center" wrapText="1"/>
    </xf>
    <xf numFmtId="0" fontId="14" fillId="0" borderId="6" xfId="4" applyFont="1" applyBorder="1" applyAlignment="1">
      <alignment horizontal="left" vertical="center" wrapText="1"/>
    </xf>
    <xf numFmtId="1" fontId="4" fillId="0" borderId="6" xfId="21" applyNumberFormat="1" applyFont="1" applyBorder="1" applyAlignment="1">
      <alignment horizontal="center" vertical="center" wrapText="1"/>
    </xf>
    <xf numFmtId="0" fontId="4" fillId="4" borderId="0" xfId="4" applyFont="1" applyFill="1" applyAlignment="1">
      <alignment wrapText="1"/>
    </xf>
    <xf numFmtId="0" fontId="14" fillId="0" borderId="11" xfId="4" applyFont="1" applyBorder="1" applyAlignment="1">
      <alignment vertical="center" wrapText="1"/>
    </xf>
    <xf numFmtId="1" fontId="14" fillId="0" borderId="16" xfId="21" applyNumberFormat="1" applyFont="1" applyBorder="1" applyAlignment="1">
      <alignment horizontal="center" vertical="center" wrapText="1"/>
    </xf>
    <xf numFmtId="1" fontId="14" fillId="0" borderId="17" xfId="21" applyNumberFormat="1" applyFont="1" applyBorder="1" applyAlignment="1">
      <alignment horizontal="center" vertical="center" wrapText="1"/>
    </xf>
    <xf numFmtId="1" fontId="14" fillId="0" borderId="15" xfId="4" applyNumberFormat="1" applyFont="1" applyBorder="1" applyAlignment="1">
      <alignment horizontal="center" vertical="center" wrapText="1"/>
    </xf>
    <xf numFmtId="0" fontId="14" fillId="0" borderId="11" xfId="4" applyFont="1" applyBorder="1" applyAlignment="1">
      <alignment horizontal="left" vertical="center" wrapText="1"/>
    </xf>
    <xf numFmtId="3" fontId="13" fillId="0" borderId="6" xfId="4" applyNumberFormat="1" applyFont="1" applyBorder="1" applyAlignment="1">
      <alignment horizontal="center" vertical="center" wrapText="1"/>
    </xf>
    <xf numFmtId="0" fontId="14" fillId="0" borderId="0" xfId="4" applyFont="1"/>
    <xf numFmtId="0" fontId="13" fillId="5" borderId="15" xfId="4" applyFont="1" applyFill="1" applyBorder="1" applyAlignment="1">
      <alignment horizontal="center" vertical="center" wrapText="1"/>
    </xf>
    <xf numFmtId="0" fontId="13" fillId="5" borderId="6" xfId="4" applyFont="1" applyFill="1" applyBorder="1" applyAlignment="1">
      <alignment vertical="center" wrapText="1"/>
    </xf>
    <xf numFmtId="0" fontId="13" fillId="5" borderId="6" xfId="4" applyFont="1" applyFill="1" applyBorder="1" applyAlignment="1">
      <alignment horizontal="center" vertical="center" wrapText="1"/>
    </xf>
    <xf numFmtId="4" fontId="13" fillId="5" borderId="6" xfId="4" applyNumberFormat="1" applyFont="1" applyFill="1" applyBorder="1" applyAlignment="1">
      <alignment horizontal="center" vertical="center" wrapText="1"/>
    </xf>
    <xf numFmtId="4" fontId="14" fillId="0" borderId="0" xfId="4" applyNumberFormat="1" applyFont="1" applyAlignment="1">
      <alignment wrapText="1"/>
    </xf>
    <xf numFmtId="4" fontId="14" fillId="0" borderId="0" xfId="4" applyNumberFormat="1" applyFont="1"/>
    <xf numFmtId="0" fontId="4" fillId="0" borderId="0" xfId="4" applyFont="1" applyAlignment="1">
      <alignment horizontal="center" vertical="center" wrapText="1"/>
    </xf>
    <xf numFmtId="0" fontId="4" fillId="0" borderId="0" xfId="4" applyFont="1" applyAlignment="1">
      <alignment vertical="center" wrapText="1"/>
    </xf>
    <xf numFmtId="0" fontId="4" fillId="0" borderId="0" xfId="4" applyFont="1" applyAlignment="1">
      <alignment horizontal="center" vertical="center"/>
    </xf>
    <xf numFmtId="0" fontId="4" fillId="0" borderId="0" xfId="4" applyFont="1" applyAlignment="1">
      <alignment vertical="center"/>
    </xf>
    <xf numFmtId="0" fontId="12" fillId="0" borderId="0" xfId="4" applyFont="1"/>
    <xf numFmtId="0" fontId="17" fillId="0" borderId="0" xfId="4" applyFont="1" applyAlignment="1">
      <alignment vertical="center"/>
    </xf>
    <xf numFmtId="0" fontId="12" fillId="0" borderId="6" xfId="4" applyFont="1" applyBorder="1" applyAlignment="1">
      <alignment horizontal="center" vertical="center" wrapText="1"/>
    </xf>
    <xf numFmtId="0" fontId="12" fillId="0" borderId="13" xfId="4" applyFont="1" applyBorder="1" applyAlignment="1">
      <alignment horizontal="center" vertical="center" wrapText="1"/>
    </xf>
    <xf numFmtId="0" fontId="12" fillId="0" borderId="6" xfId="4" applyFont="1" applyBorder="1" applyAlignment="1">
      <alignment vertical="center" wrapText="1"/>
    </xf>
    <xf numFmtId="0" fontId="12" fillId="0" borderId="0" xfId="4" applyFont="1" applyAlignment="1">
      <alignment wrapText="1"/>
    </xf>
    <xf numFmtId="0" fontId="12" fillId="0" borderId="6" xfId="22" applyFont="1" applyBorder="1" applyAlignment="1">
      <alignment horizontal="center" vertical="center" wrapText="1"/>
    </xf>
    <xf numFmtId="0" fontId="12" fillId="0" borderId="6" xfId="22" applyFont="1" applyBorder="1" applyAlignment="1">
      <alignment vertical="center" wrapText="1"/>
    </xf>
    <xf numFmtId="0" fontId="12" fillId="6" borderId="6" xfId="22" applyFont="1" applyFill="1" applyBorder="1" applyAlignment="1">
      <alignment horizontal="center" vertical="center" wrapText="1"/>
    </xf>
    <xf numFmtId="1" fontId="12" fillId="6" borderId="9" xfId="22" applyNumberFormat="1" applyFont="1" applyFill="1" applyBorder="1" applyAlignment="1">
      <alignment horizontal="center" vertical="center" wrapText="1"/>
    </xf>
    <xf numFmtId="2" fontId="12" fillId="0" borderId="13" xfId="4" applyNumberFormat="1" applyFont="1" applyBorder="1" applyAlignment="1">
      <alignment horizontal="center" vertical="center" wrapText="1"/>
    </xf>
    <xf numFmtId="0" fontId="12" fillId="0" borderId="10" xfId="4" applyFont="1" applyBorder="1" applyAlignment="1">
      <alignment horizontal="center" vertical="center" wrapText="1"/>
    </xf>
    <xf numFmtId="0" fontId="12" fillId="0" borderId="10" xfId="4" applyFont="1" applyBorder="1" applyAlignment="1">
      <alignment vertical="center" wrapText="1"/>
    </xf>
    <xf numFmtId="1" fontId="12" fillId="0" borderId="10" xfId="4" applyNumberFormat="1" applyFont="1" applyBorder="1" applyAlignment="1">
      <alignment horizontal="center" vertical="center" wrapText="1"/>
    </xf>
    <xf numFmtId="1" fontId="12" fillId="0" borderId="13" xfId="4" applyNumberFormat="1" applyFont="1" applyBorder="1" applyAlignment="1">
      <alignment horizontal="center" vertical="center" wrapText="1"/>
    </xf>
    <xf numFmtId="0" fontId="12" fillId="0" borderId="11" xfId="4" applyFont="1" applyBorder="1" applyAlignment="1">
      <alignment horizontal="center" vertical="center" wrapText="1"/>
    </xf>
    <xf numFmtId="0" fontId="12" fillId="0" borderId="11" xfId="22" applyFont="1" applyBorder="1" applyAlignment="1">
      <alignment vertical="center" wrapText="1"/>
    </xf>
    <xf numFmtId="0" fontId="12" fillId="0" borderId="11" xfId="22" applyFont="1" applyBorder="1" applyAlignment="1">
      <alignment horizontal="center" vertical="center" wrapText="1"/>
    </xf>
    <xf numFmtId="1" fontId="12" fillId="0" borderId="11" xfId="22" applyNumberFormat="1" applyFont="1" applyBorder="1" applyAlignment="1">
      <alignment horizontal="center" vertical="center" wrapText="1"/>
    </xf>
    <xf numFmtId="0" fontId="12" fillId="0" borderId="11" xfId="4" applyFont="1" applyBorder="1" applyAlignment="1">
      <alignment horizontal="right" vertical="center" wrapText="1"/>
    </xf>
    <xf numFmtId="1" fontId="12" fillId="0" borderId="11" xfId="4" applyNumberFormat="1" applyFont="1" applyBorder="1" applyAlignment="1">
      <alignment horizontal="center" vertical="center" wrapText="1"/>
    </xf>
    <xf numFmtId="0" fontId="12" fillId="0" borderId="15" xfId="4" applyFont="1" applyBorder="1" applyAlignment="1">
      <alignment horizontal="center" vertical="center" wrapText="1"/>
    </xf>
    <xf numFmtId="0" fontId="12" fillId="0" borderId="15" xfId="4" applyFont="1" applyBorder="1" applyAlignment="1">
      <alignment horizontal="right" vertical="center" wrapText="1"/>
    </xf>
    <xf numFmtId="0" fontId="12" fillId="0" borderId="15" xfId="22" applyFont="1" applyBorder="1" applyAlignment="1">
      <alignment horizontal="center" vertical="center" wrapText="1"/>
    </xf>
    <xf numFmtId="1" fontId="12" fillId="0" borderId="15" xfId="22" applyNumberFormat="1" applyFont="1" applyBorder="1" applyAlignment="1">
      <alignment horizontal="center" vertical="center" wrapText="1"/>
    </xf>
    <xf numFmtId="0" fontId="12" fillId="0" borderId="15" xfId="4" applyFont="1" applyBorder="1" applyAlignment="1">
      <alignment horizontal="left" vertical="center" wrapText="1"/>
    </xf>
    <xf numFmtId="1" fontId="12" fillId="0" borderId="6" xfId="4" applyNumberFormat="1" applyFont="1" applyBorder="1" applyAlignment="1">
      <alignment horizontal="center" vertical="center" wrapText="1"/>
    </xf>
    <xf numFmtId="0" fontId="12" fillId="0" borderId="10" xfId="4" applyFont="1" applyBorder="1" applyAlignment="1">
      <alignment horizontal="left" vertical="center" wrapText="1"/>
    </xf>
    <xf numFmtId="0" fontId="12" fillId="0" borderId="15" xfId="4" applyFont="1" applyBorder="1" applyAlignment="1">
      <alignment vertical="center" wrapText="1"/>
    </xf>
    <xf numFmtId="0" fontId="12" fillId="0" borderId="6" xfId="22" applyFont="1" applyBorder="1" applyAlignment="1">
      <alignment horizontal="left" vertical="center" wrapText="1"/>
    </xf>
    <xf numFmtId="1" fontId="12" fillId="0" borderId="6" xfId="22" applyNumberFormat="1" applyFont="1" applyBorder="1" applyAlignment="1">
      <alignment horizontal="center" vertical="center" wrapText="1"/>
    </xf>
    <xf numFmtId="0" fontId="12" fillId="0" borderId="6" xfId="4" applyFont="1" applyBorder="1" applyAlignment="1">
      <alignment horizontal="left" vertical="center" wrapText="1"/>
    </xf>
    <xf numFmtId="0" fontId="12" fillId="0" borderId="6" xfId="4" applyFont="1" applyBorder="1" applyAlignment="1">
      <alignment horizontal="right" vertical="center" wrapText="1"/>
    </xf>
    <xf numFmtId="0" fontId="12" fillId="0" borderId="11" xfId="4" applyFont="1" applyBorder="1" applyAlignment="1">
      <alignment vertical="center" wrapText="1"/>
    </xf>
    <xf numFmtId="1" fontId="12" fillId="0" borderId="16" xfId="22" applyNumberFormat="1" applyFont="1" applyBorder="1" applyAlignment="1">
      <alignment horizontal="center" vertical="center" wrapText="1"/>
    </xf>
    <xf numFmtId="1" fontId="12" fillId="0" borderId="17" xfId="22" applyNumberFormat="1" applyFont="1" applyBorder="1" applyAlignment="1">
      <alignment horizontal="center" vertical="center" wrapText="1"/>
    </xf>
    <xf numFmtId="1" fontId="12" fillId="0" borderId="15" xfId="4" applyNumberFormat="1" applyFont="1" applyBorder="1" applyAlignment="1">
      <alignment horizontal="center" vertical="center" wrapText="1"/>
    </xf>
    <xf numFmtId="0" fontId="12" fillId="0" borderId="11" xfId="4" applyFont="1" applyBorder="1" applyAlignment="1">
      <alignment horizontal="left" vertical="center" wrapText="1"/>
    </xf>
    <xf numFmtId="3" fontId="17" fillId="0" borderId="6" xfId="4" applyNumberFormat="1" applyFont="1" applyBorder="1" applyAlignment="1">
      <alignment horizontal="center" vertical="center" wrapText="1"/>
    </xf>
    <xf numFmtId="0" fontId="12" fillId="0" borderId="0" xfId="4" applyFont="1" applyAlignment="1">
      <alignment vertical="center"/>
    </xf>
    <xf numFmtId="0" fontId="2" fillId="0" borderId="0" xfId="20" applyFont="1"/>
    <xf numFmtId="0" fontId="13" fillId="0" borderId="0" xfId="20" applyFont="1"/>
    <xf numFmtId="173" fontId="12" fillId="0" borderId="10" xfId="20" applyNumberFormat="1" applyFont="1" applyBorder="1" applyAlignment="1">
      <alignment horizontal="center" vertical="top" wrapText="1"/>
    </xf>
    <xf numFmtId="0" fontId="12" fillId="0" borderId="6" xfId="20" applyFont="1" applyBorder="1" applyAlignment="1">
      <alignment horizontal="center" vertical="center"/>
    </xf>
    <xf numFmtId="4" fontId="2" fillId="0" borderId="0" xfId="20" applyNumberFormat="1" applyFont="1"/>
    <xf numFmtId="4" fontId="17" fillId="5" borderId="6" xfId="20" applyNumberFormat="1" applyFont="1" applyFill="1" applyBorder="1"/>
    <xf numFmtId="0" fontId="2" fillId="0" borderId="0" xfId="3" applyFont="1"/>
    <xf numFmtId="0" fontId="4" fillId="0" borderId="0" xfId="3" applyFont="1" applyAlignment="1">
      <alignment horizontal="left" vertical="top" wrapText="1"/>
    </xf>
    <xf numFmtId="0" fontId="4" fillId="0" borderId="6" xfId="3" applyFont="1" applyBorder="1" applyAlignment="1">
      <alignment horizontal="center" vertical="center" wrapText="1"/>
    </xf>
    <xf numFmtId="0" fontId="4" fillId="0" borderId="6" xfId="3" applyFont="1" applyBorder="1" applyAlignment="1">
      <alignment horizontal="left" vertical="top" wrapText="1"/>
    </xf>
    <xf numFmtId="0" fontId="9" fillId="0" borderId="10" xfId="3" applyFont="1" applyBorder="1" applyAlignment="1">
      <alignment horizontal="left" vertical="top" wrapText="1"/>
    </xf>
    <xf numFmtId="0" fontId="9" fillId="0" borderId="11" xfId="3" applyFont="1" applyBorder="1" applyAlignment="1">
      <alignment horizontal="left" vertical="top" wrapText="1"/>
    </xf>
    <xf numFmtId="0" fontId="4" fillId="0" borderId="11" xfId="3" applyFont="1" applyBorder="1" applyAlignment="1">
      <alignment horizontal="left" vertical="top" wrapText="1"/>
    </xf>
    <xf numFmtId="0" fontId="9" fillId="0" borderId="6" xfId="3" applyFont="1" applyBorder="1" applyAlignment="1">
      <alignment horizontal="left" vertical="top" wrapText="1"/>
    </xf>
    <xf numFmtId="4" fontId="4" fillId="0" borderId="6" xfId="3" applyNumberFormat="1" applyFont="1" applyBorder="1" applyAlignment="1">
      <alignment horizontal="right" vertical="top" wrapText="1"/>
    </xf>
    <xf numFmtId="4" fontId="4" fillId="0" borderId="0" xfId="3" applyNumberFormat="1" applyFont="1" applyAlignment="1">
      <alignment horizontal="left" vertical="top" wrapText="1"/>
    </xf>
    <xf numFmtId="3" fontId="4" fillId="0" borderId="6" xfId="3" applyNumberFormat="1" applyFont="1" applyBorder="1" applyAlignment="1">
      <alignment horizontal="right" vertical="top" wrapText="1"/>
    </xf>
    <xf numFmtId="3" fontId="4" fillId="0" borderId="0" xfId="3" applyNumberFormat="1" applyFont="1" applyAlignment="1">
      <alignment horizontal="right" vertical="top" wrapText="1"/>
    </xf>
    <xf numFmtId="4" fontId="4" fillId="0" borderId="0" xfId="3" applyNumberFormat="1" applyFont="1" applyAlignment="1">
      <alignment horizontal="right" vertical="top" wrapText="1"/>
    </xf>
    <xf numFmtId="0" fontId="9" fillId="0" borderId="0" xfId="3" applyFont="1" applyAlignment="1">
      <alignment horizontal="left" vertical="top" wrapText="1"/>
    </xf>
    <xf numFmtId="0" fontId="4" fillId="0" borderId="6" xfId="0" applyFont="1" applyBorder="1" applyAlignment="1">
      <alignment horizontal="left" vertical="top" wrapText="1"/>
    </xf>
    <xf numFmtId="4" fontId="4" fillId="0" borderId="6" xfId="0" applyNumberFormat="1" applyFont="1" applyBorder="1" applyAlignment="1">
      <alignment horizontal="right" vertical="top" wrapText="1"/>
    </xf>
    <xf numFmtId="4" fontId="4" fillId="0" borderId="0" xfId="0" applyNumberFormat="1" applyFont="1" applyAlignment="1">
      <alignment horizontal="left" vertical="top" wrapText="1"/>
    </xf>
    <xf numFmtId="0" fontId="4" fillId="0" borderId="0" xfId="5" applyFont="1"/>
    <xf numFmtId="0" fontId="4" fillId="0" borderId="0" xfId="5" applyFont="1" applyAlignment="1">
      <alignment horizontal="center" wrapText="1"/>
    </xf>
    <xf numFmtId="0" fontId="4" fillId="0" borderId="0" xfId="5" applyFont="1" applyAlignment="1">
      <alignment wrapText="1"/>
    </xf>
    <xf numFmtId="0" fontId="22" fillId="0" borderId="0" xfId="5" applyFont="1" applyAlignment="1">
      <alignment horizontal="center" vertical="top"/>
    </xf>
    <xf numFmtId="0" fontId="4" fillId="0" borderId="0" xfId="5" applyFont="1" applyAlignment="1">
      <alignment horizontal="right" vertical="top"/>
    </xf>
    <xf numFmtId="0" fontId="4" fillId="0" borderId="0" xfId="5" applyFont="1" applyAlignment="1">
      <alignment horizontal="right" vertical="center"/>
    </xf>
    <xf numFmtId="0" fontId="4" fillId="0" borderId="0" xfId="5" applyFont="1" applyAlignment="1">
      <alignment horizontal="center" vertical="center" wrapText="1"/>
    </xf>
    <xf numFmtId="0" fontId="23" fillId="0" borderId="0" xfId="5" applyFont="1" applyAlignment="1">
      <alignment horizontal="right"/>
    </xf>
    <xf numFmtId="0" fontId="4" fillId="0" borderId="0" xfId="5" applyFont="1" applyAlignment="1">
      <alignment horizontal="center" vertical="top" wrapText="1"/>
    </xf>
    <xf numFmtId="0" fontId="4" fillId="0" borderId="0" xfId="5" applyFont="1" applyAlignment="1">
      <alignment vertical="top" wrapText="1"/>
    </xf>
    <xf numFmtId="0" fontId="4" fillId="0" borderId="0" xfId="5" applyFont="1" applyAlignment="1">
      <alignment vertical="top"/>
    </xf>
    <xf numFmtId="0" fontId="24" fillId="0" borderId="0" xfId="12" applyFont="1"/>
    <xf numFmtId="0" fontId="24" fillId="0" borderId="0" xfId="12" applyFont="1" applyAlignment="1">
      <alignment horizontal="center" vertical="top" wrapText="1"/>
    </xf>
    <xf numFmtId="0" fontId="24" fillId="0" borderId="0" xfId="12" applyFont="1" applyAlignment="1">
      <alignment horizontal="center"/>
    </xf>
    <xf numFmtId="0" fontId="4" fillId="0" borderId="6" xfId="5" applyFont="1" applyBorder="1" applyAlignment="1">
      <alignment horizontal="center" vertical="top" wrapText="1"/>
    </xf>
    <xf numFmtId="0" fontId="4" fillId="0" borderId="6" xfId="5" applyFont="1" applyBorder="1" applyAlignment="1">
      <alignment horizontal="center" wrapText="1"/>
    </xf>
    <xf numFmtId="0" fontId="4" fillId="0" borderId="6" xfId="5" applyFont="1" applyBorder="1" applyAlignment="1">
      <alignment horizontal="center"/>
    </xf>
    <xf numFmtId="0" fontId="4" fillId="0" borderId="6" xfId="5" applyFont="1" applyBorder="1" applyAlignment="1">
      <alignment horizontal="left" vertical="top" wrapText="1"/>
    </xf>
    <xf numFmtId="3" fontId="4" fillId="0" borderId="6" xfId="5" applyNumberFormat="1" applyFont="1" applyBorder="1" applyAlignment="1">
      <alignment horizontal="left" vertical="top"/>
    </xf>
    <xf numFmtId="4" fontId="4" fillId="0" borderId="6" xfId="5" applyNumberFormat="1" applyFont="1" applyBorder="1" applyAlignment="1">
      <alignment horizontal="right" vertical="top"/>
    </xf>
    <xf numFmtId="0" fontId="9" fillId="0" borderId="6" xfId="5" applyFont="1" applyBorder="1" applyAlignment="1">
      <alignment horizontal="center" vertical="center" wrapText="1"/>
    </xf>
    <xf numFmtId="0" fontId="9" fillId="0" borderId="6" xfId="5" applyFont="1" applyBorder="1" applyAlignment="1">
      <alignment horizontal="left" vertical="center" wrapText="1"/>
    </xf>
    <xf numFmtId="0" fontId="4" fillId="0" borderId="6" xfId="5" applyFont="1" applyBorder="1" applyAlignment="1">
      <alignment horizontal="left" vertical="center" wrapText="1"/>
    </xf>
    <xf numFmtId="3" fontId="4" fillId="0" borderId="6" xfId="5" applyNumberFormat="1" applyFont="1" applyBorder="1" applyAlignment="1">
      <alignment horizontal="left" vertical="center"/>
    </xf>
    <xf numFmtId="4" fontId="9" fillId="0" borderId="6" xfId="5" applyNumberFormat="1" applyFont="1" applyBorder="1" applyAlignment="1">
      <alignment horizontal="right" vertical="center"/>
    </xf>
    <xf numFmtId="0" fontId="4" fillId="0" borderId="0" xfId="12" applyFont="1" applyAlignment="1">
      <alignment horizontal="center" wrapText="1"/>
    </xf>
    <xf numFmtId="0" fontId="4" fillId="0" borderId="0" xfId="12" applyFont="1"/>
    <xf numFmtId="0" fontId="24" fillId="0" borderId="0" xfId="12" applyFont="1" applyAlignment="1">
      <alignment horizontal="center" vertical="top"/>
    </xf>
    <xf numFmtId="0" fontId="4" fillId="0" borderId="6" xfId="12" applyFont="1" applyBorder="1" applyAlignment="1">
      <alignment horizontal="center" vertical="top" wrapText="1"/>
    </xf>
    <xf numFmtId="0" fontId="24" fillId="0" borderId="0" xfId="12" applyFont="1" applyAlignment="1">
      <alignment vertical="top"/>
    </xf>
    <xf numFmtId="0" fontId="4" fillId="0" borderId="6" xfId="12" applyFont="1" applyBorder="1" applyAlignment="1">
      <alignment vertical="top" wrapText="1"/>
    </xf>
    <xf numFmtId="4" fontId="4" fillId="0" borderId="6" xfId="12" applyNumberFormat="1" applyFont="1" applyBorder="1" applyAlignment="1">
      <alignment vertical="top" wrapText="1"/>
    </xf>
    <xf numFmtId="0" fontId="9" fillId="5" borderId="15" xfId="12" applyFont="1" applyFill="1" applyBorder="1" applyAlignment="1">
      <alignment horizontal="center" vertical="top" wrapText="1"/>
    </xf>
    <xf numFmtId="0" fontId="9" fillId="5" borderId="15" xfId="12" applyFont="1" applyFill="1" applyBorder="1" applyAlignment="1">
      <alignment vertical="top"/>
    </xf>
    <xf numFmtId="4" fontId="9" fillId="5" borderId="15" xfId="12" applyNumberFormat="1" applyFont="1" applyFill="1" applyBorder="1" applyAlignment="1">
      <alignment horizontal="right" vertical="top"/>
    </xf>
    <xf numFmtId="4" fontId="24" fillId="0" borderId="0" xfId="12" applyNumberFormat="1" applyFont="1" applyAlignment="1">
      <alignment vertical="top"/>
    </xf>
    <xf numFmtId="0" fontId="24" fillId="0" borderId="0" xfId="12" applyFont="1" applyAlignment="1">
      <alignment vertical="top" wrapText="1"/>
    </xf>
    <xf numFmtId="4" fontId="24" fillId="0" borderId="0" xfId="12" applyNumberFormat="1" applyFont="1" applyAlignment="1">
      <alignment horizontal="right" vertical="top"/>
    </xf>
    <xf numFmtId="0" fontId="9" fillId="0" borderId="10" xfId="0" applyFont="1" applyBorder="1" applyAlignment="1">
      <alignment horizontal="left" vertical="top" wrapText="1"/>
    </xf>
    <xf numFmtId="0" fontId="9" fillId="0" borderId="11" xfId="0" applyFont="1" applyBorder="1" applyAlignment="1">
      <alignment horizontal="left" vertical="top" wrapText="1"/>
    </xf>
    <xf numFmtId="0" fontId="4" fillId="0" borderId="11" xfId="0" applyFont="1" applyBorder="1" applyAlignment="1">
      <alignment horizontal="left" vertical="top" wrapText="1"/>
    </xf>
    <xf numFmtId="0" fontId="9" fillId="0" borderId="6" xfId="0" applyFont="1" applyBorder="1" applyAlignment="1">
      <alignment horizontal="left" vertical="top" wrapText="1"/>
    </xf>
    <xf numFmtId="0" fontId="24" fillId="0" borderId="0" xfId="10" applyFont="1" applyAlignment="1">
      <alignment horizontal="left" vertical="center"/>
    </xf>
    <xf numFmtId="0" fontId="11" fillId="0" borderId="0" xfId="10" applyFont="1" applyAlignment="1">
      <alignment horizontal="left" vertical="center"/>
    </xf>
    <xf numFmtId="0" fontId="24" fillId="0" borderId="0" xfId="10" applyFont="1" applyAlignment="1">
      <alignment vertical="center" wrapText="1"/>
    </xf>
    <xf numFmtId="0" fontId="25" fillId="0" borderId="0" xfId="10" applyFont="1" applyAlignment="1">
      <alignment horizontal="left" vertical="center"/>
    </xf>
    <xf numFmtId="0" fontId="24" fillId="0" borderId="7" xfId="10" applyFont="1" applyBorder="1" applyAlignment="1">
      <alignment horizontal="left" vertical="center"/>
    </xf>
    <xf numFmtId="0" fontId="24" fillId="0" borderId="8" xfId="10" applyFont="1" applyBorder="1" applyAlignment="1">
      <alignment horizontal="left" vertical="center"/>
    </xf>
    <xf numFmtId="0" fontId="24" fillId="0" borderId="18" xfId="10" applyFont="1" applyBorder="1" applyAlignment="1">
      <alignment horizontal="left" vertical="center"/>
    </xf>
    <xf numFmtId="0" fontId="24" fillId="0" borderId="19" xfId="10" applyFont="1" applyBorder="1" applyAlignment="1">
      <alignment horizontal="left" vertical="center"/>
    </xf>
    <xf numFmtId="0" fontId="24" fillId="0" borderId="16" xfId="10" applyFont="1" applyBorder="1" applyAlignment="1">
      <alignment horizontal="left" vertical="center"/>
    </xf>
    <xf numFmtId="0" fontId="24" fillId="0" borderId="6" xfId="10" applyFont="1" applyBorder="1" applyAlignment="1">
      <alignment horizontal="center" vertical="center"/>
    </xf>
    <xf numFmtId="0" fontId="25" fillId="7" borderId="6" xfId="10" applyFont="1" applyFill="1" applyBorder="1" applyAlignment="1">
      <alignment horizontal="center" vertical="center" wrapText="1"/>
    </xf>
    <xf numFmtId="0" fontId="24" fillId="0" borderId="8" xfId="10" applyFont="1" applyBorder="1" applyAlignment="1">
      <alignment horizontal="center" vertical="center"/>
    </xf>
    <xf numFmtId="0" fontId="24" fillId="0" borderId="5" xfId="10" applyFont="1" applyBorder="1" applyAlignment="1">
      <alignment horizontal="center" vertical="center"/>
    </xf>
    <xf numFmtId="0" fontId="24" fillId="0" borderId="5" xfId="10" applyFont="1" applyBorder="1" applyAlignment="1">
      <alignment horizontal="left" vertical="center"/>
    </xf>
    <xf numFmtId="0" fontId="24" fillId="0" borderId="17" xfId="10" applyFont="1" applyBorder="1" applyAlignment="1">
      <alignment horizontal="left" vertical="center"/>
    </xf>
    <xf numFmtId="0" fontId="24" fillId="0" borderId="9" xfId="10" applyFont="1" applyBorder="1" applyAlignment="1">
      <alignment horizontal="left" vertical="center"/>
    </xf>
    <xf numFmtId="0" fontId="24" fillId="0" borderId="13" xfId="10" applyFont="1" applyBorder="1" applyAlignment="1">
      <alignment horizontal="left" vertical="center"/>
    </xf>
    <xf numFmtId="0" fontId="24" fillId="0" borderId="7" xfId="10" applyFont="1" applyBorder="1" applyAlignment="1">
      <alignment horizontal="left" vertical="center" wrapText="1"/>
    </xf>
    <xf numFmtId="0" fontId="24" fillId="0" borderId="8" xfId="10" applyFont="1" applyBorder="1" applyAlignment="1">
      <alignment horizontal="left" vertical="center" wrapText="1"/>
    </xf>
    <xf numFmtId="0" fontId="24" fillId="0" borderId="9" xfId="10" applyFont="1" applyBorder="1" applyAlignment="1">
      <alignment horizontal="left" vertical="center" wrapText="1"/>
    </xf>
    <xf numFmtId="49" fontId="24" fillId="0" borderId="6" xfId="10" applyNumberFormat="1" applyFont="1" applyBorder="1" applyAlignment="1">
      <alignment horizontal="center" vertical="center"/>
    </xf>
    <xf numFmtId="49" fontId="24" fillId="0" borderId="8" xfId="10" applyNumberFormat="1" applyFont="1" applyBorder="1" applyAlignment="1">
      <alignment horizontal="center" vertical="center"/>
    </xf>
    <xf numFmtId="0" fontId="25" fillId="0" borderId="9" xfId="10" applyFont="1" applyBorder="1" applyAlignment="1">
      <alignment horizontal="right" vertical="center"/>
    </xf>
    <xf numFmtId="0" fontId="24" fillId="0" borderId="6" xfId="10" applyFont="1" applyBorder="1" applyAlignment="1">
      <alignment horizontal="left" vertical="center" wrapText="1"/>
    </xf>
    <xf numFmtId="0" fontId="24" fillId="0" borderId="0" xfId="10" applyFont="1"/>
    <xf numFmtId="0" fontId="26" fillId="0" borderId="6" xfId="10" applyFont="1" applyBorder="1" applyAlignment="1">
      <alignment horizontal="center" vertical="center" wrapText="1"/>
    </xf>
    <xf numFmtId="0" fontId="24" fillId="0" borderId="6" xfId="10" applyFont="1" applyBorder="1" applyAlignment="1">
      <alignment horizontal="center" vertical="center" wrapText="1"/>
    </xf>
    <xf numFmtId="0" fontId="24" fillId="0" borderId="0" xfId="10" applyFont="1" applyAlignment="1">
      <alignment horizontal="center" vertical="center"/>
    </xf>
    <xf numFmtId="0" fontId="24" fillId="0" borderId="7" xfId="10" applyFont="1" applyBorder="1" applyAlignment="1">
      <alignment horizontal="center" vertical="center" wrapText="1"/>
    </xf>
    <xf numFmtId="0" fontId="25" fillId="7" borderId="6" xfId="10" applyFont="1" applyFill="1" applyBorder="1" applyAlignment="1">
      <alignment horizontal="center" vertical="center"/>
    </xf>
    <xf numFmtId="174" fontId="24" fillId="0" borderId="6" xfId="10" applyNumberFormat="1" applyFont="1" applyBorder="1" applyAlignment="1">
      <alignment horizontal="center" vertical="center" wrapText="1"/>
    </xf>
    <xf numFmtId="174" fontId="24" fillId="8" borderId="6" xfId="10" applyNumberFormat="1" applyFont="1" applyFill="1" applyBorder="1" applyAlignment="1">
      <alignment horizontal="center" vertical="center" wrapText="1"/>
    </xf>
    <xf numFmtId="174" fontId="24" fillId="0" borderId="0" xfId="10" applyNumberFormat="1" applyFont="1" applyAlignment="1">
      <alignment horizontal="left" vertical="center"/>
    </xf>
    <xf numFmtId="0" fontId="7" fillId="0" borderId="0" xfId="11" applyFont="1"/>
    <xf numFmtId="0" fontId="25" fillId="0" borderId="0" xfId="10" applyFont="1" applyAlignment="1">
      <alignment horizontal="right" vertical="center"/>
    </xf>
    <xf numFmtId="4" fontId="25" fillId="0" borderId="0" xfId="10" applyNumberFormat="1" applyFont="1" applyAlignment="1">
      <alignment horizontal="right" vertical="center"/>
    </xf>
    <xf numFmtId="164" fontId="25" fillId="0" borderId="0" xfId="26" applyNumberFormat="1" applyFont="1" applyAlignment="1">
      <alignment horizontal="right" vertical="center"/>
    </xf>
    <xf numFmtId="164" fontId="24" fillId="0" borderId="0" xfId="26" applyNumberFormat="1" applyFont="1" applyAlignment="1">
      <alignment horizontal="left" vertical="center"/>
    </xf>
    <xf numFmtId="4" fontId="24" fillId="0" borderId="0" xfId="10" applyNumberFormat="1" applyFont="1" applyAlignment="1">
      <alignment horizontal="left" vertical="center"/>
    </xf>
    <xf numFmtId="0" fontId="4" fillId="0" borderId="0" xfId="10" applyFont="1" applyAlignment="1">
      <alignment horizontal="left" vertical="center"/>
    </xf>
    <xf numFmtId="0" fontId="4" fillId="0" borderId="0" xfId="10" applyFont="1" applyAlignment="1">
      <alignment vertical="center" wrapText="1"/>
    </xf>
    <xf numFmtId="0" fontId="4" fillId="0" borderId="7" xfId="10" applyFont="1" applyBorder="1" applyAlignment="1">
      <alignment horizontal="left" vertical="center"/>
    </xf>
    <xf numFmtId="0" fontId="4" fillId="0" borderId="8" xfId="10" applyFont="1" applyBorder="1" applyAlignment="1">
      <alignment horizontal="left" vertical="center"/>
    </xf>
    <xf numFmtId="0" fontId="4" fillId="0" borderId="18" xfId="10" applyFont="1" applyBorder="1" applyAlignment="1">
      <alignment horizontal="left" vertical="center"/>
    </xf>
    <xf numFmtId="0" fontId="4" fillId="0" borderId="19" xfId="10" applyFont="1" applyBorder="1" applyAlignment="1">
      <alignment horizontal="left" vertical="center"/>
    </xf>
    <xf numFmtId="0" fontId="4" fillId="0" borderId="16" xfId="10" applyFont="1" applyBorder="1" applyAlignment="1">
      <alignment horizontal="left" vertical="center"/>
    </xf>
    <xf numFmtId="0" fontId="4" fillId="0" borderId="6" xfId="10" applyFont="1" applyBorder="1" applyAlignment="1">
      <alignment horizontal="center" vertical="center"/>
    </xf>
    <xf numFmtId="0" fontId="9" fillId="7" borderId="6" xfId="10" applyFont="1" applyFill="1" applyBorder="1" applyAlignment="1">
      <alignment horizontal="center" vertical="center" wrapText="1"/>
    </xf>
    <xf numFmtId="0" fontId="4" fillId="0" borderId="8" xfId="10" applyFont="1" applyBorder="1" applyAlignment="1">
      <alignment horizontal="center" vertical="center"/>
    </xf>
    <xf numFmtId="0" fontId="4" fillId="0" borderId="5" xfId="10" applyFont="1" applyBorder="1" applyAlignment="1">
      <alignment horizontal="center" vertical="center"/>
    </xf>
    <xf numFmtId="0" fontId="4" fillId="0" borderId="5" xfId="10" applyFont="1" applyBorder="1" applyAlignment="1">
      <alignment horizontal="left" vertical="center"/>
    </xf>
    <xf numFmtId="0" fontId="4" fillId="0" borderId="17" xfId="10" applyFont="1" applyBorder="1" applyAlignment="1">
      <alignment horizontal="left" vertical="center"/>
    </xf>
    <xf numFmtId="0" fontId="4" fillId="0" borderId="9" xfId="10" applyFont="1" applyBorder="1" applyAlignment="1">
      <alignment horizontal="left" vertical="center"/>
    </xf>
    <xf numFmtId="0" fontId="4" fillId="0" borderId="13" xfId="10" applyFont="1" applyBorder="1" applyAlignment="1">
      <alignment horizontal="left" vertical="center"/>
    </xf>
    <xf numFmtId="0" fontId="4" fillId="0" borderId="7" xfId="10" applyFont="1" applyBorder="1" applyAlignment="1">
      <alignment horizontal="left" vertical="center" wrapText="1"/>
    </xf>
    <xf numFmtId="0" fontId="4" fillId="0" borderId="8" xfId="10" applyFont="1" applyBorder="1" applyAlignment="1">
      <alignment horizontal="left" vertical="center" wrapText="1"/>
    </xf>
    <xf numFmtId="0" fontId="4" fillId="0" borderId="9" xfId="10" applyFont="1" applyBorder="1" applyAlignment="1">
      <alignment horizontal="left" vertical="center" wrapText="1"/>
    </xf>
    <xf numFmtId="49" fontId="4" fillId="0" borderId="6" xfId="10" applyNumberFormat="1" applyFont="1" applyBorder="1" applyAlignment="1">
      <alignment horizontal="center" vertical="center"/>
    </xf>
    <xf numFmtId="49" fontId="4" fillId="0" borderId="8" xfId="10" applyNumberFormat="1" applyFont="1" applyBorder="1" applyAlignment="1">
      <alignment horizontal="center" vertical="center"/>
    </xf>
    <xf numFmtId="0" fontId="9" fillId="0" borderId="9" xfId="10" applyFont="1" applyBorder="1" applyAlignment="1">
      <alignment horizontal="right" vertical="center"/>
    </xf>
    <xf numFmtId="0" fontId="4" fillId="0" borderId="6" xfId="10" applyFont="1" applyBorder="1" applyAlignment="1">
      <alignment horizontal="left" vertical="center" wrapText="1"/>
    </xf>
    <xf numFmtId="0" fontId="4" fillId="0" borderId="0" xfId="10" applyFont="1"/>
    <xf numFmtId="0" fontId="27" fillId="0" borderId="6" xfId="10" applyFont="1" applyBorder="1" applyAlignment="1">
      <alignment horizontal="center" vertical="center" wrapText="1"/>
    </xf>
    <xf numFmtId="0" fontId="4" fillId="0" borderId="6" xfId="10" applyFont="1" applyBorder="1" applyAlignment="1">
      <alignment horizontal="center" vertical="center" wrapText="1"/>
    </xf>
    <xf numFmtId="0" fontId="4" fillId="0" borderId="0" xfId="10" applyFont="1" applyAlignment="1">
      <alignment horizontal="center" vertical="center"/>
    </xf>
    <xf numFmtId="0" fontId="4" fillId="0" borderId="7" xfId="10" applyFont="1" applyBorder="1" applyAlignment="1">
      <alignment horizontal="center" vertical="center" wrapText="1"/>
    </xf>
    <xf numFmtId="0" fontId="9" fillId="7" borderId="6" xfId="10" applyFont="1" applyFill="1" applyBorder="1" applyAlignment="1">
      <alignment horizontal="center" vertical="center"/>
    </xf>
    <xf numFmtId="174" fontId="4" fillId="0" borderId="6" xfId="10" applyNumberFormat="1" applyFont="1" applyBorder="1" applyAlignment="1">
      <alignment horizontal="center" vertical="center" wrapText="1"/>
    </xf>
    <xf numFmtId="174" fontId="4" fillId="8" borderId="6" xfId="10" applyNumberFormat="1" applyFont="1" applyFill="1" applyBorder="1" applyAlignment="1">
      <alignment horizontal="center" vertical="center" wrapText="1"/>
    </xf>
    <xf numFmtId="174" fontId="4" fillId="0" borderId="0" xfId="10" applyNumberFormat="1" applyFont="1" applyAlignment="1">
      <alignment horizontal="left" vertical="center"/>
    </xf>
    <xf numFmtId="4" fontId="4" fillId="0" borderId="0" xfId="10" applyNumberFormat="1" applyFont="1" applyAlignment="1">
      <alignment horizontal="left" vertical="center"/>
    </xf>
    <xf numFmtId="0" fontId="9" fillId="0" borderId="0" xfId="10" applyFont="1" applyAlignment="1">
      <alignment horizontal="left" vertical="center"/>
    </xf>
    <xf numFmtId="0" fontId="9" fillId="0" borderId="0" xfId="10" applyFont="1" applyAlignment="1">
      <alignment horizontal="right" vertical="center"/>
    </xf>
    <xf numFmtId="4" fontId="9" fillId="0" borderId="0" xfId="10" applyNumberFormat="1" applyFont="1" applyAlignment="1">
      <alignment horizontal="right" vertical="center"/>
    </xf>
    <xf numFmtId="164" fontId="9" fillId="0" borderId="0" xfId="26" applyNumberFormat="1" applyFont="1" applyAlignment="1">
      <alignment horizontal="right" vertical="center"/>
    </xf>
    <xf numFmtId="164" fontId="4" fillId="0" borderId="0" xfId="26" applyNumberFormat="1" applyFont="1" applyAlignment="1">
      <alignment horizontal="left" vertical="center"/>
    </xf>
    <xf numFmtId="0" fontId="4" fillId="0" borderId="0" xfId="16" applyFont="1"/>
    <xf numFmtId="0" fontId="4" fillId="0" borderId="0" xfId="16" applyFont="1" applyAlignment="1">
      <alignment horizontal="left"/>
    </xf>
    <xf numFmtId="4" fontId="4" fillId="0" borderId="0" xfId="16" applyNumberFormat="1" applyFont="1" applyAlignment="1">
      <alignment horizontal="center"/>
    </xf>
    <xf numFmtId="0" fontId="4" fillId="0" borderId="0" xfId="24" applyFont="1" applyAlignment="1">
      <alignment horizontal="center" vertical="top"/>
    </xf>
    <xf numFmtId="0" fontId="31" fillId="0" borderId="0" xfId="23" applyFont="1" applyAlignment="1">
      <alignment vertical="center"/>
    </xf>
    <xf numFmtId="0" fontId="4" fillId="0" borderId="0" xfId="24" quotePrefix="1" applyFont="1"/>
    <xf numFmtId="0" fontId="4" fillId="0" borderId="0" xfId="24" applyFont="1"/>
    <xf numFmtId="4" fontId="4" fillId="0" borderId="0" xfId="24" applyNumberFormat="1" applyFont="1" applyAlignment="1">
      <alignment horizontal="right"/>
    </xf>
    <xf numFmtId="2" fontId="4" fillId="0" borderId="0" xfId="24" applyNumberFormat="1" applyFont="1"/>
    <xf numFmtId="0" fontId="4" fillId="0" borderId="0" xfId="1" applyFont="1"/>
    <xf numFmtId="4" fontId="4" fillId="0" borderId="0" xfId="24" applyNumberFormat="1" applyFont="1"/>
    <xf numFmtId="0" fontId="9" fillId="0" borderId="0" xfId="24" quotePrefix="1" applyFont="1"/>
    <xf numFmtId="0" fontId="4" fillId="0" borderId="0" xfId="24" quotePrefix="1" applyFont="1" applyProtection="1">
      <protection locked="0"/>
    </xf>
    <xf numFmtId="0" fontId="4" fillId="0" borderId="0" xfId="24" applyFont="1" applyAlignment="1">
      <alignment horizontal="left" vertical="top" wrapText="1"/>
    </xf>
    <xf numFmtId="0" fontId="4" fillId="0" borderId="0" xfId="24" applyFont="1" applyAlignment="1" applyProtection="1">
      <alignment vertical="top" wrapText="1"/>
      <protection locked="0"/>
    </xf>
    <xf numFmtId="0" fontId="4" fillId="0" borderId="0" xfId="24" applyFont="1" applyAlignment="1">
      <alignment vertical="top"/>
    </xf>
    <xf numFmtId="0" fontId="4" fillId="0" borderId="0" xfId="24" applyFont="1" applyAlignment="1">
      <alignment vertical="top" wrapText="1"/>
    </xf>
    <xf numFmtId="4" fontId="4" fillId="0" borderId="0" xfId="1" applyNumberFormat="1" applyFont="1" applyAlignment="1">
      <alignment vertical="center"/>
    </xf>
    <xf numFmtId="0" fontId="4" fillId="0" borderId="0" xfId="1" applyFont="1" applyAlignment="1">
      <alignment vertical="center"/>
    </xf>
    <xf numFmtId="0" fontId="4" fillId="0" borderId="0" xfId="23" applyFont="1" applyAlignment="1">
      <alignment vertical="top"/>
    </xf>
    <xf numFmtId="4" fontId="4" fillId="0" borderId="0" xfId="1" applyNumberFormat="1" applyFont="1"/>
    <xf numFmtId="0" fontId="31" fillId="0" borderId="0" xfId="24" applyFont="1" applyAlignment="1" applyProtection="1">
      <alignment horizontal="left" vertical="top"/>
      <protection locked="0"/>
    </xf>
    <xf numFmtId="2" fontId="9" fillId="0" borderId="0" xfId="24" applyNumberFormat="1" applyFont="1" applyAlignment="1">
      <alignment vertical="top"/>
    </xf>
    <xf numFmtId="2" fontId="4" fillId="0" borderId="0" xfId="24" applyNumberFormat="1" applyFont="1" applyAlignment="1">
      <alignment vertical="top"/>
    </xf>
    <xf numFmtId="2" fontId="31" fillId="0" borderId="0" xfId="24" applyNumberFormat="1" applyFont="1" applyAlignment="1">
      <alignment vertical="top"/>
    </xf>
    <xf numFmtId="0" fontId="31" fillId="0" borderId="0" xfId="24" applyFont="1" applyAlignment="1">
      <alignment vertical="top"/>
    </xf>
    <xf numFmtId="0" fontId="4" fillId="0" borderId="0" xfId="25" applyFont="1" applyAlignment="1">
      <alignment horizontal="left" vertical="top"/>
    </xf>
    <xf numFmtId="4" fontId="4" fillId="0" borderId="0" xfId="24" applyNumberFormat="1" applyFont="1" applyAlignment="1">
      <alignment vertical="top"/>
    </xf>
    <xf numFmtId="0" fontId="4" fillId="0" borderId="0" xfId="24" applyFont="1" applyAlignment="1">
      <alignment horizontal="center"/>
    </xf>
    <xf numFmtId="0" fontId="4" fillId="0" borderId="1" xfId="8" applyFont="1" applyBorder="1" applyAlignment="1">
      <alignment horizontal="center" vertical="center" wrapText="1"/>
    </xf>
    <xf numFmtId="0" fontId="4" fillId="0" borderId="2" xfId="8" applyFont="1" applyBorder="1" applyAlignment="1">
      <alignment horizontal="center" vertical="center" wrapText="1"/>
    </xf>
    <xf numFmtId="4" fontId="4" fillId="0" borderId="2" xfId="8" applyNumberFormat="1" applyFont="1" applyBorder="1" applyAlignment="1">
      <alignment horizontal="center" vertical="center" wrapText="1"/>
    </xf>
    <xf numFmtId="0" fontId="4" fillId="0" borderId="0" xfId="16" applyFont="1" applyAlignment="1">
      <alignment horizontal="center" vertical="center"/>
    </xf>
    <xf numFmtId="0" fontId="4" fillId="0" borderId="1" xfId="16" applyFont="1" applyBorder="1" applyAlignment="1">
      <alignment horizontal="center" vertical="center" wrapText="1"/>
    </xf>
    <xf numFmtId="0" fontId="4" fillId="0" borderId="0" xfId="16" applyFont="1" applyAlignment="1">
      <alignment horizontal="center" vertical="center" wrapText="1"/>
    </xf>
    <xf numFmtId="4" fontId="4" fillId="0" borderId="0" xfId="16" applyNumberFormat="1" applyFont="1" applyAlignment="1">
      <alignment horizontal="center" vertical="center" wrapText="1"/>
    </xf>
    <xf numFmtId="4" fontId="4" fillId="0" borderId="0" xfId="16" applyNumberFormat="1" applyFont="1" applyAlignment="1">
      <alignment horizontal="center" vertical="center"/>
    </xf>
    <xf numFmtId="0" fontId="4" fillId="0" borderId="0" xfId="0" applyFont="1"/>
    <xf numFmtId="0" fontId="4" fillId="0" borderId="22" xfId="0" applyFont="1" applyBorder="1" applyAlignment="1">
      <alignment vertical="top" wrapText="1"/>
    </xf>
    <xf numFmtId="0" fontId="4" fillId="0" borderId="23" xfId="0" applyFont="1" applyBorder="1" applyAlignment="1">
      <alignment vertical="top" wrapText="1"/>
    </xf>
    <xf numFmtId="0" fontId="4" fillId="0" borderId="24" xfId="0" applyFont="1" applyBorder="1" applyAlignment="1">
      <alignment vertical="top" wrapText="1"/>
    </xf>
    <xf numFmtId="0" fontId="4" fillId="0" borderId="3" xfId="0" applyFont="1" applyBorder="1" applyAlignment="1">
      <alignment horizontal="center" vertical="top" wrapText="1"/>
    </xf>
    <xf numFmtId="0" fontId="4" fillId="0" borderId="3" xfId="0" applyFont="1" applyBorder="1" applyAlignment="1">
      <alignment vertical="top" wrapText="1"/>
    </xf>
    <xf numFmtId="0" fontId="4" fillId="0" borderId="4" xfId="0" applyFont="1" applyBorder="1" applyAlignment="1">
      <alignment vertical="top" wrapText="1"/>
    </xf>
    <xf numFmtId="0" fontId="4" fillId="0" borderId="4" xfId="0" applyFont="1" applyBorder="1" applyAlignment="1">
      <alignment horizontal="center" vertical="top" wrapText="1"/>
    </xf>
    <xf numFmtId="4" fontId="4" fillId="0" borderId="4" xfId="0" applyNumberFormat="1" applyFont="1" applyBorder="1" applyAlignment="1">
      <alignment horizontal="center" vertical="top" wrapText="1"/>
    </xf>
    <xf numFmtId="0" fontId="24" fillId="0" borderId="4" xfId="0" applyFont="1" applyBorder="1" applyAlignment="1">
      <alignment vertical="center" wrapText="1"/>
    </xf>
    <xf numFmtId="4" fontId="24" fillId="0" borderId="4" xfId="0" applyNumberFormat="1" applyFont="1" applyBorder="1" applyAlignment="1">
      <alignment horizontal="center" vertical="center" wrapText="1"/>
    </xf>
    <xf numFmtId="4" fontId="9" fillId="5" borderId="1" xfId="16" applyNumberFormat="1" applyFont="1" applyFill="1" applyBorder="1" applyAlignment="1">
      <alignment horizontal="right" vertical="center" wrapText="1"/>
    </xf>
    <xf numFmtId="0" fontId="4" fillId="0" borderId="0" xfId="18" applyFont="1" applyAlignment="1">
      <alignment horizontal="left" vertical="top"/>
    </xf>
    <xf numFmtId="4" fontId="4" fillId="0" borderId="0" xfId="18" applyNumberFormat="1" applyFont="1" applyAlignment="1">
      <alignment horizontal="left" vertical="top"/>
    </xf>
    <xf numFmtId="3" fontId="4" fillId="0" borderId="0" xfId="16" applyNumberFormat="1" applyFont="1" applyAlignment="1">
      <alignment horizontal="center"/>
    </xf>
    <xf numFmtId="0" fontId="4" fillId="0" borderId="0" xfId="24" applyFont="1" applyAlignment="1">
      <alignment horizontal="right"/>
    </xf>
    <xf numFmtId="3" fontId="4" fillId="0" borderId="1" xfId="16" applyNumberFormat="1" applyFont="1" applyBorder="1" applyAlignment="1">
      <alignment horizontal="center" vertical="center" wrapText="1"/>
    </xf>
    <xf numFmtId="3" fontId="4" fillId="0" borderId="0" xfId="16" applyNumberFormat="1" applyFont="1" applyAlignment="1">
      <alignment horizontal="center" vertical="center"/>
    </xf>
    <xf numFmtId="4" fontId="4" fillId="0" borderId="0" xfId="16" applyNumberFormat="1" applyFont="1"/>
    <xf numFmtId="0" fontId="24" fillId="0" borderId="4" xfId="0" applyFont="1" applyBorder="1" applyAlignment="1">
      <alignment vertical="top" wrapText="1"/>
    </xf>
    <xf numFmtId="4" fontId="24" fillId="0" borderId="4" xfId="0" applyNumberFormat="1" applyFont="1" applyBorder="1" applyAlignment="1">
      <alignment horizontal="center" vertical="top" wrapText="1"/>
    </xf>
    <xf numFmtId="0" fontId="4" fillId="0" borderId="23" xfId="0" applyFont="1" applyBorder="1" applyAlignment="1">
      <alignment vertical="center" wrapText="1"/>
    </xf>
    <xf numFmtId="0" fontId="4" fillId="0" borderId="3" xfId="0" applyFont="1" applyBorder="1" applyAlignment="1">
      <alignment horizontal="center" vertical="center" wrapText="1"/>
    </xf>
    <xf numFmtId="0" fontId="4" fillId="0" borderId="4" xfId="0" applyFont="1" applyBorder="1" applyAlignment="1">
      <alignment vertical="center" wrapText="1"/>
    </xf>
    <xf numFmtId="0" fontId="4" fillId="0" borderId="4" xfId="0" applyFont="1" applyBorder="1" applyAlignment="1">
      <alignment horizontal="center" vertical="center" wrapText="1"/>
    </xf>
    <xf numFmtId="4" fontId="9" fillId="5" borderId="4" xfId="0" applyNumberFormat="1" applyFont="1" applyFill="1" applyBorder="1" applyAlignment="1">
      <alignment horizontal="center" vertical="center" wrapText="1"/>
    </xf>
    <xf numFmtId="4" fontId="4" fillId="0" borderId="4" xfId="0" applyNumberFormat="1" applyFont="1" applyBorder="1" applyAlignment="1">
      <alignment horizontal="center" vertical="center" wrapText="1"/>
    </xf>
    <xf numFmtId="0" fontId="4" fillId="0" borderId="27" xfId="0" applyFont="1" applyBorder="1" applyAlignment="1">
      <alignment vertical="top" wrapText="1"/>
    </xf>
    <xf numFmtId="4" fontId="9" fillId="5" borderId="4" xfId="0" applyNumberFormat="1" applyFont="1" applyFill="1" applyBorder="1" applyAlignment="1">
      <alignment horizontal="center" vertical="top" wrapText="1"/>
    </xf>
    <xf numFmtId="0" fontId="4" fillId="0" borderId="27" xfId="0" applyFont="1" applyBorder="1" applyAlignment="1">
      <alignment vertical="center" wrapText="1"/>
    </xf>
    <xf numFmtId="4" fontId="9" fillId="0" borderId="4" xfId="0" applyNumberFormat="1" applyFont="1" applyBorder="1" applyAlignment="1">
      <alignment horizontal="center" vertical="top" wrapText="1"/>
    </xf>
    <xf numFmtId="4" fontId="24" fillId="0" borderId="4" xfId="0" applyNumberFormat="1" applyFont="1" applyBorder="1" applyAlignment="1">
      <alignment vertical="center" wrapText="1"/>
    </xf>
    <xf numFmtId="0" fontId="4" fillId="0" borderId="0" xfId="17" applyFont="1"/>
    <xf numFmtId="0" fontId="4" fillId="0" borderId="0" xfId="17" applyFont="1" applyAlignment="1">
      <alignment horizontal="left"/>
    </xf>
    <xf numFmtId="4" fontId="4" fillId="0" borderId="0" xfId="17" applyNumberFormat="1" applyFont="1" applyAlignment="1">
      <alignment horizontal="center"/>
    </xf>
    <xf numFmtId="0" fontId="4" fillId="0" borderId="0" xfId="2" applyFont="1"/>
    <xf numFmtId="0" fontId="32" fillId="0" borderId="0" xfId="24" applyFont="1" applyAlignment="1">
      <alignment vertical="top" wrapText="1"/>
    </xf>
    <xf numFmtId="4" fontId="4" fillId="0" borderId="0" xfId="2" applyNumberFormat="1" applyFont="1" applyAlignment="1">
      <alignment vertical="center"/>
    </xf>
    <xf numFmtId="0" fontId="4" fillId="0" borderId="0" xfId="2" applyFont="1" applyAlignment="1">
      <alignment vertical="center"/>
    </xf>
    <xf numFmtId="4" fontId="4" fillId="0" borderId="0" xfId="2" applyNumberFormat="1" applyFont="1"/>
    <xf numFmtId="0" fontId="4" fillId="0" borderId="1" xfId="9" applyFont="1" applyBorder="1" applyAlignment="1">
      <alignment horizontal="center" vertical="center" wrapText="1"/>
    </xf>
    <xf numFmtId="0" fontId="4" fillId="0" borderId="2" xfId="9" applyFont="1" applyBorder="1" applyAlignment="1">
      <alignment horizontal="center" vertical="center" wrapText="1"/>
    </xf>
    <xf numFmtId="4" fontId="4" fillId="0" borderId="2" xfId="9" applyNumberFormat="1" applyFont="1" applyBorder="1" applyAlignment="1">
      <alignment horizontal="center" vertical="center" wrapText="1"/>
    </xf>
    <xf numFmtId="0" fontId="4" fillId="0" borderId="0" xfId="17" applyFont="1" applyAlignment="1">
      <alignment horizontal="center" vertical="center"/>
    </xf>
    <xf numFmtId="0" fontId="4" fillId="0" borderId="1" xfId="17" applyFont="1" applyBorder="1" applyAlignment="1">
      <alignment horizontal="center" vertical="center" wrapText="1"/>
    </xf>
    <xf numFmtId="4" fontId="4" fillId="0" borderId="1" xfId="17" applyNumberFormat="1" applyFont="1" applyBorder="1" applyAlignment="1">
      <alignment horizontal="center" vertical="center" wrapText="1"/>
    </xf>
    <xf numFmtId="0" fontId="4" fillId="0" borderId="0" xfId="17" applyFont="1" applyAlignment="1">
      <alignment horizontal="center" vertical="center" wrapText="1"/>
    </xf>
    <xf numFmtId="4" fontId="4" fillId="0" borderId="0" xfId="17" applyNumberFormat="1" applyFont="1" applyAlignment="1">
      <alignment horizontal="center" vertical="center" wrapText="1"/>
    </xf>
    <xf numFmtId="4" fontId="4" fillId="0" borderId="0" xfId="17" applyNumberFormat="1" applyFont="1" applyAlignment="1">
      <alignment horizontal="center" vertical="center"/>
    </xf>
    <xf numFmtId="0" fontId="4" fillId="0" borderId="0" xfId="19" applyFont="1" applyAlignment="1">
      <alignment horizontal="left" vertical="top"/>
    </xf>
    <xf numFmtId="4" fontId="4" fillId="0" borderId="0" xfId="19" applyNumberFormat="1" applyFont="1" applyAlignment="1">
      <alignment horizontal="left" vertical="top"/>
    </xf>
    <xf numFmtId="4" fontId="4" fillId="0" borderId="1" xfId="16" applyNumberFormat="1" applyFont="1" applyBorder="1" applyAlignment="1">
      <alignment horizontal="center" vertical="center" wrapText="1"/>
    </xf>
    <xf numFmtId="16" fontId="4" fillId="0" borderId="3" xfId="0" quotePrefix="1" applyNumberFormat="1" applyFont="1" applyBorder="1" applyAlignment="1">
      <alignment horizontal="center" vertical="center" wrapText="1"/>
    </xf>
    <xf numFmtId="4" fontId="4" fillId="0" borderId="0" xfId="17" applyNumberFormat="1" applyFont="1"/>
    <xf numFmtId="4" fontId="4" fillId="4" borderId="0" xfId="17" applyNumberFormat="1" applyFont="1" applyFill="1"/>
    <xf numFmtId="0" fontId="4" fillId="5" borderId="3" xfId="0" applyFont="1" applyFill="1" applyBorder="1" applyAlignment="1">
      <alignment horizontal="center" vertical="top" wrapText="1"/>
    </xf>
    <xf numFmtId="0" fontId="4" fillId="5" borderId="4" xfId="0" applyFont="1" applyFill="1" applyBorder="1" applyAlignment="1">
      <alignment vertical="top" wrapText="1"/>
    </xf>
    <xf numFmtId="0" fontId="4" fillId="5" borderId="4" xfId="0" applyFont="1" applyFill="1" applyBorder="1" applyAlignment="1">
      <alignment horizontal="center" vertical="top" wrapText="1"/>
    </xf>
    <xf numFmtId="4" fontId="4" fillId="5" borderId="4" xfId="0" applyNumberFormat="1" applyFont="1" applyFill="1" applyBorder="1" applyAlignment="1">
      <alignment horizontal="center" vertical="top" wrapText="1"/>
    </xf>
    <xf numFmtId="0" fontId="4" fillId="4" borderId="0" xfId="16" applyFont="1" applyFill="1"/>
    <xf numFmtId="0" fontId="33" fillId="0" borderId="0" xfId="17" applyFont="1"/>
    <xf numFmtId="0" fontId="9" fillId="0" borderId="4" xfId="0" applyFont="1" applyBorder="1" applyAlignment="1">
      <alignment vertical="top" wrapText="1"/>
    </xf>
    <xf numFmtId="0" fontId="4" fillId="0" borderId="1" xfId="0" applyFont="1" applyBorder="1" applyAlignment="1">
      <alignment horizontal="center" vertical="top" wrapText="1"/>
    </xf>
    <xf numFmtId="0" fontId="4" fillId="0" borderId="2" xfId="0" applyFont="1" applyBorder="1" applyAlignment="1">
      <alignment vertical="center" wrapText="1"/>
    </xf>
    <xf numFmtId="4" fontId="4" fillId="0" borderId="2" xfId="0" applyNumberFormat="1" applyFont="1" applyBorder="1" applyAlignment="1">
      <alignment horizontal="center" vertical="center" wrapText="1"/>
    </xf>
    <xf numFmtId="0" fontId="7" fillId="0" borderId="0" xfId="16" applyFont="1"/>
    <xf numFmtId="0" fontId="4" fillId="0" borderId="0" xfId="5" applyFont="1" applyAlignment="1">
      <alignment horizontal="left" vertical="top"/>
    </xf>
    <xf numFmtId="0" fontId="4" fillId="0" borderId="6" xfId="5" applyFont="1" applyBorder="1" applyAlignment="1">
      <alignment horizontal="right" vertical="top" wrapText="1"/>
    </xf>
    <xf numFmtId="0" fontId="4" fillId="0" borderId="6" xfId="5" applyFont="1" applyBorder="1" applyAlignment="1">
      <alignment horizontal="center" vertical="top"/>
    </xf>
    <xf numFmtId="0" fontId="21" fillId="0" borderId="0" xfId="5" applyFont="1"/>
    <xf numFmtId="0" fontId="4" fillId="0" borderId="6" xfId="5" applyFont="1" applyBorder="1" applyAlignment="1">
      <alignment wrapText="1"/>
    </xf>
    <xf numFmtId="0" fontId="4" fillId="0" borderId="6" xfId="5" applyFont="1" applyBorder="1" applyAlignment="1">
      <alignment vertical="top" wrapText="1"/>
    </xf>
    <xf numFmtId="4" fontId="4" fillId="0" borderId="6" xfId="5" applyNumberFormat="1" applyFont="1" applyBorder="1" applyAlignment="1">
      <alignment vertical="top" wrapText="1"/>
    </xf>
    <xf numFmtId="4" fontId="4" fillId="0" borderId="0" xfId="5" applyNumberFormat="1" applyFont="1" applyAlignment="1">
      <alignment vertical="top"/>
    </xf>
    <xf numFmtId="4" fontId="4" fillId="0" borderId="0" xfId="5" applyNumberFormat="1" applyFont="1"/>
    <xf numFmtId="0" fontId="4" fillId="0" borderId="15" xfId="5" applyFont="1" applyBorder="1" applyAlignment="1">
      <alignment vertical="top" wrapText="1"/>
    </xf>
    <xf numFmtId="0" fontId="4" fillId="0" borderId="15" xfId="5" applyFont="1" applyBorder="1" applyAlignment="1">
      <alignment vertical="top"/>
    </xf>
    <xf numFmtId="4" fontId="4" fillId="0" borderId="15" xfId="5" applyNumberFormat="1" applyFont="1" applyBorder="1" applyAlignment="1">
      <alignment horizontal="right" vertical="top"/>
    </xf>
    <xf numFmtId="0" fontId="4" fillId="0" borderId="0" xfId="5" applyFont="1" applyAlignment="1">
      <alignment horizontal="right"/>
    </xf>
    <xf numFmtId="0" fontId="4" fillId="0" borderId="6" xfId="3" applyFont="1" applyBorder="1" applyAlignment="1">
      <alignment horizontal="center" vertical="top" wrapText="1"/>
    </xf>
    <xf numFmtId="0" fontId="4" fillId="0" borderId="6" xfId="3" applyFont="1" applyBorder="1" applyAlignment="1">
      <alignment horizontal="center" vertical="top"/>
    </xf>
    <xf numFmtId="0" fontId="4" fillId="5" borderId="15" xfId="5" applyFont="1" applyFill="1" applyBorder="1" applyAlignment="1">
      <alignment vertical="top" wrapText="1"/>
    </xf>
    <xf numFmtId="0" fontId="4" fillId="5" borderId="15" xfId="5" applyFont="1" applyFill="1" applyBorder="1" applyAlignment="1">
      <alignment vertical="top"/>
    </xf>
    <xf numFmtId="4" fontId="9" fillId="5" borderId="15" xfId="5" applyNumberFormat="1" applyFont="1" applyFill="1" applyBorder="1" applyAlignment="1">
      <alignment horizontal="right" vertical="top"/>
    </xf>
    <xf numFmtId="0" fontId="4" fillId="0" borderId="0" xfId="3" applyFont="1" applyAlignment="1">
      <alignment horizontal="left" vertical="top" wrapText="1"/>
    </xf>
    <xf numFmtId="0" fontId="4" fillId="0" borderId="6" xfId="3" applyFont="1" applyBorder="1" applyAlignment="1">
      <alignment horizontal="center" vertical="center" wrapText="1"/>
    </xf>
    <xf numFmtId="0" fontId="9" fillId="0" borderId="10" xfId="3" applyFont="1" applyBorder="1" applyAlignment="1">
      <alignment horizontal="left" vertical="top" wrapText="1"/>
    </xf>
    <xf numFmtId="0" fontId="9" fillId="0" borderId="11" xfId="3" applyFont="1" applyBorder="1" applyAlignment="1">
      <alignment horizontal="left" vertical="top" wrapText="1"/>
    </xf>
    <xf numFmtId="0" fontId="4" fillId="0" borderId="11" xfId="3" applyFont="1" applyBorder="1" applyAlignment="1">
      <alignment horizontal="left" vertical="top" wrapText="1"/>
    </xf>
    <xf numFmtId="0" fontId="9" fillId="0" borderId="6" xfId="3" applyFont="1" applyBorder="1" applyAlignment="1">
      <alignment horizontal="left" vertical="top" wrapText="1"/>
    </xf>
    <xf numFmtId="0" fontId="4" fillId="0" borderId="6" xfId="0" applyFont="1" applyBorder="1" applyAlignment="1">
      <alignment horizontal="left" vertical="top" wrapText="1"/>
    </xf>
    <xf numFmtId="4" fontId="4" fillId="0" borderId="6" xfId="0" applyNumberFormat="1" applyFont="1" applyBorder="1" applyAlignment="1">
      <alignment horizontal="right" vertical="top" wrapText="1"/>
    </xf>
    <xf numFmtId="0" fontId="4" fillId="0" borderId="6" xfId="0" applyFont="1" applyBorder="1" applyAlignment="1">
      <alignment horizontal="center" vertical="center" wrapText="1"/>
    </xf>
    <xf numFmtId="0" fontId="35" fillId="0" borderId="11" xfId="0" applyFont="1" applyBorder="1" applyAlignment="1">
      <alignment horizontal="left" vertical="top" wrapText="1"/>
    </xf>
    <xf numFmtId="0" fontId="35" fillId="0" borderId="6" xfId="0" applyFont="1" applyBorder="1" applyAlignment="1">
      <alignment horizontal="center" vertical="center" wrapText="1"/>
    </xf>
    <xf numFmtId="0" fontId="35" fillId="0" borderId="0" xfId="0" applyFont="1" applyAlignment="1">
      <alignment horizontal="left" vertical="top" wrapText="1"/>
    </xf>
    <xf numFmtId="0" fontId="36" fillId="0" borderId="10" xfId="0" applyFont="1" applyBorder="1" applyAlignment="1">
      <alignment horizontal="left" vertical="top" wrapText="1"/>
    </xf>
    <xf numFmtId="0" fontId="36" fillId="0" borderId="11" xfId="0" applyFont="1" applyBorder="1" applyAlignment="1">
      <alignment horizontal="left" vertical="top" wrapText="1"/>
    </xf>
    <xf numFmtId="0" fontId="36" fillId="0" borderId="6" xfId="0" applyFont="1" applyBorder="1" applyAlignment="1">
      <alignment horizontal="left" vertical="top" wrapText="1"/>
    </xf>
    <xf numFmtId="4" fontId="35" fillId="0" borderId="0" xfId="0" applyNumberFormat="1" applyFont="1" applyAlignment="1">
      <alignment horizontal="left" vertical="top" wrapText="1"/>
    </xf>
    <xf numFmtId="0" fontId="40" fillId="0" borderId="6" xfId="0" applyFont="1" applyBorder="1" applyAlignment="1">
      <alignment horizontal="left" vertical="top" wrapText="1"/>
    </xf>
    <xf numFmtId="0" fontId="38" fillId="0" borderId="0" xfId="0" applyFont="1" applyAlignment="1">
      <alignment horizontal="left" vertical="top" wrapText="1"/>
    </xf>
    <xf numFmtId="0" fontId="39" fillId="0" borderId="0" xfId="0" applyFont="1"/>
    <xf numFmtId="0" fontId="38" fillId="0" borderId="6" xfId="10" applyFont="1" applyBorder="1" applyAlignment="1">
      <alignment horizontal="center" vertical="center"/>
    </xf>
    <xf numFmtId="0" fontId="38" fillId="0" borderId="7" xfId="10" applyFont="1" applyBorder="1" applyAlignment="1">
      <alignment horizontal="center" vertical="center" wrapText="1"/>
    </xf>
    <xf numFmtId="0" fontId="38" fillId="0" borderId="0" xfId="10" applyFont="1"/>
    <xf numFmtId="0" fontId="37" fillId="0" borderId="4" xfId="0" applyFont="1" applyBorder="1" applyAlignment="1">
      <alignment vertical="center" wrapText="1"/>
    </xf>
    <xf numFmtId="0" fontId="24" fillId="0" borderId="4" xfId="0" applyFont="1" applyBorder="1" applyAlignment="1">
      <alignment horizontal="left" vertical="center" wrapText="1"/>
    </xf>
    <xf numFmtId="4" fontId="37" fillId="0" borderId="4" xfId="0" applyNumberFormat="1" applyFont="1" applyBorder="1" applyAlignment="1">
      <alignment horizontal="left" vertical="center" wrapText="1"/>
    </xf>
    <xf numFmtId="4" fontId="9" fillId="5" borderId="1" xfId="16" applyNumberFormat="1" applyFont="1" applyFill="1" applyBorder="1" applyAlignment="1">
      <alignment horizontal="center" vertical="center" wrapText="1"/>
    </xf>
    <xf numFmtId="0" fontId="35" fillId="10" borderId="4" xfId="0" applyFont="1" applyFill="1" applyBorder="1" applyAlignment="1">
      <alignment vertical="center" wrapText="1"/>
    </xf>
    <xf numFmtId="0" fontId="36" fillId="10" borderId="3" xfId="0" applyFont="1" applyFill="1" applyBorder="1" applyAlignment="1">
      <alignment horizontal="center" vertical="center" wrapText="1"/>
    </xf>
    <xf numFmtId="0" fontId="36" fillId="10" borderId="4" xfId="0" applyFont="1" applyFill="1" applyBorder="1" applyAlignment="1">
      <alignment vertical="center" wrapText="1"/>
    </xf>
    <xf numFmtId="4" fontId="36" fillId="10" borderId="4" xfId="0" applyNumberFormat="1" applyFont="1" applyFill="1" applyBorder="1" applyAlignment="1">
      <alignment horizontal="center" vertical="center" wrapText="1"/>
    </xf>
    <xf numFmtId="0" fontId="4" fillId="0" borderId="0" xfId="16" applyFont="1" applyAlignment="1">
      <alignment vertical="center"/>
    </xf>
    <xf numFmtId="0" fontId="4" fillId="0" borderId="0" xfId="17" applyFont="1" applyAlignment="1">
      <alignment vertical="top"/>
    </xf>
    <xf numFmtId="0" fontId="35" fillId="10" borderId="4"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36" fillId="10" borderId="1" xfId="0" applyFont="1" applyFill="1" applyBorder="1" applyAlignment="1">
      <alignment vertical="center" wrapText="1"/>
    </xf>
    <xf numFmtId="0" fontId="4" fillId="10" borderId="1" xfId="0" applyFont="1" applyFill="1" applyBorder="1" applyAlignment="1">
      <alignment vertical="center" wrapText="1"/>
    </xf>
    <xf numFmtId="4" fontId="36" fillId="10" borderId="1" xfId="0" applyNumberFormat="1" applyFont="1" applyFill="1" applyBorder="1" applyAlignment="1">
      <alignment horizontal="center" vertical="center" wrapText="1"/>
    </xf>
    <xf numFmtId="0" fontId="36" fillId="0" borderId="0" xfId="16" applyFont="1"/>
    <xf numFmtId="0" fontId="36" fillId="0" borderId="0" xfId="16" applyFont="1" applyAlignment="1">
      <alignment vertical="center"/>
    </xf>
    <xf numFmtId="0" fontId="41" fillId="0" borderId="0" xfId="16" applyFont="1" applyAlignment="1">
      <alignment vertical="center"/>
    </xf>
    <xf numFmtId="0" fontId="36" fillId="0" borderId="4" xfId="0" applyFont="1" applyBorder="1" applyAlignment="1">
      <alignment vertical="center" wrapText="1"/>
    </xf>
    <xf numFmtId="0" fontId="35" fillId="11" borderId="4" xfId="0" applyFont="1" applyFill="1" applyBorder="1" applyAlignment="1">
      <alignment vertical="center" wrapText="1"/>
    </xf>
    <xf numFmtId="0" fontId="35" fillId="11" borderId="4" xfId="0" applyFont="1" applyFill="1" applyBorder="1" applyAlignment="1">
      <alignment horizontal="left" vertical="center" wrapText="1"/>
    </xf>
    <xf numFmtId="0" fontId="35" fillId="11" borderId="3" xfId="0" applyFont="1" applyFill="1" applyBorder="1" applyAlignment="1">
      <alignment horizontal="center" vertical="center" wrapText="1"/>
    </xf>
    <xf numFmtId="0" fontId="36" fillId="11" borderId="4" xfId="0" applyFont="1" applyFill="1" applyBorder="1" applyAlignment="1">
      <alignment vertical="center" wrapText="1"/>
    </xf>
    <xf numFmtId="4" fontId="36" fillId="11" borderId="4" xfId="0" applyNumberFormat="1" applyFont="1" applyFill="1" applyBorder="1" applyAlignment="1">
      <alignment horizontal="center" vertical="center" wrapText="1"/>
    </xf>
    <xf numFmtId="0" fontId="4" fillId="11" borderId="3" xfId="0" applyFont="1" applyFill="1" applyBorder="1" applyAlignment="1">
      <alignment horizontal="center" vertical="center" wrapText="1"/>
    </xf>
    <xf numFmtId="4" fontId="4" fillId="11" borderId="4" xfId="0" applyNumberFormat="1" applyFont="1" applyFill="1" applyBorder="1" applyAlignment="1">
      <alignment horizontal="center" vertical="center" wrapText="1"/>
    </xf>
    <xf numFmtId="0" fontId="4" fillId="11" borderId="3" xfId="0" applyFont="1" applyFill="1" applyBorder="1" applyAlignment="1">
      <alignment horizontal="center" vertical="top" wrapText="1"/>
    </xf>
    <xf numFmtId="4" fontId="4" fillId="11" borderId="4" xfId="0" applyNumberFormat="1" applyFont="1" applyFill="1" applyBorder="1" applyAlignment="1">
      <alignment horizontal="center" vertical="top" wrapText="1"/>
    </xf>
    <xf numFmtId="0" fontId="36" fillId="11" borderId="4" xfId="0" applyFont="1" applyFill="1" applyBorder="1" applyAlignment="1">
      <alignment vertical="top" wrapText="1"/>
    </xf>
    <xf numFmtId="165" fontId="35" fillId="0" borderId="0" xfId="28" applyNumberFormat="1" applyFont="1"/>
    <xf numFmtId="0" fontId="35" fillId="0" borderId="0" xfId="7" applyFont="1"/>
    <xf numFmtId="0" fontId="43" fillId="0" borderId="0" xfId="7" applyFont="1"/>
    <xf numFmtId="0" fontId="43" fillId="0" borderId="0" xfId="7" applyFont="1" applyAlignment="1">
      <alignment horizontal="left"/>
    </xf>
    <xf numFmtId="0" fontId="42" fillId="0" borderId="1" xfId="7" applyFont="1" applyBorder="1" applyAlignment="1">
      <alignment horizontal="center" vertical="center" wrapText="1"/>
    </xf>
    <xf numFmtId="0" fontId="42" fillId="0" borderId="2" xfId="7" applyFont="1" applyBorder="1" applyAlignment="1">
      <alignment horizontal="left" vertical="center" wrapText="1"/>
    </xf>
    <xf numFmtId="0" fontId="42" fillId="0" borderId="2" xfId="7" applyFont="1" applyBorder="1" applyAlignment="1">
      <alignment horizontal="center" vertical="center" wrapText="1"/>
    </xf>
    <xf numFmtId="0" fontId="42" fillId="0" borderId="3" xfId="7" applyFont="1" applyBorder="1" applyAlignment="1">
      <alignment horizontal="center" vertical="center" wrapText="1"/>
    </xf>
    <xf numFmtId="0" fontId="42" fillId="0" borderId="4" xfId="7" quotePrefix="1" applyFont="1" applyBorder="1" applyAlignment="1">
      <alignment horizontal="center" vertical="center" wrapText="1"/>
    </xf>
    <xf numFmtId="0" fontId="42" fillId="0" borderId="4" xfId="7" applyFont="1" applyBorder="1" applyAlignment="1">
      <alignment horizontal="center" vertical="center" wrapText="1"/>
    </xf>
    <xf numFmtId="0" fontId="44" fillId="0" borderId="3" xfId="7" applyFont="1" applyBorder="1" applyAlignment="1">
      <alignment horizontal="center" vertical="center" wrapText="1"/>
    </xf>
    <xf numFmtId="0" fontId="42" fillId="0" borderId="4" xfId="7" quotePrefix="1" applyFont="1" applyBorder="1" applyAlignment="1">
      <alignment horizontal="left" vertical="center" wrapText="1"/>
    </xf>
    <xf numFmtId="0" fontId="44" fillId="0" borderId="4" xfId="7" applyFont="1" applyBorder="1" applyAlignment="1">
      <alignment horizontal="center" vertical="center" wrapText="1"/>
    </xf>
    <xf numFmtId="4" fontId="44" fillId="0" borderId="4" xfId="7" applyNumberFormat="1" applyFont="1" applyBorder="1" applyAlignment="1">
      <alignment horizontal="center" vertical="center" wrapText="1"/>
    </xf>
    <xf numFmtId="0" fontId="44" fillId="0" borderId="4" xfId="7" quotePrefix="1" applyFont="1" applyBorder="1" applyAlignment="1">
      <alignment horizontal="left" vertical="center" wrapText="1"/>
    </xf>
    <xf numFmtId="4" fontId="42" fillId="0" borderId="4" xfId="7" applyNumberFormat="1" applyFont="1" applyBorder="1" applyAlignment="1">
      <alignment horizontal="center" vertical="center" wrapText="1"/>
    </xf>
    <xf numFmtId="49" fontId="44" fillId="0" borderId="4" xfId="7" applyNumberFormat="1" applyFont="1" applyBorder="1" applyAlignment="1">
      <alignment horizontal="center" vertical="center" wrapText="1"/>
    </xf>
    <xf numFmtId="0" fontId="42" fillId="0" borderId="4" xfId="7" applyFont="1" applyBorder="1" applyAlignment="1">
      <alignment horizontal="left" vertical="center" wrapText="1"/>
    </xf>
    <xf numFmtId="0" fontId="45" fillId="0" borderId="0" xfId="7" applyFont="1" applyAlignment="1">
      <alignment vertical="center"/>
    </xf>
    <xf numFmtId="0" fontId="46" fillId="0" borderId="0" xfId="7" applyFont="1" applyAlignment="1">
      <alignment horizontal="left"/>
    </xf>
    <xf numFmtId="0" fontId="47" fillId="0" borderId="0" xfId="7" applyFont="1" applyAlignment="1">
      <alignment vertical="center" wrapText="1"/>
    </xf>
    <xf numFmtId="0" fontId="35" fillId="0" borderId="0" xfId="7" applyFont="1" applyAlignment="1">
      <alignment horizontal="left"/>
    </xf>
    <xf numFmtId="0" fontId="43" fillId="0" borderId="0" xfId="7" applyFont="1" applyAlignment="1">
      <alignment horizontal="left" vertical="top" wrapText="1"/>
    </xf>
    <xf numFmtId="0" fontId="45" fillId="0" borderId="0" xfId="7" applyFont="1" applyAlignment="1">
      <alignment horizontal="left" vertical="center" wrapText="1"/>
    </xf>
    <xf numFmtId="0" fontId="4" fillId="9" borderId="0" xfId="16" applyFont="1" applyFill="1"/>
    <xf numFmtId="0" fontId="43" fillId="0" borderId="0" xfId="7" applyFont="1" applyAlignment="1">
      <alignment horizontal="left" vertical="top" wrapText="1"/>
    </xf>
    <xf numFmtId="0" fontId="42" fillId="0" borderId="0" xfId="7" applyFont="1" applyAlignment="1">
      <alignment horizontal="center"/>
    </xf>
    <xf numFmtId="0" fontId="42" fillId="0" borderId="0" xfId="7" quotePrefix="1" applyFont="1" applyAlignment="1">
      <alignment horizontal="center" vertical="top" wrapText="1"/>
    </xf>
    <xf numFmtId="0" fontId="43" fillId="0" borderId="0" xfId="7" applyFont="1" applyAlignment="1">
      <alignment horizontal="center" vertical="top"/>
    </xf>
    <xf numFmtId="0" fontId="4" fillId="0" borderId="6" xfId="0" applyFont="1" applyBorder="1" applyAlignment="1">
      <alignment horizontal="left" vertical="center" wrapText="1"/>
    </xf>
    <xf numFmtId="0" fontId="9" fillId="3" borderId="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wrapText="1"/>
    </xf>
    <xf numFmtId="0" fontId="4" fillId="0" borderId="0" xfId="0" applyFont="1" applyAlignment="1">
      <alignment horizontal="left" vertical="top" wrapText="1"/>
    </xf>
    <xf numFmtId="0" fontId="4" fillId="0" borderId="5" xfId="0" applyFont="1" applyBorder="1" applyAlignment="1">
      <alignment horizontal="left" vertical="top" wrapText="1"/>
    </xf>
    <xf numFmtId="0" fontId="9" fillId="2" borderId="6" xfId="0" applyFont="1" applyFill="1" applyBorder="1" applyAlignment="1">
      <alignment horizontal="center" vertical="center" wrapText="1"/>
    </xf>
    <xf numFmtId="0" fontId="8" fillId="0" borderId="0" xfId="0" applyFont="1" applyAlignment="1">
      <alignment horizontal="left" vertical="top" wrapText="1"/>
    </xf>
    <xf numFmtId="0" fontId="4" fillId="0" borderId="0" xfId="0" applyFont="1" applyAlignment="1">
      <alignment horizontal="right" vertical="top" wrapText="1"/>
    </xf>
    <xf numFmtId="0" fontId="9" fillId="0" borderId="0" xfId="0" applyFont="1" applyAlignment="1">
      <alignment horizontal="center" vertical="center" wrapText="1"/>
    </xf>
    <xf numFmtId="0" fontId="4" fillId="0" borderId="0" xfId="0" applyFont="1" applyAlignment="1">
      <alignment horizontal="center" vertical="center" wrapText="1"/>
    </xf>
    <xf numFmtId="49" fontId="12" fillId="0" borderId="6" xfId="14" applyNumberFormat="1" applyFont="1" applyBorder="1" applyAlignment="1">
      <alignment horizontal="left" vertical="top" wrapText="1"/>
    </xf>
    <xf numFmtId="49" fontId="17" fillId="5" borderId="6" xfId="14" applyNumberFormat="1" applyFont="1" applyFill="1" applyBorder="1" applyAlignment="1">
      <alignment horizontal="left" vertical="top" wrapText="1"/>
    </xf>
    <xf numFmtId="49" fontId="17" fillId="0" borderId="6" xfId="14" applyNumberFormat="1" applyFont="1" applyBorder="1" applyAlignment="1">
      <alignment horizontal="left" vertical="top" wrapText="1"/>
    </xf>
    <xf numFmtId="0" fontId="13" fillId="0" borderId="7" xfId="14" applyFont="1" applyBorder="1" applyAlignment="1">
      <alignment horizontal="left" vertical="center" wrapText="1"/>
    </xf>
    <xf numFmtId="0" fontId="13" fillId="0" borderId="8" xfId="14" applyFont="1" applyBorder="1" applyAlignment="1">
      <alignment horizontal="left" vertical="center" wrapText="1"/>
    </xf>
    <xf numFmtId="0" fontId="13" fillId="0" borderId="9" xfId="14" applyFont="1" applyBorder="1" applyAlignment="1">
      <alignment horizontal="left" vertical="center" wrapText="1"/>
    </xf>
    <xf numFmtId="0" fontId="15" fillId="0" borderId="7" xfId="14" applyFont="1" applyBorder="1" applyAlignment="1">
      <alignment horizontal="left" vertical="center" wrapText="1"/>
    </xf>
    <xf numFmtId="0" fontId="15" fillId="0" borderId="8" xfId="14" applyFont="1" applyBorder="1" applyAlignment="1">
      <alignment horizontal="left" vertical="center" wrapText="1"/>
    </xf>
    <xf numFmtId="0" fontId="15" fillId="0" borderId="9" xfId="14" applyFont="1" applyBorder="1" applyAlignment="1">
      <alignment horizontal="left" vertical="center" wrapText="1"/>
    </xf>
    <xf numFmtId="0" fontId="14" fillId="0" borderId="6" xfId="15" applyFont="1" applyBorder="1" applyAlignment="1">
      <alignment horizontal="left" vertical="center" wrapText="1"/>
    </xf>
    <xf numFmtId="4" fontId="14" fillId="0" borderId="7" xfId="15" applyNumberFormat="1" applyFont="1" applyBorder="1" applyAlignment="1">
      <alignment horizontal="center" vertical="center"/>
    </xf>
    <xf numFmtId="4" fontId="14" fillId="0" borderId="8" xfId="15" applyNumberFormat="1" applyFont="1" applyBorder="1" applyAlignment="1">
      <alignment horizontal="center" vertical="center"/>
    </xf>
    <xf numFmtId="4" fontId="14" fillId="0" borderId="9" xfId="15" applyNumberFormat="1" applyFont="1" applyBorder="1" applyAlignment="1">
      <alignment horizontal="center" vertical="center"/>
    </xf>
    <xf numFmtId="0" fontId="13" fillId="5" borderId="6" xfId="15" applyFont="1" applyFill="1" applyBorder="1" applyAlignment="1">
      <alignment horizontal="left" vertical="center" wrapText="1"/>
    </xf>
    <xf numFmtId="4" fontId="13" fillId="5" borderId="7" xfId="15" applyNumberFormat="1" applyFont="1" applyFill="1" applyBorder="1" applyAlignment="1">
      <alignment horizontal="center" vertical="center"/>
    </xf>
    <xf numFmtId="4" fontId="13" fillId="5" borderId="8" xfId="15" applyNumberFormat="1" applyFont="1" applyFill="1" applyBorder="1" applyAlignment="1">
      <alignment horizontal="center" vertical="center"/>
    </xf>
    <xf numFmtId="4" fontId="13" fillId="5" borderId="9" xfId="15" applyNumberFormat="1" applyFont="1" applyFill="1" applyBorder="1" applyAlignment="1">
      <alignment horizontal="center" vertical="center"/>
    </xf>
    <xf numFmtId="4" fontId="14" fillId="0" borderId="6" xfId="15" applyNumberFormat="1" applyFont="1" applyBorder="1" applyAlignment="1">
      <alignment horizontal="center" vertical="center"/>
    </xf>
    <xf numFmtId="4" fontId="14" fillId="0" borderId="6" xfId="15" applyNumberFormat="1" applyFont="1" applyBorder="1" applyAlignment="1">
      <alignment horizontal="center" vertical="center" wrapText="1"/>
    </xf>
    <xf numFmtId="3" fontId="13" fillId="0" borderId="6" xfId="15" applyNumberFormat="1" applyFont="1" applyBorder="1" applyAlignment="1">
      <alignment horizontal="center" vertical="center"/>
    </xf>
    <xf numFmtId="0" fontId="14" fillId="0" borderId="6" xfId="15" applyFont="1" applyBorder="1" applyAlignment="1">
      <alignment horizontal="left" vertical="center"/>
    </xf>
    <xf numFmtId="169" fontId="14" fillId="0" borderId="6" xfId="15" applyNumberFormat="1" applyFont="1" applyBorder="1" applyAlignment="1">
      <alignment horizontal="center" vertical="center"/>
    </xf>
    <xf numFmtId="0" fontId="14" fillId="0" borderId="6" xfId="15" applyFont="1" applyBorder="1" applyAlignment="1">
      <alignment horizontal="center" vertical="center" wrapText="1"/>
    </xf>
    <xf numFmtId="1" fontId="14" fillId="0" borderId="6" xfId="15" applyNumberFormat="1" applyFont="1" applyBorder="1" applyAlignment="1">
      <alignment horizontal="center" vertical="center" wrapText="1"/>
    </xf>
    <xf numFmtId="3" fontId="14" fillId="0" borderId="6" xfId="15" applyNumberFormat="1" applyFont="1" applyBorder="1" applyAlignment="1">
      <alignment horizontal="center" vertical="center"/>
    </xf>
    <xf numFmtId="0" fontId="14" fillId="0" borderId="10" xfId="15" applyFont="1" applyBorder="1" applyAlignment="1">
      <alignment horizontal="center" vertical="center" wrapText="1"/>
    </xf>
    <xf numFmtId="0" fontId="14" fillId="0" borderId="6" xfId="15" applyFont="1" applyBorder="1" applyAlignment="1">
      <alignment horizontal="left" vertical="top" wrapText="1"/>
    </xf>
    <xf numFmtId="0" fontId="14" fillId="0" borderId="7" xfId="15" applyFont="1" applyBorder="1" applyAlignment="1">
      <alignment horizontal="center" vertical="top" wrapText="1"/>
    </xf>
    <xf numFmtId="0" fontId="14" fillId="0" borderId="9" xfId="15" applyFont="1" applyBorder="1" applyAlignment="1">
      <alignment horizontal="center" vertical="top" wrapText="1"/>
    </xf>
    <xf numFmtId="0" fontId="13" fillId="0" borderId="0" xfId="15" applyFont="1" applyAlignment="1">
      <alignment horizontal="center" vertical="center"/>
    </xf>
    <xf numFmtId="0" fontId="14" fillId="0" borderId="0" xfId="15" applyFont="1" applyAlignment="1">
      <alignment horizontal="center" vertical="center"/>
    </xf>
    <xf numFmtId="49" fontId="12" fillId="0" borderId="6" xfId="20" applyNumberFormat="1" applyFont="1" applyBorder="1" applyAlignment="1">
      <alignment horizontal="left" vertical="top" wrapText="1"/>
    </xf>
    <xf numFmtId="49" fontId="17" fillId="5" borderId="6" xfId="20" applyNumberFormat="1" applyFont="1" applyFill="1" applyBorder="1" applyAlignment="1">
      <alignment horizontal="left" vertical="top" wrapText="1"/>
    </xf>
    <xf numFmtId="49" fontId="17" fillId="0" borderId="6" xfId="20" applyNumberFormat="1" applyFont="1" applyBorder="1" applyAlignment="1">
      <alignment horizontal="left" vertical="top" wrapText="1"/>
    </xf>
    <xf numFmtId="0" fontId="13" fillId="0" borderId="7" xfId="20" applyFont="1" applyBorder="1" applyAlignment="1">
      <alignment horizontal="left" vertical="center" wrapText="1"/>
    </xf>
    <xf numFmtId="0" fontId="13" fillId="0" borderId="8" xfId="20" applyFont="1" applyBorder="1" applyAlignment="1">
      <alignment horizontal="left" vertical="center" wrapText="1"/>
    </xf>
    <xf numFmtId="0" fontId="13" fillId="0" borderId="9" xfId="20" applyFont="1" applyBorder="1" applyAlignment="1">
      <alignment horizontal="left" vertical="center" wrapText="1"/>
    </xf>
    <xf numFmtId="0" fontId="15" fillId="0" borderId="7" xfId="20" applyFont="1" applyBorder="1" applyAlignment="1">
      <alignment horizontal="left" vertical="center" wrapText="1"/>
    </xf>
    <xf numFmtId="0" fontId="15" fillId="0" borderId="8" xfId="20" applyFont="1" applyBorder="1" applyAlignment="1">
      <alignment horizontal="left" vertical="center" wrapText="1"/>
    </xf>
    <xf numFmtId="0" fontId="15" fillId="0" borderId="9" xfId="20" applyFont="1" applyBorder="1" applyAlignment="1">
      <alignment horizontal="left" vertical="center" wrapText="1"/>
    </xf>
    <xf numFmtId="0" fontId="14" fillId="0" borderId="10" xfId="4" applyFont="1" applyBorder="1" applyAlignment="1">
      <alignment horizontal="center" vertical="center" wrapText="1"/>
    </xf>
    <xf numFmtId="0" fontId="14" fillId="0" borderId="11" xfId="4" applyFont="1" applyBorder="1" applyAlignment="1">
      <alignment horizontal="center" vertical="center" wrapText="1"/>
    </xf>
    <xf numFmtId="0" fontId="14" fillId="0" borderId="15" xfId="4" applyFont="1" applyBorder="1" applyAlignment="1">
      <alignment horizontal="center" vertical="center" wrapText="1"/>
    </xf>
    <xf numFmtId="0" fontId="14" fillId="0" borderId="10" xfId="21" applyFont="1" applyBorder="1" applyAlignment="1">
      <alignment horizontal="center" vertical="center" wrapText="1"/>
    </xf>
    <xf numFmtId="0" fontId="14" fillId="0" borderId="11" xfId="21" applyFont="1" applyBorder="1" applyAlignment="1">
      <alignment horizontal="center" vertical="center" wrapText="1"/>
    </xf>
    <xf numFmtId="0" fontId="14" fillId="0" borderId="0" xfId="4" applyFont="1" applyAlignment="1">
      <alignment horizontal="center" vertical="center" wrapText="1"/>
    </xf>
    <xf numFmtId="0" fontId="14" fillId="0" borderId="0" xfId="4" applyFont="1" applyAlignment="1">
      <alignment horizontal="left" vertical="center" wrapText="1"/>
    </xf>
    <xf numFmtId="0" fontId="14" fillId="0" borderId="0" xfId="4" applyFont="1" applyAlignment="1">
      <alignment horizontal="center" vertical="center"/>
    </xf>
    <xf numFmtId="0" fontId="12" fillId="0" borderId="10" xfId="4" applyFont="1" applyBorder="1" applyAlignment="1">
      <alignment horizontal="center" vertical="center" wrapText="1"/>
    </xf>
    <xf numFmtId="0" fontId="12" fillId="0" borderId="11" xfId="4" applyFont="1" applyBorder="1" applyAlignment="1">
      <alignment horizontal="center" vertical="center" wrapText="1"/>
    </xf>
    <xf numFmtId="0" fontId="12" fillId="0" borderId="15" xfId="4" applyFont="1" applyBorder="1" applyAlignment="1">
      <alignment horizontal="center" vertical="center" wrapText="1"/>
    </xf>
    <xf numFmtId="0" fontId="12" fillId="0" borderId="10" xfId="22" applyFont="1" applyBorder="1" applyAlignment="1">
      <alignment horizontal="center" vertical="center" wrapText="1"/>
    </xf>
    <xf numFmtId="0" fontId="12" fillId="0" borderId="11" xfId="22" applyFont="1" applyBorder="1" applyAlignment="1">
      <alignment horizontal="center" vertical="center" wrapText="1"/>
    </xf>
    <xf numFmtId="0" fontId="12" fillId="0" borderId="0" xfId="4" applyFont="1" applyAlignment="1">
      <alignment horizontal="center" vertical="center" wrapText="1"/>
    </xf>
    <xf numFmtId="0" fontId="12" fillId="0" borderId="0" xfId="4" applyFont="1" applyAlignment="1">
      <alignment horizontal="left" vertical="center" wrapText="1"/>
    </xf>
    <xf numFmtId="0" fontId="12" fillId="0" borderId="0" xfId="4" applyFont="1" applyAlignment="1">
      <alignment horizontal="center" vertical="center"/>
    </xf>
    <xf numFmtId="0" fontId="17" fillId="0" borderId="0" xfId="22" applyFont="1" applyAlignment="1">
      <alignment horizontal="center" vertical="center"/>
    </xf>
    <xf numFmtId="0" fontId="12" fillId="0" borderId="0" xfId="22" applyFont="1" applyAlignment="1">
      <alignment horizontal="center" vertical="center"/>
    </xf>
    <xf numFmtId="0" fontId="9" fillId="0" borderId="6" xfId="3" applyFont="1" applyBorder="1" applyAlignment="1">
      <alignment horizontal="left" vertical="top" wrapText="1"/>
    </xf>
    <xf numFmtId="4" fontId="9" fillId="0" borderId="6" xfId="3" applyNumberFormat="1" applyFont="1" applyBorder="1" applyAlignment="1">
      <alignment horizontal="right" vertical="top" wrapText="1"/>
    </xf>
    <xf numFmtId="0" fontId="4" fillId="0" borderId="6" xfId="3" applyFont="1" applyBorder="1" applyAlignment="1">
      <alignment horizontal="left" vertical="top" wrapText="1"/>
    </xf>
    <xf numFmtId="4" fontId="4" fillId="0" borderId="6" xfId="3" applyNumberFormat="1" applyFont="1" applyBorder="1" applyAlignment="1">
      <alignment horizontal="right" vertical="top" wrapText="1"/>
    </xf>
    <xf numFmtId="0" fontId="4" fillId="0" borderId="11" xfId="3" applyFont="1" applyBorder="1" applyAlignment="1">
      <alignment horizontal="left" vertical="top" wrapText="1"/>
    </xf>
    <xf numFmtId="0" fontId="9" fillId="0" borderId="11" xfId="3" applyFont="1" applyBorder="1" applyAlignment="1">
      <alignment horizontal="left" vertical="top" wrapText="1"/>
    </xf>
    <xf numFmtId="0" fontId="9" fillId="0" borderId="10" xfId="3" applyFont="1" applyBorder="1" applyAlignment="1">
      <alignment horizontal="left" vertical="top" wrapText="1"/>
    </xf>
    <xf numFmtId="0" fontId="4" fillId="0" borderId="10" xfId="3" applyFont="1" applyBorder="1" applyAlignment="1">
      <alignment horizontal="left" vertical="top" wrapText="1"/>
    </xf>
    <xf numFmtId="4" fontId="4" fillId="0" borderId="10" xfId="3" applyNumberFormat="1" applyFont="1" applyBorder="1" applyAlignment="1">
      <alignment horizontal="right" vertical="top" wrapText="1"/>
    </xf>
    <xf numFmtId="0" fontId="4" fillId="0" borderId="6" xfId="3" applyFont="1" applyBorder="1" applyAlignment="1">
      <alignment horizontal="center" vertical="center" wrapText="1"/>
    </xf>
    <xf numFmtId="0" fontId="9" fillId="0" borderId="0" xfId="3" applyFont="1" applyAlignment="1">
      <alignment horizontal="center" vertical="center" wrapText="1"/>
    </xf>
    <xf numFmtId="0" fontId="4" fillId="0" borderId="0" xfId="3" applyFont="1" applyAlignment="1">
      <alignment horizontal="center" vertical="center" wrapText="1"/>
    </xf>
    <xf numFmtId="0" fontId="4" fillId="0" borderId="0" xfId="3" applyFont="1" applyAlignment="1">
      <alignment horizontal="left" vertical="top" wrapText="1"/>
    </xf>
    <xf numFmtId="0" fontId="21" fillId="0" borderId="0" xfId="3" applyFont="1" applyAlignment="1">
      <alignment horizontal="left" vertical="top" wrapText="1"/>
    </xf>
    <xf numFmtId="0" fontId="9" fillId="0" borderId="0" xfId="3" applyFont="1" applyAlignment="1">
      <alignment horizontal="left" vertical="top" wrapText="1"/>
    </xf>
    <xf numFmtId="4" fontId="9" fillId="0" borderId="0" xfId="3" applyNumberFormat="1" applyFont="1" applyAlignment="1">
      <alignment horizontal="right" vertical="top" wrapText="1"/>
    </xf>
    <xf numFmtId="0" fontId="8" fillId="0" borderId="0" xfId="3" applyFont="1" applyAlignment="1">
      <alignment horizontal="left" vertical="top" wrapText="1"/>
    </xf>
    <xf numFmtId="0" fontId="4" fillId="0" borderId="0" xfId="3" applyFont="1" applyAlignment="1">
      <alignment horizontal="righ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6" xfId="0" applyFont="1" applyBorder="1" applyAlignment="1">
      <alignment horizontal="left" vertical="top" wrapText="1"/>
    </xf>
    <xf numFmtId="4" fontId="4" fillId="0" borderId="6" xfId="0" applyNumberFormat="1" applyFont="1" applyBorder="1" applyAlignment="1">
      <alignment horizontal="right" vertical="top" wrapText="1"/>
    </xf>
    <xf numFmtId="0" fontId="21" fillId="0" borderId="0" xfId="0" applyFont="1" applyAlignment="1">
      <alignment horizontal="left" vertical="top" wrapText="1"/>
    </xf>
    <xf numFmtId="0" fontId="4" fillId="0" borderId="6" xfId="12" applyFont="1" applyBorder="1" applyAlignment="1">
      <alignment horizontal="left" vertical="top" wrapText="1"/>
    </xf>
    <xf numFmtId="0" fontId="9" fillId="5" borderId="15" xfId="12" applyFont="1" applyFill="1" applyBorder="1" applyAlignment="1">
      <alignment vertical="top" wrapText="1"/>
    </xf>
    <xf numFmtId="0" fontId="9" fillId="0" borderId="0" xfId="12" applyFont="1" applyAlignment="1">
      <alignment horizontal="center" vertical="top" wrapText="1"/>
    </xf>
    <xf numFmtId="0" fontId="4" fillId="0" borderId="6" xfId="12" applyFont="1" applyBorder="1" applyAlignment="1">
      <alignment horizontal="center" vertical="top" wrapText="1"/>
    </xf>
    <xf numFmtId="0" fontId="4" fillId="0" borderId="6" xfId="5" applyFont="1" applyBorder="1" applyAlignment="1">
      <alignment horizontal="center" vertical="top" wrapText="1"/>
    </xf>
    <xf numFmtId="0" fontId="4" fillId="0" borderId="6" xfId="5" applyFont="1" applyBorder="1" applyAlignment="1">
      <alignment horizontal="left" vertical="top" wrapText="1"/>
    </xf>
    <xf numFmtId="4" fontId="4" fillId="0" borderId="6" xfId="5" applyNumberFormat="1" applyFont="1" applyBorder="1" applyAlignment="1">
      <alignment horizontal="right" vertical="top"/>
    </xf>
    <xf numFmtId="0" fontId="4" fillId="0" borderId="0" xfId="5" applyFont="1" applyAlignment="1">
      <alignment horizontal="left" vertical="top" wrapText="1"/>
    </xf>
    <xf numFmtId="0" fontId="21" fillId="0" borderId="0" xfId="5" applyFont="1" applyAlignment="1">
      <alignment horizontal="left" vertical="top" wrapText="1"/>
    </xf>
    <xf numFmtId="0" fontId="25" fillId="0" borderId="0" xfId="12" applyFont="1" applyAlignment="1">
      <alignment horizontal="center" vertical="top" wrapText="1"/>
    </xf>
    <xf numFmtId="0" fontId="25" fillId="0" borderId="0" xfId="12" applyFont="1" applyAlignment="1">
      <alignment horizontal="center"/>
    </xf>
    <xf numFmtId="0" fontId="22" fillId="0" borderId="0" xfId="5" applyFont="1" applyAlignment="1">
      <alignment horizontal="left" vertical="top" wrapText="1"/>
    </xf>
    <xf numFmtId="0" fontId="4" fillId="0" borderId="0" xfId="5" applyFont="1" applyAlignment="1">
      <alignment horizontal="right" vertical="center" wrapText="1"/>
    </xf>
    <xf numFmtId="0" fontId="9" fillId="0" borderId="0" xfId="5" applyFont="1" applyAlignment="1">
      <alignment horizontal="center" vertical="center" wrapText="1"/>
    </xf>
    <xf numFmtId="0" fontId="4" fillId="0" borderId="0" xfId="5" applyFont="1" applyAlignment="1">
      <alignment horizontal="center" vertical="center" wrapText="1"/>
    </xf>
    <xf numFmtId="0" fontId="9" fillId="0" borderId="6" xfId="0" applyFont="1" applyBorder="1" applyAlignment="1">
      <alignment horizontal="left" vertical="top" wrapText="1"/>
    </xf>
    <xf numFmtId="4" fontId="9" fillId="0" borderId="6" xfId="0" applyNumberFormat="1" applyFont="1" applyBorder="1" applyAlignment="1">
      <alignment horizontal="right" vertical="top" wrapText="1"/>
    </xf>
    <xf numFmtId="0" fontId="38" fillId="0" borderId="6" xfId="0" applyFont="1" applyBorder="1" applyAlignment="1">
      <alignment horizontal="left" vertical="top" wrapText="1"/>
    </xf>
    <xf numFmtId="4" fontId="38" fillId="0" borderId="6" xfId="0" applyNumberFormat="1" applyFont="1" applyBorder="1" applyAlignment="1">
      <alignment horizontal="right" vertical="top" wrapText="1"/>
    </xf>
    <xf numFmtId="0" fontId="4" fillId="0" borderId="11" xfId="0" applyFont="1" applyBorder="1" applyAlignment="1">
      <alignment horizontal="left" vertical="top" wrapText="1"/>
    </xf>
    <xf numFmtId="0" fontId="4" fillId="0" borderId="13" xfId="0" applyFont="1" applyBorder="1" applyAlignment="1">
      <alignment horizontal="left" vertical="top" wrapText="1"/>
    </xf>
    <xf numFmtId="0" fontId="4" fillId="0" borderId="16" xfId="0" applyFont="1" applyBorder="1" applyAlignment="1">
      <alignment horizontal="left" vertical="top" wrapText="1"/>
    </xf>
    <xf numFmtId="0" fontId="9" fillId="0" borderId="10" xfId="0" applyFont="1" applyBorder="1" applyAlignment="1">
      <alignment horizontal="left" vertical="top" wrapText="1"/>
    </xf>
    <xf numFmtId="0" fontId="4" fillId="0" borderId="10" xfId="0" applyFont="1" applyBorder="1" applyAlignment="1">
      <alignment horizontal="left" vertical="top" wrapText="1"/>
    </xf>
    <xf numFmtId="4" fontId="4" fillId="0" borderId="10" xfId="0" applyNumberFormat="1" applyFont="1" applyBorder="1" applyAlignment="1">
      <alignment horizontal="right" vertical="top" wrapText="1"/>
    </xf>
    <xf numFmtId="0" fontId="9" fillId="0" borderId="11" xfId="0" applyFont="1" applyBorder="1" applyAlignment="1">
      <alignment horizontal="left" vertical="top" wrapText="1"/>
    </xf>
    <xf numFmtId="0" fontId="4" fillId="0" borderId="6" xfId="0" applyFont="1" applyBorder="1" applyAlignment="1">
      <alignment horizontal="center" vertical="center" wrapText="1"/>
    </xf>
    <xf numFmtId="0" fontId="35" fillId="0" borderId="11" xfId="0" applyFont="1" applyBorder="1" applyAlignment="1">
      <alignment horizontal="left" vertical="top" wrapText="1"/>
    </xf>
    <xf numFmtId="0" fontId="36" fillId="0" borderId="6" xfId="0" applyFont="1" applyBorder="1" applyAlignment="1">
      <alignment horizontal="left" vertical="top" wrapText="1"/>
    </xf>
    <xf numFmtId="4" fontId="36" fillId="0" borderId="6" xfId="0" applyNumberFormat="1" applyFont="1" applyBorder="1" applyAlignment="1">
      <alignment horizontal="right" vertical="top" wrapText="1"/>
    </xf>
    <xf numFmtId="0" fontId="35" fillId="0" borderId="6" xfId="0" applyFont="1" applyBorder="1" applyAlignment="1">
      <alignment horizontal="left" vertical="top" wrapText="1"/>
    </xf>
    <xf numFmtId="4" fontId="35" fillId="0" borderId="6" xfId="0" applyNumberFormat="1" applyFont="1" applyBorder="1" applyAlignment="1">
      <alignment horizontal="right" vertical="top" wrapText="1"/>
    </xf>
    <xf numFmtId="0" fontId="36" fillId="0" borderId="10" xfId="0" applyFont="1" applyBorder="1" applyAlignment="1">
      <alignment horizontal="left" vertical="top" wrapText="1"/>
    </xf>
    <xf numFmtId="0" fontId="35" fillId="0" borderId="10" xfId="0" applyFont="1" applyBorder="1" applyAlignment="1">
      <alignment horizontal="left" vertical="top" wrapText="1"/>
    </xf>
    <xf numFmtId="4" fontId="35" fillId="0" borderId="10" xfId="0" applyNumberFormat="1" applyFont="1" applyBorder="1" applyAlignment="1">
      <alignment horizontal="right" vertical="top" wrapText="1"/>
    </xf>
    <xf numFmtId="0" fontId="36" fillId="0" borderId="11" xfId="0" applyFont="1" applyBorder="1" applyAlignment="1">
      <alignment horizontal="left" vertical="top" wrapText="1"/>
    </xf>
    <xf numFmtId="0" fontId="35" fillId="0" borderId="6" xfId="0" applyFont="1" applyBorder="1" applyAlignment="1">
      <alignment horizontal="center" vertical="center" wrapText="1"/>
    </xf>
    <xf numFmtId="174" fontId="25" fillId="0" borderId="6" xfId="10" applyNumberFormat="1" applyFont="1" applyBorder="1" applyAlignment="1">
      <alignment horizontal="center" vertical="center" wrapText="1"/>
    </xf>
    <xf numFmtId="0" fontId="24" fillId="0" borderId="7" xfId="10" applyFont="1" applyBorder="1" applyAlignment="1">
      <alignment horizontal="left" vertical="center" wrapText="1"/>
    </xf>
    <xf numFmtId="0" fontId="24" fillId="0" borderId="8" xfId="10" applyFont="1" applyBorder="1" applyAlignment="1">
      <alignment horizontal="left" vertical="center" wrapText="1"/>
    </xf>
    <xf numFmtId="0" fontId="24" fillId="0" borderId="9" xfId="10" applyFont="1" applyBorder="1" applyAlignment="1">
      <alignment horizontal="left" vertical="center" wrapText="1"/>
    </xf>
    <xf numFmtId="174" fontId="24" fillId="0" borderId="6" xfId="10" applyNumberFormat="1" applyFont="1" applyBorder="1" applyAlignment="1">
      <alignment horizontal="center" vertical="center" wrapText="1"/>
    </xf>
    <xf numFmtId="174" fontId="24" fillId="0" borderId="7" xfId="10" applyNumberFormat="1" applyFont="1" applyBorder="1" applyAlignment="1">
      <alignment horizontal="center" vertical="center" wrapText="1"/>
    </xf>
    <xf numFmtId="174" fontId="24" fillId="0" borderId="8" xfId="10" applyNumberFormat="1" applyFont="1" applyBorder="1" applyAlignment="1">
      <alignment horizontal="center" vertical="center" wrapText="1"/>
    </xf>
    <xf numFmtId="174" fontId="24" fillId="0" borderId="9" xfId="10" applyNumberFormat="1" applyFont="1" applyBorder="1" applyAlignment="1">
      <alignment horizontal="center" vertical="center" wrapText="1"/>
    </xf>
    <xf numFmtId="0" fontId="38" fillId="0" borderId="7" xfId="10" applyFont="1" applyBorder="1" applyAlignment="1">
      <alignment horizontal="left" vertical="center" wrapText="1"/>
    </xf>
    <xf numFmtId="0" fontId="38" fillId="0" borderId="8" xfId="10" applyFont="1" applyBorder="1" applyAlignment="1">
      <alignment horizontal="left" vertical="center" wrapText="1"/>
    </xf>
    <xf numFmtId="0" fontId="38" fillId="0" borderId="9" xfId="10" applyFont="1" applyBorder="1" applyAlignment="1">
      <alignment horizontal="left" vertical="center" wrapText="1"/>
    </xf>
    <xf numFmtId="0" fontId="25" fillId="7" borderId="7" xfId="10" applyFont="1" applyFill="1" applyBorder="1" applyAlignment="1">
      <alignment horizontal="left" vertical="center"/>
    </xf>
    <xf numFmtId="0" fontId="25" fillId="7" borderId="8" xfId="10" applyFont="1" applyFill="1" applyBorder="1" applyAlignment="1">
      <alignment horizontal="left" vertical="center"/>
    </xf>
    <xf numFmtId="0" fontId="25" fillId="7" borderId="9" xfId="10" applyFont="1" applyFill="1" applyBorder="1" applyAlignment="1">
      <alignment horizontal="left" vertical="center"/>
    </xf>
    <xf numFmtId="0" fontId="25" fillId="7" borderId="6" xfId="10" applyFont="1" applyFill="1" applyBorder="1" applyAlignment="1">
      <alignment horizontal="center" vertical="center" wrapText="1"/>
    </xf>
    <xf numFmtId="0" fontId="25" fillId="7" borderId="6" xfId="10" applyFont="1" applyFill="1" applyBorder="1" applyAlignment="1">
      <alignment horizontal="center" vertical="center"/>
    </xf>
    <xf numFmtId="0" fontId="25" fillId="7" borderId="7" xfId="10" applyFont="1" applyFill="1" applyBorder="1" applyAlignment="1">
      <alignment horizontal="center" vertical="center"/>
    </xf>
    <xf numFmtId="0" fontId="25" fillId="7" borderId="8" xfId="10" applyFont="1" applyFill="1" applyBorder="1" applyAlignment="1">
      <alignment horizontal="center" vertical="center"/>
    </xf>
    <xf numFmtId="0" fontId="25" fillId="7" borderId="9" xfId="10" applyFont="1" applyFill="1" applyBorder="1" applyAlignment="1">
      <alignment horizontal="center" vertical="center"/>
    </xf>
    <xf numFmtId="0" fontId="24" fillId="0" borderId="6" xfId="10" applyFont="1" applyBorder="1" applyAlignment="1">
      <alignment horizontal="left" vertical="center" wrapText="1"/>
    </xf>
    <xf numFmtId="0" fontId="25" fillId="7" borderId="7" xfId="10" applyFont="1" applyFill="1" applyBorder="1" applyAlignment="1">
      <alignment horizontal="center" vertical="center" wrapText="1"/>
    </xf>
    <xf numFmtId="0" fontId="25" fillId="7" borderId="8" xfId="10" applyFont="1" applyFill="1" applyBorder="1" applyAlignment="1">
      <alignment horizontal="center" vertical="center" wrapText="1"/>
    </xf>
    <xf numFmtId="0" fontId="25" fillId="7" borderId="9" xfId="10" applyFont="1" applyFill="1" applyBorder="1" applyAlignment="1">
      <alignment horizontal="center" vertical="center" wrapText="1"/>
    </xf>
    <xf numFmtId="0" fontId="24" fillId="0" borderId="7" xfId="10" applyFont="1" applyBorder="1" applyAlignment="1">
      <alignment horizontal="center" vertical="center"/>
    </xf>
    <xf numFmtId="0" fontId="24" fillId="0" borderId="9" xfId="10" applyFont="1" applyBorder="1" applyAlignment="1">
      <alignment horizontal="center" vertical="center"/>
    </xf>
    <xf numFmtId="0" fontId="26" fillId="0" borderId="12" xfId="10" applyFont="1" applyBorder="1" applyAlignment="1">
      <alignment horizontal="center" vertical="center" wrapText="1"/>
    </xf>
    <xf numFmtId="0" fontId="26" fillId="0" borderId="19" xfId="10" applyFont="1" applyBorder="1" applyAlignment="1">
      <alignment horizontal="center" vertical="center" wrapText="1"/>
    </xf>
    <xf numFmtId="0" fontId="26" fillId="0" borderId="13" xfId="10" applyFont="1" applyBorder="1" applyAlignment="1">
      <alignment horizontal="center" vertical="center" wrapText="1"/>
    </xf>
    <xf numFmtId="0" fontId="26" fillId="0" borderId="16" xfId="10" applyFont="1" applyBorder="1" applyAlignment="1">
      <alignment horizontal="center" vertical="center" wrapText="1"/>
    </xf>
    <xf numFmtId="0" fontId="26" fillId="0" borderId="14" xfId="10" applyFont="1" applyBorder="1" applyAlignment="1">
      <alignment horizontal="center" vertical="center" wrapText="1"/>
    </xf>
    <xf numFmtId="0" fontId="26" fillId="0" borderId="17" xfId="10" applyFont="1" applyBorder="1" applyAlignment="1">
      <alignment horizontal="center" vertical="center" wrapText="1"/>
    </xf>
    <xf numFmtId="0" fontId="24" fillId="0" borderId="8" xfId="10" applyFont="1" applyBorder="1" applyAlignment="1">
      <alignment horizontal="center" vertical="center"/>
    </xf>
    <xf numFmtId="0" fontId="25" fillId="7" borderId="15" xfId="10" applyFont="1" applyFill="1" applyBorder="1" applyAlignment="1">
      <alignment horizontal="center" vertical="center" wrapText="1"/>
    </xf>
    <xf numFmtId="0" fontId="24" fillId="0" borderId="0" xfId="10" applyFont="1" applyAlignment="1">
      <alignment horizontal="center" vertical="center" wrapText="1"/>
    </xf>
    <xf numFmtId="0" fontId="25" fillId="0" borderId="0" xfId="10" applyFont="1" applyAlignment="1">
      <alignment horizontal="center" vertical="center"/>
    </xf>
    <xf numFmtId="0" fontId="24" fillId="0" borderId="0" xfId="10" applyFont="1" applyAlignment="1">
      <alignment horizontal="left" vertical="top" wrapText="1"/>
    </xf>
    <xf numFmtId="0" fontId="24" fillId="0" borderId="0" xfId="10" applyFont="1" applyAlignment="1">
      <alignment horizontal="left" vertical="top"/>
    </xf>
    <xf numFmtId="0" fontId="26" fillId="0" borderId="0" xfId="10" applyFont="1" applyAlignment="1">
      <alignment horizontal="left" vertical="center"/>
    </xf>
    <xf numFmtId="0" fontId="25" fillId="7" borderId="18" xfId="10" applyFont="1" applyFill="1" applyBorder="1" applyAlignment="1">
      <alignment horizontal="left" vertical="center"/>
    </xf>
    <xf numFmtId="0" fontId="25" fillId="7" borderId="19" xfId="10" applyFont="1" applyFill="1" applyBorder="1" applyAlignment="1">
      <alignment horizontal="left" vertical="center"/>
    </xf>
    <xf numFmtId="174" fontId="9" fillId="0" borderId="6" xfId="10" applyNumberFormat="1" applyFont="1" applyBorder="1" applyAlignment="1">
      <alignment horizontal="center" vertical="center" wrapText="1"/>
    </xf>
    <xf numFmtId="0" fontId="4" fillId="0" borderId="7" xfId="10" applyFont="1" applyBorder="1" applyAlignment="1">
      <alignment horizontal="left" vertical="center" wrapText="1"/>
    </xf>
    <xf numFmtId="0" fontId="4" fillId="0" borderId="8" xfId="10" applyFont="1" applyBorder="1" applyAlignment="1">
      <alignment horizontal="left" vertical="center" wrapText="1"/>
    </xf>
    <xf numFmtId="0" fontId="4" fillId="0" borderId="9" xfId="10" applyFont="1" applyBorder="1" applyAlignment="1">
      <alignment horizontal="left" vertical="center" wrapText="1"/>
    </xf>
    <xf numFmtId="174" fontId="4" fillId="0" borderId="6" xfId="10" applyNumberFormat="1" applyFont="1" applyBorder="1" applyAlignment="1">
      <alignment horizontal="center" vertical="center" wrapText="1"/>
    </xf>
    <xf numFmtId="174" fontId="4" fillId="0" borderId="7" xfId="10" applyNumberFormat="1" applyFont="1" applyBorder="1" applyAlignment="1">
      <alignment horizontal="center" vertical="center" wrapText="1"/>
    </xf>
    <xf numFmtId="174" fontId="4" fillId="0" borderId="8" xfId="10" applyNumberFormat="1" applyFont="1" applyBorder="1" applyAlignment="1">
      <alignment horizontal="center" vertical="center" wrapText="1"/>
    </xf>
    <xf numFmtId="174" fontId="4" fillId="0" borderId="9" xfId="10" applyNumberFormat="1" applyFont="1" applyBorder="1" applyAlignment="1">
      <alignment horizontal="center" vertical="center" wrapText="1"/>
    </xf>
    <xf numFmtId="0" fontId="9" fillId="7" borderId="7" xfId="10" applyFont="1" applyFill="1" applyBorder="1" applyAlignment="1">
      <alignment horizontal="left" vertical="center"/>
    </xf>
    <xf numFmtId="0" fontId="9" fillId="7" borderId="8" xfId="10" applyFont="1" applyFill="1" applyBorder="1" applyAlignment="1">
      <alignment horizontal="left" vertical="center"/>
    </xf>
    <xf numFmtId="0" fontId="9" fillId="7" borderId="9" xfId="10" applyFont="1" applyFill="1" applyBorder="1" applyAlignment="1">
      <alignment horizontal="left" vertical="center"/>
    </xf>
    <xf numFmtId="0" fontId="9" fillId="7" borderId="6" xfId="10" applyFont="1" applyFill="1" applyBorder="1" applyAlignment="1">
      <alignment horizontal="center" vertical="center" wrapText="1"/>
    </xf>
    <xf numFmtId="0" fontId="9" fillId="7" borderId="6" xfId="10" applyFont="1" applyFill="1" applyBorder="1" applyAlignment="1">
      <alignment horizontal="center" vertical="center"/>
    </xf>
    <xf numFmtId="0" fontId="9" fillId="7" borderId="7" xfId="10" applyFont="1" applyFill="1" applyBorder="1" applyAlignment="1">
      <alignment horizontal="center" vertical="center"/>
    </xf>
    <xf numFmtId="0" fontId="9" fillId="7" borderId="8" xfId="10" applyFont="1" applyFill="1" applyBorder="1" applyAlignment="1">
      <alignment horizontal="center" vertical="center"/>
    </xf>
    <xf numFmtId="0" fontId="9" fillId="7" borderId="9" xfId="10" applyFont="1" applyFill="1" applyBorder="1" applyAlignment="1">
      <alignment horizontal="center" vertical="center"/>
    </xf>
    <xf numFmtId="0" fontId="4" fillId="0" borderId="6" xfId="10" applyFont="1" applyBorder="1" applyAlignment="1">
      <alignment horizontal="left" vertical="center" wrapText="1"/>
    </xf>
    <xf numFmtId="0" fontId="9" fillId="7" borderId="7" xfId="10" applyFont="1" applyFill="1" applyBorder="1" applyAlignment="1">
      <alignment horizontal="center" vertical="center" wrapText="1"/>
    </xf>
    <xf numFmtId="0" fontId="9" fillId="7" borderId="8" xfId="10" applyFont="1" applyFill="1" applyBorder="1" applyAlignment="1">
      <alignment horizontal="center" vertical="center" wrapText="1"/>
    </xf>
    <xf numFmtId="0" fontId="9" fillId="7" borderId="9" xfId="10" applyFont="1" applyFill="1" applyBorder="1" applyAlignment="1">
      <alignment horizontal="center" vertical="center" wrapText="1"/>
    </xf>
    <xf numFmtId="0" fontId="4" fillId="0" borderId="7" xfId="10" applyFont="1" applyBorder="1" applyAlignment="1">
      <alignment horizontal="center" vertical="center"/>
    </xf>
    <xf numFmtId="0" fontId="4" fillId="0" borderId="9" xfId="10" applyFont="1" applyBorder="1" applyAlignment="1">
      <alignment horizontal="center" vertical="center"/>
    </xf>
    <xf numFmtId="0" fontId="27" fillId="0" borderId="12" xfId="10" applyFont="1" applyBorder="1" applyAlignment="1">
      <alignment horizontal="center" vertical="center" wrapText="1"/>
    </xf>
    <xf numFmtId="0" fontId="27" fillId="0" borderId="19" xfId="10" applyFont="1" applyBorder="1" applyAlignment="1">
      <alignment horizontal="center" vertical="center" wrapText="1"/>
    </xf>
    <xf numFmtId="0" fontId="27" fillId="0" borderId="13" xfId="10" applyFont="1" applyBorder="1" applyAlignment="1">
      <alignment horizontal="center" vertical="center" wrapText="1"/>
    </xf>
    <xf numFmtId="0" fontId="27" fillId="0" borderId="16" xfId="10" applyFont="1" applyBorder="1" applyAlignment="1">
      <alignment horizontal="center" vertical="center" wrapText="1"/>
    </xf>
    <xf numFmtId="0" fontId="27" fillId="0" borderId="14" xfId="10" applyFont="1" applyBorder="1" applyAlignment="1">
      <alignment horizontal="center" vertical="center" wrapText="1"/>
    </xf>
    <xf numFmtId="0" fontId="27" fillId="0" borderId="17" xfId="10" applyFont="1" applyBorder="1" applyAlignment="1">
      <alignment horizontal="center" vertical="center" wrapText="1"/>
    </xf>
    <xf numFmtId="0" fontId="4" fillId="0" borderId="8" xfId="10" applyFont="1" applyBorder="1" applyAlignment="1">
      <alignment horizontal="center" vertical="center"/>
    </xf>
    <xf numFmtId="0" fontId="9" fillId="7" borderId="15" xfId="10" applyFont="1" applyFill="1" applyBorder="1" applyAlignment="1">
      <alignment horizontal="center" vertical="center" wrapText="1"/>
    </xf>
    <xf numFmtId="0" fontId="4" fillId="0" borderId="0" xfId="10" applyFont="1" applyAlignment="1">
      <alignment horizontal="center" vertical="center" wrapText="1"/>
    </xf>
    <xf numFmtId="0" fontId="9" fillId="0" borderId="0" xfId="10" applyFont="1" applyAlignment="1">
      <alignment horizontal="center" vertical="center"/>
    </xf>
    <xf numFmtId="0" fontId="4" fillId="0" borderId="0" xfId="10" applyFont="1" applyAlignment="1">
      <alignment horizontal="left" vertical="top" wrapText="1"/>
    </xf>
    <xf numFmtId="0" fontId="4" fillId="0" borderId="0" xfId="10" applyFont="1" applyAlignment="1">
      <alignment horizontal="left" vertical="top"/>
    </xf>
    <xf numFmtId="0" fontId="4" fillId="0" borderId="0" xfId="10" applyFont="1" applyAlignment="1">
      <alignment horizontal="left" vertical="center"/>
    </xf>
    <xf numFmtId="0" fontId="27" fillId="0" borderId="0" xfId="10" applyFont="1" applyAlignment="1">
      <alignment horizontal="left" vertical="center"/>
    </xf>
    <xf numFmtId="0" fontId="9" fillId="7" borderId="18" xfId="10" applyFont="1" applyFill="1" applyBorder="1" applyAlignment="1">
      <alignment horizontal="left" vertical="center"/>
    </xf>
    <xf numFmtId="0" fontId="9" fillId="7" borderId="19" xfId="10" applyFont="1" applyFill="1" applyBorder="1" applyAlignment="1">
      <alignment horizontal="left" vertical="center"/>
    </xf>
    <xf numFmtId="0" fontId="24" fillId="0" borderId="0" xfId="10" applyFont="1" applyAlignment="1">
      <alignment horizontal="left" vertical="center"/>
    </xf>
    <xf numFmtId="174" fontId="29" fillId="0" borderId="6" xfId="10" applyNumberFormat="1" applyFont="1" applyBorder="1" applyAlignment="1">
      <alignment horizontal="center" vertical="center" wrapText="1"/>
    </xf>
    <xf numFmtId="0" fontId="30" fillId="0" borderId="0" xfId="10" applyFont="1" applyAlignment="1">
      <alignment horizontal="center" vertical="center"/>
    </xf>
    <xf numFmtId="0" fontId="4" fillId="0" borderId="22" xfId="0" applyFont="1" applyBorder="1" applyAlignment="1">
      <alignment horizontal="center" vertical="top" wrapText="1"/>
    </xf>
    <xf numFmtId="0" fontId="4" fillId="0" borderId="24" xfId="0" applyFont="1" applyBorder="1" applyAlignment="1">
      <alignment horizontal="center" vertical="top" wrapText="1"/>
    </xf>
    <xf numFmtId="0" fontId="4" fillId="0" borderId="3" xfId="0" applyFont="1" applyBorder="1" applyAlignment="1">
      <alignment horizontal="center" vertical="top" wrapText="1"/>
    </xf>
    <xf numFmtId="0" fontId="4" fillId="0" borderId="22" xfId="0" applyFont="1" applyBorder="1" applyAlignment="1">
      <alignment vertical="top" wrapText="1"/>
    </xf>
    <xf numFmtId="0" fontId="4" fillId="0" borderId="24" xfId="0" applyFont="1" applyBorder="1" applyAlignment="1">
      <alignment vertical="top" wrapText="1"/>
    </xf>
    <xf numFmtId="0" fontId="4" fillId="0" borderId="3" xfId="0" applyFont="1" applyBorder="1" applyAlignment="1">
      <alignment vertical="top" wrapText="1"/>
    </xf>
    <xf numFmtId="4" fontId="4" fillId="0" borderId="22" xfId="0" applyNumberFormat="1" applyFont="1" applyBorder="1" applyAlignment="1">
      <alignment horizontal="center" vertical="top" wrapText="1"/>
    </xf>
    <xf numFmtId="4" fontId="4" fillId="0" borderId="24" xfId="0" applyNumberFormat="1" applyFont="1" applyBorder="1" applyAlignment="1">
      <alignment horizontal="center" vertical="top" wrapText="1"/>
    </xf>
    <xf numFmtId="4" fontId="4" fillId="0" borderId="3" xfId="0" applyNumberFormat="1" applyFont="1" applyBorder="1" applyAlignment="1">
      <alignment horizontal="center" vertical="top" wrapText="1"/>
    </xf>
    <xf numFmtId="0" fontId="9" fillId="5" borderId="20" xfId="8" applyFont="1" applyFill="1" applyBorder="1" applyAlignment="1">
      <alignment horizontal="center" vertical="center" wrapText="1"/>
    </xf>
    <xf numFmtId="0" fontId="9" fillId="5" borderId="21" xfId="8" applyFont="1" applyFill="1" applyBorder="1" applyAlignment="1">
      <alignment horizontal="center" vertical="center" wrapText="1"/>
    </xf>
    <xf numFmtId="0" fontId="9" fillId="5" borderId="2" xfId="8" applyFont="1" applyFill="1" applyBorder="1" applyAlignment="1">
      <alignment horizontal="center" vertical="center" wrapText="1"/>
    </xf>
    <xf numFmtId="0" fontId="4" fillId="0" borderId="20" xfId="0" applyFont="1" applyBorder="1" applyAlignment="1">
      <alignment horizontal="center" vertical="top" wrapText="1"/>
    </xf>
    <xf numFmtId="0" fontId="4" fillId="0" borderId="21" xfId="0" applyFont="1" applyBorder="1" applyAlignment="1">
      <alignment horizontal="center" vertical="top" wrapText="1"/>
    </xf>
    <xf numFmtId="0" fontId="4" fillId="0" borderId="2" xfId="0" applyFont="1" applyBorder="1" applyAlignment="1">
      <alignment horizontal="center" vertical="top" wrapText="1"/>
    </xf>
    <xf numFmtId="0" fontId="9" fillId="0" borderId="0" xfId="24" quotePrefix="1" applyFont="1" applyAlignment="1">
      <alignment horizontal="center"/>
    </xf>
    <xf numFmtId="0" fontId="4" fillId="0" borderId="0" xfId="24" quotePrefix="1" applyFont="1" applyAlignment="1">
      <alignment horizontal="center"/>
    </xf>
    <xf numFmtId="0" fontId="4" fillId="0" borderId="0" xfId="24" applyFont="1" applyAlignment="1" applyProtection="1">
      <alignment horizontal="left" vertical="top" wrapText="1"/>
      <protection locked="0"/>
    </xf>
    <xf numFmtId="0" fontId="4" fillId="0" borderId="22"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2" xfId="0" applyFont="1" applyBorder="1" applyAlignment="1">
      <alignment vertical="center" wrapText="1"/>
    </xf>
    <xf numFmtId="0" fontId="4" fillId="0" borderId="24" xfId="0" applyFont="1" applyBorder="1" applyAlignment="1">
      <alignment vertical="center" wrapText="1"/>
    </xf>
    <xf numFmtId="0" fontId="4" fillId="0" borderId="3" xfId="0" applyFont="1" applyBorder="1" applyAlignment="1">
      <alignment vertical="center" wrapText="1"/>
    </xf>
    <xf numFmtId="4" fontId="4" fillId="0" borderId="22" xfId="0" applyNumberFormat="1" applyFont="1" applyBorder="1" applyAlignment="1">
      <alignment horizontal="center" vertical="center" wrapText="1"/>
    </xf>
    <xf numFmtId="4" fontId="4" fillId="0" borderId="24" xfId="0" applyNumberFormat="1" applyFont="1" applyBorder="1" applyAlignment="1">
      <alignment horizontal="center" vertical="center" wrapText="1"/>
    </xf>
    <xf numFmtId="4" fontId="4" fillId="0" borderId="3" xfId="0" applyNumberFormat="1" applyFont="1" applyBorder="1" applyAlignment="1">
      <alignment horizontal="center" vertical="center" wrapText="1"/>
    </xf>
    <xf numFmtId="0" fontId="4"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5" xfId="0" applyFont="1" applyBorder="1" applyAlignment="1">
      <alignment horizontal="center" vertical="top" wrapText="1"/>
    </xf>
    <xf numFmtId="0" fontId="4" fillId="0" borderId="26" xfId="0" applyFont="1" applyBorder="1" applyAlignment="1">
      <alignment horizontal="center" vertical="top" wrapText="1"/>
    </xf>
    <xf numFmtId="0" fontId="4" fillId="0" borderId="27" xfId="0" applyFont="1" applyBorder="1" applyAlignment="1">
      <alignment horizontal="center" vertical="top" wrapText="1"/>
    </xf>
    <xf numFmtId="0" fontId="4" fillId="0" borderId="28" xfId="0" applyFont="1" applyBorder="1" applyAlignment="1">
      <alignment horizontal="center" vertical="top" wrapText="1"/>
    </xf>
    <xf numFmtId="0" fontId="4" fillId="0" borderId="29" xfId="0" applyFont="1" applyBorder="1" applyAlignment="1">
      <alignment horizontal="center" vertical="top" wrapText="1"/>
    </xf>
    <xf numFmtId="0" fontId="4" fillId="0" borderId="4" xfId="0" applyFont="1" applyBorder="1" applyAlignment="1">
      <alignment horizontal="center" vertical="top" wrapText="1"/>
    </xf>
    <xf numFmtId="0" fontId="4" fillId="0" borderId="0" xfId="24" applyFont="1" applyAlignment="1">
      <alignment horizontal="left" vertical="top"/>
    </xf>
    <xf numFmtId="0" fontId="4" fillId="2" borderId="20" xfId="0" applyFont="1" applyFill="1" applyBorder="1" applyAlignment="1">
      <alignment horizontal="center" vertical="top" wrapText="1"/>
    </xf>
    <xf numFmtId="0" fontId="4" fillId="2" borderId="21" xfId="0" applyFont="1" applyFill="1" applyBorder="1" applyAlignment="1">
      <alignment horizontal="center" vertical="top" wrapText="1"/>
    </xf>
    <xf numFmtId="0" fontId="4" fillId="2" borderId="2" xfId="0" applyFont="1" applyFill="1" applyBorder="1" applyAlignment="1">
      <alignment horizontal="center" vertical="top" wrapText="1"/>
    </xf>
    <xf numFmtId="0" fontId="35" fillId="0" borderId="20" xfId="0" applyFont="1" applyBorder="1" applyAlignment="1">
      <alignment horizontal="center" vertical="top" wrapText="1"/>
    </xf>
    <xf numFmtId="4" fontId="35" fillId="0" borderId="22" xfId="0" applyNumberFormat="1" applyFont="1" applyBorder="1" applyAlignment="1">
      <alignment horizontal="center" vertical="top" wrapText="1"/>
    </xf>
    <xf numFmtId="0" fontId="9" fillId="0" borderId="20"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2" xfId="0" applyFont="1" applyBorder="1" applyAlignment="1">
      <alignment horizontal="center" vertical="center" wrapText="1"/>
    </xf>
    <xf numFmtId="0" fontId="35" fillId="0" borderId="20" xfId="0" applyFont="1" applyBorder="1" applyAlignment="1">
      <alignment horizontal="center" vertical="center" wrapText="1"/>
    </xf>
    <xf numFmtId="16" fontId="4" fillId="0" borderId="22" xfId="0" quotePrefix="1" applyNumberFormat="1" applyFont="1" applyBorder="1" applyAlignment="1">
      <alignment horizontal="center" vertical="center" wrapText="1"/>
    </xf>
    <xf numFmtId="16" fontId="4" fillId="0" borderId="3" xfId="0" applyNumberFormat="1" applyFont="1" applyBorder="1" applyAlignment="1">
      <alignment horizontal="center" vertical="center" wrapText="1"/>
    </xf>
    <xf numFmtId="16" fontId="4" fillId="0" borderId="24" xfId="0" applyNumberFormat="1" applyFont="1" applyBorder="1" applyAlignment="1">
      <alignment horizontal="center" vertical="center" wrapText="1"/>
    </xf>
    <xf numFmtId="0" fontId="35" fillId="0" borderId="22" xfId="0" applyFont="1" applyBorder="1" applyAlignment="1">
      <alignment horizontal="center" vertical="center" wrapText="1"/>
    </xf>
    <xf numFmtId="4" fontId="35" fillId="0" borderId="22" xfId="0" applyNumberFormat="1" applyFont="1" applyBorder="1" applyAlignment="1">
      <alignment horizontal="center" vertical="center" wrapText="1"/>
    </xf>
    <xf numFmtId="0" fontId="36" fillId="0" borderId="20" xfId="0" applyFont="1" applyBorder="1" applyAlignment="1">
      <alignment horizontal="center" vertical="center" wrapText="1"/>
    </xf>
    <xf numFmtId="0" fontId="36" fillId="0" borderId="21" xfId="0" applyFont="1" applyBorder="1" applyAlignment="1">
      <alignment horizontal="center" vertical="center" wrapText="1"/>
    </xf>
    <xf numFmtId="0" fontId="36" fillId="0" borderId="2" xfId="0" applyFont="1" applyBorder="1" applyAlignment="1">
      <alignment horizontal="center" vertical="center" wrapText="1"/>
    </xf>
    <xf numFmtId="0" fontId="36" fillId="0" borderId="20" xfId="0" applyFont="1" applyBorder="1" applyAlignment="1">
      <alignment horizontal="center" vertical="top" wrapText="1"/>
    </xf>
    <xf numFmtId="0" fontId="9" fillId="0" borderId="21" xfId="0" applyFont="1" applyBorder="1" applyAlignment="1">
      <alignment horizontal="center" vertical="top" wrapText="1"/>
    </xf>
    <xf numFmtId="0" fontId="9" fillId="0" borderId="2" xfId="0" applyFont="1" applyBorder="1" applyAlignment="1">
      <alignment horizontal="center" vertical="top" wrapText="1"/>
    </xf>
    <xf numFmtId="0" fontId="4" fillId="0" borderId="15" xfId="5" applyFont="1" applyBorder="1" applyAlignment="1">
      <alignment vertical="top" wrapText="1"/>
    </xf>
    <xf numFmtId="0" fontId="4" fillId="0" borderId="6" xfId="5" applyFont="1" applyBorder="1" applyAlignment="1">
      <alignment wrapText="1"/>
    </xf>
    <xf numFmtId="0" fontId="4" fillId="0" borderId="10" xfId="5" applyFont="1" applyBorder="1" applyAlignment="1">
      <alignment horizontal="center" vertical="top" wrapText="1"/>
    </xf>
    <xf numFmtId="0" fontId="4" fillId="0" borderId="15" xfId="5" applyFont="1" applyBorder="1" applyAlignment="1">
      <alignment horizontal="center" vertical="top" wrapText="1"/>
    </xf>
    <xf numFmtId="0" fontId="4" fillId="0" borderId="6" xfId="5" applyFont="1" applyBorder="1" applyAlignment="1">
      <alignment horizontal="right" vertical="top" wrapText="1"/>
    </xf>
    <xf numFmtId="0" fontId="4" fillId="0" borderId="6" xfId="5" applyFont="1" applyBorder="1" applyAlignment="1">
      <alignment horizontal="left" vertical="center" wrapText="1"/>
    </xf>
    <xf numFmtId="0" fontId="9" fillId="0" borderId="0" xfId="5" applyFont="1" applyAlignment="1">
      <alignment horizontal="center" vertical="top" wrapText="1"/>
    </xf>
    <xf numFmtId="0" fontId="4" fillId="0" borderId="0" xfId="5" applyFont="1" applyAlignment="1">
      <alignment horizontal="center" vertical="top" wrapText="1"/>
    </xf>
    <xf numFmtId="0" fontId="9" fillId="0" borderId="0" xfId="5" applyFont="1" applyAlignment="1">
      <alignment horizontal="center"/>
    </xf>
    <xf numFmtId="0" fontId="4" fillId="0" borderId="7" xfId="5" applyFont="1" applyBorder="1" applyAlignment="1">
      <alignment horizontal="center" vertical="top" wrapText="1"/>
    </xf>
    <xf numFmtId="0" fontId="4" fillId="0" borderId="9" xfId="5" applyFont="1" applyBorder="1" applyAlignment="1">
      <alignment horizontal="center" vertical="top" wrapText="1"/>
    </xf>
    <xf numFmtId="0" fontId="9" fillId="0" borderId="0" xfId="5" applyFont="1" applyAlignment="1">
      <alignment horizontal="center" wrapText="1"/>
    </xf>
    <xf numFmtId="0" fontId="34" fillId="0" borderId="0" xfId="5" applyFont="1" applyAlignment="1">
      <alignment horizontal="left" vertical="top" wrapText="1"/>
    </xf>
    <xf numFmtId="0" fontId="4" fillId="0" borderId="0" xfId="5" applyFont="1" applyAlignment="1">
      <alignment vertical="top"/>
    </xf>
    <xf numFmtId="0" fontId="9" fillId="5" borderId="15" xfId="5" applyFont="1" applyFill="1" applyBorder="1" applyAlignment="1">
      <alignment vertical="top" wrapText="1"/>
    </xf>
    <xf numFmtId="4" fontId="4" fillId="0" borderId="6" xfId="3" applyNumberFormat="1" applyFont="1" applyBorder="1" applyAlignment="1">
      <alignment horizontal="right" vertical="top"/>
    </xf>
    <xf numFmtId="0" fontId="2" fillId="0" borderId="0" xfId="3"/>
    <xf numFmtId="0" fontId="4" fillId="0" borderId="6" xfId="0" applyNumberFormat="1" applyFont="1" applyBorder="1" applyAlignment="1">
      <alignment horizontal="right" vertical="top" wrapText="1"/>
    </xf>
  </cellXfs>
  <cellStyles count="29">
    <cellStyle name="Обычный" xfId="0" builtinId="0"/>
    <cellStyle name="Обычный 12" xfId="1"/>
    <cellStyle name="Обычный 12 2" xfId="2"/>
    <cellStyle name="Обычный 2" xfId="3"/>
    <cellStyle name="Обычный 2 2" xfId="4"/>
    <cellStyle name="Обычный 2 3" xfId="5"/>
    <cellStyle name="Обычный 2 4" xfId="6"/>
    <cellStyle name="Обычный 2 5" xfId="7"/>
    <cellStyle name="Обычный 24 8 2" xfId="8"/>
    <cellStyle name="Обычный 24 8 2 2" xfId="9"/>
    <cellStyle name="Обычный 3" xfId="10"/>
    <cellStyle name="Обычный 3 2 2" xfId="11"/>
    <cellStyle name="Обычный 4" xfId="12"/>
    <cellStyle name="Обычный 4 2" xfId="13"/>
    <cellStyle name="Обычный 5" xfId="14"/>
    <cellStyle name="Обычный 6" xfId="15"/>
    <cellStyle name="Обычный 6 3 2 3 2" xfId="16"/>
    <cellStyle name="Обычный 6 3 2 3 2 2" xfId="17"/>
    <cellStyle name="Обычный 6 3 2 4" xfId="18"/>
    <cellStyle name="Обычный 6 3 2 4 2" xfId="19"/>
    <cellStyle name="Обычный 7" xfId="20"/>
    <cellStyle name="Обычный 8" xfId="21"/>
    <cellStyle name="Обычный 9" xfId="22"/>
    <cellStyle name="Обычный_1080  сводный расчет" xfId="23"/>
    <cellStyle name="Обычный_6200_PRT 2 2" xfId="24"/>
    <cellStyle name="Обычный_6200_PRT 2 3" xfId="25"/>
    <cellStyle name="Финансовый 2" xfId="26"/>
    <cellStyle name="Финансовый 3" xfId="27"/>
    <cellStyle name="Финансовый 4" xfId="28"/>
  </cellStyles>
  <dxfs count="61">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0" tint="-0.14996795556505021"/>
        </patternFill>
      </fill>
    </dxf>
    <dxf>
      <fill>
        <patternFill>
          <bgColor theme="0" tint="-0.14996795556505021"/>
        </patternFill>
      </fill>
    </dxf>
    <dxf>
      <fill>
        <patternFill>
          <bgColor theme="2" tint="-9.9948118533890809E-2"/>
        </patternFill>
      </fill>
    </dxf>
    <dxf>
      <fill>
        <patternFill>
          <bgColor theme="2" tint="-9.9948118533890809E-2"/>
        </patternFill>
      </fill>
    </dxf>
    <dxf>
      <fill>
        <patternFill>
          <bgColor theme="0" tint="-0.14996795556505021"/>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rgb="FF9C0006"/>
      </font>
      <fill>
        <patternFill>
          <bgColor rgb="FFFFC7CE"/>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bgColor theme="2" tint="-9.9948118533890809E-2"/>
        </patternFill>
      </fill>
    </dxf>
    <dxf>
      <font>
        <color rgb="FF660033"/>
      </font>
    </dxf>
    <dxf>
      <font>
        <color rgb="FF660033"/>
      </font>
      <fill>
        <patternFill>
          <bgColor theme="0"/>
        </patternFill>
      </fill>
    </dxf>
    <dxf>
      <font>
        <color rgb="FF660033"/>
      </font>
      <fill>
        <patternFill>
          <bgColor theme="0"/>
        </patternFill>
      </fill>
    </dxf>
    <dxf>
      <font>
        <color rgb="FF9C0006"/>
      </font>
      <fill>
        <patternFill>
          <bgColor rgb="FFFFC7CE"/>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4" tint="0.59996337778862885"/>
      </font>
    </dxf>
    <dxf>
      <font>
        <color theme="0"/>
      </font>
      <fill>
        <patternFill patternType="solid">
          <fgColor indexed="2"/>
          <bgColor indexed="2"/>
        </patternFill>
      </fill>
    </dxf>
    <dxf>
      <font>
        <b/>
        <i val="0"/>
        <color indexed="2"/>
      </font>
    </dxf>
    <dxf>
      <font>
        <color theme="4" tint="0.59996337778862885"/>
      </font>
    </dxf>
    <dxf>
      <font>
        <color theme="0"/>
      </font>
      <fill>
        <patternFill patternType="solid">
          <fgColor indexed="2"/>
          <bgColor indexed="2"/>
        </patternFill>
      </fill>
    </dxf>
    <dxf>
      <font>
        <b/>
        <i val="0"/>
        <color indexed="2"/>
      </font>
    </dxf>
    <dxf>
      <font>
        <color rgb="FF660033"/>
      </font>
      <fill>
        <patternFill>
          <bgColor theme="0"/>
        </patternFill>
      </fill>
    </dxf>
    <dxf>
      <font>
        <color rgb="FF660033"/>
      </font>
      <fill>
        <patternFill>
          <bgColor theme="0"/>
        </patternFill>
      </fill>
    </dxf>
    <dxf>
      <font>
        <color rgb="FF9C0006"/>
      </font>
      <fill>
        <patternFill>
          <bgColor rgb="FFFFC7CE"/>
        </patternFill>
      </fill>
    </dxf>
    <dxf>
      <fill>
        <patternFill>
          <bgColor theme="2" tint="-9.9948118533890809E-2"/>
        </patternFill>
      </fill>
    </dxf>
  </dxfs>
  <tableStyles count="0" defaultTableStyle="TableStyleMedium2" defaultPivotStyle="PivotStyleLight16"/>
  <colors>
    <mruColors>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1\uprsp\Documents%20and%20Settings\Stepanova\&#1052;&#1086;&#1080;%20&#1076;&#1086;&#1082;&#1091;&#1084;&#1077;&#1085;&#1090;&#1099;\&#1041;&#1102;&#1076;&#1078;&#1077;&#1090;\&#1041;&#1044;&#1056;-&#1087;&#1083;&#1072;&#1085;%20&#1103;&#1085;&#1074;&#1072;&#1088;&#1100;%20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rvudoc01\peo\&#1052;&#1045;&#1058;&#1054;&#1044;&#1048;&#1050;&#1040;%20&#1055;&#1054;%20&#1055;&#1051;&#1040;&#1053;&#1048;&#1056;&#1054;&#1042;&#1040;&#1053;&#1048;&#1070;%20&#1054;&#1040;&#1054;%20&#1043;&#1040;&#1047;&#1055;&#1056;&#1054;&#1052;\&#1060;&#1072;&#1082;&#1090;%202006\&#1060;&#1040;&#1050;&#1058;_2006\&#1092;&#1080;&#1083;&#1080;&#1072;&#1083;&#1099;_2006_&#1079;&#1072;&#1090;&#1088;&#1072;&#1090;&#1099;_&#1086;&#1078;&#1080;&#1076;&#1072;&#1077;&#1084;&#1086;&#107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ДР"/>
      <sheetName val="БДР св"/>
      <sheetName val="XLR_NoRangeSheet"/>
      <sheetName val="Лист1"/>
      <sheetName val="Код ПИР (ИУС)"/>
      <sheetName val="Справочник"/>
      <sheetName val="Подсказка"/>
      <sheetName val="Классификаторы"/>
      <sheetName val="Объекты"/>
      <sheetName val="Сокращения"/>
      <sheetName val="Контрагенты"/>
      <sheetName val="Предприятия"/>
      <sheetName val="шаблон"/>
      <sheetName val="должности 1CERP"/>
      <sheetName val="БДР_св"/>
      <sheetName val="Main"/>
      <sheetName val="Проводки'02"/>
      <sheetName val="УрРасч"/>
      <sheetName val="АКРасч"/>
      <sheetName val="НЕДЕЛИ"/>
      <sheetName val="Актив1999"/>
      <sheetName val="Исх.дан."/>
      <sheetName val="БДР_св1"/>
      <sheetName val="Исх_дан_"/>
      <sheetName val="Справочники"/>
      <sheetName val="1 Grand Total Project"/>
      <sheetName val="Списки"/>
      <sheetName val="Производства"/>
      <sheetName val="Списки Производств и Продуктов"/>
      <sheetName val="БДР-план январь 06"/>
      <sheetName val="ФИО"/>
      <sheetName val="Матрица оценки рисков"/>
      <sheetName val="ANALIZ"/>
      <sheetName val=""/>
      <sheetName val="Лист3"/>
      <sheetName val="Список"/>
      <sheetName val="145"/>
      <sheetName val="Location (Naming)"/>
      <sheetName val="BuyerSeller (Naming)"/>
      <sheetName val="Process (Naming)"/>
      <sheetName val="Process Cap"/>
      <sheetName val="Product (Naming)"/>
      <sheetName val="ProductBundleDefinition"/>
      <sheetName val="Location Cap"/>
      <sheetName val="Location Handling"/>
      <sheetName val="ProductBundle (Naming)"/>
      <sheetName val="Transportation Capacity"/>
      <sheetName val="sheet1"/>
      <sheetName val="P1 - General"/>
      <sheetName val="Links"/>
      <sheetName val="Lead"/>
      <sheetName val="Levels"/>
      <sheetName val="Cash Flow"/>
      <sheetName val="pasiva-skutečnost"/>
      <sheetName val="TPD Graphs"/>
      <sheetName val="денежный поток"/>
      <sheetName val="Page1"/>
      <sheetName val="equip detail"/>
      <sheetName val="Условия выборки"/>
      <sheetName val="БДР_св2"/>
      <sheetName val="Исх_дан_1"/>
      <sheetName val="1_Grand_Total_Project"/>
      <sheetName val="Списки_Производств_и_Продуктов"/>
      <sheetName val="БДР-план_январь_06"/>
      <sheetName val="Матрица_оценки_рисков"/>
      <sheetName val="Код_ПИР_(ИУС)"/>
      <sheetName val="Location_(Naming)"/>
      <sheetName val="BuyerSeller_(Naming)"/>
      <sheetName val="Process_(Naming)"/>
      <sheetName val="Process_Cap"/>
      <sheetName val="Product_(Naming)"/>
      <sheetName val="Location_Cap"/>
      <sheetName val="Location_Handling"/>
      <sheetName val="ProductBundle_(Naming)"/>
      <sheetName val="Transportation_Capacity"/>
      <sheetName val="P1_-_General"/>
      <sheetName val="Cash_Flow"/>
      <sheetName val="TPD_Graphs"/>
      <sheetName val="денежный_поток"/>
      <sheetName val="equip_detail"/>
      <sheetName val="SUMMARY CHART"/>
      <sheetName val="Summary"/>
      <sheetName val="plng_lvl"/>
      <sheetName val="MRF"/>
      <sheetName val="drum"/>
      <sheetName val="rsoilbal"/>
      <sheetName val="информация"/>
      <sheetName val="СметаСводная"/>
      <sheetName val="топо"/>
      <sheetName val="СметаСводная павильон"/>
      <sheetName val="топография"/>
      <sheetName val="согласования"/>
      <sheetName val="Cover"/>
      <sheetName val="курс"/>
      <sheetName val="main_parameters"/>
      <sheetName val="eqpmad2"/>
      <sheetName val="БДР_св3"/>
      <sheetName val="Исх_дан_2"/>
      <sheetName val="1_Grand_Total_Project1"/>
      <sheetName val="Списки_Производств_и_Продуктов1"/>
      <sheetName val="БДР-план_январь_061"/>
      <sheetName val="Матрица_оценки_рисков1"/>
      <sheetName val="Код_ПИР_(ИУС)1"/>
      <sheetName val="Location_(Naming)1"/>
      <sheetName val="BuyerSeller_(Naming)1"/>
      <sheetName val="Process_(Naming)1"/>
      <sheetName val="Process_Cap1"/>
      <sheetName val="Product_(Naming)1"/>
      <sheetName val="Location_Cap1"/>
      <sheetName val="Location_Handling1"/>
      <sheetName val="ProductBundle_(Naming)1"/>
      <sheetName val="Transportation_Capacity1"/>
      <sheetName val="P1_-_General1"/>
      <sheetName val="Cash_Flow1"/>
      <sheetName val="TPD_Graphs1"/>
      <sheetName val="денежный_поток1"/>
      <sheetName val="equip_detail1"/>
      <sheetName val="SUMMARY_CHART"/>
      <sheetName val="output"/>
      <sheetName val="parameters"/>
      <sheetName val="options_valuation"/>
      <sheetName val="economics_source"/>
      <sheetName val="option_capex"/>
      <sheetName val="finansal tamamlanma eğrisi"/>
      <sheetName val="proforma"/>
      <sheetName val="escon"/>
      <sheetName val="TABLO-3"/>
      <sheetName val="Заявка"/>
      <sheetName val="A"/>
      <sheetName val="2010"/>
      <sheetName val="TIE-INS"/>
      <sheetName val="Авансы по СНГ"/>
      <sheetName val="Основные"/>
      <sheetName val="H2O (air, acid gas)"/>
      <sheetName val="на 1 тут"/>
    </sheetNames>
    <sheetDataSet>
      <sheetData sheetId="0">
        <row r="6">
          <cell r="C6" t="str">
            <v>Январь 2006г.</v>
          </cell>
        </row>
      </sheetData>
      <sheetData sheetId="1">
        <row r="6">
          <cell r="C6" t="str">
            <v>Январь 2006г.</v>
          </cell>
        </row>
      </sheetData>
      <sheetData sheetId="2" refreshError="1">
        <row r="6">
          <cell r="C6" t="str">
            <v>Январь 2006г.</v>
          </cell>
        </row>
      </sheetData>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6">
          <cell r="C6" t="str">
            <v>Январь 2006г.</v>
          </cell>
        </row>
      </sheetData>
      <sheetData sheetId="60">
        <row r="6">
          <cell r="C6" t="str">
            <v>Январь 2006г.</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ow r="6">
          <cell r="C6" t="str">
            <v>Январь 2006г.</v>
          </cell>
        </row>
      </sheetData>
      <sheetData sheetId="75">
        <row r="6">
          <cell r="C6" t="str">
            <v>Январь 2006г.</v>
          </cell>
        </row>
      </sheetData>
      <sheetData sheetId="76"/>
      <sheetData sheetId="77"/>
      <sheetData sheetId="78"/>
      <sheetData sheetId="79">
        <row r="6">
          <cell r="C6" t="str">
            <v>Январь 2006г.</v>
          </cell>
        </row>
      </sheetData>
      <sheetData sheetId="80">
        <row r="6">
          <cell r="C6" t="str">
            <v>Январь 2006г.</v>
          </cell>
        </row>
      </sheetData>
      <sheetData sheetId="81">
        <row r="6">
          <cell r="C6" t="str">
            <v>Январь 2006г.</v>
          </cell>
        </row>
      </sheetData>
      <sheetData sheetId="82" refreshError="1"/>
      <sheetData sheetId="83" refreshError="1"/>
      <sheetData sheetId="84" refreshError="1"/>
      <sheetData sheetId="85" refreshError="1"/>
      <sheetData sheetId="86" refreshError="1"/>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ow r="6">
          <cell r="C6" t="str">
            <v>Январь 2006г.</v>
          </cell>
        </row>
      </sheetData>
      <sheetData sheetId="97">
        <row r="6">
          <cell r="C6" t="str">
            <v>Январь 2006г.</v>
          </cell>
        </row>
      </sheetData>
      <sheetData sheetId="98">
        <row r="6">
          <cell r="C6" t="str">
            <v>Январь 2006г.</v>
          </cell>
        </row>
      </sheetData>
      <sheetData sheetId="99">
        <row r="6">
          <cell r="C6" t="str">
            <v>Январь 2006г.</v>
          </cell>
        </row>
      </sheetData>
      <sheetData sheetId="100">
        <row r="6">
          <cell r="C6" t="str">
            <v>Январь 2006г.</v>
          </cell>
        </row>
      </sheetData>
      <sheetData sheetId="101">
        <row r="6">
          <cell r="C6" t="str">
            <v>Январь 2006г.</v>
          </cell>
        </row>
      </sheetData>
      <sheetData sheetId="102">
        <row r="6">
          <cell r="C6" t="str">
            <v>Январь 2006г.</v>
          </cell>
        </row>
      </sheetData>
      <sheetData sheetId="103">
        <row r="6">
          <cell r="C6" t="str">
            <v>Январь 2006г.</v>
          </cell>
        </row>
      </sheetData>
      <sheetData sheetId="104">
        <row r="6">
          <cell r="C6" t="str">
            <v>Январь 2006г.</v>
          </cell>
        </row>
      </sheetData>
      <sheetData sheetId="105">
        <row r="6">
          <cell r="C6" t="str">
            <v>Январь 2006г.</v>
          </cell>
        </row>
      </sheetData>
      <sheetData sheetId="106">
        <row r="6">
          <cell r="C6" t="str">
            <v>Январь 2006г.</v>
          </cell>
        </row>
      </sheetData>
      <sheetData sheetId="107">
        <row r="6">
          <cell r="C6" t="str">
            <v>Январь 2006г.</v>
          </cell>
        </row>
      </sheetData>
      <sheetData sheetId="108">
        <row r="6">
          <cell r="C6" t="str">
            <v>Январь 2006г.</v>
          </cell>
        </row>
      </sheetData>
      <sheetData sheetId="109">
        <row r="6">
          <cell r="C6" t="str">
            <v>Январь 2006г.</v>
          </cell>
        </row>
      </sheetData>
      <sheetData sheetId="110">
        <row r="6">
          <cell r="C6" t="str">
            <v>Январь 2006г.</v>
          </cell>
        </row>
      </sheetData>
      <sheetData sheetId="111">
        <row r="6">
          <cell r="C6" t="str">
            <v>Январь 2006г.</v>
          </cell>
        </row>
      </sheetData>
      <sheetData sheetId="112">
        <row r="6">
          <cell r="C6" t="str">
            <v>Январь 2006г.</v>
          </cell>
        </row>
      </sheetData>
      <sheetData sheetId="113">
        <row r="6">
          <cell r="C6" t="str">
            <v>Январь 2006г.</v>
          </cell>
        </row>
      </sheetData>
      <sheetData sheetId="114">
        <row r="6">
          <cell r="C6" t="str">
            <v>Январь 2006г.</v>
          </cell>
        </row>
      </sheetData>
      <sheetData sheetId="115">
        <row r="6">
          <cell r="C6" t="str">
            <v>Январь 2006г.</v>
          </cell>
        </row>
      </sheetData>
      <sheetData sheetId="116">
        <row r="6">
          <cell r="C6" t="str">
            <v>Январь 2006г.</v>
          </cell>
        </row>
      </sheetData>
      <sheetData sheetId="117">
        <row r="6">
          <cell r="C6" t="str">
            <v>Январь 2006г.</v>
          </cell>
        </row>
      </sheetData>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вз"/>
      <sheetName val="ОСЭ_ЯРЭУ"/>
      <sheetName val="энергия"/>
      <sheetName val="ЯСК"/>
      <sheetName val="УОМ"/>
      <sheetName val="ЯРЭУ"/>
      <sheetName val="ДРЭУ"/>
      <sheetName val="УТС"/>
      <sheetName val="УА"/>
      <sheetName val="СБ"/>
      <sheetName val="РЭУ"/>
      <sheetName val="РМУ"/>
      <sheetName val="МСЧ"/>
      <sheetName val="ГПУ"/>
      <sheetName val="НГДУ"/>
      <sheetName val="УНИПР"/>
      <sheetName val="УГРиЛМ"/>
      <sheetName val="УИиРС"/>
      <sheetName val="УСО(23,92)"/>
      <sheetName val="процент УР"/>
      <sheetName val="смета"/>
      <sheetName val="Лист"/>
      <sheetName val="УТТиСТ"/>
      <sheetName val="АУП"/>
      <sheetName val="ОХР"/>
      <sheetName val="УИТ"/>
      <sheetName val="УНИПР_ОХР"/>
      <sheetName val="УНИПР_ЯМ"/>
      <sheetName val="УНИПР_ЗМ"/>
      <sheetName val="УГРиЛМ_ОХР"/>
      <sheetName val="УГРиЛМ_ЯГС"/>
      <sheetName val="УГРиЛМ_ЗГС"/>
      <sheetName val="УГРиЛМ_СГКИ"/>
      <sheetName val="УГРиЛМ_УРБ"/>
      <sheetName val="СВП"/>
      <sheetName val="СВП-авиа"/>
      <sheetName val="типография"/>
      <sheetName val="МГС_Ям"/>
      <sheetName val="МГС_ЗМ"/>
      <sheetName val="ЦПДС"/>
      <sheetName val="АУП_РП25"/>
      <sheetName val="затраты"/>
      <sheetName val="численность"/>
      <sheetName val="октябрь"/>
      <sheetName val="ингибиторы"/>
      <sheetName val="СВП_авиа"/>
      <sheetName val="XLR_NoRangeSheet"/>
      <sheetName val="TECHSHEET"/>
      <sheetName val="оглавление"/>
      <sheetName val="35998"/>
      <sheetName val="44"/>
      <sheetName val="92"/>
      <sheetName val="94"/>
      <sheetName val="97"/>
      <sheetName val="Stat"/>
      <sheetName val="форма 19"/>
      <sheetName val="25"/>
      <sheetName val="26"/>
      <sheetName val="29"/>
      <sheetName val="МП"/>
      <sheetName val="СРТ"/>
      <sheetName val="УСО"/>
      <sheetName val="1"/>
      <sheetName val="УКиСР"/>
      <sheetName val="Медслужба"/>
      <sheetName val="Настройки"/>
      <sheetName val="Тарифы"/>
      <sheetName val="Справочник финансовых позиций"/>
      <sheetName val="Спецификация"/>
      <sheetName val="Element"/>
      <sheetName val="Данные"/>
      <sheetName val="Критерии"/>
      <sheetName val="Волгоград Ойл"/>
      <sheetName val="График_инвестиций"/>
      <sheetName val="16.ОСП аналит"/>
      <sheetName val="2.-1 кв"/>
      <sheetName val="ГДН_1кв"/>
      <sheetName val="НГД"/>
      <sheetName val="ОБ"/>
      <sheetName val="ВСХ"/>
      <sheetName val="Огл. Графиков"/>
      <sheetName val="Текущие цены"/>
      <sheetName val="рабочий"/>
      <sheetName val="окраска"/>
      <sheetName val="все"/>
      <sheetName val="филиалы_2006_затраты_ожидаемое"/>
      <sheetName val="Jamb"/>
      <sheetName val="Qнак нач"/>
      <sheetName val="Справочники"/>
      <sheetName val="TEHSHEET"/>
      <sheetName val="FES"/>
      <sheetName val="Справочник"/>
      <sheetName val="2"/>
      <sheetName val="3"/>
      <sheetName val="4"/>
      <sheetName val="5"/>
      <sheetName val="6"/>
      <sheetName val="Свод по участ. техн. транстпорт"/>
      <sheetName val="Appendix 1"/>
      <sheetName val="Группы ДО"/>
      <sheetName val="Реестр"/>
      <sheetName val="ActiveList"/>
      <sheetName val="Заявка_2_квартал"/>
      <sheetName val=" отчет за 8 мес"/>
      <sheetName val="МВЗ (92 сч.)_1 кв."/>
      <sheetName val="МВЗ (92 сч.)_2 кв."/>
      <sheetName val="МВЗ (92 сч.)_3 кв."/>
      <sheetName val="МВЗ (92 сч.)_4 кв."/>
      <sheetName val="5-014-В"/>
      <sheetName val="Общие"/>
      <sheetName val="Смета-МНГП"/>
      <sheetName val="Лист1"/>
      <sheetName val="Код ПИР (ИУС)"/>
      <sheetName val="Справочник статей"/>
      <sheetName val="Справочник Источника"/>
      <sheetName val="Справочник филиалов"/>
      <sheetName val="ч.1"/>
      <sheetName val="процент_УР"/>
      <sheetName val="процент_УР1"/>
      <sheetName val="1 кв"/>
      <sheetName val="Форма для штат. расст."/>
      <sheetName val="процент_УР2"/>
      <sheetName val="форма_19"/>
      <sheetName val="Справочник_финансовых_позиций"/>
      <sheetName val="Волгоград_Ойл"/>
      <sheetName val="16_ОСП_аналит"/>
      <sheetName val="2_-1_кв"/>
      <sheetName val="Qнак_нач"/>
      <sheetName val="Огл__Графиков"/>
      <sheetName val="Текущие_цены"/>
      <sheetName val="Свод_по_участ__техн__транстпорт"/>
      <sheetName val="Appendix_1"/>
      <sheetName val="Группы_ДО"/>
      <sheetName val="_отчет_за_8_мес"/>
      <sheetName val="МВЗ_(92_сч_)_1_кв_"/>
      <sheetName val="МВЗ_(92_сч_)_2_кв_"/>
      <sheetName val="МВЗ_(92_сч_)_3_кв_"/>
      <sheetName val="МВЗ_(92_сч_)_4_кв_"/>
      <sheetName val="Код_ПИР_(ИУС)"/>
      <sheetName val="Справочник_статей"/>
      <sheetName val="Справочник_Источника"/>
      <sheetName val="Справочник_филиалов"/>
      <sheetName val="ч_1"/>
      <sheetName val="Форма_для_штат__расст_"/>
      <sheetName val="1_кв"/>
      <sheetName val="процент_УР3"/>
      <sheetName val="форма_191"/>
      <sheetName val="Справочник_финансовых_позиций1"/>
      <sheetName val="Волгоград_Ойл1"/>
      <sheetName val="16_ОСП_аналит1"/>
      <sheetName val="2_-1_кв1"/>
      <sheetName val="Qнак_нач1"/>
      <sheetName val="Огл__Графиков1"/>
      <sheetName val="Текущие_цены1"/>
      <sheetName val="Свод_по_участ__техн__транстпор1"/>
      <sheetName val="Appendix_11"/>
      <sheetName val="Группы_ДО1"/>
      <sheetName val="_отчет_за_8_мес1"/>
      <sheetName val="МВЗ_(92_сч_)_1_кв_1"/>
      <sheetName val="МВЗ_(92_сч_)_2_кв_1"/>
      <sheetName val="МВЗ_(92_сч_)_3_кв_1"/>
      <sheetName val="МВЗ_(92_сч_)_4_кв_1"/>
      <sheetName val="Код_ПИР_(ИУС)1"/>
      <sheetName val="Справочник_статей1"/>
      <sheetName val="Справочник_Источника1"/>
      <sheetName val="Справочник_филиалов1"/>
      <sheetName val="ч_11"/>
      <sheetName val="прилож.12 к п.2.14"/>
      <sheetName val="Прилож.2 к п.1.2"/>
      <sheetName val="уд ТИ"/>
      <sheetName val="оборуд_1"/>
      <sheetName val="15"/>
      <sheetName val="16"/>
      <sheetName val="17.1"/>
      <sheetName val="21.3"/>
      <sheetName val="18.2"/>
      <sheetName val="2.3"/>
      <sheetName val="20"/>
      <sheetName val="27"/>
      <sheetName val="P2.1"/>
      <sheetName val="Заголовок"/>
      <sheetName val="Лист3"/>
      <sheetName val="Виды работ"/>
      <sheetName val="Выполнение"/>
      <sheetName val="fc"/>
      <sheetName val="Ожидаемые"/>
      <sheetName val="КПГ"/>
      <sheetName val="Направления деятельности"/>
      <sheetName val="Свод"/>
      <sheetName val="Причины не начатых в срок работ"/>
      <sheetName val="Списки"/>
      <sheetName val="Расчет стоимости проекта"/>
      <sheetName val=""/>
      <sheetName val="процент_УР4"/>
      <sheetName val="форма_192"/>
      <sheetName val="Справочник_финансовых_позиций2"/>
      <sheetName val="Волгоград_Ойл2"/>
      <sheetName val="16_ОСП_аналит2"/>
      <sheetName val="2_-1_кв2"/>
      <sheetName val="Огл__Графиков2"/>
      <sheetName val="Текущие_цены2"/>
      <sheetName val="Qнак_нач2"/>
      <sheetName val="Свод_по_участ__техн__транстпор2"/>
      <sheetName val="Appendix_12"/>
      <sheetName val="Группы_ДО2"/>
      <sheetName val="_отчет_за_8_мес2"/>
      <sheetName val="МВЗ_(92_сч_)_1_кв_2"/>
      <sheetName val="МВЗ_(92_сч_)_2_кв_2"/>
      <sheetName val="МВЗ_(92_сч_)_3_кв_2"/>
      <sheetName val="МВЗ_(92_сч_)_4_кв_2"/>
      <sheetName val="Код_ПИР_(ИУС)2"/>
      <sheetName val="Справочник_статей2"/>
      <sheetName val="Справочник_Источника2"/>
      <sheetName val="Справочник_филиалов2"/>
      <sheetName val="ч_12"/>
      <sheetName val="1_кв1"/>
      <sheetName val="Форма_для_штат__расст_1"/>
      <sheetName val="уд_ТИ"/>
      <sheetName val="прилож_12_к_п_2_14"/>
      <sheetName val="Прилож_2_к_п_1_2"/>
      <sheetName val="17_1"/>
      <sheetName val="21_3"/>
      <sheetName val="18_2"/>
      <sheetName val="2_3"/>
      <sheetName val="P2_1"/>
      <sheetName val="перекрестка"/>
      <sheetName val="6Б. Сводн эк-ка-факт"/>
      <sheetName val="DATE"/>
      <sheetName val="пермская"/>
      <sheetName val="1.9"/>
      <sheetName val="Таблицы"/>
      <sheetName val="Филиалы"/>
      <sheetName val="ф2"/>
      <sheetName val="ф1"/>
      <sheetName val="январь"/>
      <sheetName val="СВОД_срез "/>
      <sheetName val="Переменные"/>
      <sheetName val="Support"/>
      <sheetName val="Справочник ЭЦН"/>
      <sheetName val="Справочник по пластам"/>
      <sheetName val="ипц2002-2004"/>
      <sheetName val="1999"/>
      <sheetName val="Курсы"/>
      <sheetName val="Rev"/>
      <sheetName val="Пообъектный план (квартал)"/>
      <sheetName val="процент_УР5"/>
      <sheetName val="форма_193"/>
      <sheetName val="Справочник_финансовых_позиций3"/>
      <sheetName val="Волгоград_Ойл3"/>
      <sheetName val="16_ОСП_аналит3"/>
      <sheetName val="2_-1_кв3"/>
      <sheetName val="Огл__Графиков3"/>
      <sheetName val="Текущие_цены3"/>
      <sheetName val="Qнак_нач3"/>
      <sheetName val="Свод_по_участ__техн__транстпор3"/>
      <sheetName val="Appendix_13"/>
      <sheetName val="Группы_ДО3"/>
      <sheetName val="_отчет_за_8_мес3"/>
      <sheetName val="МВЗ_(92_сч_)_1_кв_3"/>
      <sheetName val="МВЗ_(92_сч_)_2_кв_3"/>
      <sheetName val="МВЗ_(92_сч_)_3_кв_3"/>
      <sheetName val="МВЗ_(92_сч_)_4_кв_3"/>
      <sheetName val="Код_ПИР_(ИУС)3"/>
      <sheetName val="Справочник_статей3"/>
      <sheetName val="Справочник_Источника3"/>
      <sheetName val="Справочник_филиалов3"/>
      <sheetName val="ч_13"/>
      <sheetName val="1_кв2"/>
      <sheetName val="Форма_для_штат__расст_2"/>
      <sheetName val="прилож_12_к_п_2_141"/>
      <sheetName val="Прилож_2_к_п_1_21"/>
      <sheetName val="уд_ТИ1"/>
      <sheetName val="17_11"/>
      <sheetName val="21_31"/>
      <sheetName val="18_21"/>
      <sheetName val="2_31"/>
      <sheetName val="P2_11"/>
      <sheetName val="Расчет_стоимости_проекта"/>
      <sheetName val="Виды_работ"/>
      <sheetName val="Направления_деятельности"/>
      <sheetName val="Причины_не_начатых_в_срок_работ"/>
      <sheetName val="6Б__Сводн_эк-ка-факт"/>
      <sheetName val="СВОД_срез_"/>
      <sheetName val="Справочник_ЭЦН"/>
      <sheetName val="Справочник_по_пластам"/>
      <sheetName val="Пообъектный_план_(квартал)"/>
      <sheetName val="Дебет_Кредит"/>
      <sheetName val="Объекты контроля"/>
      <sheetName val="Вводные (не редактировать)"/>
      <sheetName val="03_Направление и описание КР"/>
      <sheetName val="01-02 (БДиР Общества)"/>
      <sheetName val="процент_УР6"/>
      <sheetName val="форма_194"/>
      <sheetName val="Справочник_финансовых_позиций4"/>
      <sheetName val="Волгоград_Ойл4"/>
      <sheetName val="16_ОСП_аналит4"/>
      <sheetName val="2_-1_кв4"/>
      <sheetName val="Огл__Графиков4"/>
      <sheetName val="Текущие_цены4"/>
      <sheetName val="Qнак_нач4"/>
      <sheetName val="Свод_по_участ__техн__транстпор4"/>
      <sheetName val="Appendix_14"/>
      <sheetName val="Группы_ДО4"/>
      <sheetName val="_отчет_за_8_мес4"/>
      <sheetName val="МВЗ_(92_сч_)_1_кв_4"/>
      <sheetName val="МВЗ_(92_сч_)_2_кв_4"/>
      <sheetName val="МВЗ_(92_сч_)_3_кв_4"/>
      <sheetName val="МВЗ_(92_сч_)_4_кв_4"/>
      <sheetName val="Код_ПИР_(ИУС)4"/>
      <sheetName val="Справочник_статей4"/>
      <sheetName val="Справочник_Источника4"/>
      <sheetName val="Справочник_филиалов4"/>
      <sheetName val="ч_14"/>
      <sheetName val="1_кв3"/>
      <sheetName val="Форма_для_штат__расст_3"/>
      <sheetName val="прилож_12_к_п_2_142"/>
      <sheetName val="Прилож_2_к_п_1_22"/>
      <sheetName val="уд_ТИ2"/>
      <sheetName val="17_12"/>
      <sheetName val="21_32"/>
      <sheetName val="18_22"/>
      <sheetName val="2_32"/>
      <sheetName val="P2_12"/>
      <sheetName val="Виды_работ1"/>
      <sheetName val="Направления_деятельности1"/>
      <sheetName val="Причины_не_начатых_в_срок_рабо1"/>
      <sheetName val="Расчет_стоимости_проекта1"/>
      <sheetName val="6Б__Сводн_эк-ка-факт1"/>
      <sheetName val="СВОД_срез_1"/>
      <sheetName val="Справочник_ЭЦН1"/>
      <sheetName val="Справочник_по_пластам1"/>
      <sheetName val="Пообъектный_план_(квартал)1"/>
      <sheetName val="Таблицы МТР ТП"/>
      <sheetName val="обновление"/>
      <sheetName val="цена"/>
      <sheetName val="product"/>
      <sheetName val="спр"/>
      <sheetName val="AMOR"/>
      <sheetName val="Списки2"/>
      <sheetName val="Инструкция"/>
      <sheetName val="№11"/>
      <sheetName val="№1"/>
      <sheetName val="№2"/>
      <sheetName val="vec"/>
      <sheetName val="Структуры ДО 2014 год"/>
      <sheetName val="rsoilbal"/>
      <sheetName val="принятые в 2010 г."/>
      <sheetName val="форма 7 (скважины)"/>
      <sheetName val="П"/>
      <sheetName val="5-021-в"/>
      <sheetName val="TECH3"/>
      <sheetName val="урология-в расчет(голубкин)"/>
      <sheetName val="урология-в расчет(321)"/>
      <sheetName val="Лист2"/>
      <sheetName val="11-01 (БР Тр.газа-филиалы)"/>
      <sheetName val="7.2"/>
      <sheetName val="7.1"/>
      <sheetName val="Основной план 154627"/>
      <sheetName val="раздел1"/>
      <sheetName val="раздел2"/>
      <sheetName val="раздел3"/>
      <sheetName val="топография"/>
      <sheetName val="СметаСводная Рыб"/>
      <sheetName val="ЛЧ"/>
      <sheetName val="Общ"/>
      <sheetName val="24"/>
      <sheetName val="Инфа"/>
      <sheetName val="05-02 (БДиР услуги Тр.конд)"/>
      <sheetName val="03-01 (БДиР Тр. газа)"/>
      <sheetName val="Свод2006"/>
      <sheetName val="03-06 (БДиР Добыча нефти)"/>
      <sheetName val="Work"/>
      <sheetName val="Спецоснастка"/>
      <sheetName val="справ_статьи_ услуги"/>
      <sheetName val="справ команд"/>
      <sheetName val="справ аморт"/>
      <sheetName val="Справ ТС"/>
      <sheetName val="BACT"/>
      <sheetName val="Data"/>
      <sheetName val="информация"/>
      <sheetName val="Дополнительные параметры"/>
      <sheetName val="сс"/>
      <sheetName val="форма 11 (сроки гто)"/>
      <sheetName val="Аппарат"/>
      <sheetName val="P.Acid"/>
      <sheetName val="Override"/>
      <sheetName val="IFA"/>
      <sheetName val="FST5"/>
      <sheetName val="Capacity"/>
      <sheetName val="Population"/>
      <sheetName val="BioFuel"/>
      <sheetName val="12. операц расх"/>
      <sheetName val="11.ВНР"/>
      <sheetName val="услуги филиалов"/>
      <sheetName val="valuation characteristics"/>
      <sheetName val="на 1 тут"/>
      <sheetName val="Выбор ДОО (только для ЦНИС)"/>
      <sheetName val="Fact4"/>
      <sheetName val="Fact5"/>
      <sheetName val="Fact1"/>
      <sheetName val="Fact2"/>
      <sheetName val="Plan2_14_6"/>
      <sheetName val="PlanOtherForm"/>
      <sheetName val="PlanCOSSM"/>
      <sheetName val="Fact3"/>
      <sheetName val="ФедД"/>
      <sheetName val="б_план"/>
      <sheetName val="08"/>
      <sheetName val="23"/>
      <sheetName val="услуги"/>
      <sheetName val="процент_УР7"/>
      <sheetName val="форма_195"/>
      <sheetName val="Справочник_финансовых_позиций5"/>
      <sheetName val="Волгоград_Ойл5"/>
      <sheetName val="16_ОСП_аналит5"/>
      <sheetName val="2_-1_кв5"/>
      <sheetName val="Qнак_нач5"/>
      <sheetName val="Огл__Графиков5"/>
      <sheetName val="Текущие_цены5"/>
      <sheetName val="Свод_по_участ__техн__транстпор5"/>
      <sheetName val="Appendix_15"/>
      <sheetName val="Группы_ДО5"/>
      <sheetName val="_отчет_за_8_мес5"/>
      <sheetName val="МВЗ_(92_сч_)_1_кв_5"/>
      <sheetName val="МВЗ_(92_сч_)_2_кв_5"/>
      <sheetName val="МВЗ_(92_сч_)_3_кв_5"/>
      <sheetName val="МВЗ_(92_сч_)_4_кв_5"/>
      <sheetName val="Код_ПИР_(ИУС)5"/>
      <sheetName val="Справочник_статей5"/>
      <sheetName val="Справочник_Источника5"/>
      <sheetName val="Справочник_филиалов5"/>
      <sheetName val="ч_15"/>
      <sheetName val="1_кв4"/>
      <sheetName val="Форма_для_штат__расст_4"/>
      <sheetName val="уд_ТИ3"/>
      <sheetName val="прилож_12_к_п_2_143"/>
      <sheetName val="Прилож_2_к_п_1_23"/>
      <sheetName val="17_13"/>
      <sheetName val="21_33"/>
      <sheetName val="18_23"/>
      <sheetName val="2_33"/>
      <sheetName val="P2_13"/>
      <sheetName val="6Б__Сводн_эк-ка-факт2"/>
      <sheetName val="Виды_работ2"/>
      <sheetName val="Направления_деятельности2"/>
      <sheetName val="Причины_не_начатых_в_срок_рабо2"/>
      <sheetName val="Расчет_стоимости_проекта2"/>
      <sheetName val="СВОД_срез_2"/>
      <sheetName val="Справочник_ЭЦН2"/>
      <sheetName val="Справочник_по_пластам2"/>
      <sheetName val="Пообъектный_план_(квартал)2"/>
      <sheetName val="Вводные_(не_редактировать)"/>
      <sheetName val="03_Направление_и_описание_КР"/>
      <sheetName val="Объекты_контроля"/>
      <sheetName val="01-02_(БДиР_Общества)"/>
      <sheetName val="1_9"/>
      <sheetName val="Таблицы_МТР_ТП"/>
      <sheetName val="принятые_в_2010_г_"/>
      <sheetName val="форма_7_(скважины)"/>
      <sheetName val="справ_статьи__услуги"/>
      <sheetName val="справ_команд"/>
      <sheetName val="справ_аморт"/>
      <sheetName val="Справ_ТС"/>
      <sheetName val="урология-в_расчет(голубкин)"/>
      <sheetName val="урология-в_расчет(321)"/>
      <sheetName val="11-01_(БР_Тр_газа-филиалы)"/>
      <sheetName val="7_2"/>
      <sheetName val="7_1"/>
      <sheetName val="Основной_план_154627"/>
      <sheetName val="synthgraph"/>
      <sheetName val="sum"/>
      <sheetName val="ид"/>
      <sheetName val="Средние"/>
      <sheetName val="крузенштерн (неоком)"/>
      <sheetName val="Выбо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efreshError="1"/>
      <sheetData sheetId="333" refreshError="1"/>
      <sheetData sheetId="334" refreshError="1"/>
      <sheetData sheetId="335" refreshError="1"/>
      <sheetData sheetId="336" refreshError="1"/>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sheetData sheetId="366"/>
      <sheetData sheetId="367"/>
      <sheetData sheetId="368"/>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refreshError="1"/>
      <sheetData sheetId="470" refreshError="1"/>
      <sheetData sheetId="471" refreshError="1"/>
      <sheetData sheetId="472"/>
      <sheetData sheetId="473" refreshError="1"/>
      <sheetData sheetId="474"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1"/>
  <sheetViews>
    <sheetView view="pageBreakPreview" zoomScale="70" zoomScaleSheetLayoutView="70" workbookViewId="0">
      <selection activeCell="C23" sqref="C23"/>
    </sheetView>
  </sheetViews>
  <sheetFormatPr defaultRowHeight="12.75" x14ac:dyDescent="0.2"/>
  <cols>
    <col min="1" max="1" width="7" style="535" bestFit="1" customWidth="1"/>
    <col min="2" max="2" width="47.42578125" style="555" customWidth="1"/>
    <col min="3" max="3" width="24.5703125" style="535" customWidth="1"/>
    <col min="4" max="4" width="29.28515625" style="535" customWidth="1"/>
    <col min="5" max="5" width="15.5703125" style="534" bestFit="1" customWidth="1"/>
    <col min="6" max="6" width="9.140625" style="534"/>
    <col min="7" max="256" width="9.140625" style="535"/>
    <col min="257" max="257" width="7" style="535" bestFit="1" customWidth="1"/>
    <col min="258" max="258" width="45" style="535" customWidth="1"/>
    <col min="259" max="259" width="21.42578125" style="535" customWidth="1"/>
    <col min="260" max="260" width="29.28515625" style="535" customWidth="1"/>
    <col min="261" max="261" width="15.5703125" style="535" bestFit="1" customWidth="1"/>
    <col min="262" max="512" width="9.140625" style="535"/>
    <col min="513" max="513" width="7" style="535" bestFit="1" customWidth="1"/>
    <col min="514" max="514" width="45" style="535" customWidth="1"/>
    <col min="515" max="515" width="21.42578125" style="535" customWidth="1"/>
    <col min="516" max="516" width="29.28515625" style="535" customWidth="1"/>
    <col min="517" max="517" width="15.5703125" style="535" bestFit="1" customWidth="1"/>
    <col min="518" max="768" width="9.140625" style="535"/>
    <col min="769" max="769" width="7" style="535" bestFit="1" customWidth="1"/>
    <col min="770" max="770" width="45" style="535" customWidth="1"/>
    <col min="771" max="771" width="21.42578125" style="535" customWidth="1"/>
    <col min="772" max="772" width="29.28515625" style="535" customWidth="1"/>
    <col min="773" max="773" width="15.5703125" style="535" bestFit="1" customWidth="1"/>
    <col min="774" max="1024" width="9.140625" style="535"/>
    <col min="1025" max="1025" width="7" style="535" bestFit="1" customWidth="1"/>
    <col min="1026" max="1026" width="45" style="535" customWidth="1"/>
    <col min="1027" max="1027" width="21.42578125" style="535" customWidth="1"/>
    <col min="1028" max="1028" width="29.28515625" style="535" customWidth="1"/>
    <col min="1029" max="1029" width="15.5703125" style="535" bestFit="1" customWidth="1"/>
    <col min="1030" max="1280" width="9.140625" style="535"/>
    <col min="1281" max="1281" width="7" style="535" bestFit="1" customWidth="1"/>
    <col min="1282" max="1282" width="45" style="535" customWidth="1"/>
    <col min="1283" max="1283" width="21.42578125" style="535" customWidth="1"/>
    <col min="1284" max="1284" width="29.28515625" style="535" customWidth="1"/>
    <col min="1285" max="1285" width="15.5703125" style="535" bestFit="1" customWidth="1"/>
    <col min="1286" max="1536" width="9.140625" style="535"/>
    <col min="1537" max="1537" width="7" style="535" bestFit="1" customWidth="1"/>
    <col min="1538" max="1538" width="45" style="535" customWidth="1"/>
    <col min="1539" max="1539" width="21.42578125" style="535" customWidth="1"/>
    <col min="1540" max="1540" width="29.28515625" style="535" customWidth="1"/>
    <col min="1541" max="1541" width="15.5703125" style="535" bestFit="1" customWidth="1"/>
    <col min="1542" max="1792" width="9.140625" style="535"/>
    <col min="1793" max="1793" width="7" style="535" bestFit="1" customWidth="1"/>
    <col min="1794" max="1794" width="45" style="535" customWidth="1"/>
    <col min="1795" max="1795" width="21.42578125" style="535" customWidth="1"/>
    <col min="1796" max="1796" width="29.28515625" style="535" customWidth="1"/>
    <col min="1797" max="1797" width="15.5703125" style="535" bestFit="1" customWidth="1"/>
    <col min="1798" max="2048" width="9.140625" style="535"/>
    <col min="2049" max="2049" width="7" style="535" bestFit="1" customWidth="1"/>
    <col min="2050" max="2050" width="45" style="535" customWidth="1"/>
    <col min="2051" max="2051" width="21.42578125" style="535" customWidth="1"/>
    <col min="2052" max="2052" width="29.28515625" style="535" customWidth="1"/>
    <col min="2053" max="2053" width="15.5703125" style="535" bestFit="1" customWidth="1"/>
    <col min="2054" max="2304" width="9.140625" style="535"/>
    <col min="2305" max="2305" width="7" style="535" bestFit="1" customWidth="1"/>
    <col min="2306" max="2306" width="45" style="535" customWidth="1"/>
    <col min="2307" max="2307" width="21.42578125" style="535" customWidth="1"/>
    <col min="2308" max="2308" width="29.28515625" style="535" customWidth="1"/>
    <col min="2309" max="2309" width="15.5703125" style="535" bestFit="1" customWidth="1"/>
    <col min="2310" max="2560" width="9.140625" style="535"/>
    <col min="2561" max="2561" width="7" style="535" bestFit="1" customWidth="1"/>
    <col min="2562" max="2562" width="45" style="535" customWidth="1"/>
    <col min="2563" max="2563" width="21.42578125" style="535" customWidth="1"/>
    <col min="2564" max="2564" width="29.28515625" style="535" customWidth="1"/>
    <col min="2565" max="2565" width="15.5703125" style="535" bestFit="1" customWidth="1"/>
    <col min="2566" max="2816" width="9.140625" style="535"/>
    <col min="2817" max="2817" width="7" style="535" bestFit="1" customWidth="1"/>
    <col min="2818" max="2818" width="45" style="535" customWidth="1"/>
    <col min="2819" max="2819" width="21.42578125" style="535" customWidth="1"/>
    <col min="2820" max="2820" width="29.28515625" style="535" customWidth="1"/>
    <col min="2821" max="2821" width="15.5703125" style="535" bestFit="1" customWidth="1"/>
    <col min="2822" max="3072" width="9.140625" style="535"/>
    <col min="3073" max="3073" width="7" style="535" bestFit="1" customWidth="1"/>
    <col min="3074" max="3074" width="45" style="535" customWidth="1"/>
    <col min="3075" max="3075" width="21.42578125" style="535" customWidth="1"/>
    <col min="3076" max="3076" width="29.28515625" style="535" customWidth="1"/>
    <col min="3077" max="3077" width="15.5703125" style="535" bestFit="1" customWidth="1"/>
    <col min="3078" max="3328" width="9.140625" style="535"/>
    <col min="3329" max="3329" width="7" style="535" bestFit="1" customWidth="1"/>
    <col min="3330" max="3330" width="45" style="535" customWidth="1"/>
    <col min="3331" max="3331" width="21.42578125" style="535" customWidth="1"/>
    <col min="3332" max="3332" width="29.28515625" style="535" customWidth="1"/>
    <col min="3333" max="3333" width="15.5703125" style="535" bestFit="1" customWidth="1"/>
    <col min="3334" max="3584" width="9.140625" style="535"/>
    <col min="3585" max="3585" width="7" style="535" bestFit="1" customWidth="1"/>
    <col min="3586" max="3586" width="45" style="535" customWidth="1"/>
    <col min="3587" max="3587" width="21.42578125" style="535" customWidth="1"/>
    <col min="3588" max="3588" width="29.28515625" style="535" customWidth="1"/>
    <col min="3589" max="3589" width="15.5703125" style="535" bestFit="1" customWidth="1"/>
    <col min="3590" max="3840" width="9.140625" style="535"/>
    <col min="3841" max="3841" width="7" style="535" bestFit="1" customWidth="1"/>
    <col min="3842" max="3842" width="45" style="535" customWidth="1"/>
    <col min="3843" max="3843" width="21.42578125" style="535" customWidth="1"/>
    <col min="3844" max="3844" width="29.28515625" style="535" customWidth="1"/>
    <col min="3845" max="3845" width="15.5703125" style="535" bestFit="1" customWidth="1"/>
    <col min="3846" max="4096" width="9.140625" style="535"/>
    <col min="4097" max="4097" width="7" style="535" bestFit="1" customWidth="1"/>
    <col min="4098" max="4098" width="45" style="535" customWidth="1"/>
    <col min="4099" max="4099" width="21.42578125" style="535" customWidth="1"/>
    <col min="4100" max="4100" width="29.28515625" style="535" customWidth="1"/>
    <col min="4101" max="4101" width="15.5703125" style="535" bestFit="1" customWidth="1"/>
    <col min="4102" max="4352" width="9.140625" style="535"/>
    <col min="4353" max="4353" width="7" style="535" bestFit="1" customWidth="1"/>
    <col min="4354" max="4354" width="45" style="535" customWidth="1"/>
    <col min="4355" max="4355" width="21.42578125" style="535" customWidth="1"/>
    <col min="4356" max="4356" width="29.28515625" style="535" customWidth="1"/>
    <col min="4357" max="4357" width="15.5703125" style="535" bestFit="1" customWidth="1"/>
    <col min="4358" max="4608" width="9.140625" style="535"/>
    <col min="4609" max="4609" width="7" style="535" bestFit="1" customWidth="1"/>
    <col min="4610" max="4610" width="45" style="535" customWidth="1"/>
    <col min="4611" max="4611" width="21.42578125" style="535" customWidth="1"/>
    <col min="4612" max="4612" width="29.28515625" style="535" customWidth="1"/>
    <col min="4613" max="4613" width="15.5703125" style="535" bestFit="1" customWidth="1"/>
    <col min="4614" max="4864" width="9.140625" style="535"/>
    <col min="4865" max="4865" width="7" style="535" bestFit="1" customWidth="1"/>
    <col min="4866" max="4866" width="45" style="535" customWidth="1"/>
    <col min="4867" max="4867" width="21.42578125" style="535" customWidth="1"/>
    <col min="4868" max="4868" width="29.28515625" style="535" customWidth="1"/>
    <col min="4869" max="4869" width="15.5703125" style="535" bestFit="1" customWidth="1"/>
    <col min="4870" max="5120" width="9.140625" style="535"/>
    <col min="5121" max="5121" width="7" style="535" bestFit="1" customWidth="1"/>
    <col min="5122" max="5122" width="45" style="535" customWidth="1"/>
    <col min="5123" max="5123" width="21.42578125" style="535" customWidth="1"/>
    <col min="5124" max="5124" width="29.28515625" style="535" customWidth="1"/>
    <col min="5125" max="5125" width="15.5703125" style="535" bestFit="1" customWidth="1"/>
    <col min="5126" max="5376" width="9.140625" style="535"/>
    <col min="5377" max="5377" width="7" style="535" bestFit="1" customWidth="1"/>
    <col min="5378" max="5378" width="45" style="535" customWidth="1"/>
    <col min="5379" max="5379" width="21.42578125" style="535" customWidth="1"/>
    <col min="5380" max="5380" width="29.28515625" style="535" customWidth="1"/>
    <col min="5381" max="5381" width="15.5703125" style="535" bestFit="1" customWidth="1"/>
    <col min="5382" max="5632" width="9.140625" style="535"/>
    <col min="5633" max="5633" width="7" style="535" bestFit="1" customWidth="1"/>
    <col min="5634" max="5634" width="45" style="535" customWidth="1"/>
    <col min="5635" max="5635" width="21.42578125" style="535" customWidth="1"/>
    <col min="5636" max="5636" width="29.28515625" style="535" customWidth="1"/>
    <col min="5637" max="5637" width="15.5703125" style="535" bestFit="1" customWidth="1"/>
    <col min="5638" max="5888" width="9.140625" style="535"/>
    <col min="5889" max="5889" width="7" style="535" bestFit="1" customWidth="1"/>
    <col min="5890" max="5890" width="45" style="535" customWidth="1"/>
    <col min="5891" max="5891" width="21.42578125" style="535" customWidth="1"/>
    <col min="5892" max="5892" width="29.28515625" style="535" customWidth="1"/>
    <col min="5893" max="5893" width="15.5703125" style="535" bestFit="1" customWidth="1"/>
    <col min="5894" max="6144" width="9.140625" style="535"/>
    <col min="6145" max="6145" width="7" style="535" bestFit="1" customWidth="1"/>
    <col min="6146" max="6146" width="45" style="535" customWidth="1"/>
    <col min="6147" max="6147" width="21.42578125" style="535" customWidth="1"/>
    <col min="6148" max="6148" width="29.28515625" style="535" customWidth="1"/>
    <col min="6149" max="6149" width="15.5703125" style="535" bestFit="1" customWidth="1"/>
    <col min="6150" max="6400" width="9.140625" style="535"/>
    <col min="6401" max="6401" width="7" style="535" bestFit="1" customWidth="1"/>
    <col min="6402" max="6402" width="45" style="535" customWidth="1"/>
    <col min="6403" max="6403" width="21.42578125" style="535" customWidth="1"/>
    <col min="6404" max="6404" width="29.28515625" style="535" customWidth="1"/>
    <col min="6405" max="6405" width="15.5703125" style="535" bestFit="1" customWidth="1"/>
    <col min="6406" max="6656" width="9.140625" style="535"/>
    <col min="6657" max="6657" width="7" style="535" bestFit="1" customWidth="1"/>
    <col min="6658" max="6658" width="45" style="535" customWidth="1"/>
    <col min="6659" max="6659" width="21.42578125" style="535" customWidth="1"/>
    <col min="6660" max="6660" width="29.28515625" style="535" customWidth="1"/>
    <col min="6661" max="6661" width="15.5703125" style="535" bestFit="1" customWidth="1"/>
    <col min="6662" max="6912" width="9.140625" style="535"/>
    <col min="6913" max="6913" width="7" style="535" bestFit="1" customWidth="1"/>
    <col min="6914" max="6914" width="45" style="535" customWidth="1"/>
    <col min="6915" max="6915" width="21.42578125" style="535" customWidth="1"/>
    <col min="6916" max="6916" width="29.28515625" style="535" customWidth="1"/>
    <col min="6917" max="6917" width="15.5703125" style="535" bestFit="1" customWidth="1"/>
    <col min="6918" max="7168" width="9.140625" style="535"/>
    <col min="7169" max="7169" width="7" style="535" bestFit="1" customWidth="1"/>
    <col min="7170" max="7170" width="45" style="535" customWidth="1"/>
    <col min="7171" max="7171" width="21.42578125" style="535" customWidth="1"/>
    <col min="7172" max="7172" width="29.28515625" style="535" customWidth="1"/>
    <col min="7173" max="7173" width="15.5703125" style="535" bestFit="1" customWidth="1"/>
    <col min="7174" max="7424" width="9.140625" style="535"/>
    <col min="7425" max="7425" width="7" style="535" bestFit="1" customWidth="1"/>
    <col min="7426" max="7426" width="45" style="535" customWidth="1"/>
    <col min="7427" max="7427" width="21.42578125" style="535" customWidth="1"/>
    <col min="7428" max="7428" width="29.28515625" style="535" customWidth="1"/>
    <col min="7429" max="7429" width="15.5703125" style="535" bestFit="1" customWidth="1"/>
    <col min="7430" max="7680" width="9.140625" style="535"/>
    <col min="7681" max="7681" width="7" style="535" bestFit="1" customWidth="1"/>
    <col min="7682" max="7682" width="45" style="535" customWidth="1"/>
    <col min="7683" max="7683" width="21.42578125" style="535" customWidth="1"/>
    <col min="7684" max="7684" width="29.28515625" style="535" customWidth="1"/>
    <col min="7685" max="7685" width="15.5703125" style="535" bestFit="1" customWidth="1"/>
    <col min="7686" max="7936" width="9.140625" style="535"/>
    <col min="7937" max="7937" width="7" style="535" bestFit="1" customWidth="1"/>
    <col min="7938" max="7938" width="45" style="535" customWidth="1"/>
    <col min="7939" max="7939" width="21.42578125" style="535" customWidth="1"/>
    <col min="7940" max="7940" width="29.28515625" style="535" customWidth="1"/>
    <col min="7941" max="7941" width="15.5703125" style="535" bestFit="1" customWidth="1"/>
    <col min="7942" max="8192" width="9.140625" style="535"/>
    <col min="8193" max="8193" width="7" style="535" bestFit="1" customWidth="1"/>
    <col min="8194" max="8194" width="45" style="535" customWidth="1"/>
    <col min="8195" max="8195" width="21.42578125" style="535" customWidth="1"/>
    <col min="8196" max="8196" width="29.28515625" style="535" customWidth="1"/>
    <col min="8197" max="8197" width="15.5703125" style="535" bestFit="1" customWidth="1"/>
    <col min="8198" max="8448" width="9.140625" style="535"/>
    <col min="8449" max="8449" width="7" style="535" bestFit="1" customWidth="1"/>
    <col min="8450" max="8450" width="45" style="535" customWidth="1"/>
    <col min="8451" max="8451" width="21.42578125" style="535" customWidth="1"/>
    <col min="8452" max="8452" width="29.28515625" style="535" customWidth="1"/>
    <col min="8453" max="8453" width="15.5703125" style="535" bestFit="1" customWidth="1"/>
    <col min="8454" max="8704" width="9.140625" style="535"/>
    <col min="8705" max="8705" width="7" style="535" bestFit="1" customWidth="1"/>
    <col min="8706" max="8706" width="45" style="535" customWidth="1"/>
    <col min="8707" max="8707" width="21.42578125" style="535" customWidth="1"/>
    <col min="8708" max="8708" width="29.28515625" style="535" customWidth="1"/>
    <col min="8709" max="8709" width="15.5703125" style="535" bestFit="1" customWidth="1"/>
    <col min="8710" max="8960" width="9.140625" style="535"/>
    <col min="8961" max="8961" width="7" style="535" bestFit="1" customWidth="1"/>
    <col min="8962" max="8962" width="45" style="535" customWidth="1"/>
    <col min="8963" max="8963" width="21.42578125" style="535" customWidth="1"/>
    <col min="8964" max="8964" width="29.28515625" style="535" customWidth="1"/>
    <col min="8965" max="8965" width="15.5703125" style="535" bestFit="1" customWidth="1"/>
    <col min="8966" max="9216" width="9.140625" style="535"/>
    <col min="9217" max="9217" width="7" style="535" bestFit="1" customWidth="1"/>
    <col min="9218" max="9218" width="45" style="535" customWidth="1"/>
    <col min="9219" max="9219" width="21.42578125" style="535" customWidth="1"/>
    <col min="9220" max="9220" width="29.28515625" style="535" customWidth="1"/>
    <col min="9221" max="9221" width="15.5703125" style="535" bestFit="1" customWidth="1"/>
    <col min="9222" max="9472" width="9.140625" style="535"/>
    <col min="9473" max="9473" width="7" style="535" bestFit="1" customWidth="1"/>
    <col min="9474" max="9474" width="45" style="535" customWidth="1"/>
    <col min="9475" max="9475" width="21.42578125" style="535" customWidth="1"/>
    <col min="9476" max="9476" width="29.28515625" style="535" customWidth="1"/>
    <col min="9477" max="9477" width="15.5703125" style="535" bestFit="1" customWidth="1"/>
    <col min="9478" max="9728" width="9.140625" style="535"/>
    <col min="9729" max="9729" width="7" style="535" bestFit="1" customWidth="1"/>
    <col min="9730" max="9730" width="45" style="535" customWidth="1"/>
    <col min="9731" max="9731" width="21.42578125" style="535" customWidth="1"/>
    <col min="9732" max="9732" width="29.28515625" style="535" customWidth="1"/>
    <col min="9733" max="9733" width="15.5703125" style="535" bestFit="1" customWidth="1"/>
    <col min="9734" max="9984" width="9.140625" style="535"/>
    <col min="9985" max="9985" width="7" style="535" bestFit="1" customWidth="1"/>
    <col min="9986" max="9986" width="45" style="535" customWidth="1"/>
    <col min="9987" max="9987" width="21.42578125" style="535" customWidth="1"/>
    <col min="9988" max="9988" width="29.28515625" style="535" customWidth="1"/>
    <col min="9989" max="9989" width="15.5703125" style="535" bestFit="1" customWidth="1"/>
    <col min="9990" max="10240" width="9.140625" style="535"/>
    <col min="10241" max="10241" width="7" style="535" bestFit="1" customWidth="1"/>
    <col min="10242" max="10242" width="45" style="535" customWidth="1"/>
    <col min="10243" max="10243" width="21.42578125" style="535" customWidth="1"/>
    <col min="10244" max="10244" width="29.28515625" style="535" customWidth="1"/>
    <col min="10245" max="10245" width="15.5703125" style="535" bestFit="1" customWidth="1"/>
    <col min="10246" max="10496" width="9.140625" style="535"/>
    <col min="10497" max="10497" width="7" style="535" bestFit="1" customWidth="1"/>
    <col min="10498" max="10498" width="45" style="535" customWidth="1"/>
    <col min="10499" max="10499" width="21.42578125" style="535" customWidth="1"/>
    <col min="10500" max="10500" width="29.28515625" style="535" customWidth="1"/>
    <col min="10501" max="10501" width="15.5703125" style="535" bestFit="1" customWidth="1"/>
    <col min="10502" max="10752" width="9.140625" style="535"/>
    <col min="10753" max="10753" width="7" style="535" bestFit="1" customWidth="1"/>
    <col min="10754" max="10754" width="45" style="535" customWidth="1"/>
    <col min="10755" max="10755" width="21.42578125" style="535" customWidth="1"/>
    <col min="10756" max="10756" width="29.28515625" style="535" customWidth="1"/>
    <col min="10757" max="10757" width="15.5703125" style="535" bestFit="1" customWidth="1"/>
    <col min="10758" max="11008" width="9.140625" style="535"/>
    <col min="11009" max="11009" width="7" style="535" bestFit="1" customWidth="1"/>
    <col min="11010" max="11010" width="45" style="535" customWidth="1"/>
    <col min="11011" max="11011" width="21.42578125" style="535" customWidth="1"/>
    <col min="11012" max="11012" width="29.28515625" style="535" customWidth="1"/>
    <col min="11013" max="11013" width="15.5703125" style="535" bestFit="1" customWidth="1"/>
    <col min="11014" max="11264" width="9.140625" style="535"/>
    <col min="11265" max="11265" width="7" style="535" bestFit="1" customWidth="1"/>
    <col min="11266" max="11266" width="45" style="535" customWidth="1"/>
    <col min="11267" max="11267" width="21.42578125" style="535" customWidth="1"/>
    <col min="11268" max="11268" width="29.28515625" style="535" customWidth="1"/>
    <col min="11269" max="11269" width="15.5703125" style="535" bestFit="1" customWidth="1"/>
    <col min="11270" max="11520" width="9.140625" style="535"/>
    <col min="11521" max="11521" width="7" style="535" bestFit="1" customWidth="1"/>
    <col min="11522" max="11522" width="45" style="535" customWidth="1"/>
    <col min="11523" max="11523" width="21.42578125" style="535" customWidth="1"/>
    <col min="11524" max="11524" width="29.28515625" style="535" customWidth="1"/>
    <col min="11525" max="11525" width="15.5703125" style="535" bestFit="1" customWidth="1"/>
    <col min="11526" max="11776" width="9.140625" style="535"/>
    <col min="11777" max="11777" width="7" style="535" bestFit="1" customWidth="1"/>
    <col min="11778" max="11778" width="45" style="535" customWidth="1"/>
    <col min="11779" max="11779" width="21.42578125" style="535" customWidth="1"/>
    <col min="11780" max="11780" width="29.28515625" style="535" customWidth="1"/>
    <col min="11781" max="11781" width="15.5703125" style="535" bestFit="1" customWidth="1"/>
    <col min="11782" max="12032" width="9.140625" style="535"/>
    <col min="12033" max="12033" width="7" style="535" bestFit="1" customWidth="1"/>
    <col min="12034" max="12034" width="45" style="535" customWidth="1"/>
    <col min="12035" max="12035" width="21.42578125" style="535" customWidth="1"/>
    <col min="12036" max="12036" width="29.28515625" style="535" customWidth="1"/>
    <col min="12037" max="12037" width="15.5703125" style="535" bestFit="1" customWidth="1"/>
    <col min="12038" max="12288" width="9.140625" style="535"/>
    <col min="12289" max="12289" width="7" style="535" bestFit="1" customWidth="1"/>
    <col min="12290" max="12290" width="45" style="535" customWidth="1"/>
    <col min="12291" max="12291" width="21.42578125" style="535" customWidth="1"/>
    <col min="12292" max="12292" width="29.28515625" style="535" customWidth="1"/>
    <col min="12293" max="12293" width="15.5703125" style="535" bestFit="1" customWidth="1"/>
    <col min="12294" max="12544" width="9.140625" style="535"/>
    <col min="12545" max="12545" width="7" style="535" bestFit="1" customWidth="1"/>
    <col min="12546" max="12546" width="45" style="535" customWidth="1"/>
    <col min="12547" max="12547" width="21.42578125" style="535" customWidth="1"/>
    <col min="12548" max="12548" width="29.28515625" style="535" customWidth="1"/>
    <col min="12549" max="12549" width="15.5703125" style="535" bestFit="1" customWidth="1"/>
    <col min="12550" max="12800" width="9.140625" style="535"/>
    <col min="12801" max="12801" width="7" style="535" bestFit="1" customWidth="1"/>
    <col min="12802" max="12802" width="45" style="535" customWidth="1"/>
    <col min="12803" max="12803" width="21.42578125" style="535" customWidth="1"/>
    <col min="12804" max="12804" width="29.28515625" style="535" customWidth="1"/>
    <col min="12805" max="12805" width="15.5703125" style="535" bestFit="1" customWidth="1"/>
    <col min="12806" max="13056" width="9.140625" style="535"/>
    <col min="13057" max="13057" width="7" style="535" bestFit="1" customWidth="1"/>
    <col min="13058" max="13058" width="45" style="535" customWidth="1"/>
    <col min="13059" max="13059" width="21.42578125" style="535" customWidth="1"/>
    <col min="13060" max="13060" width="29.28515625" style="535" customWidth="1"/>
    <col min="13061" max="13061" width="15.5703125" style="535" bestFit="1" customWidth="1"/>
    <col min="13062" max="13312" width="9.140625" style="535"/>
    <col min="13313" max="13313" width="7" style="535" bestFit="1" customWidth="1"/>
    <col min="13314" max="13314" width="45" style="535" customWidth="1"/>
    <col min="13315" max="13315" width="21.42578125" style="535" customWidth="1"/>
    <col min="13316" max="13316" width="29.28515625" style="535" customWidth="1"/>
    <col min="13317" max="13317" width="15.5703125" style="535" bestFit="1" customWidth="1"/>
    <col min="13318" max="13568" width="9.140625" style="535"/>
    <col min="13569" max="13569" width="7" style="535" bestFit="1" customWidth="1"/>
    <col min="13570" max="13570" width="45" style="535" customWidth="1"/>
    <col min="13571" max="13571" width="21.42578125" style="535" customWidth="1"/>
    <col min="13572" max="13572" width="29.28515625" style="535" customWidth="1"/>
    <col min="13573" max="13573" width="15.5703125" style="535" bestFit="1" customWidth="1"/>
    <col min="13574" max="13824" width="9.140625" style="535"/>
    <col min="13825" max="13825" width="7" style="535" bestFit="1" customWidth="1"/>
    <col min="13826" max="13826" width="45" style="535" customWidth="1"/>
    <col min="13827" max="13827" width="21.42578125" style="535" customWidth="1"/>
    <col min="13828" max="13828" width="29.28515625" style="535" customWidth="1"/>
    <col min="13829" max="13829" width="15.5703125" style="535" bestFit="1" customWidth="1"/>
    <col min="13830" max="14080" width="9.140625" style="535"/>
    <col min="14081" max="14081" width="7" style="535" bestFit="1" customWidth="1"/>
    <col min="14082" max="14082" width="45" style="535" customWidth="1"/>
    <col min="14083" max="14083" width="21.42578125" style="535" customWidth="1"/>
    <col min="14084" max="14084" width="29.28515625" style="535" customWidth="1"/>
    <col min="14085" max="14085" width="15.5703125" style="535" bestFit="1" customWidth="1"/>
    <col min="14086" max="14336" width="9.140625" style="535"/>
    <col min="14337" max="14337" width="7" style="535" bestFit="1" customWidth="1"/>
    <col min="14338" max="14338" width="45" style="535" customWidth="1"/>
    <col min="14339" max="14339" width="21.42578125" style="535" customWidth="1"/>
    <col min="14340" max="14340" width="29.28515625" style="535" customWidth="1"/>
    <col min="14341" max="14341" width="15.5703125" style="535" bestFit="1" customWidth="1"/>
    <col min="14342" max="14592" width="9.140625" style="535"/>
    <col min="14593" max="14593" width="7" style="535" bestFit="1" customWidth="1"/>
    <col min="14594" max="14594" width="45" style="535" customWidth="1"/>
    <col min="14595" max="14595" width="21.42578125" style="535" customWidth="1"/>
    <col min="14596" max="14596" width="29.28515625" style="535" customWidth="1"/>
    <col min="14597" max="14597" width="15.5703125" style="535" bestFit="1" customWidth="1"/>
    <col min="14598" max="14848" width="9.140625" style="535"/>
    <col min="14849" max="14849" width="7" style="535" bestFit="1" customWidth="1"/>
    <col min="14850" max="14850" width="45" style="535" customWidth="1"/>
    <col min="14851" max="14851" width="21.42578125" style="535" customWidth="1"/>
    <col min="14852" max="14852" width="29.28515625" style="535" customWidth="1"/>
    <col min="14853" max="14853" width="15.5703125" style="535" bestFit="1" customWidth="1"/>
    <col min="14854" max="15104" width="9.140625" style="535"/>
    <col min="15105" max="15105" width="7" style="535" bestFit="1" customWidth="1"/>
    <col min="15106" max="15106" width="45" style="535" customWidth="1"/>
    <col min="15107" max="15107" width="21.42578125" style="535" customWidth="1"/>
    <col min="15108" max="15108" width="29.28515625" style="535" customWidth="1"/>
    <col min="15109" max="15109" width="15.5703125" style="535" bestFit="1" customWidth="1"/>
    <col min="15110" max="15360" width="9.140625" style="535"/>
    <col min="15361" max="15361" width="7" style="535" bestFit="1" customWidth="1"/>
    <col min="15362" max="15362" width="45" style="535" customWidth="1"/>
    <col min="15363" max="15363" width="21.42578125" style="535" customWidth="1"/>
    <col min="15364" max="15364" width="29.28515625" style="535" customWidth="1"/>
    <col min="15365" max="15365" width="15.5703125" style="535" bestFit="1" customWidth="1"/>
    <col min="15366" max="15616" width="9.140625" style="535"/>
    <col min="15617" max="15617" width="7" style="535" bestFit="1" customWidth="1"/>
    <col min="15618" max="15618" width="45" style="535" customWidth="1"/>
    <col min="15619" max="15619" width="21.42578125" style="535" customWidth="1"/>
    <col min="15620" max="15620" width="29.28515625" style="535" customWidth="1"/>
    <col min="15621" max="15621" width="15.5703125" style="535" bestFit="1" customWidth="1"/>
    <col min="15622" max="15872" width="9.140625" style="535"/>
    <col min="15873" max="15873" width="7" style="535" bestFit="1" customWidth="1"/>
    <col min="15874" max="15874" width="45" style="535" customWidth="1"/>
    <col min="15875" max="15875" width="21.42578125" style="535" customWidth="1"/>
    <col min="15876" max="15876" width="29.28515625" style="535" customWidth="1"/>
    <col min="15877" max="15877" width="15.5703125" style="535" bestFit="1" customWidth="1"/>
    <col min="15878" max="16128" width="9.140625" style="535"/>
    <col min="16129" max="16129" width="7" style="535" bestFit="1" customWidth="1"/>
    <col min="16130" max="16130" width="45" style="535" customWidth="1"/>
    <col min="16131" max="16131" width="21.42578125" style="535" customWidth="1"/>
    <col min="16132" max="16132" width="29.28515625" style="535" customWidth="1"/>
    <col min="16133" max="16133" width="15.5703125" style="535" bestFit="1" customWidth="1"/>
    <col min="16134" max="16384" width="9.140625" style="535"/>
  </cols>
  <sheetData>
    <row r="1" spans="1:4" ht="15" x14ac:dyDescent="0.25">
      <c r="A1" s="560" t="s">
        <v>0</v>
      </c>
      <c r="B1" s="560"/>
      <c r="C1" s="560"/>
      <c r="D1" s="560"/>
    </row>
    <row r="2" spans="1:4" ht="15" x14ac:dyDescent="0.25">
      <c r="A2" s="560" t="s">
        <v>1</v>
      </c>
      <c r="B2" s="560"/>
      <c r="C2" s="560"/>
      <c r="D2" s="560"/>
    </row>
    <row r="3" spans="1:4" ht="35.25" customHeight="1" x14ac:dyDescent="0.2">
      <c r="A3" s="561" t="s">
        <v>2</v>
      </c>
      <c r="B3" s="562"/>
      <c r="C3" s="562"/>
      <c r="D3" s="562"/>
    </row>
    <row r="4" spans="1:4" ht="14.25" hidden="1" x14ac:dyDescent="0.2">
      <c r="A4" s="536"/>
      <c r="B4" s="537"/>
      <c r="C4" s="536"/>
      <c r="D4" s="536"/>
    </row>
    <row r="5" spans="1:4" ht="99" customHeight="1" x14ac:dyDescent="0.2">
      <c r="A5" s="559" t="s">
        <v>3</v>
      </c>
      <c r="B5" s="559"/>
      <c r="C5" s="559" t="s">
        <v>4</v>
      </c>
      <c r="D5" s="559"/>
    </row>
    <row r="6" spans="1:4" ht="21.75" customHeight="1" x14ac:dyDescent="0.2">
      <c r="A6" s="556"/>
      <c r="B6" s="556"/>
      <c r="C6" s="559" t="s">
        <v>5</v>
      </c>
      <c r="D6" s="559"/>
    </row>
    <row r="7" spans="1:4" ht="35.25" customHeight="1" x14ac:dyDescent="0.2">
      <c r="A7" s="559" t="s">
        <v>6</v>
      </c>
      <c r="B7" s="559"/>
      <c r="C7" s="559" t="s">
        <v>7</v>
      </c>
      <c r="D7" s="559"/>
    </row>
    <row r="8" spans="1:4" ht="35.25" customHeight="1" x14ac:dyDescent="0.2">
      <c r="A8" s="559" t="s">
        <v>8</v>
      </c>
      <c r="B8" s="559"/>
      <c r="C8" s="559" t="s">
        <v>9</v>
      </c>
      <c r="D8" s="559"/>
    </row>
    <row r="9" spans="1:4" ht="14.25" x14ac:dyDescent="0.2">
      <c r="A9" s="536"/>
      <c r="B9" s="537"/>
      <c r="C9" s="536"/>
      <c r="D9" s="536"/>
    </row>
    <row r="10" spans="1:4" ht="36.75" customHeight="1" x14ac:dyDescent="0.2">
      <c r="A10" s="538" t="s">
        <v>10</v>
      </c>
      <c r="B10" s="539" t="s">
        <v>11</v>
      </c>
      <c r="C10" s="540" t="s">
        <v>12</v>
      </c>
      <c r="D10" s="540" t="s">
        <v>13</v>
      </c>
    </row>
    <row r="11" spans="1:4" ht="15" x14ac:dyDescent="0.2">
      <c r="A11" s="541">
        <v>1</v>
      </c>
      <c r="B11" s="542">
        <v>2</v>
      </c>
      <c r="C11" s="543">
        <v>3</v>
      </c>
      <c r="D11" s="543">
        <v>4</v>
      </c>
    </row>
    <row r="12" spans="1:4" ht="18" customHeight="1" x14ac:dyDescent="0.2">
      <c r="A12" s="544">
        <f>СВОД!A21</f>
        <v>1</v>
      </c>
      <c r="B12" s="545" t="str">
        <f>СВОД!B21</f>
        <v>Инженерные изыскания</v>
      </c>
      <c r="C12" s="546"/>
      <c r="D12" s="547"/>
    </row>
    <row r="13" spans="1:4" ht="18" customHeight="1" x14ac:dyDescent="0.2">
      <c r="A13" s="544" t="str">
        <f>СВОД!A22</f>
        <v>1.1</v>
      </c>
      <c r="B13" s="548" t="str">
        <f>СВОД!B22</f>
        <v>Инженерно-геодезические изыскания</v>
      </c>
      <c r="C13" s="546" t="str">
        <f>СВОД!E22</f>
        <v>Сметы №1.1.1-№1.1.4</v>
      </c>
      <c r="D13" s="547">
        <f>СВОД!H22</f>
        <v>13435089.046985574</v>
      </c>
    </row>
    <row r="14" spans="1:4" ht="18" customHeight="1" x14ac:dyDescent="0.2">
      <c r="A14" s="544" t="str">
        <f>СВОД!A23</f>
        <v>1.2</v>
      </c>
      <c r="B14" s="548" t="str">
        <f>СВОД!B23</f>
        <v>Инженерно-геологические изыскания</v>
      </c>
      <c r="C14" s="546" t="str">
        <f>СВОД!E23</f>
        <v>Сметы №1.2.1-№1.2.2</v>
      </c>
      <c r="D14" s="547">
        <f>СВОД!H23</f>
        <v>21969334.460812584</v>
      </c>
    </row>
    <row r="15" spans="1:4" ht="18" customHeight="1" x14ac:dyDescent="0.2">
      <c r="A15" s="544" t="str">
        <f>СВОД!A24</f>
        <v>1.3</v>
      </c>
      <c r="B15" s="548" t="str">
        <f>СВОД!B24</f>
        <v xml:space="preserve">Мобильное лазерное сканирование (МЛС) </v>
      </c>
      <c r="C15" s="546" t="str">
        <f>СВОД!E24</f>
        <v>Смета №1.3</v>
      </c>
      <c r="D15" s="547">
        <f>СВОД!H24</f>
        <v>0</v>
      </c>
    </row>
    <row r="16" spans="1:4" ht="18" customHeight="1" x14ac:dyDescent="0.2">
      <c r="A16" s="544" t="str">
        <f>СВОД!A25</f>
        <v>1.4</v>
      </c>
      <c r="B16" s="545" t="str">
        <f>СВОД!B25</f>
        <v>Итого Инженерные изыскания:</v>
      </c>
      <c r="C16" s="546"/>
      <c r="D16" s="549">
        <f>СВОД!H25</f>
        <v>39964617.649999999</v>
      </c>
    </row>
    <row r="17" spans="1:4" ht="18" customHeight="1" x14ac:dyDescent="0.2">
      <c r="A17" s="544"/>
      <c r="B17" s="548"/>
      <c r="C17" s="546"/>
      <c r="D17" s="547"/>
    </row>
    <row r="18" spans="1:4" ht="18" customHeight="1" x14ac:dyDescent="0.2">
      <c r="A18" s="544">
        <f>СВОД!A27</f>
        <v>2</v>
      </c>
      <c r="B18" s="545" t="str">
        <f>СВОД!B27</f>
        <v>Обследование, сбор исходных данных</v>
      </c>
      <c r="C18" s="546"/>
      <c r="D18" s="547"/>
    </row>
    <row r="19" spans="1:4" ht="28.5" x14ac:dyDescent="0.2">
      <c r="A19" s="544" t="str">
        <f>СВОД!A28</f>
        <v>2.1</v>
      </c>
      <c r="B19" s="548" t="str">
        <f>СВОД!B28</f>
        <v>Обследование и оценка технического состяния строительных конструкций</v>
      </c>
      <c r="C19" s="546" t="str">
        <f>СВОД!E28</f>
        <v>Смета №2.1</v>
      </c>
      <c r="D19" s="547">
        <f>СВОД!H28</f>
        <v>13673881.32</v>
      </c>
    </row>
    <row r="20" spans="1:4" ht="28.5" x14ac:dyDescent="0.2">
      <c r="A20" s="544" t="str">
        <f>СВОД!A29</f>
        <v>2.2</v>
      </c>
      <c r="B20" s="548" t="str">
        <f>СВОД!B29</f>
        <v>Внесение изменений в техническую документацию</v>
      </c>
      <c r="C20" s="546" t="str">
        <f>СВОД!E29</f>
        <v>Смета №2.2</v>
      </c>
      <c r="D20" s="547">
        <f>СВОД!H29</f>
        <v>5079636</v>
      </c>
    </row>
    <row r="21" spans="1:4" ht="21" customHeight="1" x14ac:dyDescent="0.2">
      <c r="A21" s="544" t="str">
        <f>СВОД!A30</f>
        <v>2.3</v>
      </c>
      <c r="B21" s="548" t="str">
        <f>СВОД!B30</f>
        <v>Сбор исходных данных</v>
      </c>
      <c r="C21" s="546" t="str">
        <f>СВОД!E30</f>
        <v>Смета №2.3</v>
      </c>
      <c r="D21" s="547">
        <f>СВОД!H30</f>
        <v>5721868.2400000002</v>
      </c>
    </row>
    <row r="22" spans="1:4" ht="30" x14ac:dyDescent="0.2">
      <c r="A22" s="544" t="str">
        <f>СВОД!A31</f>
        <v>2.4</v>
      </c>
      <c r="B22" s="545" t="str">
        <f>СВОД!B31</f>
        <v>Итого Обследование, сбор исходных данных:</v>
      </c>
      <c r="C22" s="546"/>
      <c r="D22" s="549">
        <f>СВОД!H31</f>
        <v>24475385.559999999</v>
      </c>
    </row>
    <row r="23" spans="1:4" ht="18.75" customHeight="1" x14ac:dyDescent="0.2">
      <c r="A23" s="544"/>
      <c r="B23" s="548"/>
      <c r="C23" s="546"/>
      <c r="D23" s="547"/>
    </row>
    <row r="24" spans="1:4" ht="18.75" customHeight="1" x14ac:dyDescent="0.2">
      <c r="A24" s="544">
        <f>СВОД!A33</f>
        <v>3</v>
      </c>
      <c r="B24" s="545" t="str">
        <f>СВОД!B33</f>
        <v>Рабочая документация</v>
      </c>
      <c r="C24" s="546"/>
      <c r="D24" s="547"/>
    </row>
    <row r="25" spans="1:4" ht="18.75" customHeight="1" x14ac:dyDescent="0.2">
      <c r="A25" s="544" t="str">
        <f>СВОД!A34</f>
        <v>3.1</v>
      </c>
      <c r="B25" s="548" t="str">
        <f>СВОД!B34</f>
        <v>Генеральный план</v>
      </c>
      <c r="C25" s="546" t="str">
        <f>СВОД!E34</f>
        <v>Смета №3.1</v>
      </c>
      <c r="D25" s="547">
        <f>СВОД!H34</f>
        <v>3276535.199</v>
      </c>
    </row>
    <row r="26" spans="1:4" ht="18.75" customHeight="1" x14ac:dyDescent="0.2">
      <c r="A26" s="544" t="str">
        <f>СВОД!A35</f>
        <v>3.2</v>
      </c>
      <c r="B26" s="548" t="str">
        <f>СВОД!B35</f>
        <v>Автомобильные дороги</v>
      </c>
      <c r="C26" s="546" t="str">
        <f>СВОД!E35</f>
        <v>Смета №3.2</v>
      </c>
      <c r="D26" s="547">
        <f>СВОД!H35</f>
        <v>4828808.5860000001</v>
      </c>
    </row>
    <row r="27" spans="1:4" ht="18.75" customHeight="1" x14ac:dyDescent="0.2">
      <c r="A27" s="544" t="str">
        <f>СВОД!A36</f>
        <v>3.3</v>
      </c>
      <c r="B27" s="548" t="str">
        <f>СВОД!B36</f>
        <v>Технология производства</v>
      </c>
      <c r="C27" s="546" t="str">
        <f>СВОД!E36</f>
        <v>Смета №3.3</v>
      </c>
      <c r="D27" s="547">
        <f>СВОД!H36</f>
        <v>58732645.700000003</v>
      </c>
    </row>
    <row r="28" spans="1:4" ht="28.5" x14ac:dyDescent="0.2">
      <c r="A28" s="544" t="str">
        <f>СВОД!A37</f>
        <v>3.4</v>
      </c>
      <c r="B28" s="548" t="str">
        <f>СВОД!B37</f>
        <v>Отопление, вентиляция и кондиционирование</v>
      </c>
      <c r="C28" s="546" t="str">
        <f>СВОД!E37</f>
        <v>Смета №3.4</v>
      </c>
      <c r="D28" s="547">
        <f>СВОД!H37</f>
        <v>30320631.079999998</v>
      </c>
    </row>
    <row r="29" spans="1:4" ht="28.5" x14ac:dyDescent="0.2">
      <c r="A29" s="544" t="str">
        <f>СВОД!A38</f>
        <v>3.5</v>
      </c>
      <c r="B29" s="548" t="str">
        <f>СВОД!B38</f>
        <v xml:space="preserve">Автоматизированная система управления технологическим процессом (АСУ ТП) </v>
      </c>
      <c r="C29" s="546" t="str">
        <f>СВОД!E38</f>
        <v>Сметы №3.5.1-№3.5.6</v>
      </c>
      <c r="D29" s="547">
        <f ca="1">СВОД!H38</f>
        <v>14529311</v>
      </c>
    </row>
    <row r="30" spans="1:4" ht="28.5" x14ac:dyDescent="0.2">
      <c r="A30" s="544" t="str">
        <f>СВОД!A39</f>
        <v>3.6</v>
      </c>
      <c r="B30" s="548" t="str">
        <f>СВОД!B39</f>
        <v xml:space="preserve">Автоматизированная система управления энергоснабжением (АСУ Э) </v>
      </c>
      <c r="C30" s="546" t="str">
        <f>СВОД!E39</f>
        <v>Сметы №3.6.1-№3.6.5</v>
      </c>
      <c r="D30" s="547">
        <f ca="1">СВОД!H39</f>
        <v>5811572</v>
      </c>
    </row>
    <row r="31" spans="1:4" ht="28.5" x14ac:dyDescent="0.2">
      <c r="A31" s="544" t="str">
        <f>СВОД!A40</f>
        <v>3.7</v>
      </c>
      <c r="B31" s="548" t="str">
        <f>СВОД!B40</f>
        <v>Автоматизация электрического освещения (АЭО)</v>
      </c>
      <c r="C31" s="546" t="str">
        <f>СВОД!E40</f>
        <v>Сметы №3.7.1-№3.7.3</v>
      </c>
      <c r="D31" s="547">
        <f ca="1">СВОД!H40</f>
        <v>1690386</v>
      </c>
    </row>
    <row r="32" spans="1:4" ht="28.5" x14ac:dyDescent="0.2">
      <c r="A32" s="544" t="str">
        <f>СВОД!A41</f>
        <v>3.8</v>
      </c>
      <c r="B32" s="548" t="str">
        <f>СВОД!B41</f>
        <v>Система противопожарной безопасности и автоматики (СПБА)</v>
      </c>
      <c r="C32" s="546" t="str">
        <f>СВОД!E41</f>
        <v>Сметы №3.8.1-№3.8.6</v>
      </c>
      <c r="D32" s="547">
        <f ca="1">СВОД!H41</f>
        <v>11368057</v>
      </c>
    </row>
    <row r="33" spans="1:4" ht="18.75" customHeight="1" x14ac:dyDescent="0.2">
      <c r="A33" s="544" t="str">
        <f>СВОД!A42</f>
        <v>3.9</v>
      </c>
      <c r="B33" s="548" t="str">
        <f>СВОД!B42</f>
        <v>Сети связи и сигнализации</v>
      </c>
      <c r="C33" s="546" t="str">
        <f>СВОД!E42</f>
        <v>Сметы №3.9.1-№3.9.7</v>
      </c>
      <c r="D33" s="547">
        <f>СВОД!H42</f>
        <v>14311184.680687997</v>
      </c>
    </row>
    <row r="34" spans="1:4" ht="18.75" customHeight="1" x14ac:dyDescent="0.2">
      <c r="A34" s="544" t="str">
        <f>СВОД!A43</f>
        <v>3.10</v>
      </c>
      <c r="B34" s="548" t="str">
        <f>СВОД!B43</f>
        <v>Электроснабжение</v>
      </c>
      <c r="C34" s="546" t="str">
        <f>СВОД!E43</f>
        <v>Смета №3.10</v>
      </c>
      <c r="D34" s="547">
        <f>СВОД!H43</f>
        <v>45652931.885273494</v>
      </c>
    </row>
    <row r="35" spans="1:4" ht="18.75" customHeight="1" x14ac:dyDescent="0.2">
      <c r="A35" s="544" t="str">
        <f>СВОД!A44</f>
        <v>3.11</v>
      </c>
      <c r="B35" s="548" t="str">
        <f>СВОД!B44</f>
        <v>Электрохимическая защита</v>
      </c>
      <c r="C35" s="546" t="str">
        <f>СВОД!E44</f>
        <v>Смета №3.11</v>
      </c>
      <c r="D35" s="547">
        <f>СВОД!H44</f>
        <v>18342241.613589764</v>
      </c>
    </row>
    <row r="36" spans="1:4" ht="18.75" customHeight="1" x14ac:dyDescent="0.2">
      <c r="A36" s="544" t="str">
        <f>СВОД!A45</f>
        <v>3.12</v>
      </c>
      <c r="B36" s="548" t="str">
        <f>СВОД!B45</f>
        <v>Сети водоснабжения и канализации</v>
      </c>
      <c r="C36" s="546" t="str">
        <f>СВОД!E45</f>
        <v>Смета №3.12</v>
      </c>
      <c r="D36" s="547">
        <f>СВОД!H45</f>
        <v>7763728.1483316487</v>
      </c>
    </row>
    <row r="37" spans="1:4" ht="18.75" customHeight="1" x14ac:dyDescent="0.2">
      <c r="A37" s="544" t="str">
        <f>СВОД!A46</f>
        <v>3.13</v>
      </c>
      <c r="B37" s="548" t="str">
        <f>СВОД!B46</f>
        <v>Архитектурно-строительные решения</v>
      </c>
      <c r="C37" s="546" t="str">
        <f>СВОД!E46</f>
        <v>Смета №3.13</v>
      </c>
      <c r="D37" s="547">
        <f>СВОД!H46</f>
        <v>606480</v>
      </c>
    </row>
    <row r="38" spans="1:4" ht="18.75" customHeight="1" x14ac:dyDescent="0.2">
      <c r="A38" s="544" t="str">
        <f>СВОД!A47</f>
        <v>3.14</v>
      </c>
      <c r="B38" s="548" t="str">
        <f>СВОД!B47</f>
        <v>Линейная часть</v>
      </c>
      <c r="C38" s="546" t="str">
        <f>СВОД!E47</f>
        <v>Смета №3.14</v>
      </c>
      <c r="D38" s="547">
        <f>СВОД!H47</f>
        <v>716607.12</v>
      </c>
    </row>
    <row r="39" spans="1:4" ht="18.75" customHeight="1" x14ac:dyDescent="0.2">
      <c r="A39" s="544" t="str">
        <f>СВОД!A48</f>
        <v>3.15</v>
      </c>
      <c r="B39" s="548" t="str">
        <f>СВОД!B48</f>
        <v>Проект бурения скважин</v>
      </c>
      <c r="C39" s="546" t="str">
        <f>СВОД!E48</f>
        <v>Сметы №3.15.1-№3.15.2</v>
      </c>
      <c r="D39" s="547">
        <f>СВОД!H48</f>
        <v>1309609.42</v>
      </c>
    </row>
    <row r="40" spans="1:4" ht="18.75" customHeight="1" x14ac:dyDescent="0.2">
      <c r="A40" s="544" t="str">
        <f>СВОД!A49</f>
        <v>3.16</v>
      </c>
      <c r="B40" s="545" t="str">
        <f>СВОД!B49</f>
        <v>Итого Рабочая документация:</v>
      </c>
      <c r="C40" s="546"/>
      <c r="D40" s="549">
        <f ca="1">СВОД!H49</f>
        <v>219260729.43000001</v>
      </c>
    </row>
    <row r="41" spans="1:4" ht="18.75" customHeight="1" x14ac:dyDescent="0.2">
      <c r="A41" s="544"/>
      <c r="B41" s="548"/>
      <c r="C41" s="546"/>
      <c r="D41" s="547"/>
    </row>
    <row r="42" spans="1:4" ht="18.75" customHeight="1" x14ac:dyDescent="0.2">
      <c r="A42" s="544">
        <f>СВОД!A51</f>
        <v>4</v>
      </c>
      <c r="B42" s="545" t="s">
        <v>14</v>
      </c>
      <c r="C42" s="550" t="s">
        <v>15</v>
      </c>
      <c r="D42" s="549">
        <f ca="1">СВОД!H51</f>
        <v>283700732.63999999</v>
      </c>
    </row>
    <row r="43" spans="1:4" ht="18.75" customHeight="1" x14ac:dyDescent="0.2">
      <c r="A43" s="544">
        <f>СВОД!A52</f>
        <v>5</v>
      </c>
      <c r="B43" s="548" t="s">
        <v>16</v>
      </c>
      <c r="C43" s="550" t="s">
        <v>17</v>
      </c>
      <c r="D43" s="549">
        <f ca="1">СВОД!H52</f>
        <v>62414161.18</v>
      </c>
    </row>
    <row r="44" spans="1:4" ht="18.75" customHeight="1" x14ac:dyDescent="0.2">
      <c r="A44" s="544">
        <f>СВОД!A53</f>
        <v>6</v>
      </c>
      <c r="B44" s="551" t="s">
        <v>18</v>
      </c>
      <c r="C44" s="550" t="s">
        <v>19</v>
      </c>
      <c r="D44" s="549">
        <f ca="1">СВОД!H53</f>
        <v>346114893.82000005</v>
      </c>
    </row>
    <row r="45" spans="1:4" ht="14.25" x14ac:dyDescent="0.2">
      <c r="A45" s="536"/>
      <c r="B45" s="537"/>
      <c r="C45" s="536"/>
      <c r="D45" s="536"/>
    </row>
    <row r="46" spans="1:4" s="534" customFormat="1" ht="14.25" x14ac:dyDescent="0.2">
      <c r="A46" s="536"/>
      <c r="B46" s="537"/>
      <c r="C46" s="536"/>
      <c r="D46" s="536"/>
    </row>
    <row r="47" spans="1:4" s="534" customFormat="1" ht="18" customHeight="1" x14ac:dyDescent="0.25">
      <c r="A47" s="552" t="s">
        <v>20</v>
      </c>
      <c r="B47" s="553"/>
      <c r="C47" s="536"/>
      <c r="D47" s="536"/>
    </row>
    <row r="48" spans="1:4" s="534" customFormat="1" ht="18" customHeight="1" x14ac:dyDescent="0.25">
      <c r="A48" s="552" t="s">
        <v>21</v>
      </c>
      <c r="B48" s="553"/>
      <c r="C48" s="536"/>
      <c r="D48" s="536"/>
    </row>
    <row r="49" spans="1:4" s="534" customFormat="1" ht="18" customHeight="1" x14ac:dyDescent="0.25">
      <c r="A49" s="552" t="s">
        <v>22</v>
      </c>
      <c r="B49" s="553"/>
      <c r="C49" s="554" t="s">
        <v>23</v>
      </c>
      <c r="D49" s="557" t="s">
        <v>24</v>
      </c>
    </row>
    <row r="50" spans="1:4" s="534" customFormat="1" ht="14.25" x14ac:dyDescent="0.2">
      <c r="A50" s="536"/>
      <c r="B50" s="537"/>
      <c r="C50" s="536"/>
      <c r="D50" s="536"/>
    </row>
    <row r="51" spans="1:4" s="534" customFormat="1" ht="14.25" x14ac:dyDescent="0.2">
      <c r="A51" s="536"/>
      <c r="B51" s="537"/>
      <c r="C51" s="536"/>
      <c r="D51" s="536"/>
    </row>
  </sheetData>
  <mergeCells count="10">
    <mergeCell ref="A1:D1"/>
    <mergeCell ref="A2:D2"/>
    <mergeCell ref="A3:D3"/>
    <mergeCell ref="C5:D5"/>
    <mergeCell ref="C6:D6"/>
    <mergeCell ref="A7:B7"/>
    <mergeCell ref="C7:D7"/>
    <mergeCell ref="A8:B8"/>
    <mergeCell ref="C8:D8"/>
    <mergeCell ref="A5:B5"/>
  </mergeCells>
  <pageMargins left="0.23622047244094491" right="0.23622047244094491" top="0.74803149606299213" bottom="0.74803149606299213" header="0.31496062992125984" footer="0.31496062992125984"/>
  <pageSetup paperSize="9" scale="91"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600CC"/>
    <pageSetUpPr fitToPage="1"/>
  </sheetPr>
  <dimension ref="A1:W53"/>
  <sheetViews>
    <sheetView tabSelected="1" view="pageBreakPreview" zoomScale="85" workbookViewId="0">
      <selection activeCell="A46" sqref="A46"/>
    </sheetView>
  </sheetViews>
  <sheetFormatPr defaultRowHeight="15" x14ac:dyDescent="0.25"/>
  <cols>
    <col min="1" max="1" width="6.42578125" style="1" customWidth="1"/>
    <col min="2" max="4" width="14.42578125" style="2" customWidth="1"/>
    <col min="5" max="5" width="23.140625" style="2" bestFit="1" customWidth="1"/>
    <col min="6" max="8" width="16" style="2" customWidth="1"/>
    <col min="9" max="23" width="8" style="2" customWidth="1"/>
  </cols>
  <sheetData>
    <row r="1" spans="1:8" x14ac:dyDescent="0.25">
      <c r="A1" s="574"/>
      <c r="B1" s="574"/>
      <c r="C1" s="574"/>
      <c r="D1" s="575" t="s">
        <v>25</v>
      </c>
      <c r="E1" s="575"/>
      <c r="F1" s="575"/>
      <c r="G1" s="575"/>
      <c r="H1" s="575"/>
    </row>
    <row r="2" spans="1:8" ht="15" customHeight="1" x14ac:dyDescent="0.25"/>
    <row r="3" spans="1:8" ht="15" customHeight="1" x14ac:dyDescent="0.25">
      <c r="A3" s="576" t="s">
        <v>26</v>
      </c>
      <c r="B3" s="576"/>
      <c r="C3" s="576"/>
      <c r="D3" s="576"/>
      <c r="E3" s="576"/>
      <c r="F3" s="576"/>
      <c r="G3" s="576"/>
      <c r="H3" s="576"/>
    </row>
    <row r="4" spans="1:8" ht="15" customHeight="1" x14ac:dyDescent="0.25">
      <c r="A4" s="577" t="s">
        <v>27</v>
      </c>
      <c r="B4" s="577"/>
      <c r="C4" s="577"/>
      <c r="D4" s="577"/>
      <c r="E4" s="577"/>
      <c r="F4" s="577"/>
      <c r="G4" s="577"/>
      <c r="H4" s="577"/>
    </row>
    <row r="5" spans="1:8" ht="15" customHeight="1" x14ac:dyDescent="0.25"/>
    <row r="6" spans="1:8" x14ac:dyDescent="0.25">
      <c r="A6" s="571" t="s">
        <v>28</v>
      </c>
      <c r="B6" s="571"/>
      <c r="C6" s="571"/>
      <c r="D6" s="572" t="s">
        <v>29</v>
      </c>
      <c r="E6" s="572"/>
      <c r="F6" s="572"/>
      <c r="G6" s="572"/>
      <c r="H6" s="572"/>
    </row>
    <row r="7" spans="1:8" ht="15" customHeight="1" x14ac:dyDescent="0.25"/>
    <row r="8" spans="1:8" ht="15" customHeight="1" x14ac:dyDescent="0.25"/>
    <row r="9" spans="1:8" ht="32.25" customHeight="1" x14ac:dyDescent="0.25">
      <c r="A9" s="571" t="s">
        <v>30</v>
      </c>
      <c r="B9" s="571"/>
      <c r="C9" s="571"/>
      <c r="D9" s="572" t="s">
        <v>5</v>
      </c>
      <c r="E9" s="572"/>
      <c r="F9" s="572"/>
      <c r="G9" s="572"/>
      <c r="H9" s="572"/>
    </row>
    <row r="10" spans="1:8" ht="15" customHeight="1" x14ac:dyDescent="0.25"/>
    <row r="11" spans="1:8" ht="15" customHeight="1" x14ac:dyDescent="0.25"/>
    <row r="12" spans="1:8" ht="15" customHeight="1" x14ac:dyDescent="0.25"/>
    <row r="13" spans="1:8" ht="15" customHeight="1" x14ac:dyDescent="0.25">
      <c r="D13" s="571" t="s">
        <v>15</v>
      </c>
      <c r="E13" s="571"/>
      <c r="F13" s="571"/>
      <c r="G13" s="571"/>
      <c r="H13" s="571"/>
    </row>
    <row r="14" spans="1:8" ht="27.75" customHeight="1" x14ac:dyDescent="0.25">
      <c r="A14" s="571" t="s">
        <v>31</v>
      </c>
      <c r="B14" s="571"/>
      <c r="C14" s="571"/>
      <c r="D14" s="572" t="s">
        <v>7</v>
      </c>
      <c r="E14" s="572"/>
      <c r="F14" s="572"/>
      <c r="G14" s="572"/>
      <c r="H14" s="572"/>
    </row>
    <row r="15" spans="1:8" ht="15" customHeight="1" x14ac:dyDescent="0.25"/>
    <row r="16" spans="1:8" ht="27.75" customHeight="1" x14ac:dyDescent="0.25">
      <c r="A16" s="571" t="s">
        <v>8</v>
      </c>
      <c r="B16" s="571"/>
      <c r="C16" s="571"/>
      <c r="D16" s="572" t="s">
        <v>21</v>
      </c>
      <c r="E16" s="572"/>
      <c r="F16" s="572"/>
      <c r="G16" s="572"/>
      <c r="H16" s="572"/>
    </row>
    <row r="17" spans="1:23" ht="15" customHeight="1" x14ac:dyDescent="0.25"/>
    <row r="18" spans="1:23" ht="27.2" customHeight="1" x14ac:dyDescent="0.25">
      <c r="A18" s="573" t="s">
        <v>32</v>
      </c>
      <c r="B18" s="570" t="s">
        <v>33</v>
      </c>
      <c r="C18" s="570"/>
      <c r="D18" s="570"/>
      <c r="E18" s="570" t="s">
        <v>34</v>
      </c>
      <c r="F18" s="570" t="s">
        <v>35</v>
      </c>
      <c r="G18" s="570"/>
      <c r="H18" s="570"/>
    </row>
    <row r="19" spans="1:23" ht="27.2" customHeight="1" x14ac:dyDescent="0.25">
      <c r="A19" s="573"/>
      <c r="B19" s="570"/>
      <c r="C19" s="570"/>
      <c r="D19" s="570"/>
      <c r="E19" s="570"/>
      <c r="F19" s="4" t="s">
        <v>36</v>
      </c>
      <c r="G19" s="4" t="s">
        <v>37</v>
      </c>
      <c r="H19" s="4" t="s">
        <v>38</v>
      </c>
    </row>
    <row r="20" spans="1:23" s="5" customFormat="1" ht="15" customHeight="1" x14ac:dyDescent="0.25">
      <c r="A20" s="3">
        <v>1</v>
      </c>
      <c r="B20" s="570">
        <v>2</v>
      </c>
      <c r="C20" s="570"/>
      <c r="D20" s="570"/>
      <c r="E20" s="4">
        <v>4</v>
      </c>
      <c r="F20" s="4">
        <v>5</v>
      </c>
      <c r="G20" s="4">
        <v>6</v>
      </c>
      <c r="H20" s="4">
        <v>7</v>
      </c>
      <c r="I20" s="6"/>
      <c r="J20" s="6"/>
      <c r="K20" s="6"/>
      <c r="L20" s="6"/>
      <c r="M20" s="6"/>
      <c r="N20" s="6"/>
      <c r="O20" s="6"/>
      <c r="P20" s="6"/>
      <c r="Q20" s="6"/>
      <c r="R20" s="6"/>
      <c r="S20" s="6"/>
      <c r="T20" s="6"/>
      <c r="U20" s="6"/>
      <c r="V20" s="6"/>
      <c r="W20" s="6"/>
    </row>
    <row r="21" spans="1:23" s="7" customFormat="1" ht="17.25" customHeight="1" x14ac:dyDescent="0.25">
      <c r="A21" s="8">
        <v>1</v>
      </c>
      <c r="B21" s="569" t="s">
        <v>39</v>
      </c>
      <c r="C21" s="569"/>
      <c r="D21" s="569"/>
      <c r="E21" s="9"/>
      <c r="F21" s="10"/>
      <c r="G21" s="10"/>
      <c r="H21" s="10"/>
      <c r="I21" s="11"/>
      <c r="J21" s="11"/>
      <c r="K21" s="11"/>
      <c r="L21" s="11"/>
      <c r="M21" s="11"/>
      <c r="N21" s="11"/>
      <c r="O21" s="11"/>
      <c r="P21" s="11"/>
      <c r="Q21" s="11"/>
      <c r="R21" s="11"/>
      <c r="S21" s="11"/>
      <c r="T21" s="11"/>
      <c r="U21" s="11"/>
      <c r="V21" s="11"/>
      <c r="W21" s="11"/>
    </row>
    <row r="22" spans="1:23" s="7" customFormat="1" ht="17.25" customHeight="1" x14ac:dyDescent="0.25">
      <c r="A22" s="12" t="s">
        <v>40</v>
      </c>
      <c r="B22" s="563" t="s">
        <v>41</v>
      </c>
      <c r="C22" s="563"/>
      <c r="D22" s="563"/>
      <c r="E22" s="9" t="str">
        <f>CONCATENATE("Сметы №",A22,".1","-№",A22,".4")</f>
        <v>Сметы №1.1.1-№1.1.4</v>
      </c>
      <c r="F22" s="10">
        <f>'1.1.1 ИГДИ'!G102+'1.1.2 ИГДИ'!O21+'1.1.3 ИГДИ'!G102+'1.1.4 ИГДИ+'!G105</f>
        <v>13435089.046985574</v>
      </c>
      <c r="G22" s="10"/>
      <c r="H22" s="10">
        <f t="shared" ref="H22:H53" si="0">G22+F22</f>
        <v>13435089.046985574</v>
      </c>
      <c r="I22" s="11"/>
      <c r="J22" s="11"/>
      <c r="K22" s="11"/>
      <c r="L22" s="11"/>
      <c r="M22" s="11"/>
      <c r="N22" s="11"/>
      <c r="O22" s="11"/>
      <c r="P22" s="11"/>
      <c r="Q22" s="11"/>
      <c r="R22" s="11"/>
      <c r="S22" s="11"/>
      <c r="T22" s="11"/>
      <c r="U22" s="11"/>
      <c r="V22" s="11"/>
      <c r="W22" s="11"/>
    </row>
    <row r="23" spans="1:23" s="7" customFormat="1" ht="17.25" customHeight="1" x14ac:dyDescent="0.25">
      <c r="A23" s="12" t="s">
        <v>42</v>
      </c>
      <c r="B23" s="563" t="s">
        <v>43</v>
      </c>
      <c r="C23" s="563"/>
      <c r="D23" s="563"/>
      <c r="E23" s="9" t="str">
        <f>CONCATENATE("Сметы №",A23,".1","-№",A23,".2")</f>
        <v>Сметы №1.2.1-№1.2.2</v>
      </c>
      <c r="F23" s="10">
        <f>'1.2.1 ИГИ'!E87+'1.2.2 ИГИ+'!E86</f>
        <v>21969334.460812584</v>
      </c>
      <c r="G23" s="10"/>
      <c r="H23" s="10">
        <f t="shared" si="0"/>
        <v>21969334.460812584</v>
      </c>
      <c r="I23" s="11"/>
      <c r="J23" s="11"/>
      <c r="K23" s="11"/>
      <c r="L23" s="11"/>
      <c r="M23" s="11"/>
      <c r="N23" s="11"/>
      <c r="O23" s="11"/>
      <c r="P23" s="11"/>
      <c r="Q23" s="11"/>
      <c r="R23" s="11"/>
      <c r="S23" s="11"/>
      <c r="T23" s="11"/>
      <c r="U23" s="11"/>
      <c r="V23" s="11"/>
      <c r="W23" s="11"/>
    </row>
    <row r="24" spans="1:23" s="7" customFormat="1" ht="17.25" customHeight="1" x14ac:dyDescent="0.25">
      <c r="A24" s="12" t="s">
        <v>44</v>
      </c>
      <c r="B24" s="563" t="s">
        <v>45</v>
      </c>
      <c r="C24" s="563"/>
      <c r="D24" s="563"/>
      <c r="E24" s="9" t="str">
        <f>CONCATENATE("Смета №",A24)</f>
        <v>Смета №1.3</v>
      </c>
      <c r="F24" s="10">
        <f>'1.3 МЛС'!G96</f>
        <v>4560194.1409599995</v>
      </c>
      <c r="G24" s="10"/>
      <c r="H24" s="10"/>
      <c r="I24" s="11"/>
      <c r="J24" s="11"/>
      <c r="K24" s="11"/>
      <c r="L24" s="11"/>
      <c r="M24" s="11"/>
      <c r="N24" s="11"/>
      <c r="O24" s="11"/>
      <c r="P24" s="11"/>
      <c r="Q24" s="11"/>
      <c r="R24" s="11"/>
      <c r="S24" s="11"/>
      <c r="T24" s="11"/>
      <c r="U24" s="11"/>
      <c r="V24" s="11"/>
      <c r="W24" s="11"/>
    </row>
    <row r="25" spans="1:23" s="7" customFormat="1" ht="17.25" customHeight="1" x14ac:dyDescent="0.25">
      <c r="A25" s="12" t="s">
        <v>46</v>
      </c>
      <c r="B25" s="564" t="str">
        <f>CONCATENATE("Итого ",B21,":")</f>
        <v>Итого Инженерные изыскания:</v>
      </c>
      <c r="C25" s="564"/>
      <c r="D25" s="564"/>
      <c r="E25" s="14"/>
      <c r="F25" s="15">
        <f>ROUND(SUM(F22:F24),2)</f>
        <v>39964617.649999999</v>
      </c>
      <c r="G25" s="15">
        <f>ROUND(SUM(G22:G23),2)</f>
        <v>0</v>
      </c>
      <c r="H25" s="15">
        <f t="shared" si="0"/>
        <v>39964617.649999999</v>
      </c>
      <c r="I25" s="11"/>
      <c r="J25" s="11"/>
      <c r="K25" s="11"/>
      <c r="L25" s="11"/>
      <c r="M25" s="11"/>
      <c r="N25" s="11"/>
      <c r="O25" s="11"/>
      <c r="P25" s="11"/>
      <c r="Q25" s="11"/>
      <c r="R25" s="11"/>
      <c r="S25" s="11"/>
      <c r="T25" s="11"/>
      <c r="U25" s="11"/>
      <c r="V25" s="11"/>
      <c r="W25" s="11"/>
    </row>
    <row r="26" spans="1:23" s="7" customFormat="1" x14ac:dyDescent="0.25">
      <c r="A26" s="8"/>
      <c r="B26" s="563"/>
      <c r="C26" s="563"/>
      <c r="D26" s="563"/>
      <c r="E26" s="9"/>
      <c r="F26" s="10"/>
      <c r="G26" s="10"/>
      <c r="H26" s="10"/>
      <c r="I26" s="11"/>
      <c r="J26" s="11"/>
      <c r="K26" s="11"/>
      <c r="L26" s="11"/>
      <c r="M26" s="11"/>
      <c r="N26" s="11"/>
      <c r="O26" s="11"/>
      <c r="P26" s="11"/>
      <c r="Q26" s="11"/>
      <c r="R26" s="11"/>
      <c r="S26" s="11"/>
      <c r="T26" s="11"/>
      <c r="U26" s="11"/>
      <c r="V26" s="11"/>
      <c r="W26" s="11"/>
    </row>
    <row r="27" spans="1:23" s="7" customFormat="1" ht="17.25" customHeight="1" x14ac:dyDescent="0.25">
      <c r="A27" s="8">
        <v>2</v>
      </c>
      <c r="B27" s="569" t="s">
        <v>47</v>
      </c>
      <c r="C27" s="569"/>
      <c r="D27" s="569"/>
      <c r="E27" s="9"/>
      <c r="F27" s="10"/>
      <c r="G27" s="10"/>
      <c r="H27" s="10"/>
      <c r="I27" s="11"/>
      <c r="J27" s="11"/>
      <c r="K27" s="11"/>
      <c r="L27" s="11"/>
      <c r="M27" s="11"/>
      <c r="N27" s="11"/>
      <c r="O27" s="11"/>
      <c r="P27" s="11"/>
      <c r="Q27" s="11"/>
      <c r="R27" s="11"/>
      <c r="S27" s="11"/>
      <c r="T27" s="11"/>
      <c r="U27" s="11"/>
      <c r="V27" s="11"/>
      <c r="W27" s="11"/>
    </row>
    <row r="28" spans="1:23" s="7" customFormat="1" ht="28.5" customHeight="1" x14ac:dyDescent="0.25">
      <c r="A28" s="12" t="s">
        <v>48</v>
      </c>
      <c r="B28" s="566" t="s">
        <v>49</v>
      </c>
      <c r="C28" s="567"/>
      <c r="D28" s="568"/>
      <c r="E28" s="9" t="str">
        <f t="shared" ref="E28:E47" si="1">CONCATENATE("Смета №",A28)</f>
        <v>Смета №2.1</v>
      </c>
      <c r="F28" s="10"/>
      <c r="G28" s="10">
        <f>Смета_№2.1_Обслед!R239</f>
        <v>13673881.32</v>
      </c>
      <c r="H28" s="10">
        <f t="shared" si="0"/>
        <v>13673881.32</v>
      </c>
      <c r="I28" s="16"/>
      <c r="J28" s="11"/>
      <c r="K28" s="11"/>
      <c r="L28" s="11"/>
      <c r="M28" s="11"/>
      <c r="N28" s="11"/>
      <c r="O28" s="11"/>
      <c r="P28" s="11"/>
      <c r="Q28" s="11"/>
      <c r="R28" s="11"/>
      <c r="S28" s="11"/>
      <c r="T28" s="11"/>
      <c r="U28" s="11"/>
      <c r="V28" s="11"/>
      <c r="W28" s="11"/>
    </row>
    <row r="29" spans="1:23" s="7" customFormat="1" ht="28.5" customHeight="1" x14ac:dyDescent="0.25">
      <c r="A29" s="12" t="s">
        <v>50</v>
      </c>
      <c r="B29" s="566" t="s">
        <v>51</v>
      </c>
      <c r="C29" s="567"/>
      <c r="D29" s="568"/>
      <c r="E29" s="9" t="str">
        <f t="shared" si="1"/>
        <v>Смета №2.2</v>
      </c>
      <c r="F29" s="10"/>
      <c r="G29" s="10">
        <f>'2.2 ТехДок+ '!K32</f>
        <v>5079636</v>
      </c>
      <c r="H29" s="10">
        <f t="shared" si="0"/>
        <v>5079636</v>
      </c>
      <c r="I29" s="16"/>
      <c r="J29" s="11"/>
      <c r="K29" s="11"/>
      <c r="L29" s="11"/>
      <c r="M29" s="11"/>
      <c r="N29" s="11"/>
      <c r="O29" s="11"/>
      <c r="P29" s="11"/>
      <c r="Q29" s="11"/>
      <c r="R29" s="11"/>
      <c r="S29" s="11"/>
      <c r="T29" s="11"/>
      <c r="U29" s="11"/>
      <c r="V29" s="11"/>
      <c r="W29" s="11"/>
    </row>
    <row r="30" spans="1:23" s="7" customFormat="1" ht="18.75" customHeight="1" x14ac:dyDescent="0.25">
      <c r="A30" s="12" t="s">
        <v>52</v>
      </c>
      <c r="B30" s="566" t="s">
        <v>53</v>
      </c>
      <c r="C30" s="567"/>
      <c r="D30" s="568"/>
      <c r="E30" s="9" t="str">
        <f t="shared" si="1"/>
        <v>Смета №2.3</v>
      </c>
      <c r="F30" s="10"/>
      <c r="G30" s="10">
        <f>'2.3 СИД '!G58</f>
        <v>5721868.2400000002</v>
      </c>
      <c r="H30" s="10">
        <f t="shared" si="0"/>
        <v>5721868.2400000002</v>
      </c>
      <c r="I30" s="16"/>
      <c r="J30" s="11"/>
      <c r="K30" s="11"/>
      <c r="L30" s="11"/>
      <c r="M30" s="11"/>
      <c r="N30" s="11"/>
      <c r="O30" s="11"/>
      <c r="P30" s="11"/>
      <c r="Q30" s="11"/>
      <c r="R30" s="11"/>
      <c r="S30" s="11"/>
      <c r="T30" s="11"/>
      <c r="U30" s="11"/>
      <c r="V30" s="11"/>
      <c r="W30" s="11"/>
    </row>
    <row r="31" spans="1:23" s="7" customFormat="1" ht="27.75" customHeight="1" x14ac:dyDescent="0.25">
      <c r="A31" s="12" t="s">
        <v>54</v>
      </c>
      <c r="B31" s="564" t="str">
        <f>CONCATENATE("Итого ",B27,":")</f>
        <v>Итого Обследование, сбор исходных данных:</v>
      </c>
      <c r="C31" s="564"/>
      <c r="D31" s="564"/>
      <c r="E31" s="14"/>
      <c r="F31" s="15">
        <f>ROUND(SUM(F26:F28),2)</f>
        <v>0</v>
      </c>
      <c r="G31" s="15">
        <f>ROUND(SUM(G28:G30),2)</f>
        <v>24475385.559999999</v>
      </c>
      <c r="H31" s="15">
        <f t="shared" si="0"/>
        <v>24475385.559999999</v>
      </c>
      <c r="I31" s="17"/>
      <c r="J31" s="11"/>
      <c r="K31" s="11"/>
      <c r="L31" s="11"/>
      <c r="M31" s="11"/>
      <c r="N31" s="11"/>
      <c r="O31" s="11"/>
      <c r="P31" s="11"/>
      <c r="Q31" s="11"/>
      <c r="R31" s="11"/>
      <c r="S31" s="11"/>
      <c r="T31" s="11"/>
      <c r="U31" s="11"/>
      <c r="V31" s="11"/>
      <c r="W31" s="11"/>
    </row>
    <row r="32" spans="1:23" s="7" customFormat="1" x14ac:dyDescent="0.25">
      <c r="A32" s="8"/>
      <c r="B32" s="563"/>
      <c r="C32" s="563"/>
      <c r="D32" s="563"/>
      <c r="E32" s="9"/>
      <c r="F32" s="10"/>
      <c r="G32" s="10"/>
      <c r="H32" s="10"/>
      <c r="I32" s="17"/>
      <c r="J32" s="11"/>
      <c r="K32" s="11"/>
      <c r="L32" s="11"/>
      <c r="M32" s="11"/>
      <c r="N32" s="11"/>
      <c r="O32" s="11"/>
      <c r="P32" s="11"/>
      <c r="Q32" s="11"/>
      <c r="R32" s="11"/>
      <c r="S32" s="11"/>
      <c r="T32" s="11"/>
      <c r="U32" s="11"/>
      <c r="V32" s="11"/>
      <c r="W32" s="11"/>
    </row>
    <row r="33" spans="1:23" s="7" customFormat="1" ht="18.75" customHeight="1" x14ac:dyDescent="0.25">
      <c r="A33" s="8">
        <v>3</v>
      </c>
      <c r="B33" s="569" t="s">
        <v>5</v>
      </c>
      <c r="C33" s="569"/>
      <c r="D33" s="569"/>
      <c r="E33" s="9"/>
      <c r="F33" s="10"/>
      <c r="G33" s="10"/>
      <c r="H33" s="10"/>
      <c r="I33" s="17"/>
      <c r="J33" s="11"/>
      <c r="K33" s="11"/>
      <c r="L33" s="11"/>
      <c r="M33" s="11"/>
      <c r="N33" s="11"/>
      <c r="O33" s="11"/>
      <c r="P33" s="11"/>
      <c r="Q33" s="11"/>
      <c r="R33" s="11"/>
      <c r="S33" s="11"/>
      <c r="T33" s="11"/>
      <c r="U33" s="11"/>
      <c r="V33" s="11"/>
      <c r="W33" s="11"/>
    </row>
    <row r="34" spans="1:23" s="7" customFormat="1" ht="18.75" customHeight="1" x14ac:dyDescent="0.25">
      <c r="A34" s="12" t="s">
        <v>55</v>
      </c>
      <c r="B34" s="563" t="s">
        <v>56</v>
      </c>
      <c r="C34" s="563"/>
      <c r="D34" s="563"/>
      <c r="E34" s="9" t="str">
        <f t="shared" si="1"/>
        <v>Смета №3.1</v>
      </c>
      <c r="F34" s="10"/>
      <c r="G34" s="10">
        <f>'РД 3.1 ГП++'!R70</f>
        <v>3276535.199</v>
      </c>
      <c r="H34" s="10">
        <f t="shared" si="0"/>
        <v>3276535.199</v>
      </c>
      <c r="I34" s="16"/>
      <c r="J34" s="11"/>
      <c r="K34" s="11"/>
      <c r="L34" s="11"/>
      <c r="M34" s="11"/>
      <c r="N34" s="11"/>
      <c r="O34" s="11"/>
      <c r="P34" s="11"/>
      <c r="Q34" s="11"/>
      <c r="R34" s="11"/>
      <c r="S34" s="11"/>
      <c r="T34" s="11"/>
      <c r="U34" s="11"/>
      <c r="V34" s="11"/>
      <c r="W34" s="11"/>
    </row>
    <row r="35" spans="1:23" s="7" customFormat="1" ht="18.75" customHeight="1" x14ac:dyDescent="0.25">
      <c r="A35" s="12" t="s">
        <v>57</v>
      </c>
      <c r="B35" s="563" t="s">
        <v>58</v>
      </c>
      <c r="C35" s="563"/>
      <c r="D35" s="563"/>
      <c r="E35" s="9" t="str">
        <f t="shared" si="1"/>
        <v>Смета №3.2</v>
      </c>
      <c r="F35" s="10"/>
      <c r="G35" s="10">
        <f>'3.2 Автодороги++'!R96</f>
        <v>4828808.5860000001</v>
      </c>
      <c r="H35" s="10">
        <f t="shared" si="0"/>
        <v>4828808.5860000001</v>
      </c>
      <c r="I35" s="16"/>
      <c r="J35" s="11"/>
      <c r="K35" s="11"/>
      <c r="L35" s="11"/>
      <c r="M35" s="11"/>
      <c r="N35" s="11"/>
      <c r="O35" s="11"/>
      <c r="P35" s="11"/>
      <c r="Q35" s="11"/>
      <c r="R35" s="11"/>
      <c r="S35" s="11"/>
      <c r="T35" s="11"/>
      <c r="U35" s="11"/>
      <c r="V35" s="11"/>
      <c r="W35" s="11"/>
    </row>
    <row r="36" spans="1:23" s="7" customFormat="1" ht="18.75" customHeight="1" x14ac:dyDescent="0.25">
      <c r="A36" s="12" t="s">
        <v>59</v>
      </c>
      <c r="B36" s="563" t="s">
        <v>60</v>
      </c>
      <c r="C36" s="563"/>
      <c r="D36" s="563"/>
      <c r="E36" s="9" t="str">
        <f t="shared" si="1"/>
        <v>Смета №3.3</v>
      </c>
      <c r="F36" s="10"/>
      <c r="G36" s="10">
        <f>'3.3 ТХ++'!R478</f>
        <v>58732645.700000003</v>
      </c>
      <c r="H36" s="10">
        <f t="shared" si="0"/>
        <v>58732645.700000003</v>
      </c>
      <c r="I36" s="16"/>
      <c r="J36" s="11"/>
      <c r="K36" s="11"/>
      <c r="L36" s="11"/>
      <c r="M36" s="11"/>
      <c r="N36" s="11"/>
      <c r="O36" s="11"/>
      <c r="P36" s="11"/>
      <c r="Q36" s="11"/>
      <c r="R36" s="11"/>
      <c r="S36" s="11"/>
      <c r="T36" s="11"/>
      <c r="U36" s="11"/>
      <c r="V36" s="11"/>
      <c r="W36" s="11"/>
    </row>
    <row r="37" spans="1:23" s="7" customFormat="1" ht="18.75" customHeight="1" x14ac:dyDescent="0.25">
      <c r="A37" s="12" t="s">
        <v>61</v>
      </c>
      <c r="B37" s="563" t="s">
        <v>62</v>
      </c>
      <c r="C37" s="563"/>
      <c r="D37" s="563"/>
      <c r="E37" s="9" t="str">
        <f t="shared" si="1"/>
        <v>Смета №3.4</v>
      </c>
      <c r="F37" s="10"/>
      <c r="G37" s="10">
        <f>'3.4 ОВ++'!R185</f>
        <v>30320631.079999998</v>
      </c>
      <c r="H37" s="10">
        <f t="shared" si="0"/>
        <v>30320631.079999998</v>
      </c>
      <c r="I37" s="16"/>
      <c r="J37" s="11"/>
      <c r="K37" s="11"/>
      <c r="L37" s="11"/>
      <c r="M37" s="11"/>
      <c r="N37" s="11"/>
      <c r="O37" s="11"/>
      <c r="P37" s="11"/>
      <c r="Q37" s="11"/>
      <c r="R37" s="11"/>
      <c r="S37" s="11"/>
      <c r="T37" s="11"/>
      <c r="U37" s="11"/>
      <c r="V37" s="11"/>
      <c r="W37" s="11"/>
    </row>
    <row r="38" spans="1:23" s="7" customFormat="1" ht="29.25" customHeight="1" x14ac:dyDescent="0.25">
      <c r="A38" s="12" t="s">
        <v>63</v>
      </c>
      <c r="B38" s="563" t="s">
        <v>64</v>
      </c>
      <c r="C38" s="563"/>
      <c r="D38" s="563"/>
      <c r="E38" s="9" t="str">
        <f>CONCATENATE("Сметы №",A38,".1","-№",A38,".6")</f>
        <v>Сметы №3.5.1-№3.5.6</v>
      </c>
      <c r="F38" s="10"/>
      <c r="G38" s="10">
        <f ca="1">'3.5.1 АСУТП этап12'!Y173+'3.5.2 АСУТП этап15'!Y173+'3.5.3 АСУТП этап16'!Y173+'3.5.4 АСУТП этап27'!Y173+'3.5.5 АСУТП этап2+'!Y173+'3.5.6 АСУТП этап3++'!Y173</f>
        <v>14529311</v>
      </c>
      <c r="H38" s="10">
        <f t="shared" ca="1" si="0"/>
        <v>14529311</v>
      </c>
      <c r="I38" s="11"/>
      <c r="J38" s="11"/>
      <c r="K38" s="11"/>
      <c r="L38" s="11"/>
      <c r="M38" s="11"/>
      <c r="N38" s="11"/>
      <c r="O38" s="11"/>
      <c r="P38" s="11"/>
      <c r="Q38" s="11"/>
      <c r="R38" s="11"/>
      <c r="S38" s="11"/>
      <c r="T38" s="11"/>
      <c r="U38" s="11"/>
      <c r="V38" s="11"/>
      <c r="W38" s="11"/>
    </row>
    <row r="39" spans="1:23" s="7" customFormat="1" ht="29.25" customHeight="1" x14ac:dyDescent="0.25">
      <c r="A39" s="12" t="s">
        <v>65</v>
      </c>
      <c r="B39" s="563" t="s">
        <v>66</v>
      </c>
      <c r="C39" s="563"/>
      <c r="D39" s="563"/>
      <c r="E39" s="9" t="str">
        <f>CONCATENATE("Сметы №",A39,".1","-№",A39,".5")</f>
        <v>Сметы №3.6.1-№3.6.5</v>
      </c>
      <c r="F39" s="10"/>
      <c r="G39" s="10">
        <f ca="1">'3.6.1 АСУЭ этап2'!Y173+'3.6.2 АСУЭ этап15'!Y173+'3.6.3 АСУЭ этап16'!Y173+'3.6.4 АСУЭ этап27'!Y173+'3.6.5 АСУЭ этап3++'!Y173</f>
        <v>5811572</v>
      </c>
      <c r="H39" s="10">
        <f t="shared" ca="1" si="0"/>
        <v>5811572</v>
      </c>
      <c r="I39" s="11"/>
      <c r="J39" s="11"/>
      <c r="K39" s="11"/>
      <c r="L39" s="11"/>
      <c r="M39" s="11"/>
      <c r="N39" s="11"/>
      <c r="O39" s="11"/>
      <c r="P39" s="11"/>
      <c r="Q39" s="11"/>
      <c r="R39" s="11"/>
      <c r="S39" s="11"/>
      <c r="T39" s="11"/>
      <c r="U39" s="11"/>
      <c r="V39" s="11"/>
      <c r="W39" s="11"/>
    </row>
    <row r="40" spans="1:23" s="7" customFormat="1" ht="27" customHeight="1" x14ac:dyDescent="0.25">
      <c r="A40" s="12" t="s">
        <v>67</v>
      </c>
      <c r="B40" s="563" t="s">
        <v>68</v>
      </c>
      <c r="C40" s="563"/>
      <c r="D40" s="563"/>
      <c r="E40" s="9" t="str">
        <f>CONCATENATE("Сметы №",A40,".1","-№",A40,".3")</f>
        <v>Сметы №3.7.1-№3.7.3</v>
      </c>
      <c r="F40" s="10"/>
      <c r="G40" s="10">
        <f ca="1">'3.7.1 АЭО этап15'!Y173+'3.7.2 АЭО этап16'!Y173+'3.7.3 АЭО этап3++'!Y173</f>
        <v>1690386</v>
      </c>
      <c r="H40" s="10">
        <f t="shared" ca="1" si="0"/>
        <v>1690386</v>
      </c>
      <c r="I40" s="11"/>
      <c r="J40" s="11"/>
      <c r="K40" s="11"/>
      <c r="L40" s="11"/>
      <c r="M40" s="11"/>
      <c r="N40" s="11"/>
      <c r="O40" s="11"/>
      <c r="P40" s="11"/>
      <c r="Q40" s="11"/>
      <c r="R40" s="11"/>
      <c r="S40" s="11"/>
      <c r="T40" s="11"/>
      <c r="U40" s="11"/>
      <c r="V40" s="11"/>
      <c r="W40" s="11"/>
    </row>
    <row r="41" spans="1:23" s="7" customFormat="1" ht="27.75" customHeight="1" x14ac:dyDescent="0.25">
      <c r="A41" s="12" t="s">
        <v>69</v>
      </c>
      <c r="B41" s="563" t="s">
        <v>70</v>
      </c>
      <c r="C41" s="563"/>
      <c r="D41" s="563"/>
      <c r="E41" s="9" t="str">
        <f>CONCATENATE("Сметы №",A41,".1","-№",A41,".6")</f>
        <v>Сметы №3.8.1-№3.8.6</v>
      </c>
      <c r="F41" s="10"/>
      <c r="G41" s="10">
        <f ca="1">'3.8.1 СПБА этап12'!Y173+'3.8.2 СПБА этап15'!Y173+'3.8.3 СПБА этап16'!Y173+'3.8.4 СПБА этап27'!Y173+'3.8.5 СПБА этап2+'!Y173+'3.8.6 СПБА этап3++'!Y173</f>
        <v>11368057</v>
      </c>
      <c r="H41" s="10">
        <f t="shared" ca="1" si="0"/>
        <v>11368057</v>
      </c>
      <c r="I41" s="11"/>
      <c r="J41" s="11"/>
      <c r="K41" s="11"/>
      <c r="L41" s="11"/>
      <c r="M41" s="11"/>
      <c r="N41" s="11"/>
      <c r="O41" s="11"/>
      <c r="P41" s="11"/>
      <c r="Q41" s="11"/>
      <c r="R41" s="11"/>
      <c r="S41" s="11"/>
      <c r="T41" s="11"/>
      <c r="U41" s="11"/>
      <c r="V41" s="11"/>
      <c r="W41" s="11"/>
    </row>
    <row r="42" spans="1:23" s="7" customFormat="1" ht="18.75" customHeight="1" x14ac:dyDescent="0.25">
      <c r="A42" s="12" t="s">
        <v>71</v>
      </c>
      <c r="B42" s="563" t="s">
        <v>72</v>
      </c>
      <c r="C42" s="563"/>
      <c r="D42" s="563"/>
      <c r="E42" s="9" t="str">
        <f>CONCATENATE("Сметы №",A42,".1","-№",A42,".7")</f>
        <v>Сметы №3.9.1-№3.9.7</v>
      </c>
      <c r="F42" s="10"/>
      <c r="G42" s="10">
        <f>'3.9.1 этап12 СС'!E116+'3.9.2 этап13 СС'!E25+'3.9.3 этап 15 СС'!E121+'3.9.4 этап16 СС'!E48+'3.9.5 этап17 СС'!E34+'3.9.6 этап27 СС'!E162+'3.9.7 СС ЭТАП3++'!E244</f>
        <v>14311184.680687997</v>
      </c>
      <c r="H42" s="10">
        <f t="shared" si="0"/>
        <v>14311184.680687997</v>
      </c>
      <c r="I42" s="11"/>
      <c r="J42" s="11"/>
      <c r="K42" s="11"/>
      <c r="L42" s="11"/>
      <c r="M42" s="11"/>
      <c r="N42" s="11"/>
      <c r="O42" s="11"/>
      <c r="P42" s="11"/>
      <c r="Q42" s="11"/>
      <c r="R42" s="11"/>
      <c r="S42" s="11"/>
      <c r="T42" s="11"/>
      <c r="U42" s="11"/>
      <c r="V42" s="11"/>
      <c r="W42" s="11"/>
    </row>
    <row r="43" spans="1:23" s="7" customFormat="1" ht="18.75" customHeight="1" x14ac:dyDescent="0.25">
      <c r="A43" s="12" t="s">
        <v>73</v>
      </c>
      <c r="B43" s="563" t="s">
        <v>74</v>
      </c>
      <c r="C43" s="563"/>
      <c r="D43" s="563"/>
      <c r="E43" s="9" t="str">
        <f t="shared" si="1"/>
        <v>Смета №3.10</v>
      </c>
      <c r="F43" s="10"/>
      <c r="G43" s="10">
        <f>'3.10 ЭС++'!E915</f>
        <v>45652931.885273494</v>
      </c>
      <c r="H43" s="10">
        <f t="shared" si="0"/>
        <v>45652931.885273494</v>
      </c>
      <c r="I43" s="11"/>
      <c r="J43" s="11"/>
      <c r="K43" s="11"/>
      <c r="L43" s="11"/>
      <c r="M43" s="11"/>
      <c r="N43" s="11"/>
      <c r="O43" s="11"/>
      <c r="P43" s="11"/>
      <c r="Q43" s="11"/>
      <c r="R43" s="11"/>
      <c r="S43" s="11"/>
      <c r="T43" s="11"/>
      <c r="U43" s="11"/>
      <c r="V43" s="11"/>
      <c r="W43" s="11"/>
    </row>
    <row r="44" spans="1:23" s="7" customFormat="1" ht="18.75" customHeight="1" x14ac:dyDescent="0.25">
      <c r="A44" s="12" t="s">
        <v>75</v>
      </c>
      <c r="B44" s="563" t="s">
        <v>76</v>
      </c>
      <c r="C44" s="563"/>
      <c r="D44" s="563"/>
      <c r="E44" s="9" t="str">
        <f t="shared" si="1"/>
        <v>Смета №3.11</v>
      </c>
      <c r="F44" s="10"/>
      <c r="G44" s="10">
        <f>'3.11 ЭХЗ+'!E384</f>
        <v>18342241.613589764</v>
      </c>
      <c r="H44" s="10">
        <f t="shared" si="0"/>
        <v>18342241.613589764</v>
      </c>
      <c r="I44" s="11"/>
      <c r="J44" s="11"/>
      <c r="K44" s="11"/>
      <c r="L44" s="11"/>
      <c r="M44" s="11"/>
      <c r="N44" s="11"/>
      <c r="O44" s="11"/>
      <c r="P44" s="11"/>
      <c r="Q44" s="11"/>
      <c r="R44" s="11"/>
      <c r="S44" s="11"/>
      <c r="T44" s="11"/>
      <c r="U44" s="11"/>
      <c r="V44" s="11"/>
      <c r="W44" s="11"/>
    </row>
    <row r="45" spans="1:23" s="7" customFormat="1" ht="19.5" customHeight="1" x14ac:dyDescent="0.25">
      <c r="A45" s="12" t="s">
        <v>77</v>
      </c>
      <c r="B45" s="563" t="s">
        <v>78</v>
      </c>
      <c r="C45" s="563"/>
      <c r="D45" s="563"/>
      <c r="E45" s="9" t="str">
        <f t="shared" si="1"/>
        <v>Смета №3.12</v>
      </c>
      <c r="F45" s="10"/>
      <c r="G45" s="10">
        <f>'3.12 ВК++'!E213</f>
        <v>7763728.1483316487</v>
      </c>
      <c r="H45" s="10">
        <f t="shared" si="0"/>
        <v>7763728.1483316487</v>
      </c>
      <c r="I45" s="11"/>
      <c r="J45" s="11"/>
      <c r="K45" s="11"/>
      <c r="L45" s="11"/>
      <c r="M45" s="11"/>
      <c r="N45" s="11"/>
      <c r="O45" s="11"/>
      <c r="P45" s="11"/>
      <c r="Q45" s="11"/>
      <c r="R45" s="11"/>
      <c r="S45" s="11"/>
      <c r="T45" s="11"/>
      <c r="U45" s="11"/>
      <c r="V45" s="11"/>
      <c r="W45" s="11"/>
    </row>
    <row r="46" spans="1:23" s="7" customFormat="1" ht="18.75" customHeight="1" x14ac:dyDescent="0.25">
      <c r="A46" s="12" t="s">
        <v>79</v>
      </c>
      <c r="B46" s="563" t="s">
        <v>80</v>
      </c>
      <c r="C46" s="563"/>
      <c r="D46" s="563"/>
      <c r="E46" s="9" t="str">
        <f t="shared" si="1"/>
        <v>Смета №3.13</v>
      </c>
      <c r="F46" s="10"/>
      <c r="G46" s="10">
        <f>'3.13 АС'!R29</f>
        <v>606480</v>
      </c>
      <c r="H46" s="10">
        <f t="shared" si="0"/>
        <v>606480</v>
      </c>
      <c r="I46" s="11"/>
      <c r="J46" s="11"/>
      <c r="K46" s="11"/>
      <c r="L46" s="11"/>
      <c r="M46" s="11"/>
      <c r="N46" s="11"/>
      <c r="O46" s="11"/>
      <c r="P46" s="11"/>
      <c r="Q46" s="11"/>
      <c r="R46" s="11"/>
      <c r="S46" s="11"/>
      <c r="T46" s="11"/>
      <c r="U46" s="11"/>
      <c r="V46" s="11"/>
      <c r="W46" s="11"/>
    </row>
    <row r="47" spans="1:23" s="7" customFormat="1" ht="18.75" customHeight="1" x14ac:dyDescent="0.25">
      <c r="A47" s="12" t="s">
        <v>81</v>
      </c>
      <c r="B47" s="563" t="s">
        <v>82</v>
      </c>
      <c r="C47" s="563"/>
      <c r="D47" s="563"/>
      <c r="E47" s="9" t="str">
        <f t="shared" si="1"/>
        <v>Смета №3.14</v>
      </c>
      <c r="F47" s="10"/>
      <c r="G47" s="10">
        <f>'3.14 ЛЧ++'!R94</f>
        <v>716607.12</v>
      </c>
      <c r="H47" s="10">
        <f t="shared" si="0"/>
        <v>716607.12</v>
      </c>
      <c r="I47" s="11"/>
      <c r="J47" s="11"/>
      <c r="K47" s="11"/>
      <c r="L47" s="11"/>
      <c r="M47" s="11"/>
      <c r="N47" s="11"/>
      <c r="O47" s="11"/>
      <c r="P47" s="11"/>
      <c r="Q47" s="11"/>
      <c r="R47" s="11"/>
      <c r="S47" s="11"/>
      <c r="T47" s="11"/>
      <c r="U47" s="11"/>
      <c r="V47" s="11"/>
      <c r="W47" s="11"/>
    </row>
    <row r="48" spans="1:23" s="7" customFormat="1" ht="18.75" customHeight="1" x14ac:dyDescent="0.25">
      <c r="A48" s="12" t="s">
        <v>83</v>
      </c>
      <c r="B48" s="563" t="s">
        <v>84</v>
      </c>
      <c r="C48" s="563"/>
      <c r="D48" s="563"/>
      <c r="E48" s="9" t="str">
        <f>CONCATENATE("Сметы №",A48,".1","-№",A48,".2")</f>
        <v>Сметы №3.15.1-№3.15.2</v>
      </c>
      <c r="F48" s="10"/>
      <c r="G48" s="10">
        <f>'3.15.1 Бурение+ '!G38+'3.15.2 ПроектБур+ '!G38</f>
        <v>1309609.42</v>
      </c>
      <c r="H48" s="10">
        <f t="shared" si="0"/>
        <v>1309609.42</v>
      </c>
      <c r="I48" s="11"/>
      <c r="J48" s="11"/>
      <c r="K48" s="11"/>
      <c r="L48" s="11"/>
      <c r="M48" s="11"/>
      <c r="N48" s="11"/>
      <c r="O48" s="11"/>
      <c r="P48" s="11"/>
      <c r="Q48" s="11"/>
      <c r="R48" s="11"/>
      <c r="S48" s="11"/>
      <c r="T48" s="11"/>
      <c r="U48" s="11"/>
      <c r="V48" s="11"/>
      <c r="W48" s="11"/>
    </row>
    <row r="49" spans="1:23" s="7" customFormat="1" ht="17.25" customHeight="1" x14ac:dyDescent="0.25">
      <c r="A49" s="12" t="s">
        <v>85</v>
      </c>
      <c r="B49" s="564" t="str">
        <f>CONCATENATE("Итого ",B33,":")</f>
        <v>Итого Рабочая документация:</v>
      </c>
      <c r="C49" s="564"/>
      <c r="D49" s="564"/>
      <c r="E49" s="14"/>
      <c r="F49" s="15">
        <f>ROUND(SUM(F44:F46),2)</f>
        <v>0</v>
      </c>
      <c r="G49" s="15">
        <f ca="1">ROUND(SUM(G34:G48),2)</f>
        <v>219260729.43000001</v>
      </c>
      <c r="H49" s="15">
        <f t="shared" ca="1" si="0"/>
        <v>219260729.43000001</v>
      </c>
      <c r="I49" s="11"/>
      <c r="J49" s="11"/>
      <c r="K49" s="11"/>
      <c r="L49" s="11"/>
      <c r="M49" s="11"/>
      <c r="N49" s="11"/>
      <c r="O49" s="11"/>
      <c r="P49" s="11"/>
      <c r="Q49" s="11"/>
      <c r="R49" s="11"/>
      <c r="S49" s="11"/>
      <c r="T49" s="11"/>
      <c r="U49" s="11"/>
      <c r="V49" s="11"/>
      <c r="W49" s="11"/>
    </row>
    <row r="50" spans="1:23" s="7" customFormat="1" x14ac:dyDescent="0.25">
      <c r="A50" s="8"/>
      <c r="B50" s="563"/>
      <c r="C50" s="563"/>
      <c r="D50" s="563"/>
      <c r="E50" s="9"/>
      <c r="F50" s="10"/>
      <c r="G50" s="10"/>
      <c r="H50" s="10"/>
      <c r="I50" s="11"/>
      <c r="J50" s="11"/>
      <c r="K50" s="11"/>
      <c r="L50" s="11"/>
      <c r="M50" s="11"/>
      <c r="N50" s="11"/>
      <c r="O50" s="11"/>
      <c r="P50" s="11"/>
      <c r="Q50" s="11"/>
      <c r="R50" s="11"/>
      <c r="S50" s="11"/>
      <c r="T50" s="11"/>
      <c r="U50" s="11"/>
      <c r="V50" s="11"/>
      <c r="W50" s="11"/>
    </row>
    <row r="51" spans="1:23" s="7" customFormat="1" ht="18.75" customHeight="1" x14ac:dyDescent="0.25">
      <c r="A51" s="8">
        <v>4</v>
      </c>
      <c r="B51" s="564" t="s">
        <v>86</v>
      </c>
      <c r="C51" s="564"/>
      <c r="D51" s="564"/>
      <c r="E51" s="13"/>
      <c r="F51" s="15">
        <f>F49+F31+F25</f>
        <v>39964617.649999999</v>
      </c>
      <c r="G51" s="15">
        <f ca="1">G49+G31+G25</f>
        <v>243736114.99000001</v>
      </c>
      <c r="H51" s="15">
        <f t="shared" ca="1" si="0"/>
        <v>283700732.63999999</v>
      </c>
      <c r="I51" s="11"/>
      <c r="J51" s="11"/>
      <c r="K51" s="11"/>
      <c r="L51" s="11"/>
      <c r="M51" s="11"/>
      <c r="N51" s="11"/>
      <c r="O51" s="11"/>
      <c r="P51" s="11"/>
      <c r="Q51" s="11"/>
      <c r="R51" s="11"/>
      <c r="S51" s="11"/>
      <c r="T51" s="11"/>
      <c r="U51" s="11"/>
      <c r="V51" s="11"/>
      <c r="W51" s="11"/>
    </row>
    <row r="52" spans="1:23" s="7" customFormat="1" ht="18.75" customHeight="1" x14ac:dyDescent="0.25">
      <c r="A52" s="8">
        <v>5</v>
      </c>
      <c r="B52" s="565" t="s">
        <v>87</v>
      </c>
      <c r="C52" s="565"/>
      <c r="D52" s="565"/>
      <c r="E52" s="18">
        <v>0.22</v>
      </c>
      <c r="F52" s="19">
        <f>ROUND(($F$51) * (22/100),2)</f>
        <v>8792215.8800000008</v>
      </c>
      <c r="G52" s="19">
        <f ca="1">ROUND(G51*0.22,2)</f>
        <v>53621945.299999997</v>
      </c>
      <c r="H52" s="19">
        <f t="shared" ca="1" si="0"/>
        <v>62414161.18</v>
      </c>
      <c r="I52" s="11"/>
      <c r="J52" s="11"/>
      <c r="K52" s="11"/>
      <c r="L52" s="11"/>
      <c r="M52" s="11"/>
      <c r="N52" s="11"/>
      <c r="O52" s="11"/>
      <c r="P52" s="11"/>
      <c r="Q52" s="11"/>
      <c r="R52" s="11"/>
      <c r="S52" s="11"/>
      <c r="T52" s="11"/>
      <c r="U52" s="11"/>
      <c r="V52" s="11"/>
      <c r="W52" s="11"/>
    </row>
    <row r="53" spans="1:23" s="7" customFormat="1" ht="18.75" customHeight="1" x14ac:dyDescent="0.25">
      <c r="A53" s="8">
        <v>6</v>
      </c>
      <c r="B53" s="564" t="s">
        <v>88</v>
      </c>
      <c r="C53" s="564"/>
      <c r="D53" s="564"/>
      <c r="E53" s="13"/>
      <c r="F53" s="15">
        <f>ROUND((SUM($F$51:$F$52)) * 1,2)</f>
        <v>48756833.530000001</v>
      </c>
      <c r="G53" s="15">
        <f ca="1">ROUND((SUM($G$51:$G$52)) * 1,2)</f>
        <v>297358060.29000002</v>
      </c>
      <c r="H53" s="15">
        <f t="shared" ca="1" si="0"/>
        <v>346114893.82000005</v>
      </c>
      <c r="I53" s="11"/>
      <c r="J53" s="11"/>
      <c r="K53" s="11"/>
      <c r="L53" s="11"/>
      <c r="M53" s="11"/>
      <c r="N53" s="11"/>
      <c r="O53" s="11"/>
      <c r="P53" s="11"/>
      <c r="Q53" s="11"/>
      <c r="R53" s="11"/>
      <c r="S53" s="11"/>
      <c r="T53" s="11"/>
      <c r="U53" s="11"/>
      <c r="V53" s="11"/>
      <c r="W53" s="11"/>
    </row>
  </sheetData>
  <mergeCells count="51">
    <mergeCell ref="A1:C1"/>
    <mergeCell ref="D1:H1"/>
    <mergeCell ref="A3:H3"/>
    <mergeCell ref="A4:H4"/>
    <mergeCell ref="A6:C6"/>
    <mergeCell ref="D6:H6"/>
    <mergeCell ref="A9:C9"/>
    <mergeCell ref="D9:H9"/>
    <mergeCell ref="D13:H13"/>
    <mergeCell ref="A14:C14"/>
    <mergeCell ref="D14:H14"/>
    <mergeCell ref="A16:C16"/>
    <mergeCell ref="D16:H16"/>
    <mergeCell ref="A18:A19"/>
    <mergeCell ref="B18:D19"/>
    <mergeCell ref="E18:E19"/>
    <mergeCell ref="F18:H18"/>
    <mergeCell ref="B20:D20"/>
    <mergeCell ref="B21:D21"/>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50:D50"/>
    <mergeCell ref="B51:D51"/>
    <mergeCell ref="B52:D52"/>
    <mergeCell ref="B53:D53"/>
    <mergeCell ref="B45:D45"/>
    <mergeCell ref="B46:D46"/>
    <mergeCell ref="B47:D47"/>
    <mergeCell ref="B48:D48"/>
    <mergeCell ref="B49:D49"/>
  </mergeCells>
  <pageMargins left="0.23622047244094491" right="0.23622047244094491" top="0.74803149606299213" bottom="0.74803149606299213" header="0.31496062992125984" footer="0.31496062992125984"/>
  <pageSetup paperSize="9" scale="82"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J107"/>
  <sheetViews>
    <sheetView topLeftCell="A20" workbookViewId="0">
      <selection activeCell="G102" sqref="G102"/>
    </sheetView>
  </sheetViews>
  <sheetFormatPr defaultColWidth="8.85546875" defaultRowHeight="11.25" customHeight="1" x14ac:dyDescent="0.2"/>
  <cols>
    <col min="1" max="1" width="7" style="20" customWidth="1"/>
    <col min="2" max="2" width="36.5703125" style="20" customWidth="1"/>
    <col min="3" max="4" width="12.7109375" style="20" customWidth="1"/>
    <col min="5" max="5" width="47.85546875" style="20" customWidth="1"/>
    <col min="6" max="6" width="42.5703125" style="20" customWidth="1"/>
    <col min="7" max="7" width="12.140625" style="20" customWidth="1"/>
    <col min="8" max="8" width="8.85546875" style="20"/>
    <col min="9" max="9" width="13.140625" style="20" customWidth="1"/>
    <col min="10" max="10" width="16" style="20" customWidth="1"/>
    <col min="11" max="16384" width="8.85546875" style="20"/>
  </cols>
  <sheetData>
    <row r="1" spans="1:7" s="21" customFormat="1" ht="6" hidden="1" customHeight="1" x14ac:dyDescent="0.2"/>
    <row r="2" spans="1:7" s="21" customFormat="1" ht="14.25" x14ac:dyDescent="0.2">
      <c r="B2" s="22" t="s">
        <v>89</v>
      </c>
      <c r="C2" s="23"/>
      <c r="D2" s="23"/>
    </row>
    <row r="3" spans="1:7" s="21" customFormat="1" ht="14.25" x14ac:dyDescent="0.2">
      <c r="B3" s="22" t="str">
        <f>СВОД!B22</f>
        <v>Инженерно-геодезические изыскания</v>
      </c>
      <c r="C3" s="23"/>
      <c r="D3" s="23"/>
    </row>
    <row r="4" spans="1:7" s="21" customFormat="1" ht="14.25" x14ac:dyDescent="0.2">
      <c r="A4" s="23"/>
      <c r="B4" s="23"/>
      <c r="C4" s="23"/>
      <c r="D4" s="23"/>
      <c r="E4" s="24"/>
      <c r="F4" s="24"/>
      <c r="G4" s="25"/>
    </row>
    <row r="5" spans="1:7" s="21" customFormat="1" ht="35.25" customHeight="1" x14ac:dyDescent="0.2">
      <c r="A5" s="26" t="s">
        <v>90</v>
      </c>
      <c r="B5" s="26" t="s">
        <v>91</v>
      </c>
      <c r="C5" s="26" t="s">
        <v>92</v>
      </c>
      <c r="D5" s="26" t="s">
        <v>93</v>
      </c>
      <c r="E5" s="26" t="s">
        <v>94</v>
      </c>
      <c r="F5" s="26" t="s">
        <v>95</v>
      </c>
      <c r="G5" s="26" t="s">
        <v>13</v>
      </c>
    </row>
    <row r="6" spans="1:7" s="21" customFormat="1" ht="14.25" x14ac:dyDescent="0.2">
      <c r="A6" s="27">
        <v>1</v>
      </c>
      <c r="B6" s="28">
        <v>2</v>
      </c>
      <c r="C6" s="28">
        <v>3</v>
      </c>
      <c r="D6" s="28">
        <v>4</v>
      </c>
      <c r="E6" s="28">
        <v>5</v>
      </c>
      <c r="F6" s="27">
        <v>6</v>
      </c>
      <c r="G6" s="27">
        <v>7</v>
      </c>
    </row>
    <row r="7" spans="1:7" s="21" customFormat="1" ht="12.75" customHeight="1" x14ac:dyDescent="0.2">
      <c r="A7" s="581" t="s">
        <v>96</v>
      </c>
      <c r="B7" s="582"/>
      <c r="C7" s="582"/>
      <c r="D7" s="582"/>
      <c r="E7" s="582"/>
      <c r="F7" s="582"/>
      <c r="G7" s="583"/>
    </row>
    <row r="8" spans="1:7" s="21" customFormat="1" ht="12.75" customHeight="1" x14ac:dyDescent="0.2">
      <c r="A8" s="584" t="s">
        <v>97</v>
      </c>
      <c r="B8" s="585"/>
      <c r="C8" s="585"/>
      <c r="D8" s="585"/>
      <c r="E8" s="585"/>
      <c r="F8" s="585"/>
      <c r="G8" s="586"/>
    </row>
    <row r="9" spans="1:7" s="21" customFormat="1" ht="56.25" x14ac:dyDescent="0.2">
      <c r="A9" s="29" t="s">
        <v>98</v>
      </c>
      <c r="B9" s="30" t="s">
        <v>99</v>
      </c>
      <c r="C9" s="31" t="s">
        <v>100</v>
      </c>
      <c r="D9" s="32">
        <v>4</v>
      </c>
      <c r="E9" s="30" t="s">
        <v>101</v>
      </c>
      <c r="F9" s="31" t="s">
        <v>102</v>
      </c>
      <c r="G9" s="33">
        <v>143348</v>
      </c>
    </row>
    <row r="10" spans="1:7" s="21" customFormat="1" ht="22.5" x14ac:dyDescent="0.2">
      <c r="A10" s="34"/>
      <c r="B10" s="35"/>
      <c r="C10" s="35"/>
      <c r="D10" s="35"/>
      <c r="E10" s="36" t="s">
        <v>103</v>
      </c>
      <c r="F10" s="37"/>
      <c r="G10" s="38"/>
    </row>
    <row r="11" spans="1:7" s="21" customFormat="1" ht="56.25" x14ac:dyDescent="0.2">
      <c r="A11" s="29" t="s">
        <v>104</v>
      </c>
      <c r="B11" s="30" t="s">
        <v>99</v>
      </c>
      <c r="C11" s="31" t="s">
        <v>100</v>
      </c>
      <c r="D11" s="32">
        <v>4</v>
      </c>
      <c r="E11" s="30" t="s">
        <v>101</v>
      </c>
      <c r="F11" s="31" t="s">
        <v>105</v>
      </c>
      <c r="G11" s="33">
        <v>71674</v>
      </c>
    </row>
    <row r="12" spans="1:7" s="21" customFormat="1" ht="78.75" x14ac:dyDescent="0.2">
      <c r="A12" s="34"/>
      <c r="B12" s="35"/>
      <c r="C12" s="35"/>
      <c r="D12" s="35"/>
      <c r="E12" s="36" t="s">
        <v>106</v>
      </c>
      <c r="F12" s="37"/>
      <c r="G12" s="38"/>
    </row>
    <row r="13" spans="1:7" s="21" customFormat="1" ht="22.5" x14ac:dyDescent="0.2">
      <c r="A13" s="34"/>
      <c r="B13" s="35"/>
      <c r="C13" s="35"/>
      <c r="D13" s="35"/>
      <c r="E13" s="36" t="s">
        <v>103</v>
      </c>
      <c r="F13" s="37"/>
      <c r="G13" s="38"/>
    </row>
    <row r="14" spans="1:7" s="21" customFormat="1" ht="12.75" customHeight="1" x14ac:dyDescent="0.2">
      <c r="A14" s="584" t="s">
        <v>107</v>
      </c>
      <c r="B14" s="585"/>
      <c r="C14" s="585"/>
      <c r="D14" s="585"/>
      <c r="E14" s="585"/>
      <c r="F14" s="585"/>
      <c r="G14" s="586"/>
    </row>
    <row r="15" spans="1:7" s="21" customFormat="1" ht="12.75" customHeight="1" x14ac:dyDescent="0.2">
      <c r="A15" s="584" t="s">
        <v>108</v>
      </c>
      <c r="B15" s="585"/>
      <c r="C15" s="585"/>
      <c r="D15" s="585"/>
      <c r="E15" s="585"/>
      <c r="F15" s="585"/>
      <c r="G15" s="586"/>
    </row>
    <row r="16" spans="1:7" s="21" customFormat="1" ht="12.75" customHeight="1" x14ac:dyDescent="0.2">
      <c r="A16" s="584" t="s">
        <v>109</v>
      </c>
      <c r="B16" s="585"/>
      <c r="C16" s="585"/>
      <c r="D16" s="585"/>
      <c r="E16" s="585"/>
      <c r="F16" s="585"/>
      <c r="G16" s="586"/>
    </row>
    <row r="17" spans="1:9" s="21" customFormat="1" ht="90" x14ac:dyDescent="0.2">
      <c r="A17" s="29" t="s">
        <v>110</v>
      </c>
      <c r="B17" s="30" t="s">
        <v>111</v>
      </c>
      <c r="C17" s="31" t="s">
        <v>112</v>
      </c>
      <c r="D17" s="32">
        <v>2</v>
      </c>
      <c r="E17" s="30" t="s">
        <v>113</v>
      </c>
      <c r="F17" s="31" t="s">
        <v>114</v>
      </c>
      <c r="G17" s="33">
        <v>115186</v>
      </c>
    </row>
    <row r="18" spans="1:9" s="21" customFormat="1" ht="22.5" x14ac:dyDescent="0.2">
      <c r="A18" s="34"/>
      <c r="B18" s="35"/>
      <c r="C18" s="35"/>
      <c r="D18" s="35"/>
      <c r="E18" s="36" t="s">
        <v>103</v>
      </c>
      <c r="F18" s="37"/>
      <c r="G18" s="38"/>
    </row>
    <row r="19" spans="1:9" s="21" customFormat="1" ht="12.75" customHeight="1" x14ac:dyDescent="0.2">
      <c r="A19" s="584" t="s">
        <v>115</v>
      </c>
      <c r="B19" s="585"/>
      <c r="C19" s="585"/>
      <c r="D19" s="585"/>
      <c r="E19" s="585"/>
      <c r="F19" s="585"/>
      <c r="G19" s="586"/>
    </row>
    <row r="20" spans="1:9" s="21" customFormat="1" ht="67.5" x14ac:dyDescent="0.2">
      <c r="A20" s="29" t="s">
        <v>116</v>
      </c>
      <c r="B20" s="30" t="s">
        <v>117</v>
      </c>
      <c r="C20" s="31" t="s">
        <v>112</v>
      </c>
      <c r="D20" s="32">
        <v>2</v>
      </c>
      <c r="E20" s="30" t="s">
        <v>118</v>
      </c>
      <c r="F20" s="31" t="s">
        <v>119</v>
      </c>
      <c r="G20" s="33">
        <v>49544</v>
      </c>
    </row>
    <row r="21" spans="1:9" s="21" customFormat="1" ht="22.5" x14ac:dyDescent="0.2">
      <c r="A21" s="34"/>
      <c r="B21" s="35"/>
      <c r="C21" s="35"/>
      <c r="D21" s="35"/>
      <c r="E21" s="36" t="s">
        <v>103</v>
      </c>
      <c r="F21" s="37"/>
      <c r="G21" s="38"/>
    </row>
    <row r="22" spans="1:9" s="21" customFormat="1" ht="12.75" customHeight="1" x14ac:dyDescent="0.2">
      <c r="A22" s="584" t="s">
        <v>120</v>
      </c>
      <c r="B22" s="585"/>
      <c r="C22" s="585"/>
      <c r="D22" s="585"/>
      <c r="E22" s="585"/>
      <c r="F22" s="585"/>
      <c r="G22" s="586"/>
    </row>
    <row r="23" spans="1:9" s="21" customFormat="1" ht="12.75" customHeight="1" x14ac:dyDescent="0.2">
      <c r="A23" s="584" t="s">
        <v>121</v>
      </c>
      <c r="B23" s="585"/>
      <c r="C23" s="585"/>
      <c r="D23" s="585"/>
      <c r="E23" s="585"/>
      <c r="F23" s="585"/>
      <c r="G23" s="586"/>
    </row>
    <row r="24" spans="1:9" s="21" customFormat="1" ht="78.75" x14ac:dyDescent="0.2">
      <c r="A24" s="29" t="s">
        <v>122</v>
      </c>
      <c r="B24" s="30" t="s">
        <v>123</v>
      </c>
      <c r="C24" s="31" t="s">
        <v>124</v>
      </c>
      <c r="D24" s="32">
        <v>31</v>
      </c>
      <c r="E24" s="30" t="s">
        <v>125</v>
      </c>
      <c r="F24" s="31" t="s">
        <v>126</v>
      </c>
      <c r="G24" s="33">
        <v>216612.5</v>
      </c>
    </row>
    <row r="25" spans="1:9" s="21" customFormat="1" ht="45" x14ac:dyDescent="0.2">
      <c r="A25" s="34"/>
      <c r="B25" s="35"/>
      <c r="C25" s="35"/>
      <c r="D25" s="35"/>
      <c r="E25" s="36" t="s">
        <v>127</v>
      </c>
      <c r="F25" s="37"/>
      <c r="G25" s="38"/>
    </row>
    <row r="26" spans="1:9" s="21" customFormat="1" ht="22.5" x14ac:dyDescent="0.2">
      <c r="A26" s="34"/>
      <c r="B26" s="35"/>
      <c r="C26" s="35"/>
      <c r="D26" s="35"/>
      <c r="E26" s="36" t="s">
        <v>103</v>
      </c>
      <c r="F26" s="37"/>
      <c r="G26" s="38"/>
    </row>
    <row r="27" spans="1:9" s="21" customFormat="1" ht="12.75" customHeight="1" x14ac:dyDescent="0.2">
      <c r="A27" s="584" t="s">
        <v>128</v>
      </c>
      <c r="B27" s="585"/>
      <c r="C27" s="585"/>
      <c r="D27" s="585"/>
      <c r="E27" s="585"/>
      <c r="F27" s="585"/>
      <c r="G27" s="586"/>
    </row>
    <row r="28" spans="1:9" s="21" customFormat="1" ht="78.75" x14ac:dyDescent="0.2">
      <c r="A28" s="29" t="s">
        <v>129</v>
      </c>
      <c r="B28" s="30" t="s">
        <v>123</v>
      </c>
      <c r="C28" s="31" t="s">
        <v>124</v>
      </c>
      <c r="D28" s="32">
        <v>31</v>
      </c>
      <c r="E28" s="30" t="s">
        <v>125</v>
      </c>
      <c r="F28" s="31" t="s">
        <v>130</v>
      </c>
      <c r="G28" s="33">
        <v>433225</v>
      </c>
    </row>
    <row r="29" spans="1:9" s="21" customFormat="1" ht="22.5" x14ac:dyDescent="0.2">
      <c r="A29" s="34"/>
      <c r="B29" s="35"/>
      <c r="C29" s="35"/>
      <c r="D29" s="35"/>
      <c r="E29" s="36" t="s">
        <v>103</v>
      </c>
      <c r="F29" s="37"/>
      <c r="G29" s="38"/>
    </row>
    <row r="30" spans="1:9" s="21" customFormat="1" ht="11.25" customHeight="1" x14ac:dyDescent="0.2">
      <c r="A30" s="39"/>
      <c r="B30" s="580" t="s">
        <v>131</v>
      </c>
      <c r="C30" s="580"/>
      <c r="D30" s="580"/>
      <c r="E30" s="580"/>
      <c r="F30" s="39"/>
      <c r="G30" s="40"/>
      <c r="H30" s="41"/>
      <c r="I30" s="41"/>
    </row>
    <row r="31" spans="1:9" s="21" customFormat="1" ht="30" customHeight="1" x14ac:dyDescent="0.2">
      <c r="A31" s="39"/>
      <c r="B31" s="578" t="s">
        <v>132</v>
      </c>
      <c r="C31" s="578"/>
      <c r="D31" s="578"/>
      <c r="E31" s="578"/>
      <c r="F31" s="39"/>
      <c r="G31" s="42" t="s">
        <v>133</v>
      </c>
    </row>
    <row r="32" spans="1:9" s="21" customFormat="1" ht="33.75" customHeight="1" x14ac:dyDescent="0.2">
      <c r="A32" s="39"/>
      <c r="B32" s="578" t="s">
        <v>134</v>
      </c>
      <c r="C32" s="578"/>
      <c r="D32" s="578"/>
      <c r="E32" s="578"/>
      <c r="F32" s="39"/>
      <c r="G32" s="42" t="s">
        <v>135</v>
      </c>
    </row>
    <row r="33" spans="1:9" s="21" customFormat="1" ht="27.75" customHeight="1" x14ac:dyDescent="0.2">
      <c r="A33" s="39"/>
      <c r="B33" s="580" t="s">
        <v>136</v>
      </c>
      <c r="C33" s="580"/>
      <c r="D33" s="580"/>
      <c r="E33" s="580"/>
      <c r="F33" s="39"/>
      <c r="G33" s="40" t="s">
        <v>135</v>
      </c>
    </row>
    <row r="34" spans="1:9" s="21" customFormat="1" ht="12.75" customHeight="1" x14ac:dyDescent="0.2">
      <c r="A34" s="581" t="s">
        <v>137</v>
      </c>
      <c r="B34" s="582"/>
      <c r="C34" s="582"/>
      <c r="D34" s="582"/>
      <c r="E34" s="582"/>
      <c r="F34" s="582"/>
      <c r="G34" s="583"/>
    </row>
    <row r="35" spans="1:9" s="21" customFormat="1" ht="33.75" x14ac:dyDescent="0.2">
      <c r="A35" s="29" t="s">
        <v>138</v>
      </c>
      <c r="B35" s="30" t="s">
        <v>139</v>
      </c>
      <c r="C35" s="31" t="s">
        <v>140</v>
      </c>
      <c r="D35" s="43">
        <v>1029589.63</v>
      </c>
      <c r="E35" s="30" t="s">
        <v>141</v>
      </c>
      <c r="F35" s="31" t="s">
        <v>142</v>
      </c>
      <c r="G35" s="33">
        <v>257397.41</v>
      </c>
    </row>
    <row r="36" spans="1:9" s="21" customFormat="1" ht="22.5" x14ac:dyDescent="0.2">
      <c r="A36" s="34"/>
      <c r="B36" s="35"/>
      <c r="C36" s="35"/>
      <c r="D36" s="35"/>
      <c r="E36" s="36" t="s">
        <v>103</v>
      </c>
      <c r="F36" s="37"/>
      <c r="G36" s="38"/>
    </row>
    <row r="37" spans="1:9" s="21" customFormat="1" ht="90" x14ac:dyDescent="0.2">
      <c r="A37" s="29" t="s">
        <v>143</v>
      </c>
      <c r="B37" s="30" t="s">
        <v>144</v>
      </c>
      <c r="C37" s="31" t="s">
        <v>140</v>
      </c>
      <c r="D37" s="43">
        <v>1029589.63</v>
      </c>
      <c r="E37" s="30" t="s">
        <v>145</v>
      </c>
      <c r="F37" s="31" t="s">
        <v>146</v>
      </c>
      <c r="G37" s="33">
        <v>241232.85</v>
      </c>
    </row>
    <row r="38" spans="1:9" s="21" customFormat="1" ht="22.5" x14ac:dyDescent="0.2">
      <c r="A38" s="34"/>
      <c r="B38" s="35"/>
      <c r="C38" s="35"/>
      <c r="D38" s="35"/>
      <c r="E38" s="36" t="s">
        <v>103</v>
      </c>
      <c r="F38" s="37"/>
      <c r="G38" s="38"/>
    </row>
    <row r="39" spans="1:9" s="21" customFormat="1" ht="78.75" x14ac:dyDescent="0.2">
      <c r="A39" s="29" t="s">
        <v>147</v>
      </c>
      <c r="B39" s="30" t="s">
        <v>148</v>
      </c>
      <c r="C39" s="31" t="s">
        <v>140</v>
      </c>
      <c r="D39" s="43">
        <v>1029589.63</v>
      </c>
      <c r="E39" s="30" t="s">
        <v>149</v>
      </c>
      <c r="F39" s="31" t="s">
        <v>150</v>
      </c>
      <c r="G39" s="33">
        <v>312789.33</v>
      </c>
    </row>
    <row r="40" spans="1:9" s="21" customFormat="1" ht="22.5" x14ac:dyDescent="0.2">
      <c r="A40" s="34"/>
      <c r="B40" s="35"/>
      <c r="C40" s="35"/>
      <c r="D40" s="35"/>
      <c r="E40" s="36" t="s">
        <v>103</v>
      </c>
      <c r="F40" s="37"/>
      <c r="G40" s="38"/>
    </row>
    <row r="41" spans="1:9" s="21" customFormat="1" ht="11.25" customHeight="1" x14ac:dyDescent="0.2">
      <c r="A41" s="39"/>
      <c r="B41" s="580" t="s">
        <v>151</v>
      </c>
      <c r="C41" s="580"/>
      <c r="D41" s="580"/>
      <c r="E41" s="580"/>
      <c r="F41" s="39"/>
      <c r="G41" s="40"/>
      <c r="H41" s="41"/>
      <c r="I41" s="41"/>
    </row>
    <row r="42" spans="1:9" s="21" customFormat="1" ht="11.25" customHeight="1" x14ac:dyDescent="0.2">
      <c r="A42" s="39"/>
      <c r="B42" s="578" t="s">
        <v>152</v>
      </c>
      <c r="C42" s="578"/>
      <c r="D42" s="578"/>
      <c r="E42" s="578"/>
      <c r="F42" s="39"/>
      <c r="G42" s="42" t="s">
        <v>153</v>
      </c>
    </row>
    <row r="43" spans="1:9" s="21" customFormat="1" ht="27" customHeight="1" x14ac:dyDescent="0.2">
      <c r="A43" s="39"/>
      <c r="B43" s="578" t="s">
        <v>134</v>
      </c>
      <c r="C43" s="578"/>
      <c r="D43" s="578"/>
      <c r="E43" s="578"/>
      <c r="F43" s="39"/>
      <c r="G43" s="42" t="s">
        <v>154</v>
      </c>
    </row>
    <row r="44" spans="1:9" s="21" customFormat="1" ht="11.25" customHeight="1" x14ac:dyDescent="0.2">
      <c r="A44" s="39"/>
      <c r="B44" s="580" t="s">
        <v>155</v>
      </c>
      <c r="C44" s="580"/>
      <c r="D44" s="580"/>
      <c r="E44" s="580"/>
      <c r="F44" s="39"/>
      <c r="G44" s="40" t="s">
        <v>154</v>
      </c>
    </row>
    <row r="45" spans="1:9" s="21" customFormat="1" ht="12.75" customHeight="1" x14ac:dyDescent="0.2">
      <c r="A45" s="581" t="s">
        <v>156</v>
      </c>
      <c r="B45" s="582"/>
      <c r="C45" s="582"/>
      <c r="D45" s="582"/>
      <c r="E45" s="582"/>
      <c r="F45" s="582"/>
      <c r="G45" s="583"/>
    </row>
    <row r="46" spans="1:9" s="21" customFormat="1" ht="12.75" customHeight="1" x14ac:dyDescent="0.2">
      <c r="A46" s="584" t="s">
        <v>97</v>
      </c>
      <c r="B46" s="585"/>
      <c r="C46" s="585"/>
      <c r="D46" s="585"/>
      <c r="E46" s="585"/>
      <c r="F46" s="585"/>
      <c r="G46" s="586"/>
    </row>
    <row r="47" spans="1:9" s="21" customFormat="1" ht="45" x14ac:dyDescent="0.2">
      <c r="A47" s="29" t="s">
        <v>157</v>
      </c>
      <c r="B47" s="30" t="s">
        <v>158</v>
      </c>
      <c r="C47" s="31" t="s">
        <v>100</v>
      </c>
      <c r="D47" s="32">
        <v>4</v>
      </c>
      <c r="E47" s="30" t="s">
        <v>159</v>
      </c>
      <c r="F47" s="31" t="s">
        <v>160</v>
      </c>
      <c r="G47" s="33">
        <v>6856</v>
      </c>
    </row>
    <row r="48" spans="1:9" s="21" customFormat="1" ht="22.5" x14ac:dyDescent="0.2">
      <c r="A48" s="34"/>
      <c r="B48" s="35"/>
      <c r="C48" s="35"/>
      <c r="D48" s="35"/>
      <c r="E48" s="36" t="s">
        <v>103</v>
      </c>
      <c r="F48" s="37"/>
      <c r="G48" s="38"/>
    </row>
    <row r="49" spans="1:9" s="21" customFormat="1" ht="45" x14ac:dyDescent="0.2">
      <c r="A49" s="29" t="s">
        <v>161</v>
      </c>
      <c r="B49" s="30" t="s">
        <v>162</v>
      </c>
      <c r="C49" s="31" t="s">
        <v>100</v>
      </c>
      <c r="D49" s="32">
        <v>4</v>
      </c>
      <c r="E49" s="30" t="s">
        <v>163</v>
      </c>
      <c r="F49" s="31" t="s">
        <v>164</v>
      </c>
      <c r="G49" s="33">
        <v>7376</v>
      </c>
    </row>
    <row r="50" spans="1:9" s="21" customFormat="1" ht="22.5" x14ac:dyDescent="0.2">
      <c r="A50" s="34"/>
      <c r="B50" s="35"/>
      <c r="C50" s="35"/>
      <c r="D50" s="35"/>
      <c r="E50" s="36" t="s">
        <v>103</v>
      </c>
      <c r="F50" s="37"/>
      <c r="G50" s="38"/>
    </row>
    <row r="51" spans="1:9" s="21" customFormat="1" ht="12.75" customHeight="1" x14ac:dyDescent="0.2">
      <c r="A51" s="584" t="s">
        <v>165</v>
      </c>
      <c r="B51" s="585"/>
      <c r="C51" s="585"/>
      <c r="D51" s="585"/>
      <c r="E51" s="585"/>
      <c r="F51" s="585"/>
      <c r="G51" s="586"/>
    </row>
    <row r="52" spans="1:9" s="21" customFormat="1" ht="12.75" customHeight="1" x14ac:dyDescent="0.2">
      <c r="A52" s="584" t="s">
        <v>108</v>
      </c>
      <c r="B52" s="585"/>
      <c r="C52" s="585"/>
      <c r="D52" s="585"/>
      <c r="E52" s="585"/>
      <c r="F52" s="585"/>
      <c r="G52" s="586"/>
    </row>
    <row r="53" spans="1:9" s="21" customFormat="1" ht="12.75" customHeight="1" x14ac:dyDescent="0.2">
      <c r="A53" s="584" t="s">
        <v>109</v>
      </c>
      <c r="B53" s="585"/>
      <c r="C53" s="585"/>
      <c r="D53" s="585"/>
      <c r="E53" s="585"/>
      <c r="F53" s="585"/>
      <c r="G53" s="586"/>
    </row>
    <row r="54" spans="1:9" s="21" customFormat="1" ht="56.25" x14ac:dyDescent="0.2">
      <c r="A54" s="29" t="s">
        <v>166</v>
      </c>
      <c r="B54" s="30" t="s">
        <v>167</v>
      </c>
      <c r="C54" s="31" t="s">
        <v>112</v>
      </c>
      <c r="D54" s="32">
        <v>2</v>
      </c>
      <c r="E54" s="30" t="s">
        <v>168</v>
      </c>
      <c r="F54" s="31" t="s">
        <v>169</v>
      </c>
      <c r="G54" s="33">
        <v>13274</v>
      </c>
    </row>
    <row r="55" spans="1:9" s="21" customFormat="1" ht="22.5" x14ac:dyDescent="0.2">
      <c r="A55" s="34"/>
      <c r="B55" s="35"/>
      <c r="C55" s="35"/>
      <c r="D55" s="35"/>
      <c r="E55" s="36" t="s">
        <v>103</v>
      </c>
      <c r="F55" s="37"/>
      <c r="G55" s="38"/>
    </row>
    <row r="56" spans="1:9" s="21" customFormat="1" ht="12.75" customHeight="1" x14ac:dyDescent="0.2">
      <c r="A56" s="584" t="s">
        <v>170</v>
      </c>
      <c r="B56" s="585"/>
      <c r="C56" s="585"/>
      <c r="D56" s="585"/>
      <c r="E56" s="585"/>
      <c r="F56" s="585"/>
      <c r="G56" s="586"/>
    </row>
    <row r="57" spans="1:9" s="21" customFormat="1" ht="101.25" x14ac:dyDescent="0.2">
      <c r="A57" s="29" t="s">
        <v>171</v>
      </c>
      <c r="B57" s="30" t="s">
        <v>172</v>
      </c>
      <c r="C57" s="31" t="s">
        <v>112</v>
      </c>
      <c r="D57" s="44">
        <v>2.0000010000000001</v>
      </c>
      <c r="E57" s="30" t="s">
        <v>173</v>
      </c>
      <c r="F57" s="31" t="s">
        <v>174</v>
      </c>
      <c r="G57" s="33">
        <v>1356</v>
      </c>
    </row>
    <row r="58" spans="1:9" s="21" customFormat="1" ht="22.5" x14ac:dyDescent="0.2">
      <c r="A58" s="34"/>
      <c r="B58" s="35"/>
      <c r="C58" s="35"/>
      <c r="D58" s="35"/>
      <c r="E58" s="36" t="s">
        <v>103</v>
      </c>
      <c r="F58" s="37"/>
      <c r="G58" s="38"/>
    </row>
    <row r="59" spans="1:9" s="21" customFormat="1" ht="12.75" customHeight="1" x14ac:dyDescent="0.2">
      <c r="A59" s="584" t="s">
        <v>175</v>
      </c>
      <c r="B59" s="585"/>
      <c r="C59" s="585"/>
      <c r="D59" s="585"/>
      <c r="E59" s="585"/>
      <c r="F59" s="585"/>
      <c r="G59" s="586"/>
    </row>
    <row r="60" spans="1:9" s="21" customFormat="1" ht="12.75" customHeight="1" x14ac:dyDescent="0.2">
      <c r="A60" s="584" t="s">
        <v>176</v>
      </c>
      <c r="B60" s="585"/>
      <c r="C60" s="585"/>
      <c r="D60" s="585"/>
      <c r="E60" s="585"/>
      <c r="F60" s="585"/>
      <c r="G60" s="586"/>
    </row>
    <row r="61" spans="1:9" s="21" customFormat="1" ht="11.25" customHeight="1" x14ac:dyDescent="0.2">
      <c r="A61" s="39"/>
      <c r="B61" s="580" t="s">
        <v>177</v>
      </c>
      <c r="C61" s="580"/>
      <c r="D61" s="580"/>
      <c r="E61" s="580"/>
      <c r="F61" s="39"/>
      <c r="G61" s="40"/>
      <c r="H61" s="41"/>
      <c r="I61" s="41"/>
    </row>
    <row r="62" spans="1:9" s="21" customFormat="1" ht="11.25" customHeight="1" x14ac:dyDescent="0.2">
      <c r="A62" s="39"/>
      <c r="B62" s="578" t="s">
        <v>178</v>
      </c>
      <c r="C62" s="578"/>
      <c r="D62" s="578"/>
      <c r="E62" s="578"/>
      <c r="F62" s="39"/>
      <c r="G62" s="42" t="s">
        <v>179</v>
      </c>
    </row>
    <row r="63" spans="1:9" s="21" customFormat="1" ht="11.25" customHeight="1" x14ac:dyDescent="0.2">
      <c r="A63" s="39"/>
      <c r="B63" s="578" t="s">
        <v>134</v>
      </c>
      <c r="C63" s="578"/>
      <c r="D63" s="578"/>
      <c r="E63" s="578"/>
      <c r="F63" s="39"/>
      <c r="G63" s="42" t="s">
        <v>180</v>
      </c>
    </row>
    <row r="64" spans="1:9" s="21" customFormat="1" ht="11.25" customHeight="1" x14ac:dyDescent="0.2">
      <c r="A64" s="39"/>
      <c r="B64" s="580" t="s">
        <v>181</v>
      </c>
      <c r="C64" s="580"/>
      <c r="D64" s="580"/>
      <c r="E64" s="580"/>
      <c r="F64" s="39"/>
      <c r="G64" s="40" t="s">
        <v>180</v>
      </c>
    </row>
    <row r="65" spans="1:9" s="21" customFormat="1" ht="12.75" customHeight="1" x14ac:dyDescent="0.2">
      <c r="A65" s="581" t="s">
        <v>182</v>
      </c>
      <c r="B65" s="582"/>
      <c r="C65" s="582"/>
      <c r="D65" s="582"/>
      <c r="E65" s="582"/>
      <c r="F65" s="582"/>
      <c r="G65" s="583"/>
    </row>
    <row r="66" spans="1:9" s="21" customFormat="1" ht="33.75" x14ac:dyDescent="0.2">
      <c r="A66" s="29" t="s">
        <v>183</v>
      </c>
      <c r="B66" s="30" t="s">
        <v>184</v>
      </c>
      <c r="C66" s="31" t="s">
        <v>140</v>
      </c>
      <c r="D66" s="43">
        <v>28862.05</v>
      </c>
      <c r="E66" s="30" t="s">
        <v>185</v>
      </c>
      <c r="F66" s="31" t="s">
        <v>186</v>
      </c>
      <c r="G66" s="33">
        <v>3160.39</v>
      </c>
    </row>
    <row r="67" spans="1:9" s="21" customFormat="1" ht="22.5" x14ac:dyDescent="0.2">
      <c r="A67" s="34"/>
      <c r="B67" s="35"/>
      <c r="C67" s="35"/>
      <c r="D67" s="35"/>
      <c r="E67" s="36" t="s">
        <v>103</v>
      </c>
      <c r="F67" s="37"/>
      <c r="G67" s="38"/>
    </row>
    <row r="68" spans="1:9" s="21" customFormat="1" ht="11.25" customHeight="1" x14ac:dyDescent="0.2">
      <c r="A68" s="39"/>
      <c r="B68" s="580" t="s">
        <v>187</v>
      </c>
      <c r="C68" s="580"/>
      <c r="D68" s="580"/>
      <c r="E68" s="580"/>
      <c r="F68" s="39"/>
      <c r="G68" s="40"/>
      <c r="H68" s="41"/>
      <c r="I68" s="41"/>
    </row>
    <row r="69" spans="1:9" s="21" customFormat="1" ht="11.25" customHeight="1" x14ac:dyDescent="0.2">
      <c r="A69" s="39"/>
      <c r="B69" s="578" t="s">
        <v>188</v>
      </c>
      <c r="C69" s="578"/>
      <c r="D69" s="578"/>
      <c r="E69" s="578"/>
      <c r="F69" s="39"/>
      <c r="G69" s="42" t="s">
        <v>189</v>
      </c>
    </row>
    <row r="70" spans="1:9" s="21" customFormat="1" ht="11.25" customHeight="1" x14ac:dyDescent="0.2">
      <c r="A70" s="39"/>
      <c r="B70" s="578" t="s">
        <v>134</v>
      </c>
      <c r="C70" s="578"/>
      <c r="D70" s="578"/>
      <c r="E70" s="578"/>
      <c r="F70" s="39"/>
      <c r="G70" s="42" t="s">
        <v>190</v>
      </c>
    </row>
    <row r="71" spans="1:9" s="21" customFormat="1" ht="11.25" customHeight="1" x14ac:dyDescent="0.2">
      <c r="A71" s="39"/>
      <c r="B71" s="580" t="s">
        <v>191</v>
      </c>
      <c r="C71" s="580"/>
      <c r="D71" s="580"/>
      <c r="E71" s="580"/>
      <c r="F71" s="39"/>
      <c r="G71" s="40" t="s">
        <v>190</v>
      </c>
    </row>
    <row r="72" spans="1:9" s="21" customFormat="1" ht="12.75" customHeight="1" x14ac:dyDescent="0.2">
      <c r="A72" s="581" t="s">
        <v>192</v>
      </c>
      <c r="B72" s="582"/>
      <c r="C72" s="582"/>
      <c r="D72" s="582"/>
      <c r="E72" s="582"/>
      <c r="F72" s="582"/>
      <c r="G72" s="583"/>
    </row>
    <row r="73" spans="1:9" s="21" customFormat="1" ht="67.5" x14ac:dyDescent="0.2">
      <c r="A73" s="29" t="s">
        <v>193</v>
      </c>
      <c r="B73" s="30" t="s">
        <v>194</v>
      </c>
      <c r="C73" s="31" t="s">
        <v>195</v>
      </c>
      <c r="D73" s="43">
        <v>1058451.68</v>
      </c>
      <c r="E73" s="30" t="s">
        <v>196</v>
      </c>
      <c r="F73" s="31" t="s">
        <v>197</v>
      </c>
      <c r="G73" s="33">
        <v>38170.379999999997</v>
      </c>
    </row>
    <row r="74" spans="1:9" s="21" customFormat="1" ht="22.5" x14ac:dyDescent="0.2">
      <c r="A74" s="34"/>
      <c r="B74" s="35"/>
      <c r="C74" s="35"/>
      <c r="D74" s="35"/>
      <c r="E74" s="36" t="s">
        <v>103</v>
      </c>
      <c r="F74" s="37"/>
      <c r="G74" s="38"/>
    </row>
    <row r="75" spans="1:9" s="21" customFormat="1" ht="67.5" x14ac:dyDescent="0.2">
      <c r="A75" s="29" t="s">
        <v>198</v>
      </c>
      <c r="B75" s="30" t="s">
        <v>199</v>
      </c>
      <c r="C75" s="31" t="s">
        <v>200</v>
      </c>
      <c r="D75" s="43">
        <v>1058451.68</v>
      </c>
      <c r="E75" s="30" t="s">
        <v>201</v>
      </c>
      <c r="F75" s="31" t="s">
        <v>202</v>
      </c>
      <c r="G75" s="33">
        <v>77870.45</v>
      </c>
    </row>
    <row r="76" spans="1:9" s="21" customFormat="1" ht="22.5" x14ac:dyDescent="0.2">
      <c r="A76" s="34"/>
      <c r="B76" s="35"/>
      <c r="C76" s="35"/>
      <c r="D76" s="35"/>
      <c r="E76" s="36" t="s">
        <v>103</v>
      </c>
      <c r="F76" s="37"/>
      <c r="G76" s="38"/>
    </row>
    <row r="77" spans="1:9" s="21" customFormat="1" ht="11.25" customHeight="1" x14ac:dyDescent="0.2">
      <c r="A77" s="39"/>
      <c r="B77" s="580" t="s">
        <v>203</v>
      </c>
      <c r="C77" s="580"/>
      <c r="D77" s="580"/>
      <c r="E77" s="580"/>
      <c r="F77" s="39"/>
      <c r="G77" s="40"/>
      <c r="H77" s="41"/>
      <c r="I77" s="41"/>
    </row>
    <row r="78" spans="1:9" s="21" customFormat="1" ht="11.25" customHeight="1" x14ac:dyDescent="0.2">
      <c r="A78" s="39"/>
      <c r="B78" s="578" t="s">
        <v>204</v>
      </c>
      <c r="C78" s="578"/>
      <c r="D78" s="578"/>
      <c r="E78" s="578"/>
      <c r="F78" s="39"/>
      <c r="G78" s="42" t="s">
        <v>205</v>
      </c>
    </row>
    <row r="79" spans="1:9" s="21" customFormat="1" ht="36.75" customHeight="1" x14ac:dyDescent="0.2">
      <c r="A79" s="39"/>
      <c r="B79" s="578" t="s">
        <v>134</v>
      </c>
      <c r="C79" s="578"/>
      <c r="D79" s="578"/>
      <c r="E79" s="578"/>
      <c r="F79" s="39"/>
      <c r="G79" s="42" t="s">
        <v>206</v>
      </c>
    </row>
    <row r="80" spans="1:9" s="21" customFormat="1" ht="11.25" customHeight="1" x14ac:dyDescent="0.2">
      <c r="A80" s="39"/>
      <c r="B80" s="580" t="s">
        <v>207</v>
      </c>
      <c r="C80" s="580"/>
      <c r="D80" s="580"/>
      <c r="E80" s="580"/>
      <c r="F80" s="39"/>
      <c r="G80" s="40" t="s">
        <v>206</v>
      </c>
    </row>
    <row r="81" spans="1:7" s="21" customFormat="1" ht="14.25" x14ac:dyDescent="0.2">
      <c r="A81" s="39"/>
      <c r="B81" s="580" t="s">
        <v>208</v>
      </c>
      <c r="C81" s="580"/>
      <c r="D81" s="580"/>
      <c r="E81" s="580"/>
      <c r="F81" s="39"/>
      <c r="G81" s="40"/>
    </row>
    <row r="82" spans="1:7" s="21" customFormat="1" ht="11.25" customHeight="1" x14ac:dyDescent="0.2">
      <c r="A82" s="39"/>
      <c r="B82" s="578" t="s">
        <v>136</v>
      </c>
      <c r="C82" s="578"/>
      <c r="D82" s="578"/>
      <c r="E82" s="578"/>
      <c r="F82" s="39"/>
      <c r="G82" s="42"/>
    </row>
    <row r="83" spans="1:7" s="21" customFormat="1" ht="11.25" customHeight="1" x14ac:dyDescent="0.2">
      <c r="A83" s="39"/>
      <c r="B83" s="578" t="s">
        <v>209</v>
      </c>
      <c r="C83" s="578"/>
      <c r="D83" s="578"/>
      <c r="E83" s="578"/>
      <c r="F83" s="39"/>
      <c r="G83" s="42" t="s">
        <v>133</v>
      </c>
    </row>
    <row r="84" spans="1:7" s="21" customFormat="1" ht="30" customHeight="1" x14ac:dyDescent="0.2">
      <c r="A84" s="39"/>
      <c r="B84" s="578" t="s">
        <v>210</v>
      </c>
      <c r="C84" s="578"/>
      <c r="D84" s="578"/>
      <c r="E84" s="578"/>
      <c r="F84" s="39"/>
      <c r="G84" s="42" t="s">
        <v>135</v>
      </c>
    </row>
    <row r="85" spans="1:7" s="21" customFormat="1" ht="11.25" customHeight="1" x14ac:dyDescent="0.2">
      <c r="A85" s="39"/>
      <c r="B85" s="578" t="s">
        <v>211</v>
      </c>
      <c r="C85" s="578"/>
      <c r="D85" s="578"/>
      <c r="E85" s="578"/>
      <c r="F85" s="39"/>
      <c r="G85" s="42" t="s">
        <v>135</v>
      </c>
    </row>
    <row r="86" spans="1:7" s="21" customFormat="1" ht="28.5" customHeight="1" x14ac:dyDescent="0.2">
      <c r="A86" s="39"/>
      <c r="B86" s="578" t="s">
        <v>155</v>
      </c>
      <c r="C86" s="578"/>
      <c r="D86" s="578"/>
      <c r="E86" s="578"/>
      <c r="F86" s="39"/>
      <c r="G86" s="42"/>
    </row>
    <row r="87" spans="1:7" s="21" customFormat="1" ht="11.25" customHeight="1" x14ac:dyDescent="0.2">
      <c r="A87" s="39"/>
      <c r="B87" s="578" t="s">
        <v>212</v>
      </c>
      <c r="C87" s="578"/>
      <c r="D87" s="578"/>
      <c r="E87" s="578"/>
      <c r="F87" s="39"/>
      <c r="G87" s="42" t="s">
        <v>153</v>
      </c>
    </row>
    <row r="88" spans="1:7" s="21" customFormat="1" ht="11.25" customHeight="1" x14ac:dyDescent="0.2">
      <c r="A88" s="39"/>
      <c r="B88" s="578" t="s">
        <v>210</v>
      </c>
      <c r="C88" s="578"/>
      <c r="D88" s="578"/>
      <c r="E88" s="578"/>
      <c r="F88" s="39"/>
      <c r="G88" s="42" t="s">
        <v>154</v>
      </c>
    </row>
    <row r="89" spans="1:7" s="21" customFormat="1" ht="11.25" customHeight="1" x14ac:dyDescent="0.2">
      <c r="A89" s="39"/>
      <c r="B89" s="578" t="s">
        <v>213</v>
      </c>
      <c r="C89" s="578"/>
      <c r="D89" s="578"/>
      <c r="E89" s="578"/>
      <c r="F89" s="39"/>
      <c r="G89" s="42" t="s">
        <v>154</v>
      </c>
    </row>
    <row r="90" spans="1:7" s="21" customFormat="1" ht="16.5" customHeight="1" x14ac:dyDescent="0.2">
      <c r="A90" s="39"/>
      <c r="B90" s="578" t="s">
        <v>181</v>
      </c>
      <c r="C90" s="578"/>
      <c r="D90" s="578"/>
      <c r="E90" s="578"/>
      <c r="F90" s="39"/>
      <c r="G90" s="42"/>
    </row>
    <row r="91" spans="1:7" s="21" customFormat="1" ht="24.75" customHeight="1" x14ac:dyDescent="0.2">
      <c r="A91" s="39"/>
      <c r="B91" s="578" t="s">
        <v>214</v>
      </c>
      <c r="C91" s="578"/>
      <c r="D91" s="578"/>
      <c r="E91" s="578"/>
      <c r="F91" s="39"/>
      <c r="G91" s="42" t="s">
        <v>179</v>
      </c>
    </row>
    <row r="92" spans="1:7" s="21" customFormat="1" ht="24.75" customHeight="1" x14ac:dyDescent="0.2">
      <c r="A92" s="39"/>
      <c r="B92" s="578" t="s">
        <v>210</v>
      </c>
      <c r="C92" s="578"/>
      <c r="D92" s="578"/>
      <c r="E92" s="578"/>
      <c r="F92" s="39"/>
      <c r="G92" s="42" t="s">
        <v>180</v>
      </c>
    </row>
    <row r="93" spans="1:7" s="21" customFormat="1" ht="26.25" customHeight="1" x14ac:dyDescent="0.2">
      <c r="A93" s="39"/>
      <c r="B93" s="578" t="s">
        <v>215</v>
      </c>
      <c r="C93" s="578"/>
      <c r="D93" s="578"/>
      <c r="E93" s="578"/>
      <c r="F93" s="39"/>
      <c r="G93" s="42" t="s">
        <v>180</v>
      </c>
    </row>
    <row r="94" spans="1:7" s="21" customFormat="1" ht="27" customHeight="1" x14ac:dyDescent="0.2">
      <c r="A94" s="39"/>
      <c r="B94" s="578" t="s">
        <v>191</v>
      </c>
      <c r="C94" s="578"/>
      <c r="D94" s="578"/>
      <c r="E94" s="578"/>
      <c r="F94" s="39"/>
      <c r="G94" s="42"/>
    </row>
    <row r="95" spans="1:7" s="21" customFormat="1" ht="11.25" customHeight="1" x14ac:dyDescent="0.2">
      <c r="A95" s="39"/>
      <c r="B95" s="578" t="s">
        <v>216</v>
      </c>
      <c r="C95" s="578"/>
      <c r="D95" s="578"/>
      <c r="E95" s="578"/>
      <c r="F95" s="39"/>
      <c r="G95" s="42" t="s">
        <v>189</v>
      </c>
    </row>
    <row r="96" spans="1:7" s="21" customFormat="1" ht="26.25" customHeight="1" x14ac:dyDescent="0.2">
      <c r="A96" s="39"/>
      <c r="B96" s="578" t="s">
        <v>210</v>
      </c>
      <c r="C96" s="578"/>
      <c r="D96" s="578"/>
      <c r="E96" s="578"/>
      <c r="F96" s="39"/>
      <c r="G96" s="42" t="s">
        <v>190</v>
      </c>
    </row>
    <row r="97" spans="1:10" s="21" customFormat="1" ht="24" customHeight="1" x14ac:dyDescent="0.2">
      <c r="A97" s="39"/>
      <c r="B97" s="578" t="s">
        <v>217</v>
      </c>
      <c r="C97" s="578"/>
      <c r="D97" s="578"/>
      <c r="E97" s="578"/>
      <c r="F97" s="39"/>
      <c r="G97" s="42" t="s">
        <v>190</v>
      </c>
    </row>
    <row r="98" spans="1:10" s="21" customFormat="1" ht="30.75" customHeight="1" x14ac:dyDescent="0.2">
      <c r="A98" s="39"/>
      <c r="B98" s="578" t="s">
        <v>207</v>
      </c>
      <c r="C98" s="578"/>
      <c r="D98" s="578"/>
      <c r="E98" s="578"/>
      <c r="F98" s="39"/>
      <c r="G98" s="42"/>
    </row>
    <row r="99" spans="1:10" s="21" customFormat="1" ht="24.75" customHeight="1" x14ac:dyDescent="0.2">
      <c r="A99" s="39"/>
      <c r="B99" s="578" t="s">
        <v>218</v>
      </c>
      <c r="C99" s="578"/>
      <c r="D99" s="578"/>
      <c r="E99" s="578"/>
      <c r="F99" s="39"/>
      <c r="G99" s="42" t="s">
        <v>205</v>
      </c>
    </row>
    <row r="100" spans="1:10" s="21" customFormat="1" ht="40.5" customHeight="1" x14ac:dyDescent="0.2">
      <c r="A100" s="39"/>
      <c r="B100" s="578" t="s">
        <v>210</v>
      </c>
      <c r="C100" s="578"/>
      <c r="D100" s="578"/>
      <c r="E100" s="578"/>
      <c r="F100" s="39"/>
      <c r="G100" s="42" t="s">
        <v>206</v>
      </c>
    </row>
    <row r="101" spans="1:10" s="21" customFormat="1" ht="27" customHeight="1" x14ac:dyDescent="0.2">
      <c r="A101" s="39"/>
      <c r="B101" s="578" t="s">
        <v>219</v>
      </c>
      <c r="C101" s="578"/>
      <c r="D101" s="578"/>
      <c r="E101" s="578"/>
      <c r="F101" s="39"/>
      <c r="G101" s="42" t="s">
        <v>206</v>
      </c>
    </row>
    <row r="102" spans="1:10" s="21" customFormat="1" ht="11.25" customHeight="1" x14ac:dyDescent="0.2">
      <c r="A102" s="45"/>
      <c r="B102" s="579" t="s">
        <v>220</v>
      </c>
      <c r="C102" s="579"/>
      <c r="D102" s="579"/>
      <c r="E102" s="579"/>
      <c r="F102" s="45"/>
      <c r="G102" s="46">
        <v>2526121.8463999997</v>
      </c>
      <c r="H102" s="47"/>
      <c r="I102" s="47"/>
      <c r="J102" s="47"/>
    </row>
    <row r="103" spans="1:10" ht="11.25" customHeight="1" x14ac:dyDescent="0.2">
      <c r="G103" s="48"/>
      <c r="H103" s="48"/>
      <c r="I103" s="48"/>
      <c r="J103" s="48"/>
    </row>
    <row r="104" spans="1:10" ht="11.25" customHeight="1" x14ac:dyDescent="0.2">
      <c r="G104" s="48"/>
      <c r="H104" s="48"/>
      <c r="I104" s="48"/>
      <c r="J104" s="48"/>
    </row>
    <row r="105" spans="1:10" ht="11.25" customHeight="1" x14ac:dyDescent="0.2">
      <c r="G105" s="48"/>
      <c r="H105" s="48"/>
      <c r="I105" s="48"/>
      <c r="J105" s="48"/>
    </row>
    <row r="106" spans="1:10" ht="11.25" customHeight="1" x14ac:dyDescent="0.2">
      <c r="G106" s="48"/>
      <c r="H106" s="48"/>
      <c r="I106" s="48"/>
      <c r="J106" s="48"/>
    </row>
    <row r="107" spans="1:10" ht="11.25" customHeight="1" x14ac:dyDescent="0.2">
      <c r="G107" s="48"/>
      <c r="H107" s="48"/>
      <c r="I107" s="48"/>
      <c r="J107" s="48"/>
    </row>
  </sheetData>
  <mergeCells count="62">
    <mergeCell ref="A7:G7"/>
    <mergeCell ref="A8:G8"/>
    <mergeCell ref="A14:G14"/>
    <mergeCell ref="A15:G15"/>
    <mergeCell ref="A16:G16"/>
    <mergeCell ref="A19:G19"/>
    <mergeCell ref="A22:G22"/>
    <mergeCell ref="A23:G23"/>
    <mergeCell ref="A27:G27"/>
    <mergeCell ref="B30:E30"/>
    <mergeCell ref="B31:E31"/>
    <mergeCell ref="B32:E32"/>
    <mergeCell ref="B33:E33"/>
    <mergeCell ref="A34:G34"/>
    <mergeCell ref="B41:E41"/>
    <mergeCell ref="B42:E42"/>
    <mergeCell ref="B43:E43"/>
    <mergeCell ref="B44:E44"/>
    <mergeCell ref="A45:G45"/>
    <mergeCell ref="A46:G46"/>
    <mergeCell ref="A51:G51"/>
    <mergeCell ref="A52:G52"/>
    <mergeCell ref="A53:G53"/>
    <mergeCell ref="A56:G56"/>
    <mergeCell ref="A59:G59"/>
    <mergeCell ref="A60:G60"/>
    <mergeCell ref="B61:E61"/>
    <mergeCell ref="B62:E62"/>
    <mergeCell ref="B63:E63"/>
    <mergeCell ref="B64:E64"/>
    <mergeCell ref="A65:G65"/>
    <mergeCell ref="B68:E68"/>
    <mergeCell ref="B69:E69"/>
    <mergeCell ref="B70:E70"/>
    <mergeCell ref="B71:E71"/>
    <mergeCell ref="A72:G72"/>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101:E101"/>
    <mergeCell ref="B102:E102"/>
    <mergeCell ref="B96:E96"/>
    <mergeCell ref="B97:E97"/>
    <mergeCell ref="B98:E98"/>
    <mergeCell ref="B99:E99"/>
    <mergeCell ref="B100:E100"/>
  </mergeCells>
  <pageMargins left="0.78740155696868885" right="0.31496062874793995" top="0.31496062874793995" bottom="0.31496062874793995" header="0.19685038924217199" footer="0.19685038924217199"/>
  <pageSetup paperSize="9" scale="82" fitToHeight="0" orientation="landscape"/>
  <headerFooter>
    <oddFooter>&amp;RСтраница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V21"/>
  <sheetViews>
    <sheetView zoomScale="85" workbookViewId="0">
      <selection activeCell="G102" sqref="G102"/>
    </sheetView>
  </sheetViews>
  <sheetFormatPr defaultRowHeight="12" x14ac:dyDescent="0.25"/>
  <cols>
    <col min="1" max="1" width="3.7109375" style="50" customWidth="1"/>
    <col min="2" max="2" width="20.28515625" style="49" customWidth="1"/>
    <col min="3" max="3" width="19.5703125" style="49" bestFit="1" customWidth="1"/>
    <col min="4" max="4" width="25.7109375" style="49" customWidth="1"/>
    <col min="5" max="7" width="6.28515625" style="49" customWidth="1"/>
    <col min="8" max="8" width="3.7109375" style="49" bestFit="1" customWidth="1"/>
    <col min="9" max="13" width="2.42578125" style="50" customWidth="1"/>
    <col min="14" max="14" width="14" style="49" customWidth="1"/>
    <col min="15" max="15" width="12.28515625" style="49" bestFit="1" customWidth="1"/>
    <col min="16" max="16384" width="9.140625" style="49"/>
  </cols>
  <sheetData>
    <row r="1" spans="1:22" x14ac:dyDescent="0.25">
      <c r="A1" s="607" t="s">
        <v>221</v>
      </c>
      <c r="B1" s="607"/>
      <c r="C1" s="607"/>
      <c r="D1" s="607"/>
      <c r="E1" s="607"/>
      <c r="F1" s="607"/>
      <c r="G1" s="607"/>
      <c r="H1" s="607"/>
      <c r="I1" s="607"/>
      <c r="J1" s="607"/>
      <c r="K1" s="607"/>
      <c r="L1" s="607"/>
      <c r="M1" s="607"/>
      <c r="N1" s="607"/>
      <c r="O1" s="607"/>
    </row>
    <row r="2" spans="1:22" x14ac:dyDescent="0.25">
      <c r="A2" s="607" t="s">
        <v>222</v>
      </c>
      <c r="B2" s="607"/>
      <c r="C2" s="607"/>
      <c r="D2" s="607"/>
      <c r="E2" s="607"/>
      <c r="F2" s="607"/>
      <c r="G2" s="607"/>
      <c r="H2" s="607"/>
      <c r="I2" s="607"/>
      <c r="J2" s="607"/>
      <c r="K2" s="607"/>
      <c r="L2" s="607"/>
      <c r="M2" s="607"/>
      <c r="N2" s="607"/>
      <c r="O2" s="607"/>
    </row>
    <row r="3" spans="1:22" x14ac:dyDescent="0.25">
      <c r="A3" s="608"/>
      <c r="B3" s="608"/>
      <c r="C3" s="608"/>
      <c r="D3" s="608"/>
      <c r="E3" s="608"/>
      <c r="F3" s="608"/>
      <c r="G3" s="608"/>
      <c r="H3" s="608"/>
      <c r="I3" s="608"/>
      <c r="J3" s="608"/>
      <c r="K3" s="608"/>
      <c r="L3" s="608"/>
      <c r="M3" s="608"/>
      <c r="N3" s="608"/>
      <c r="O3" s="608"/>
    </row>
    <row r="4" spans="1:22" ht="40.5" customHeight="1" x14ac:dyDescent="0.25">
      <c r="A4" s="51" t="s">
        <v>10</v>
      </c>
      <c r="B4" s="600" t="s">
        <v>91</v>
      </c>
      <c r="C4" s="600"/>
      <c r="D4" s="51" t="s">
        <v>94</v>
      </c>
      <c r="E4" s="51" t="s">
        <v>223</v>
      </c>
      <c r="F4" s="51" t="s">
        <v>224</v>
      </c>
      <c r="G4" s="600" t="s">
        <v>225</v>
      </c>
      <c r="H4" s="600"/>
      <c r="I4" s="600"/>
      <c r="J4" s="600"/>
      <c r="K4" s="600"/>
      <c r="L4" s="600"/>
      <c r="M4" s="600"/>
      <c r="N4" s="600"/>
      <c r="O4" s="52" t="s">
        <v>226</v>
      </c>
    </row>
    <row r="5" spans="1:22" x14ac:dyDescent="0.25">
      <c r="A5" s="51">
        <v>1</v>
      </c>
      <c r="B5" s="600">
        <v>2</v>
      </c>
      <c r="C5" s="600"/>
      <c r="D5" s="51">
        <v>3</v>
      </c>
      <c r="E5" s="51">
        <v>4</v>
      </c>
      <c r="F5" s="51">
        <v>5</v>
      </c>
      <c r="G5" s="600">
        <v>6</v>
      </c>
      <c r="H5" s="600"/>
      <c r="I5" s="600"/>
      <c r="J5" s="600"/>
      <c r="K5" s="600"/>
      <c r="L5" s="600"/>
      <c r="M5" s="600"/>
      <c r="N5" s="600"/>
      <c r="O5" s="51">
        <v>7</v>
      </c>
    </row>
    <row r="6" spans="1:22" ht="30" customHeight="1" x14ac:dyDescent="0.25">
      <c r="A6" s="53"/>
      <c r="B6" s="603" t="s">
        <v>227</v>
      </c>
      <c r="C6" s="603"/>
      <c r="D6" s="603"/>
      <c r="E6" s="603"/>
      <c r="F6" s="603"/>
      <c r="G6" s="603"/>
      <c r="H6" s="603"/>
      <c r="I6" s="603"/>
      <c r="J6" s="603"/>
      <c r="K6" s="603"/>
      <c r="L6" s="603"/>
      <c r="M6" s="603"/>
      <c r="N6" s="603"/>
      <c r="O6" s="603"/>
    </row>
    <row r="7" spans="1:22" s="50" customFormat="1" ht="42.75" customHeight="1" x14ac:dyDescent="0.25">
      <c r="A7" s="54">
        <v>1</v>
      </c>
      <c r="B7" s="604" t="s">
        <v>228</v>
      </c>
      <c r="C7" s="604"/>
      <c r="D7" s="55" t="s">
        <v>229</v>
      </c>
      <c r="E7" s="56"/>
      <c r="F7" s="56"/>
      <c r="G7" s="57"/>
      <c r="H7" s="57"/>
      <c r="I7" s="58"/>
      <c r="J7" s="58"/>
      <c r="K7" s="58"/>
      <c r="L7" s="58"/>
      <c r="M7" s="58"/>
      <c r="N7" s="56"/>
      <c r="O7" s="59"/>
      <c r="P7" s="49"/>
      <c r="Q7" s="49"/>
      <c r="R7" s="49"/>
      <c r="S7" s="49"/>
      <c r="T7" s="49"/>
      <c r="U7" s="49"/>
      <c r="V7" s="49"/>
    </row>
    <row r="8" spans="1:22" s="50" customFormat="1" ht="24" x14ac:dyDescent="0.25">
      <c r="A8" s="60"/>
      <c r="B8" s="605"/>
      <c r="C8" s="606"/>
      <c r="D8" s="61" t="s">
        <v>230</v>
      </c>
      <c r="E8" s="56"/>
      <c r="F8" s="56"/>
      <c r="G8" s="57"/>
      <c r="H8" s="57"/>
      <c r="I8" s="58"/>
      <c r="J8" s="58"/>
      <c r="K8" s="58"/>
      <c r="L8" s="58"/>
      <c r="M8" s="58"/>
      <c r="N8" s="56"/>
      <c r="O8" s="59"/>
      <c r="P8" s="49"/>
      <c r="Q8" s="49"/>
      <c r="R8" s="49"/>
      <c r="S8" s="49"/>
      <c r="T8" s="49"/>
      <c r="U8" s="49"/>
      <c r="V8" s="49"/>
    </row>
    <row r="9" spans="1:22" s="50" customFormat="1" x14ac:dyDescent="0.25">
      <c r="A9" s="60"/>
      <c r="B9" s="587" t="s">
        <v>231</v>
      </c>
      <c r="C9" s="587" t="s">
        <v>232</v>
      </c>
      <c r="D9" s="600"/>
      <c r="E9" s="600"/>
      <c r="F9" s="601"/>
      <c r="G9" s="602"/>
      <c r="H9" s="599"/>
      <c r="I9" s="599"/>
      <c r="J9" s="599"/>
      <c r="K9" s="599"/>
      <c r="L9" s="599"/>
      <c r="M9" s="599"/>
      <c r="N9" s="596"/>
      <c r="O9" s="597"/>
      <c r="P9" s="49"/>
      <c r="Q9" s="49"/>
      <c r="R9" s="49"/>
      <c r="S9" s="49"/>
      <c r="T9" s="49"/>
      <c r="U9" s="49"/>
      <c r="V9" s="49"/>
    </row>
    <row r="10" spans="1:22" s="50" customFormat="1" x14ac:dyDescent="0.25">
      <c r="A10" s="60"/>
      <c r="B10" s="598"/>
      <c r="C10" s="587"/>
      <c r="D10" s="600"/>
      <c r="E10" s="600"/>
      <c r="F10" s="601"/>
      <c r="G10" s="602"/>
      <c r="H10" s="599"/>
      <c r="I10" s="599"/>
      <c r="J10" s="599"/>
      <c r="K10" s="599"/>
      <c r="L10" s="599"/>
      <c r="M10" s="599"/>
      <c r="N10" s="596"/>
      <c r="O10" s="597"/>
      <c r="P10" s="49"/>
      <c r="Q10" s="49"/>
      <c r="R10" s="49"/>
      <c r="S10" s="49"/>
      <c r="T10" s="49"/>
      <c r="U10" s="49"/>
      <c r="V10" s="49"/>
    </row>
    <row r="11" spans="1:22" s="64" customFormat="1" ht="24" customHeight="1" x14ac:dyDescent="0.25">
      <c r="A11" s="60"/>
      <c r="B11" s="63"/>
      <c r="C11" s="55" t="s">
        <v>233</v>
      </c>
      <c r="D11" s="55" t="s">
        <v>234</v>
      </c>
      <c r="E11" s="51" t="s">
        <v>235</v>
      </c>
      <c r="F11" s="65">
        <v>40</v>
      </c>
      <c r="G11" s="66">
        <v>110</v>
      </c>
      <c r="H11" s="67">
        <v>1.2</v>
      </c>
      <c r="I11" s="62"/>
      <c r="J11" s="62"/>
      <c r="K11" s="62"/>
      <c r="L11" s="62"/>
      <c r="M11" s="62"/>
      <c r="N11" s="68" t="s">
        <v>236</v>
      </c>
      <c r="O11" s="69">
        <v>5280</v>
      </c>
    </row>
    <row r="12" spans="1:22" x14ac:dyDescent="0.25">
      <c r="A12" s="60"/>
      <c r="B12" s="587" t="s">
        <v>231</v>
      </c>
      <c r="C12" s="587" t="s">
        <v>237</v>
      </c>
      <c r="D12" s="600"/>
      <c r="E12" s="600"/>
      <c r="F12" s="601"/>
      <c r="G12" s="602"/>
      <c r="H12" s="599"/>
      <c r="I12" s="599"/>
      <c r="J12" s="599"/>
      <c r="K12" s="599"/>
      <c r="L12" s="599"/>
      <c r="M12" s="599"/>
      <c r="N12" s="596"/>
      <c r="O12" s="597"/>
    </row>
    <row r="13" spans="1:22" x14ac:dyDescent="0.25">
      <c r="A13" s="60"/>
      <c r="B13" s="598"/>
      <c r="C13" s="587"/>
      <c r="D13" s="600"/>
      <c r="E13" s="600"/>
      <c r="F13" s="601"/>
      <c r="G13" s="602"/>
      <c r="H13" s="599"/>
      <c r="I13" s="599"/>
      <c r="J13" s="599"/>
      <c r="K13" s="599"/>
      <c r="L13" s="599"/>
      <c r="M13" s="599"/>
      <c r="N13" s="596"/>
      <c r="O13" s="597"/>
    </row>
    <row r="14" spans="1:22" s="64" customFormat="1" ht="24" customHeight="1" x14ac:dyDescent="0.25">
      <c r="A14" s="70"/>
      <c r="B14" s="63"/>
      <c r="C14" s="55" t="s">
        <v>233</v>
      </c>
      <c r="D14" s="55" t="s">
        <v>238</v>
      </c>
      <c r="E14" s="51" t="s">
        <v>235</v>
      </c>
      <c r="F14" s="65">
        <v>10</v>
      </c>
      <c r="G14" s="66">
        <v>154</v>
      </c>
      <c r="H14" s="67">
        <v>1.2</v>
      </c>
      <c r="I14" s="62"/>
      <c r="J14" s="62"/>
      <c r="K14" s="62"/>
      <c r="L14" s="62"/>
      <c r="M14" s="62"/>
      <c r="N14" s="68" t="s">
        <v>239</v>
      </c>
      <c r="O14" s="69">
        <v>1848</v>
      </c>
    </row>
    <row r="15" spans="1:22" ht="24.95" customHeight="1" x14ac:dyDescent="0.25">
      <c r="A15" s="71">
        <v>2</v>
      </c>
      <c r="B15" s="598" t="s">
        <v>240</v>
      </c>
      <c r="C15" s="598"/>
      <c r="D15" s="56" t="s">
        <v>241</v>
      </c>
      <c r="E15" s="51"/>
      <c r="F15" s="72">
        <v>1</v>
      </c>
      <c r="G15" s="73"/>
      <c r="H15" s="588"/>
      <c r="I15" s="589"/>
      <c r="J15" s="589"/>
      <c r="K15" s="589"/>
      <c r="L15" s="589"/>
      <c r="M15" s="590"/>
      <c r="N15" s="68" t="s">
        <v>242</v>
      </c>
      <c r="O15" s="69">
        <v>7128</v>
      </c>
    </row>
    <row r="16" spans="1:22" ht="36" x14ac:dyDescent="0.25">
      <c r="A16" s="58">
        <v>3</v>
      </c>
      <c r="B16" s="56" t="s">
        <v>243</v>
      </c>
      <c r="C16" s="55" t="s">
        <v>233</v>
      </c>
      <c r="D16" s="56" t="s">
        <v>244</v>
      </c>
      <c r="E16" s="51"/>
      <c r="F16" s="74">
        <v>1.08</v>
      </c>
      <c r="G16" s="67"/>
      <c r="H16" s="595">
        <v>7128</v>
      </c>
      <c r="I16" s="595"/>
      <c r="J16" s="595"/>
      <c r="K16" s="595"/>
      <c r="L16" s="595"/>
      <c r="M16" s="595"/>
      <c r="N16" s="75" t="s">
        <v>245</v>
      </c>
      <c r="O16" s="69">
        <v>7698.24</v>
      </c>
    </row>
    <row r="17" spans="1:15" ht="24.95" customHeight="1" x14ac:dyDescent="0.25">
      <c r="A17" s="58">
        <v>4</v>
      </c>
      <c r="B17" s="56" t="s">
        <v>246</v>
      </c>
      <c r="C17" s="63"/>
      <c r="D17" s="56"/>
      <c r="E17" s="51"/>
      <c r="F17" s="76"/>
      <c r="G17" s="73"/>
      <c r="H17" s="595"/>
      <c r="I17" s="595"/>
      <c r="J17" s="595"/>
      <c r="K17" s="595"/>
      <c r="L17" s="595"/>
      <c r="M17" s="595"/>
      <c r="N17" s="75"/>
      <c r="O17" s="77">
        <v>7698.24</v>
      </c>
    </row>
    <row r="18" spans="1:15" ht="48" x14ac:dyDescent="0.25">
      <c r="A18" s="58">
        <v>5</v>
      </c>
      <c r="B18" s="587" t="s">
        <v>247</v>
      </c>
      <c r="C18" s="587"/>
      <c r="D18" s="56" t="s">
        <v>248</v>
      </c>
      <c r="E18" s="51"/>
      <c r="F18" s="78">
        <v>7.2290000000000001</v>
      </c>
      <c r="G18" s="73"/>
      <c r="H18" s="595">
        <v>7698.24</v>
      </c>
      <c r="I18" s="595"/>
      <c r="J18" s="595"/>
      <c r="K18" s="595"/>
      <c r="L18" s="595"/>
      <c r="M18" s="595"/>
      <c r="N18" s="75" t="s">
        <v>249</v>
      </c>
      <c r="O18" s="69">
        <f>(54426.56/7.07)*7.229</f>
        <v>55650.580231966051</v>
      </c>
    </row>
    <row r="19" spans="1:15" ht="20.100000000000001" customHeight="1" x14ac:dyDescent="0.25">
      <c r="A19" s="71">
        <v>6</v>
      </c>
      <c r="B19" s="587" t="s">
        <v>250</v>
      </c>
      <c r="C19" s="587"/>
      <c r="D19" s="56"/>
      <c r="E19" s="51"/>
      <c r="F19" s="79"/>
      <c r="G19" s="73"/>
      <c r="H19" s="588"/>
      <c r="I19" s="589"/>
      <c r="J19" s="589"/>
      <c r="K19" s="589"/>
      <c r="L19" s="589"/>
      <c r="M19" s="590"/>
      <c r="N19" s="68"/>
      <c r="O19" s="78">
        <f>O18</f>
        <v>55650.580231966051</v>
      </c>
    </row>
    <row r="20" spans="1:15" ht="45" customHeight="1" x14ac:dyDescent="0.25">
      <c r="A20" s="71">
        <v>7</v>
      </c>
      <c r="B20" s="587" t="s">
        <v>251</v>
      </c>
      <c r="C20" s="587"/>
      <c r="D20" s="56"/>
      <c r="E20" s="51"/>
      <c r="F20" s="79"/>
      <c r="G20" s="73"/>
      <c r="H20" s="588"/>
      <c r="I20" s="589"/>
      <c r="J20" s="589"/>
      <c r="K20" s="589"/>
      <c r="L20" s="589"/>
      <c r="M20" s="590"/>
      <c r="N20" s="68"/>
      <c r="O20" s="78">
        <f>O19*0.8</f>
        <v>44520.464185572841</v>
      </c>
    </row>
    <row r="21" spans="1:15" ht="18.75" customHeight="1" x14ac:dyDescent="0.25">
      <c r="A21" s="80">
        <v>8</v>
      </c>
      <c r="B21" s="591" t="s">
        <v>252</v>
      </c>
      <c r="C21" s="591"/>
      <c r="D21" s="81"/>
      <c r="E21" s="82"/>
      <c r="F21" s="83"/>
      <c r="G21" s="84"/>
      <c r="H21" s="592"/>
      <c r="I21" s="593"/>
      <c r="J21" s="593"/>
      <c r="K21" s="593"/>
      <c r="L21" s="593"/>
      <c r="M21" s="594"/>
      <c r="N21" s="85"/>
      <c r="O21" s="86">
        <f>O20</f>
        <v>44520.464185572841</v>
      </c>
    </row>
  </sheetData>
  <mergeCells count="50">
    <mergeCell ref="A1:O1"/>
    <mergeCell ref="A2:O2"/>
    <mergeCell ref="A3:O3"/>
    <mergeCell ref="B4:C4"/>
    <mergeCell ref="G4:N4"/>
    <mergeCell ref="B5:C5"/>
    <mergeCell ref="G5:N5"/>
    <mergeCell ref="B6:O6"/>
    <mergeCell ref="B7:C7"/>
    <mergeCell ref="B8:C8"/>
    <mergeCell ref="B9:B10"/>
    <mergeCell ref="C9:C10"/>
    <mergeCell ref="D9:D10"/>
    <mergeCell ref="E9:E10"/>
    <mergeCell ref="F9:F10"/>
    <mergeCell ref="G9:G10"/>
    <mergeCell ref="H9:H10"/>
    <mergeCell ref="I9:I10"/>
    <mergeCell ref="J9:J10"/>
    <mergeCell ref="K9:K10"/>
    <mergeCell ref="L9:L10"/>
    <mergeCell ref="M9:M10"/>
    <mergeCell ref="N9:N10"/>
    <mergeCell ref="O9:O10"/>
    <mergeCell ref="B12:B13"/>
    <mergeCell ref="C12:C13"/>
    <mergeCell ref="D12:D13"/>
    <mergeCell ref="E12:E13"/>
    <mergeCell ref="F12:F13"/>
    <mergeCell ref="G12:G13"/>
    <mergeCell ref="H12:H13"/>
    <mergeCell ref="I12:I13"/>
    <mergeCell ref="J12:J13"/>
    <mergeCell ref="K12:K13"/>
    <mergeCell ref="L12:L13"/>
    <mergeCell ref="M12:M13"/>
    <mergeCell ref="N12:N13"/>
    <mergeCell ref="O12:O13"/>
    <mergeCell ref="B15:C15"/>
    <mergeCell ref="H15:M15"/>
    <mergeCell ref="H16:M16"/>
    <mergeCell ref="B20:C20"/>
    <mergeCell ref="H20:M20"/>
    <mergeCell ref="B21:C21"/>
    <mergeCell ref="H21:M21"/>
    <mergeCell ref="H17:M17"/>
    <mergeCell ref="B18:C18"/>
    <mergeCell ref="H18:M18"/>
    <mergeCell ref="B19:C19"/>
    <mergeCell ref="H19:M19"/>
  </mergeCells>
  <conditionalFormatting sqref="H7:L18 H20:L26">
    <cfRule type="cellIs" dxfId="56" priority="6" operator="lessThan">
      <formula>1</formula>
    </cfRule>
  </conditionalFormatting>
  <conditionalFormatting sqref="A1:A18 A20:A1048576">
    <cfRule type="cellIs" dxfId="55" priority="5" operator="equal">
      <formula>"D"</formula>
    </cfRule>
  </conditionalFormatting>
  <conditionalFormatting sqref="M2:M18 M20:M1048576">
    <cfRule type="cellIs" dxfId="54" priority="4" operator="equal">
      <formula>1</formula>
    </cfRule>
  </conditionalFormatting>
  <conditionalFormatting sqref="H19:L19">
    <cfRule type="cellIs" dxfId="53" priority="3" operator="lessThan">
      <formula>1</formula>
    </cfRule>
  </conditionalFormatting>
  <conditionalFormatting sqref="A19">
    <cfRule type="cellIs" dxfId="52" priority="2" operator="equal">
      <formula>"D"</formula>
    </cfRule>
  </conditionalFormatting>
  <conditionalFormatting sqref="M19">
    <cfRule type="cellIs" dxfId="51" priority="1" operator="equal">
      <formula>1</formula>
    </cfRule>
  </conditionalFormatting>
  <pageMargins left="0.51181102362204722" right="0.31496062992125984" top="0.35433070866141736" bottom="0.59055118110236249" header="0.31496062992125984" footer="0.31496062992125984"/>
  <pageSetup paperSize="9" scale="75" fitToHeight="1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M126"/>
  <sheetViews>
    <sheetView topLeftCell="A2" zoomScale="110" workbookViewId="0">
      <selection activeCell="G102" sqref="G102"/>
    </sheetView>
  </sheetViews>
  <sheetFormatPr defaultColWidth="8.85546875" defaultRowHeight="11.25" customHeight="1" x14ac:dyDescent="0.2"/>
  <cols>
    <col min="1" max="1" width="7" style="87" customWidth="1"/>
    <col min="2" max="2" width="36.5703125" style="87" customWidth="1"/>
    <col min="3" max="4" width="12.7109375" style="87" customWidth="1"/>
    <col min="5" max="5" width="47.85546875" style="87" customWidth="1"/>
    <col min="6" max="6" width="42.5703125" style="87" customWidth="1"/>
    <col min="7" max="7" width="13.28515625" style="87" bestFit="1" customWidth="1"/>
    <col min="8" max="9" width="8.85546875" style="87"/>
    <col min="10" max="10" width="16" style="87" customWidth="1"/>
    <col min="11" max="16384" width="8.85546875" style="87"/>
  </cols>
  <sheetData>
    <row r="1" spans="1:7" s="88" customFormat="1" ht="6" hidden="1" customHeight="1" x14ac:dyDescent="0.2"/>
    <row r="2" spans="1:7" s="88" customFormat="1" ht="14.25" x14ac:dyDescent="0.2">
      <c r="G2" s="89" t="s">
        <v>253</v>
      </c>
    </row>
    <row r="3" spans="1:7" s="88" customFormat="1" ht="14.25" x14ac:dyDescent="0.2">
      <c r="B3" s="90" t="s">
        <v>254</v>
      </c>
      <c r="C3" s="91"/>
      <c r="D3" s="91"/>
    </row>
    <row r="4" spans="1:7" s="88" customFormat="1" ht="14.25" x14ac:dyDescent="0.2">
      <c r="B4" s="90" t="s">
        <v>255</v>
      </c>
      <c r="C4" s="91"/>
      <c r="D4" s="91"/>
    </row>
    <row r="5" spans="1:7" s="88" customFormat="1" ht="14.25" x14ac:dyDescent="0.2">
      <c r="B5" s="90" t="str">
        <f>СВОД!B22</f>
        <v>Инженерно-геодезические изыскания</v>
      </c>
      <c r="C5" s="91"/>
      <c r="D5" s="91"/>
    </row>
    <row r="6" spans="1:7" s="88" customFormat="1" ht="14.25" x14ac:dyDescent="0.2">
      <c r="A6" s="91"/>
      <c r="B6" s="91"/>
      <c r="C6" s="91"/>
      <c r="D6" s="91"/>
      <c r="E6" s="92"/>
      <c r="F6" s="92"/>
      <c r="G6" s="93"/>
    </row>
    <row r="7" spans="1:7" s="88" customFormat="1" ht="35.25" customHeight="1" x14ac:dyDescent="0.2">
      <c r="A7" s="94" t="s">
        <v>90</v>
      </c>
      <c r="B7" s="94" t="s">
        <v>91</v>
      </c>
      <c r="C7" s="94" t="s">
        <v>92</v>
      </c>
      <c r="D7" s="94" t="s">
        <v>93</v>
      </c>
      <c r="E7" s="94" t="s">
        <v>94</v>
      </c>
      <c r="F7" s="94" t="s">
        <v>95</v>
      </c>
      <c r="G7" s="94" t="s">
        <v>13</v>
      </c>
    </row>
    <row r="8" spans="1:7" s="88" customFormat="1" ht="14.25" x14ac:dyDescent="0.2">
      <c r="A8" s="95">
        <v>1</v>
      </c>
      <c r="B8" s="96">
        <v>2</v>
      </c>
      <c r="C8" s="96">
        <v>3</v>
      </c>
      <c r="D8" s="96">
        <v>4</v>
      </c>
      <c r="E8" s="96">
        <v>5</v>
      </c>
      <c r="F8" s="95">
        <v>6</v>
      </c>
      <c r="G8" s="95">
        <v>7</v>
      </c>
    </row>
    <row r="9" spans="1:7" s="88" customFormat="1" ht="12.75" customHeight="1" x14ac:dyDescent="0.2">
      <c r="A9" s="612" t="s">
        <v>96</v>
      </c>
      <c r="B9" s="613"/>
      <c r="C9" s="613"/>
      <c r="D9" s="613"/>
      <c r="E9" s="613"/>
      <c r="F9" s="613"/>
      <c r="G9" s="614"/>
    </row>
    <row r="10" spans="1:7" s="88" customFormat="1" ht="12.75" customHeight="1" x14ac:dyDescent="0.2">
      <c r="A10" s="615" t="s">
        <v>256</v>
      </c>
      <c r="B10" s="616"/>
      <c r="C10" s="616"/>
      <c r="D10" s="616"/>
      <c r="E10" s="616"/>
      <c r="F10" s="616"/>
      <c r="G10" s="617"/>
    </row>
    <row r="11" spans="1:7" s="88" customFormat="1" ht="127.5" customHeight="1" x14ac:dyDescent="0.2">
      <c r="A11" s="615" t="s">
        <v>257</v>
      </c>
      <c r="B11" s="616"/>
      <c r="C11" s="616"/>
      <c r="D11" s="616"/>
      <c r="E11" s="616"/>
      <c r="F11" s="616"/>
      <c r="G11" s="617"/>
    </row>
    <row r="12" spans="1:7" s="88" customFormat="1" ht="56.25" x14ac:dyDescent="0.2">
      <c r="A12" s="97" t="s">
        <v>98</v>
      </c>
      <c r="B12" s="98" t="s">
        <v>99</v>
      </c>
      <c r="C12" s="99" t="s">
        <v>100</v>
      </c>
      <c r="D12" s="100">
        <v>15</v>
      </c>
      <c r="E12" s="98" t="s">
        <v>101</v>
      </c>
      <c r="F12" s="99" t="s">
        <v>258</v>
      </c>
      <c r="G12" s="101">
        <v>671943.75</v>
      </c>
    </row>
    <row r="13" spans="1:7" s="88" customFormat="1" ht="22.5" x14ac:dyDescent="0.2">
      <c r="A13" s="102"/>
      <c r="B13" s="103"/>
      <c r="C13" s="103"/>
      <c r="D13" s="103"/>
      <c r="E13" s="104" t="s">
        <v>259</v>
      </c>
      <c r="F13" s="105"/>
      <c r="G13" s="106"/>
    </row>
    <row r="14" spans="1:7" s="88" customFormat="1" ht="22.5" x14ac:dyDescent="0.2">
      <c r="A14" s="102"/>
      <c r="B14" s="103"/>
      <c r="C14" s="103"/>
      <c r="D14" s="103"/>
      <c r="E14" s="104" t="s">
        <v>103</v>
      </c>
      <c r="F14" s="105"/>
      <c r="G14" s="106"/>
    </row>
    <row r="15" spans="1:7" s="88" customFormat="1" ht="56.25" x14ac:dyDescent="0.2">
      <c r="A15" s="97" t="s">
        <v>104</v>
      </c>
      <c r="B15" s="98" t="s">
        <v>99</v>
      </c>
      <c r="C15" s="99" t="s">
        <v>100</v>
      </c>
      <c r="D15" s="100">
        <v>15</v>
      </c>
      <c r="E15" s="98" t="s">
        <v>101</v>
      </c>
      <c r="F15" s="99" t="s">
        <v>260</v>
      </c>
      <c r="G15" s="101">
        <v>335971.88</v>
      </c>
    </row>
    <row r="16" spans="1:7" s="88" customFormat="1" ht="78.75" x14ac:dyDescent="0.2">
      <c r="A16" s="102"/>
      <c r="B16" s="103"/>
      <c r="C16" s="103"/>
      <c r="D16" s="103"/>
      <c r="E16" s="104" t="s">
        <v>106</v>
      </c>
      <c r="F16" s="105"/>
      <c r="G16" s="106"/>
    </row>
    <row r="17" spans="1:7" s="88" customFormat="1" ht="22.5" x14ac:dyDescent="0.2">
      <c r="A17" s="102"/>
      <c r="B17" s="103"/>
      <c r="C17" s="103"/>
      <c r="D17" s="103"/>
      <c r="E17" s="104" t="s">
        <v>261</v>
      </c>
      <c r="F17" s="105"/>
      <c r="G17" s="106"/>
    </row>
    <row r="18" spans="1:7" s="88" customFormat="1" ht="22.5" x14ac:dyDescent="0.2">
      <c r="A18" s="102"/>
      <c r="B18" s="103"/>
      <c r="C18" s="103"/>
      <c r="D18" s="103"/>
      <c r="E18" s="104" t="s">
        <v>103</v>
      </c>
      <c r="F18" s="105"/>
      <c r="G18" s="106"/>
    </row>
    <row r="19" spans="1:7" s="88" customFormat="1" ht="12.75" customHeight="1" x14ac:dyDescent="0.2">
      <c r="A19" s="615" t="s">
        <v>262</v>
      </c>
      <c r="B19" s="616"/>
      <c r="C19" s="616"/>
      <c r="D19" s="616"/>
      <c r="E19" s="616"/>
      <c r="F19" s="616"/>
      <c r="G19" s="617"/>
    </row>
    <row r="20" spans="1:7" s="88" customFormat="1" ht="12.75" customHeight="1" x14ac:dyDescent="0.2">
      <c r="A20" s="615" t="s">
        <v>108</v>
      </c>
      <c r="B20" s="616"/>
      <c r="C20" s="616"/>
      <c r="D20" s="616"/>
      <c r="E20" s="616"/>
      <c r="F20" s="616"/>
      <c r="G20" s="617"/>
    </row>
    <row r="21" spans="1:7" s="88" customFormat="1" ht="12.75" customHeight="1" x14ac:dyDescent="0.2">
      <c r="A21" s="615" t="s">
        <v>263</v>
      </c>
      <c r="B21" s="616"/>
      <c r="C21" s="616"/>
      <c r="D21" s="616"/>
      <c r="E21" s="616"/>
      <c r="F21" s="616"/>
      <c r="G21" s="617"/>
    </row>
    <row r="22" spans="1:7" s="88" customFormat="1" ht="124.5" customHeight="1" x14ac:dyDescent="0.2">
      <c r="A22" s="615" t="s">
        <v>264</v>
      </c>
      <c r="B22" s="616"/>
      <c r="C22" s="616"/>
      <c r="D22" s="616"/>
      <c r="E22" s="616"/>
      <c r="F22" s="616"/>
      <c r="G22" s="617"/>
    </row>
    <row r="23" spans="1:7" s="88" customFormat="1" ht="90" x14ac:dyDescent="0.2">
      <c r="A23" s="97" t="s">
        <v>110</v>
      </c>
      <c r="B23" s="98" t="s">
        <v>265</v>
      </c>
      <c r="C23" s="99" t="s">
        <v>112</v>
      </c>
      <c r="D23" s="107">
        <v>8.6223299999999998</v>
      </c>
      <c r="E23" s="98" t="s">
        <v>266</v>
      </c>
      <c r="F23" s="99" t="s">
        <v>267</v>
      </c>
      <c r="G23" s="101">
        <v>209350.17</v>
      </c>
    </row>
    <row r="24" spans="1:7" s="88" customFormat="1" ht="22.5" x14ac:dyDescent="0.2">
      <c r="A24" s="102"/>
      <c r="B24" s="103"/>
      <c r="C24" s="103"/>
      <c r="D24" s="103"/>
      <c r="E24" s="104" t="s">
        <v>261</v>
      </c>
      <c r="F24" s="105"/>
      <c r="G24" s="106"/>
    </row>
    <row r="25" spans="1:7" s="88" customFormat="1" ht="14.25" x14ac:dyDescent="0.2">
      <c r="A25" s="102"/>
      <c r="B25" s="103"/>
      <c r="C25" s="103"/>
      <c r="D25" s="103"/>
      <c r="E25" s="104" t="s">
        <v>268</v>
      </c>
      <c r="F25" s="105"/>
      <c r="G25" s="106"/>
    </row>
    <row r="26" spans="1:7" s="88" customFormat="1" ht="22.5" x14ac:dyDescent="0.2">
      <c r="A26" s="102"/>
      <c r="B26" s="103"/>
      <c r="C26" s="103"/>
      <c r="D26" s="103"/>
      <c r="E26" s="104" t="s">
        <v>103</v>
      </c>
      <c r="F26" s="105"/>
      <c r="G26" s="106"/>
    </row>
    <row r="27" spans="1:7" s="88" customFormat="1" ht="14.25" x14ac:dyDescent="0.2">
      <c r="A27" s="615" t="s">
        <v>269</v>
      </c>
      <c r="B27" s="616"/>
      <c r="C27" s="616"/>
      <c r="D27" s="616"/>
      <c r="E27" s="616"/>
      <c r="F27" s="616"/>
      <c r="G27" s="617"/>
    </row>
    <row r="28" spans="1:7" s="88" customFormat="1" ht="67.5" x14ac:dyDescent="0.2">
      <c r="A28" s="97" t="s">
        <v>116</v>
      </c>
      <c r="B28" s="98" t="s">
        <v>117</v>
      </c>
      <c r="C28" s="99" t="s">
        <v>112</v>
      </c>
      <c r="D28" s="108">
        <v>8.6223349999999996</v>
      </c>
      <c r="E28" s="98" t="s">
        <v>118</v>
      </c>
      <c r="F28" s="99" t="s">
        <v>270</v>
      </c>
      <c r="G28" s="101">
        <v>133495.29999999999</v>
      </c>
    </row>
    <row r="29" spans="1:7" s="88" customFormat="1" ht="22.5" x14ac:dyDescent="0.2">
      <c r="A29" s="102"/>
      <c r="B29" s="103"/>
      <c r="C29" s="103"/>
      <c r="D29" s="103"/>
      <c r="E29" s="104" t="s">
        <v>259</v>
      </c>
      <c r="F29" s="105"/>
      <c r="G29" s="106"/>
    </row>
    <row r="30" spans="1:7" s="88" customFormat="1" ht="14.25" x14ac:dyDescent="0.2">
      <c r="A30" s="102"/>
      <c r="B30" s="103"/>
      <c r="C30" s="103"/>
      <c r="D30" s="103"/>
      <c r="E30" s="104" t="s">
        <v>271</v>
      </c>
      <c r="F30" s="105"/>
      <c r="G30" s="106"/>
    </row>
    <row r="31" spans="1:7" s="88" customFormat="1" ht="22.5" x14ac:dyDescent="0.2">
      <c r="A31" s="102"/>
      <c r="B31" s="103"/>
      <c r="C31" s="103"/>
      <c r="D31" s="103"/>
      <c r="E31" s="104" t="s">
        <v>103</v>
      </c>
      <c r="F31" s="105"/>
      <c r="G31" s="106"/>
    </row>
    <row r="32" spans="1:7" s="88" customFormat="1" ht="12.75" customHeight="1" x14ac:dyDescent="0.2">
      <c r="A32" s="615" t="s">
        <v>272</v>
      </c>
      <c r="B32" s="616"/>
      <c r="C32" s="616"/>
      <c r="D32" s="616"/>
      <c r="E32" s="616"/>
      <c r="F32" s="616"/>
      <c r="G32" s="617"/>
    </row>
    <row r="33" spans="1:9" s="88" customFormat="1" ht="12.75" customHeight="1" x14ac:dyDescent="0.2">
      <c r="A33" s="615" t="s">
        <v>273</v>
      </c>
      <c r="B33" s="616"/>
      <c r="C33" s="616"/>
      <c r="D33" s="616"/>
      <c r="E33" s="616"/>
      <c r="F33" s="616"/>
      <c r="G33" s="617"/>
    </row>
    <row r="34" spans="1:9" s="88" customFormat="1" ht="12.75" customHeight="1" x14ac:dyDescent="0.2">
      <c r="A34" s="615" t="s">
        <v>274</v>
      </c>
      <c r="B34" s="616"/>
      <c r="C34" s="616"/>
      <c r="D34" s="616"/>
      <c r="E34" s="616"/>
      <c r="F34" s="616"/>
      <c r="G34" s="617"/>
    </row>
    <row r="35" spans="1:9" s="88" customFormat="1" ht="11.25" customHeight="1" x14ac:dyDescent="0.2">
      <c r="A35" s="109"/>
      <c r="B35" s="611" t="s">
        <v>131</v>
      </c>
      <c r="C35" s="611"/>
      <c r="D35" s="611"/>
      <c r="E35" s="611"/>
      <c r="F35" s="109"/>
      <c r="G35" s="110"/>
      <c r="H35" s="111"/>
      <c r="I35" s="111"/>
    </row>
    <row r="36" spans="1:9" s="88" customFormat="1" ht="11.25" customHeight="1" x14ac:dyDescent="0.2">
      <c r="A36" s="109"/>
      <c r="B36" s="609" t="s">
        <v>275</v>
      </c>
      <c r="C36" s="609"/>
      <c r="D36" s="609"/>
      <c r="E36" s="609"/>
      <c r="F36" s="109"/>
      <c r="G36" s="112" t="s">
        <v>276</v>
      </c>
    </row>
    <row r="37" spans="1:9" s="88" customFormat="1" ht="11.25" customHeight="1" x14ac:dyDescent="0.2">
      <c r="A37" s="109"/>
      <c r="B37" s="611" t="s">
        <v>136</v>
      </c>
      <c r="C37" s="611"/>
      <c r="D37" s="611"/>
      <c r="E37" s="611"/>
      <c r="F37" s="109"/>
      <c r="G37" s="110" t="s">
        <v>276</v>
      </c>
    </row>
    <row r="38" spans="1:9" s="88" customFormat="1" ht="12.75" customHeight="1" x14ac:dyDescent="0.2">
      <c r="A38" s="612" t="s">
        <v>137</v>
      </c>
      <c r="B38" s="613"/>
      <c r="C38" s="613"/>
      <c r="D38" s="613"/>
      <c r="E38" s="613"/>
      <c r="F38" s="613"/>
      <c r="G38" s="614"/>
    </row>
    <row r="39" spans="1:9" s="88" customFormat="1" ht="90" x14ac:dyDescent="0.2">
      <c r="A39" s="97" t="s">
        <v>122</v>
      </c>
      <c r="B39" s="98" t="s">
        <v>277</v>
      </c>
      <c r="C39" s="99" t="s">
        <v>140</v>
      </c>
      <c r="D39" s="113">
        <v>1350761.24</v>
      </c>
      <c r="E39" s="98" t="s">
        <v>145</v>
      </c>
      <c r="F39" s="99" t="s">
        <v>278</v>
      </c>
      <c r="G39" s="101">
        <v>198393.06</v>
      </c>
    </row>
    <row r="40" spans="1:9" s="88" customFormat="1" ht="22.5" x14ac:dyDescent="0.2">
      <c r="A40" s="102"/>
      <c r="B40" s="103"/>
      <c r="C40" s="103"/>
      <c r="D40" s="103"/>
      <c r="E40" s="104" t="s">
        <v>103</v>
      </c>
      <c r="F40" s="105"/>
      <c r="G40" s="106"/>
    </row>
    <row r="41" spans="1:9" s="88" customFormat="1" ht="78.75" x14ac:dyDescent="0.2">
      <c r="A41" s="97" t="s">
        <v>129</v>
      </c>
      <c r="B41" s="98" t="s">
        <v>148</v>
      </c>
      <c r="C41" s="99" t="s">
        <v>140</v>
      </c>
      <c r="D41" s="113">
        <v>1350761.24</v>
      </c>
      <c r="E41" s="98" t="s">
        <v>149</v>
      </c>
      <c r="F41" s="99" t="s">
        <v>279</v>
      </c>
      <c r="G41" s="101">
        <v>395941.89</v>
      </c>
    </row>
    <row r="42" spans="1:9" s="88" customFormat="1" ht="22.5" x14ac:dyDescent="0.2">
      <c r="A42" s="102"/>
      <c r="B42" s="103"/>
      <c r="C42" s="103"/>
      <c r="D42" s="103"/>
      <c r="E42" s="104" t="s">
        <v>103</v>
      </c>
      <c r="F42" s="105"/>
      <c r="G42" s="106"/>
    </row>
    <row r="43" spans="1:9" s="88" customFormat="1" ht="33.75" x14ac:dyDescent="0.2">
      <c r="A43" s="97" t="s">
        <v>138</v>
      </c>
      <c r="B43" s="98" t="s">
        <v>280</v>
      </c>
      <c r="C43" s="99" t="s">
        <v>140</v>
      </c>
      <c r="D43" s="113">
        <v>1746703.13</v>
      </c>
      <c r="E43" s="98" t="s">
        <v>281</v>
      </c>
      <c r="F43" s="99" t="s">
        <v>282</v>
      </c>
      <c r="G43" s="114"/>
    </row>
    <row r="44" spans="1:9" s="88" customFormat="1" ht="22.5" x14ac:dyDescent="0.2">
      <c r="A44" s="102"/>
      <c r="B44" s="103"/>
      <c r="C44" s="103"/>
      <c r="D44" s="103"/>
      <c r="E44" s="104" t="s">
        <v>103</v>
      </c>
      <c r="F44" s="105"/>
      <c r="G44" s="106"/>
    </row>
    <row r="45" spans="1:9" s="88" customFormat="1" ht="11.25" customHeight="1" x14ac:dyDescent="0.2">
      <c r="A45" s="109"/>
      <c r="B45" s="611" t="s">
        <v>151</v>
      </c>
      <c r="C45" s="611"/>
      <c r="D45" s="611"/>
      <c r="E45" s="611"/>
      <c r="F45" s="109"/>
      <c r="G45" s="110"/>
      <c r="H45" s="111"/>
      <c r="I45" s="111"/>
    </row>
    <row r="46" spans="1:9" s="88" customFormat="1" ht="11.25" customHeight="1" x14ac:dyDescent="0.2">
      <c r="A46" s="109"/>
      <c r="B46" s="609" t="s">
        <v>283</v>
      </c>
      <c r="C46" s="609"/>
      <c r="D46" s="609"/>
      <c r="E46" s="609"/>
      <c r="F46" s="109"/>
      <c r="G46" s="112" t="s">
        <v>284</v>
      </c>
    </row>
    <row r="47" spans="1:9" s="88" customFormat="1" ht="11.25" customHeight="1" x14ac:dyDescent="0.2">
      <c r="A47" s="109"/>
      <c r="B47" s="611" t="s">
        <v>155</v>
      </c>
      <c r="C47" s="611"/>
      <c r="D47" s="611"/>
      <c r="E47" s="611"/>
      <c r="F47" s="109"/>
      <c r="G47" s="110" t="s">
        <v>284</v>
      </c>
    </row>
    <row r="48" spans="1:9" s="88" customFormat="1" ht="12.75" customHeight="1" x14ac:dyDescent="0.2">
      <c r="A48" s="612" t="s">
        <v>156</v>
      </c>
      <c r="B48" s="613"/>
      <c r="C48" s="613"/>
      <c r="D48" s="613"/>
      <c r="E48" s="613"/>
      <c r="F48" s="613"/>
      <c r="G48" s="614"/>
    </row>
    <row r="49" spans="1:7" s="88" customFormat="1" ht="12.75" customHeight="1" x14ac:dyDescent="0.2">
      <c r="A49" s="615" t="s">
        <v>256</v>
      </c>
      <c r="B49" s="616"/>
      <c r="C49" s="616"/>
      <c r="D49" s="616"/>
      <c r="E49" s="616"/>
      <c r="F49" s="616"/>
      <c r="G49" s="617"/>
    </row>
    <row r="50" spans="1:7" s="88" customFormat="1" ht="45" x14ac:dyDescent="0.2">
      <c r="A50" s="97" t="s">
        <v>143</v>
      </c>
      <c r="B50" s="98" t="s">
        <v>158</v>
      </c>
      <c r="C50" s="99" t="s">
        <v>100</v>
      </c>
      <c r="D50" s="100">
        <v>15</v>
      </c>
      <c r="E50" s="98" t="s">
        <v>159</v>
      </c>
      <c r="F50" s="99" t="s">
        <v>285</v>
      </c>
      <c r="G50" s="101">
        <v>32137.5</v>
      </c>
    </row>
    <row r="51" spans="1:7" s="88" customFormat="1" ht="22.5" x14ac:dyDescent="0.2">
      <c r="A51" s="102"/>
      <c r="B51" s="103"/>
      <c r="C51" s="103"/>
      <c r="D51" s="103"/>
      <c r="E51" s="104" t="s">
        <v>103</v>
      </c>
      <c r="F51" s="105"/>
      <c r="G51" s="106"/>
    </row>
    <row r="52" spans="1:7" s="88" customFormat="1" ht="45" x14ac:dyDescent="0.2">
      <c r="A52" s="97" t="s">
        <v>147</v>
      </c>
      <c r="B52" s="98" t="s">
        <v>162</v>
      </c>
      <c r="C52" s="99" t="s">
        <v>100</v>
      </c>
      <c r="D52" s="100">
        <v>15</v>
      </c>
      <c r="E52" s="98" t="s">
        <v>163</v>
      </c>
      <c r="F52" s="99" t="s">
        <v>286</v>
      </c>
      <c r="G52" s="101">
        <v>34575</v>
      </c>
    </row>
    <row r="53" spans="1:7" s="88" customFormat="1" ht="22.5" x14ac:dyDescent="0.2">
      <c r="A53" s="102"/>
      <c r="B53" s="103"/>
      <c r="C53" s="103"/>
      <c r="D53" s="103"/>
      <c r="E53" s="104" t="s">
        <v>103</v>
      </c>
      <c r="F53" s="105"/>
      <c r="G53" s="106"/>
    </row>
    <row r="54" spans="1:7" s="88" customFormat="1" ht="12.75" customHeight="1" x14ac:dyDescent="0.2">
      <c r="A54" s="615" t="s">
        <v>287</v>
      </c>
      <c r="B54" s="616"/>
      <c r="C54" s="616"/>
      <c r="D54" s="616"/>
      <c r="E54" s="616"/>
      <c r="F54" s="616"/>
      <c r="G54" s="617"/>
    </row>
    <row r="55" spans="1:7" s="88" customFormat="1" ht="12.75" customHeight="1" x14ac:dyDescent="0.2">
      <c r="A55" s="615" t="s">
        <v>108</v>
      </c>
      <c r="B55" s="616"/>
      <c r="C55" s="616"/>
      <c r="D55" s="616"/>
      <c r="E55" s="616"/>
      <c r="F55" s="616"/>
      <c r="G55" s="617"/>
    </row>
    <row r="56" spans="1:7" s="88" customFormat="1" ht="12.75" customHeight="1" x14ac:dyDescent="0.2">
      <c r="A56" s="615" t="s">
        <v>263</v>
      </c>
      <c r="B56" s="616"/>
      <c r="C56" s="616"/>
      <c r="D56" s="616"/>
      <c r="E56" s="616"/>
      <c r="F56" s="616"/>
      <c r="G56" s="617"/>
    </row>
    <row r="57" spans="1:7" s="88" customFormat="1" ht="67.5" x14ac:dyDescent="0.2">
      <c r="A57" s="97" t="s">
        <v>157</v>
      </c>
      <c r="B57" s="98" t="s">
        <v>288</v>
      </c>
      <c r="C57" s="99" t="s">
        <v>112</v>
      </c>
      <c r="D57" s="107">
        <v>8.6223299999999998</v>
      </c>
      <c r="E57" s="98" t="s">
        <v>289</v>
      </c>
      <c r="F57" s="99" t="s">
        <v>290</v>
      </c>
      <c r="G57" s="101">
        <v>47071.88</v>
      </c>
    </row>
    <row r="58" spans="1:7" s="88" customFormat="1" ht="22.5" x14ac:dyDescent="0.2">
      <c r="A58" s="102"/>
      <c r="B58" s="103"/>
      <c r="C58" s="103"/>
      <c r="D58" s="103"/>
      <c r="E58" s="104" t="s">
        <v>103</v>
      </c>
      <c r="F58" s="105"/>
      <c r="G58" s="106"/>
    </row>
    <row r="59" spans="1:7" s="88" customFormat="1" ht="12.75" customHeight="1" x14ac:dyDescent="0.2">
      <c r="A59" s="615" t="s">
        <v>291</v>
      </c>
      <c r="B59" s="616"/>
      <c r="C59" s="616"/>
      <c r="D59" s="616"/>
      <c r="E59" s="616"/>
      <c r="F59" s="616"/>
      <c r="G59" s="617"/>
    </row>
    <row r="60" spans="1:7" s="88" customFormat="1" ht="101.25" x14ac:dyDescent="0.2">
      <c r="A60" s="97" t="s">
        <v>161</v>
      </c>
      <c r="B60" s="98" t="s">
        <v>292</v>
      </c>
      <c r="C60" s="99" t="s">
        <v>112</v>
      </c>
      <c r="D60" s="108">
        <v>8.6223310000000009</v>
      </c>
      <c r="E60" s="98" t="s">
        <v>293</v>
      </c>
      <c r="F60" s="99" t="s">
        <v>294</v>
      </c>
      <c r="G60" s="101">
        <v>11775.67</v>
      </c>
    </row>
    <row r="61" spans="1:7" s="88" customFormat="1" ht="22.5" x14ac:dyDescent="0.2">
      <c r="A61" s="102"/>
      <c r="B61" s="103"/>
      <c r="C61" s="103"/>
      <c r="D61" s="103"/>
      <c r="E61" s="104" t="s">
        <v>103</v>
      </c>
      <c r="F61" s="105"/>
      <c r="G61" s="106"/>
    </row>
    <row r="62" spans="1:7" s="88" customFormat="1" ht="12.75" customHeight="1" x14ac:dyDescent="0.2">
      <c r="A62" s="615" t="s">
        <v>175</v>
      </c>
      <c r="B62" s="616"/>
      <c r="C62" s="616"/>
      <c r="D62" s="616"/>
      <c r="E62" s="616"/>
      <c r="F62" s="616"/>
      <c r="G62" s="617"/>
    </row>
    <row r="63" spans="1:7" s="88" customFormat="1" ht="12.75" customHeight="1" x14ac:dyDescent="0.2">
      <c r="A63" s="615" t="s">
        <v>176</v>
      </c>
      <c r="B63" s="616"/>
      <c r="C63" s="616"/>
      <c r="D63" s="616"/>
      <c r="E63" s="616"/>
      <c r="F63" s="616"/>
      <c r="G63" s="617"/>
    </row>
    <row r="64" spans="1:7" s="88" customFormat="1" ht="67.5" x14ac:dyDescent="0.2">
      <c r="A64" s="97" t="s">
        <v>166</v>
      </c>
      <c r="B64" s="98" t="s">
        <v>295</v>
      </c>
      <c r="C64" s="99" t="s">
        <v>296</v>
      </c>
      <c r="D64" s="100">
        <v>20</v>
      </c>
      <c r="E64" s="98" t="s">
        <v>297</v>
      </c>
      <c r="F64" s="99" t="s">
        <v>298</v>
      </c>
      <c r="G64" s="101">
        <v>536275</v>
      </c>
    </row>
    <row r="65" spans="1:9" s="88" customFormat="1" ht="22.5" x14ac:dyDescent="0.2">
      <c r="A65" s="102"/>
      <c r="B65" s="103"/>
      <c r="C65" s="103"/>
      <c r="D65" s="103"/>
      <c r="E65" s="104" t="s">
        <v>103</v>
      </c>
      <c r="F65" s="105"/>
      <c r="G65" s="106"/>
    </row>
    <row r="66" spans="1:9" s="88" customFormat="1" ht="67.5" x14ac:dyDescent="0.2">
      <c r="A66" s="97" t="s">
        <v>171</v>
      </c>
      <c r="B66" s="98" t="s">
        <v>299</v>
      </c>
      <c r="C66" s="99" t="s">
        <v>296</v>
      </c>
      <c r="D66" s="100">
        <v>20</v>
      </c>
      <c r="E66" s="98" t="s">
        <v>300</v>
      </c>
      <c r="F66" s="99" t="s">
        <v>301</v>
      </c>
      <c r="G66" s="101">
        <v>746350</v>
      </c>
    </row>
    <row r="67" spans="1:9" s="88" customFormat="1" ht="22.5" x14ac:dyDescent="0.2">
      <c r="A67" s="102"/>
      <c r="B67" s="103"/>
      <c r="C67" s="103"/>
      <c r="D67" s="103"/>
      <c r="E67" s="104" t="s">
        <v>103</v>
      </c>
      <c r="F67" s="105"/>
      <c r="G67" s="106"/>
    </row>
    <row r="68" spans="1:9" s="88" customFormat="1" ht="11.25" customHeight="1" x14ac:dyDescent="0.2">
      <c r="A68" s="109"/>
      <c r="B68" s="611" t="s">
        <v>177</v>
      </c>
      <c r="C68" s="611"/>
      <c r="D68" s="611"/>
      <c r="E68" s="611"/>
      <c r="F68" s="109"/>
      <c r="G68" s="110"/>
      <c r="H68" s="111"/>
      <c r="I68" s="111"/>
    </row>
    <row r="69" spans="1:9" s="88" customFormat="1" ht="11.25" customHeight="1" x14ac:dyDescent="0.2">
      <c r="A69" s="109"/>
      <c r="B69" s="609" t="s">
        <v>302</v>
      </c>
      <c r="C69" s="609"/>
      <c r="D69" s="609"/>
      <c r="E69" s="609"/>
      <c r="F69" s="109"/>
      <c r="G69" s="112" t="s">
        <v>303</v>
      </c>
    </row>
    <row r="70" spans="1:9" s="88" customFormat="1" ht="11.25" customHeight="1" x14ac:dyDescent="0.2">
      <c r="A70" s="109"/>
      <c r="B70" s="611" t="s">
        <v>181</v>
      </c>
      <c r="C70" s="611"/>
      <c r="D70" s="611"/>
      <c r="E70" s="611"/>
      <c r="F70" s="109"/>
      <c r="G70" s="110" t="s">
        <v>303</v>
      </c>
    </row>
    <row r="71" spans="1:9" s="88" customFormat="1" ht="12.75" customHeight="1" x14ac:dyDescent="0.2">
      <c r="A71" s="612" t="s">
        <v>182</v>
      </c>
      <c r="B71" s="613"/>
      <c r="C71" s="613"/>
      <c r="D71" s="613"/>
      <c r="E71" s="613"/>
      <c r="F71" s="613"/>
      <c r="G71" s="614"/>
    </row>
    <row r="72" spans="1:9" s="88" customFormat="1" ht="33.75" x14ac:dyDescent="0.2">
      <c r="A72" s="97" t="s">
        <v>183</v>
      </c>
      <c r="B72" s="98" t="s">
        <v>184</v>
      </c>
      <c r="C72" s="99" t="s">
        <v>140</v>
      </c>
      <c r="D72" s="113">
        <v>1408185.05</v>
      </c>
      <c r="E72" s="98" t="s">
        <v>185</v>
      </c>
      <c r="F72" s="99" t="s">
        <v>304</v>
      </c>
      <c r="G72" s="101">
        <v>192745.33</v>
      </c>
    </row>
    <row r="73" spans="1:9" s="88" customFormat="1" ht="22.5" x14ac:dyDescent="0.2">
      <c r="A73" s="102"/>
      <c r="B73" s="103"/>
      <c r="C73" s="103"/>
      <c r="D73" s="103"/>
      <c r="E73" s="104" t="s">
        <v>103</v>
      </c>
      <c r="F73" s="105"/>
      <c r="G73" s="106"/>
    </row>
    <row r="74" spans="1:9" s="88" customFormat="1" ht="11.25" customHeight="1" x14ac:dyDescent="0.2">
      <c r="A74" s="109"/>
      <c r="B74" s="611" t="s">
        <v>187</v>
      </c>
      <c r="C74" s="611"/>
      <c r="D74" s="611"/>
      <c r="E74" s="611"/>
      <c r="F74" s="109"/>
      <c r="G74" s="110"/>
      <c r="H74" s="111"/>
      <c r="I74" s="111"/>
    </row>
    <row r="75" spans="1:9" s="88" customFormat="1" ht="11.25" customHeight="1" x14ac:dyDescent="0.2">
      <c r="A75" s="109"/>
      <c r="B75" s="609" t="s">
        <v>188</v>
      </c>
      <c r="C75" s="609"/>
      <c r="D75" s="609"/>
      <c r="E75" s="609"/>
      <c r="F75" s="109"/>
      <c r="G75" s="112" t="s">
        <v>305</v>
      </c>
    </row>
    <row r="76" spans="1:9" s="88" customFormat="1" ht="11.25" customHeight="1" x14ac:dyDescent="0.2">
      <c r="A76" s="109"/>
      <c r="B76" s="611" t="s">
        <v>191</v>
      </c>
      <c r="C76" s="611"/>
      <c r="D76" s="611"/>
      <c r="E76" s="611"/>
      <c r="F76" s="109"/>
      <c r="G76" s="110" t="s">
        <v>305</v>
      </c>
    </row>
    <row r="77" spans="1:9" s="88" customFormat="1" ht="12.75" customHeight="1" x14ac:dyDescent="0.2">
      <c r="A77" s="612" t="s">
        <v>306</v>
      </c>
      <c r="B77" s="613"/>
      <c r="C77" s="613"/>
      <c r="D77" s="613"/>
      <c r="E77" s="613"/>
      <c r="F77" s="613"/>
      <c r="G77" s="614"/>
    </row>
    <row r="78" spans="1:9" s="88" customFormat="1" ht="67.5" x14ac:dyDescent="0.2">
      <c r="A78" s="97" t="s">
        <v>193</v>
      </c>
      <c r="B78" s="98" t="s">
        <v>194</v>
      </c>
      <c r="C78" s="99" t="s">
        <v>195</v>
      </c>
      <c r="D78" s="113">
        <v>2758946.29</v>
      </c>
      <c r="E78" s="98" t="s">
        <v>196</v>
      </c>
      <c r="F78" s="99" t="s">
        <v>307</v>
      </c>
      <c r="G78" s="101">
        <v>96129.25</v>
      </c>
    </row>
    <row r="79" spans="1:9" s="88" customFormat="1" ht="22.5" x14ac:dyDescent="0.2">
      <c r="A79" s="102"/>
      <c r="B79" s="103"/>
      <c r="C79" s="103"/>
      <c r="D79" s="103"/>
      <c r="E79" s="104" t="s">
        <v>103</v>
      </c>
      <c r="F79" s="105"/>
      <c r="G79" s="106"/>
    </row>
    <row r="80" spans="1:9" s="88" customFormat="1" ht="67.5" x14ac:dyDescent="0.2">
      <c r="A80" s="97" t="s">
        <v>198</v>
      </c>
      <c r="B80" s="98" t="s">
        <v>199</v>
      </c>
      <c r="C80" s="99" t="s">
        <v>200</v>
      </c>
      <c r="D80" s="113">
        <v>2758946.29</v>
      </c>
      <c r="E80" s="98" t="s">
        <v>201</v>
      </c>
      <c r="F80" s="99" t="s">
        <v>308</v>
      </c>
      <c r="G80" s="101">
        <v>165357.85</v>
      </c>
    </row>
    <row r="81" spans="1:9" s="88" customFormat="1" ht="22.5" x14ac:dyDescent="0.2">
      <c r="A81" s="102"/>
      <c r="B81" s="103"/>
      <c r="C81" s="103"/>
      <c r="D81" s="103"/>
      <c r="E81" s="104" t="s">
        <v>103</v>
      </c>
      <c r="F81" s="105"/>
      <c r="G81" s="106"/>
    </row>
    <row r="82" spans="1:9" s="88" customFormat="1" ht="11.25" customHeight="1" x14ac:dyDescent="0.2">
      <c r="A82" s="109"/>
      <c r="B82" s="611" t="s">
        <v>309</v>
      </c>
      <c r="C82" s="611"/>
      <c r="D82" s="611"/>
      <c r="E82" s="611"/>
      <c r="F82" s="109"/>
      <c r="G82" s="110"/>
      <c r="H82" s="111"/>
      <c r="I82" s="111"/>
    </row>
    <row r="83" spans="1:9" s="88" customFormat="1" ht="11.25" customHeight="1" x14ac:dyDescent="0.2">
      <c r="A83" s="109"/>
      <c r="B83" s="609" t="s">
        <v>204</v>
      </c>
      <c r="C83" s="609"/>
      <c r="D83" s="609"/>
      <c r="E83" s="609"/>
      <c r="F83" s="109"/>
      <c r="G83" s="112" t="s">
        <v>310</v>
      </c>
    </row>
    <row r="84" spans="1:9" s="88" customFormat="1" ht="11.25" customHeight="1" x14ac:dyDescent="0.2">
      <c r="A84" s="109"/>
      <c r="B84" s="611" t="s">
        <v>311</v>
      </c>
      <c r="C84" s="611"/>
      <c r="D84" s="611"/>
      <c r="E84" s="611"/>
      <c r="F84" s="109"/>
      <c r="G84" s="110" t="s">
        <v>310</v>
      </c>
    </row>
    <row r="85" spans="1:9" s="88" customFormat="1" ht="14.25" x14ac:dyDescent="0.2">
      <c r="A85" s="109"/>
      <c r="B85" s="611" t="s">
        <v>208</v>
      </c>
      <c r="C85" s="611"/>
      <c r="D85" s="611"/>
      <c r="E85" s="611"/>
      <c r="F85" s="109"/>
      <c r="G85" s="110"/>
    </row>
    <row r="86" spans="1:9" s="88" customFormat="1" ht="14.25" customHeight="1" x14ac:dyDescent="0.2">
      <c r="A86" s="109"/>
      <c r="B86" s="609" t="s">
        <v>136</v>
      </c>
      <c r="C86" s="609"/>
      <c r="D86" s="609"/>
      <c r="E86" s="609"/>
      <c r="F86" s="109"/>
      <c r="G86" s="112"/>
    </row>
    <row r="87" spans="1:9" s="88" customFormat="1" ht="11.25" customHeight="1" x14ac:dyDescent="0.2">
      <c r="A87" s="109"/>
      <c r="B87" s="609" t="s">
        <v>312</v>
      </c>
      <c r="C87" s="609"/>
      <c r="D87" s="609"/>
      <c r="E87" s="609"/>
      <c r="F87" s="109"/>
      <c r="G87" s="112" t="s">
        <v>276</v>
      </c>
    </row>
    <row r="88" spans="1:9" s="88" customFormat="1" ht="11.25" customHeight="1" x14ac:dyDescent="0.2">
      <c r="A88" s="109"/>
      <c r="B88" s="609" t="s">
        <v>211</v>
      </c>
      <c r="C88" s="609"/>
      <c r="D88" s="609"/>
      <c r="E88" s="609"/>
      <c r="F88" s="109"/>
      <c r="G88" s="112" t="s">
        <v>276</v>
      </c>
    </row>
    <row r="89" spans="1:9" s="88" customFormat="1" ht="22.5" customHeight="1" x14ac:dyDescent="0.2">
      <c r="A89" s="109"/>
      <c r="B89" s="609" t="s">
        <v>155</v>
      </c>
      <c r="C89" s="609"/>
      <c r="D89" s="609"/>
      <c r="E89" s="609"/>
      <c r="F89" s="109"/>
      <c r="G89" s="112"/>
    </row>
    <row r="90" spans="1:9" s="88" customFormat="1" ht="11.25" customHeight="1" x14ac:dyDescent="0.2">
      <c r="A90" s="109"/>
      <c r="B90" s="609" t="s">
        <v>313</v>
      </c>
      <c r="C90" s="609"/>
      <c r="D90" s="609"/>
      <c r="E90" s="609"/>
      <c r="F90" s="109"/>
      <c r="G90" s="112" t="s">
        <v>284</v>
      </c>
    </row>
    <row r="91" spans="1:9" s="88" customFormat="1" ht="19.5" customHeight="1" x14ac:dyDescent="0.2">
      <c r="A91" s="109"/>
      <c r="B91" s="609" t="s">
        <v>213</v>
      </c>
      <c r="C91" s="609"/>
      <c r="D91" s="609"/>
      <c r="E91" s="609"/>
      <c r="F91" s="109"/>
      <c r="G91" s="112" t="s">
        <v>284</v>
      </c>
    </row>
    <row r="92" spans="1:9" s="88" customFormat="1" ht="11.25" customHeight="1" x14ac:dyDescent="0.2">
      <c r="A92" s="109"/>
      <c r="B92" s="609" t="s">
        <v>181</v>
      </c>
      <c r="C92" s="609"/>
      <c r="D92" s="609"/>
      <c r="E92" s="609"/>
      <c r="F92" s="109"/>
      <c r="G92" s="112"/>
    </row>
    <row r="93" spans="1:9" s="88" customFormat="1" ht="11.25" customHeight="1" x14ac:dyDescent="0.2">
      <c r="A93" s="109"/>
      <c r="B93" s="609" t="s">
        <v>314</v>
      </c>
      <c r="C93" s="609"/>
      <c r="D93" s="609"/>
      <c r="E93" s="609"/>
      <c r="F93" s="109"/>
      <c r="G93" s="112" t="s">
        <v>303</v>
      </c>
    </row>
    <row r="94" spans="1:9" s="88" customFormat="1" ht="11.25" customHeight="1" x14ac:dyDescent="0.2">
      <c r="A94" s="109"/>
      <c r="B94" s="609" t="s">
        <v>215</v>
      </c>
      <c r="C94" s="609"/>
      <c r="D94" s="609"/>
      <c r="E94" s="609"/>
      <c r="F94" s="109"/>
      <c r="G94" s="112" t="s">
        <v>303</v>
      </c>
    </row>
    <row r="95" spans="1:9" s="88" customFormat="1" ht="22.5" customHeight="1" x14ac:dyDescent="0.2">
      <c r="A95" s="109"/>
      <c r="B95" s="609" t="s">
        <v>191</v>
      </c>
      <c r="C95" s="609"/>
      <c r="D95" s="609"/>
      <c r="E95" s="609"/>
      <c r="F95" s="109"/>
      <c r="G95" s="112"/>
    </row>
    <row r="96" spans="1:9" s="88" customFormat="1" ht="11.25" customHeight="1" x14ac:dyDescent="0.2">
      <c r="A96" s="109"/>
      <c r="B96" s="609" t="s">
        <v>216</v>
      </c>
      <c r="C96" s="609"/>
      <c r="D96" s="609"/>
      <c r="E96" s="609"/>
      <c r="F96" s="109"/>
      <c r="G96" s="112" t="s">
        <v>305</v>
      </c>
    </row>
    <row r="97" spans="1:13" s="88" customFormat="1" ht="21" customHeight="1" x14ac:dyDescent="0.2">
      <c r="A97" s="109"/>
      <c r="B97" s="609" t="s">
        <v>217</v>
      </c>
      <c r="C97" s="609"/>
      <c r="D97" s="609"/>
      <c r="E97" s="609"/>
      <c r="F97" s="109"/>
      <c r="G97" s="112" t="s">
        <v>305</v>
      </c>
    </row>
    <row r="98" spans="1:13" s="88" customFormat="1" ht="24" customHeight="1" x14ac:dyDescent="0.2">
      <c r="A98" s="109"/>
      <c r="B98" s="609" t="s">
        <v>311</v>
      </c>
      <c r="C98" s="609"/>
      <c r="D98" s="609"/>
      <c r="E98" s="609"/>
      <c r="F98" s="109"/>
      <c r="G98" s="112"/>
    </row>
    <row r="99" spans="1:13" s="88" customFormat="1" ht="11.25" customHeight="1" x14ac:dyDescent="0.2">
      <c r="A99" s="109"/>
      <c r="B99" s="609" t="s">
        <v>218</v>
      </c>
      <c r="C99" s="609"/>
      <c r="D99" s="609"/>
      <c r="E99" s="609"/>
      <c r="F99" s="109"/>
      <c r="G99" s="112" t="s">
        <v>310</v>
      </c>
    </row>
    <row r="100" spans="1:13" s="88" customFormat="1" ht="20.25" customHeight="1" x14ac:dyDescent="0.2">
      <c r="A100" s="109"/>
      <c r="B100" s="609" t="s">
        <v>315</v>
      </c>
      <c r="C100" s="609"/>
      <c r="D100" s="609"/>
      <c r="E100" s="609"/>
      <c r="F100" s="109"/>
      <c r="G100" s="112" t="s">
        <v>310</v>
      </c>
    </row>
    <row r="101" spans="1:13" s="88" customFormat="1" ht="11.25" customHeight="1" x14ac:dyDescent="0.2">
      <c r="A101" s="109"/>
      <c r="B101" s="609" t="s">
        <v>220</v>
      </c>
      <c r="C101" s="609"/>
      <c r="D101" s="609"/>
      <c r="E101" s="609"/>
      <c r="F101" s="109"/>
      <c r="G101" s="115">
        <v>3868433.7464800002</v>
      </c>
      <c r="H101" s="116"/>
      <c r="I101" s="116"/>
      <c r="J101" s="116"/>
      <c r="K101" s="116"/>
      <c r="L101" s="116"/>
      <c r="M101" s="116"/>
    </row>
    <row r="102" spans="1:13" s="88" customFormat="1" ht="11.25" customHeight="1" x14ac:dyDescent="0.2">
      <c r="A102" s="117"/>
      <c r="B102" s="610" t="s">
        <v>316</v>
      </c>
      <c r="C102" s="610"/>
      <c r="D102" s="610"/>
      <c r="E102" s="610"/>
      <c r="F102" s="117"/>
      <c r="G102" s="118">
        <v>3807513.53</v>
      </c>
      <c r="H102" s="116"/>
      <c r="I102" s="116"/>
      <c r="J102" s="116"/>
      <c r="K102" s="116"/>
      <c r="L102" s="116"/>
      <c r="M102" s="116"/>
    </row>
    <row r="103" spans="1:13" s="88" customFormat="1" ht="11.25" customHeight="1" x14ac:dyDescent="0.2">
      <c r="F103" s="119"/>
      <c r="G103" s="120"/>
      <c r="H103" s="120"/>
      <c r="I103" s="116"/>
      <c r="J103" s="116"/>
      <c r="K103" s="116"/>
      <c r="L103" s="116"/>
      <c r="M103" s="116"/>
    </row>
    <row r="104" spans="1:13" s="88" customFormat="1" ht="14.25" x14ac:dyDescent="0.2">
      <c r="E104" s="89"/>
      <c r="G104" s="116"/>
      <c r="H104" s="116"/>
      <c r="I104" s="116"/>
      <c r="J104" s="116"/>
      <c r="K104" s="116"/>
      <c r="L104" s="116"/>
      <c r="M104" s="116"/>
    </row>
    <row r="105" spans="1:13" s="88" customFormat="1" ht="11.25" customHeight="1" x14ac:dyDescent="0.2">
      <c r="F105" s="119"/>
      <c r="G105" s="120"/>
      <c r="H105" s="120"/>
      <c r="I105" s="116"/>
      <c r="J105" s="116"/>
      <c r="K105" s="116"/>
      <c r="L105" s="116"/>
      <c r="M105" s="116"/>
    </row>
    <row r="106" spans="1:13" ht="11.25" customHeight="1" x14ac:dyDescent="0.2">
      <c r="G106" s="121"/>
      <c r="H106" s="121"/>
      <c r="I106" s="121"/>
      <c r="J106" s="121"/>
      <c r="K106" s="121"/>
      <c r="L106" s="121"/>
      <c r="M106" s="121"/>
    </row>
    <row r="107" spans="1:13" ht="11.25" customHeight="1" x14ac:dyDescent="0.2">
      <c r="G107" s="121"/>
      <c r="H107" s="121"/>
      <c r="I107" s="121"/>
      <c r="J107" s="121"/>
      <c r="K107" s="121"/>
      <c r="L107" s="121"/>
      <c r="M107" s="121"/>
    </row>
    <row r="108" spans="1:13" ht="11.25" customHeight="1" x14ac:dyDescent="0.2">
      <c r="G108" s="121"/>
      <c r="H108" s="121"/>
      <c r="I108" s="121"/>
      <c r="J108" s="121"/>
      <c r="K108" s="121"/>
      <c r="L108" s="121"/>
      <c r="M108" s="121"/>
    </row>
    <row r="109" spans="1:13" ht="11.25" customHeight="1" x14ac:dyDescent="0.2">
      <c r="G109" s="121"/>
      <c r="H109" s="121"/>
      <c r="I109" s="121"/>
      <c r="J109" s="121"/>
      <c r="K109" s="121"/>
      <c r="L109" s="121"/>
      <c r="M109" s="121"/>
    </row>
    <row r="110" spans="1:13" ht="11.25" customHeight="1" x14ac:dyDescent="0.2">
      <c r="G110" s="121"/>
      <c r="H110" s="121"/>
      <c r="I110" s="121"/>
      <c r="J110" s="121"/>
      <c r="K110" s="121"/>
      <c r="L110" s="121"/>
      <c r="M110" s="121"/>
    </row>
    <row r="111" spans="1:13" ht="11.25" customHeight="1" x14ac:dyDescent="0.2">
      <c r="G111" s="121"/>
      <c r="H111" s="121"/>
      <c r="I111" s="121"/>
      <c r="J111" s="121"/>
      <c r="K111" s="121"/>
      <c r="L111" s="121"/>
      <c r="M111" s="121"/>
    </row>
    <row r="112" spans="1:13" ht="11.25" customHeight="1" x14ac:dyDescent="0.2">
      <c r="G112" s="121"/>
      <c r="H112" s="121"/>
      <c r="I112" s="121"/>
      <c r="J112" s="121"/>
      <c r="K112" s="121"/>
      <c r="L112" s="121"/>
      <c r="M112" s="121"/>
    </row>
    <row r="113" spans="7:13" ht="11.25" customHeight="1" x14ac:dyDescent="0.2">
      <c r="G113" s="121"/>
      <c r="H113" s="121"/>
      <c r="I113" s="121"/>
      <c r="J113" s="121"/>
      <c r="K113" s="121"/>
      <c r="L113" s="121"/>
      <c r="M113" s="121"/>
    </row>
    <row r="114" spans="7:13" ht="11.25" customHeight="1" x14ac:dyDescent="0.2">
      <c r="G114" s="121"/>
      <c r="H114" s="121"/>
      <c r="I114" s="121"/>
      <c r="J114" s="121"/>
      <c r="K114" s="121"/>
      <c r="L114" s="121"/>
      <c r="M114" s="121"/>
    </row>
    <row r="115" spans="7:13" ht="11.25" customHeight="1" x14ac:dyDescent="0.2">
      <c r="G115" s="121"/>
      <c r="H115" s="121"/>
      <c r="I115" s="121"/>
      <c r="J115" s="121"/>
      <c r="K115" s="121"/>
      <c r="L115" s="121"/>
      <c r="M115" s="121"/>
    </row>
    <row r="116" spans="7:13" ht="11.25" customHeight="1" x14ac:dyDescent="0.2">
      <c r="G116" s="121"/>
      <c r="H116" s="121"/>
      <c r="I116" s="121"/>
      <c r="J116" s="121"/>
      <c r="K116" s="121"/>
      <c r="L116" s="121"/>
      <c r="M116" s="121"/>
    </row>
    <row r="117" spans="7:13" ht="11.25" customHeight="1" x14ac:dyDescent="0.2">
      <c r="G117" s="121"/>
      <c r="H117" s="121"/>
      <c r="I117" s="121"/>
      <c r="J117" s="121"/>
      <c r="K117" s="121"/>
      <c r="L117" s="121"/>
      <c r="M117" s="121"/>
    </row>
    <row r="118" spans="7:13" ht="11.25" customHeight="1" x14ac:dyDescent="0.2">
      <c r="G118" s="121"/>
      <c r="H118" s="121"/>
      <c r="I118" s="121"/>
      <c r="J118" s="121"/>
      <c r="K118" s="121"/>
      <c r="L118" s="121"/>
      <c r="M118" s="121"/>
    </row>
    <row r="119" spans="7:13" ht="11.25" customHeight="1" x14ac:dyDescent="0.2">
      <c r="G119" s="121"/>
      <c r="H119" s="121"/>
      <c r="I119" s="121"/>
      <c r="J119" s="121"/>
      <c r="K119" s="121"/>
      <c r="L119" s="121"/>
      <c r="M119" s="121"/>
    </row>
    <row r="120" spans="7:13" ht="11.25" customHeight="1" x14ac:dyDescent="0.2">
      <c r="G120" s="121"/>
      <c r="H120" s="121"/>
      <c r="I120" s="121"/>
      <c r="J120" s="121"/>
      <c r="K120" s="121"/>
      <c r="L120" s="121"/>
      <c r="M120" s="121"/>
    </row>
    <row r="121" spans="7:13" ht="11.25" customHeight="1" x14ac:dyDescent="0.2">
      <c r="G121" s="121"/>
      <c r="H121" s="121"/>
      <c r="I121" s="121"/>
      <c r="J121" s="121"/>
      <c r="K121" s="121"/>
      <c r="L121" s="121"/>
      <c r="M121" s="121"/>
    </row>
    <row r="122" spans="7:13" ht="11.25" customHeight="1" x14ac:dyDescent="0.2">
      <c r="G122" s="121"/>
      <c r="H122" s="121"/>
      <c r="I122" s="121"/>
      <c r="J122" s="121"/>
      <c r="K122" s="121"/>
      <c r="L122" s="121"/>
      <c r="M122" s="121"/>
    </row>
    <row r="123" spans="7:13" ht="11.25" customHeight="1" x14ac:dyDescent="0.2">
      <c r="G123" s="121"/>
      <c r="H123" s="121"/>
      <c r="I123" s="121"/>
      <c r="J123" s="121"/>
      <c r="K123" s="121"/>
      <c r="L123" s="121"/>
      <c r="M123" s="121"/>
    </row>
    <row r="124" spans="7:13" ht="11.25" customHeight="1" x14ac:dyDescent="0.2">
      <c r="G124" s="121"/>
      <c r="H124" s="121"/>
      <c r="I124" s="121"/>
      <c r="J124" s="121"/>
      <c r="K124" s="121"/>
      <c r="L124" s="121"/>
      <c r="M124" s="121"/>
    </row>
    <row r="125" spans="7:13" ht="11.25" customHeight="1" x14ac:dyDescent="0.2">
      <c r="G125" s="121"/>
      <c r="H125" s="121"/>
      <c r="I125" s="121"/>
      <c r="J125" s="121"/>
      <c r="K125" s="121"/>
      <c r="L125" s="121"/>
      <c r="M125" s="121"/>
    </row>
    <row r="126" spans="7:13" ht="11.25" customHeight="1" x14ac:dyDescent="0.2">
      <c r="G126" s="121"/>
      <c r="H126" s="121"/>
      <c r="I126" s="121"/>
      <c r="J126" s="121"/>
      <c r="K126" s="121"/>
      <c r="L126" s="121"/>
      <c r="M126" s="121"/>
    </row>
  </sheetData>
  <mergeCells count="55">
    <mergeCell ref="A9:G9"/>
    <mergeCell ref="A10:G10"/>
    <mergeCell ref="A11:G11"/>
    <mergeCell ref="A19:G19"/>
    <mergeCell ref="A20:G20"/>
    <mergeCell ref="A21:G21"/>
    <mergeCell ref="A22:G22"/>
    <mergeCell ref="A27:G27"/>
    <mergeCell ref="A32:G32"/>
    <mergeCell ref="A33:G33"/>
    <mergeCell ref="A34:G34"/>
    <mergeCell ref="B35:E35"/>
    <mergeCell ref="B36:E36"/>
    <mergeCell ref="B37:E37"/>
    <mergeCell ref="A38:G38"/>
    <mergeCell ref="B45:E45"/>
    <mergeCell ref="B46:E46"/>
    <mergeCell ref="B47:E47"/>
    <mergeCell ref="A48:G48"/>
    <mergeCell ref="A49:G49"/>
    <mergeCell ref="A54:G54"/>
    <mergeCell ref="A55:G55"/>
    <mergeCell ref="A56:G56"/>
    <mergeCell ref="A59:G59"/>
    <mergeCell ref="A62:G62"/>
    <mergeCell ref="A63:G63"/>
    <mergeCell ref="B68:E68"/>
    <mergeCell ref="B69:E69"/>
    <mergeCell ref="B70:E70"/>
    <mergeCell ref="A71:G71"/>
    <mergeCell ref="B74:E74"/>
    <mergeCell ref="B75:E75"/>
    <mergeCell ref="B76:E76"/>
    <mergeCell ref="A77:G77"/>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s>
  <pageMargins left="0.78740155696868885" right="0.31496062874793995" top="0.31496062874793995" bottom="0.31496062874793995" header="0.19685038924217199" footer="0.19685038924217199"/>
  <pageSetup paperSize="9" scale="55" fitToHeight="0" orientation="portrait"/>
  <headerFooter>
    <oddFooter>&amp;RСтраница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I106"/>
  <sheetViews>
    <sheetView topLeftCell="A23" workbookViewId="0">
      <selection activeCell="G102" sqref="G102"/>
    </sheetView>
  </sheetViews>
  <sheetFormatPr defaultColWidth="8.85546875" defaultRowHeight="11.25" customHeight="1" x14ac:dyDescent="0.2"/>
  <cols>
    <col min="1" max="1" width="7" style="20" customWidth="1"/>
    <col min="2" max="2" width="36.5703125" style="20" customWidth="1"/>
    <col min="3" max="4" width="12.7109375" style="20" customWidth="1"/>
    <col min="5" max="5" width="47.85546875" style="20" customWidth="1"/>
    <col min="6" max="6" width="42.5703125" style="20" customWidth="1"/>
    <col min="7" max="7" width="12.140625" style="20" customWidth="1"/>
    <col min="8" max="9" width="8.85546875" style="20"/>
    <col min="10" max="10" width="16" style="20" customWidth="1"/>
    <col min="11" max="16384" width="8.85546875" style="20"/>
  </cols>
  <sheetData>
    <row r="1" spans="1:7" s="122" customFormat="1" ht="6" hidden="1" customHeight="1" x14ac:dyDescent="0.25"/>
    <row r="2" spans="1:7" s="122" customFormat="1" ht="15" x14ac:dyDescent="0.25">
      <c r="G2" s="123" t="s">
        <v>253</v>
      </c>
    </row>
    <row r="3" spans="1:7" s="122" customFormat="1" ht="25.5" customHeight="1" x14ac:dyDescent="0.25">
      <c r="B3" s="124" t="s">
        <v>317</v>
      </c>
      <c r="C3" s="23"/>
      <c r="D3" s="23"/>
    </row>
    <row r="4" spans="1:7" s="122" customFormat="1" ht="15" x14ac:dyDescent="0.25">
      <c r="A4" s="23"/>
      <c r="B4" s="23"/>
      <c r="C4" s="23"/>
      <c r="D4" s="23"/>
      <c r="E4" s="24"/>
      <c r="F4" s="24"/>
      <c r="G4" s="25"/>
    </row>
    <row r="5" spans="1:7" s="122" customFormat="1" ht="35.25" customHeight="1" x14ac:dyDescent="0.25">
      <c r="A5" s="26" t="s">
        <v>90</v>
      </c>
      <c r="B5" s="26" t="s">
        <v>91</v>
      </c>
      <c r="C5" s="26" t="s">
        <v>92</v>
      </c>
      <c r="D5" s="26" t="s">
        <v>93</v>
      </c>
      <c r="E5" s="26" t="s">
        <v>94</v>
      </c>
      <c r="F5" s="26" t="s">
        <v>95</v>
      </c>
      <c r="G5" s="26" t="s">
        <v>13</v>
      </c>
    </row>
    <row r="6" spans="1:7" s="122" customFormat="1" ht="15" x14ac:dyDescent="0.25">
      <c r="A6" s="27">
        <v>1</v>
      </c>
      <c r="B6" s="28">
        <v>2</v>
      </c>
      <c r="C6" s="28">
        <v>3</v>
      </c>
      <c r="D6" s="28">
        <v>4</v>
      </c>
      <c r="E6" s="28">
        <v>5</v>
      </c>
      <c r="F6" s="27">
        <v>6</v>
      </c>
      <c r="G6" s="27">
        <v>7</v>
      </c>
    </row>
    <row r="7" spans="1:7" s="122" customFormat="1" ht="12.75" customHeight="1" x14ac:dyDescent="0.25">
      <c r="A7" s="581" t="s">
        <v>96</v>
      </c>
      <c r="B7" s="582"/>
      <c r="C7" s="582"/>
      <c r="D7" s="582"/>
      <c r="E7" s="582"/>
      <c r="F7" s="582"/>
      <c r="G7" s="583"/>
    </row>
    <row r="8" spans="1:7" s="122" customFormat="1" ht="12.75" customHeight="1" x14ac:dyDescent="0.25">
      <c r="A8" s="584" t="s">
        <v>256</v>
      </c>
      <c r="B8" s="585"/>
      <c r="C8" s="585"/>
      <c r="D8" s="585"/>
      <c r="E8" s="585"/>
      <c r="F8" s="585"/>
      <c r="G8" s="586"/>
    </row>
    <row r="9" spans="1:7" s="122" customFormat="1" ht="56.25" x14ac:dyDescent="0.25">
      <c r="A9" s="29" t="s">
        <v>98</v>
      </c>
      <c r="B9" s="30" t="s">
        <v>99</v>
      </c>
      <c r="C9" s="31" t="s">
        <v>100</v>
      </c>
      <c r="D9" s="32">
        <v>10</v>
      </c>
      <c r="E9" s="30" t="s">
        <v>101</v>
      </c>
      <c r="F9" s="31" t="s">
        <v>318</v>
      </c>
      <c r="G9" s="33">
        <v>447962.5</v>
      </c>
    </row>
    <row r="10" spans="1:7" s="122" customFormat="1" ht="23.25" x14ac:dyDescent="0.25">
      <c r="A10" s="34"/>
      <c r="B10" s="35"/>
      <c r="C10" s="35"/>
      <c r="D10" s="35"/>
      <c r="E10" s="36" t="s">
        <v>259</v>
      </c>
      <c r="F10" s="37"/>
      <c r="G10" s="38"/>
    </row>
    <row r="11" spans="1:7" s="122" customFormat="1" ht="23.25" x14ac:dyDescent="0.25">
      <c r="A11" s="34"/>
      <c r="B11" s="35"/>
      <c r="C11" s="35"/>
      <c r="D11" s="35"/>
      <c r="E11" s="36" t="s">
        <v>103</v>
      </c>
      <c r="F11" s="37"/>
      <c r="G11" s="38"/>
    </row>
    <row r="12" spans="1:7" s="122" customFormat="1" ht="56.25" x14ac:dyDescent="0.25">
      <c r="A12" s="29" t="s">
        <v>104</v>
      </c>
      <c r="B12" s="30" t="s">
        <v>99</v>
      </c>
      <c r="C12" s="31" t="s">
        <v>100</v>
      </c>
      <c r="D12" s="32">
        <v>10</v>
      </c>
      <c r="E12" s="30" t="s">
        <v>101</v>
      </c>
      <c r="F12" s="31" t="s">
        <v>319</v>
      </c>
      <c r="G12" s="33">
        <v>223981.25</v>
      </c>
    </row>
    <row r="13" spans="1:7" s="122" customFormat="1" ht="79.5" x14ac:dyDescent="0.25">
      <c r="A13" s="34"/>
      <c r="B13" s="35"/>
      <c r="C13" s="35"/>
      <c r="D13" s="35"/>
      <c r="E13" s="36" t="s">
        <v>106</v>
      </c>
      <c r="F13" s="37"/>
      <c r="G13" s="38"/>
    </row>
    <row r="14" spans="1:7" s="122" customFormat="1" ht="23.25" x14ac:dyDescent="0.25">
      <c r="A14" s="34"/>
      <c r="B14" s="35"/>
      <c r="C14" s="35"/>
      <c r="D14" s="35"/>
      <c r="E14" s="36" t="s">
        <v>261</v>
      </c>
      <c r="F14" s="37"/>
      <c r="G14" s="38"/>
    </row>
    <row r="15" spans="1:7" s="122" customFormat="1" ht="23.25" x14ac:dyDescent="0.25">
      <c r="A15" s="34"/>
      <c r="B15" s="35"/>
      <c r="C15" s="35"/>
      <c r="D15" s="35"/>
      <c r="E15" s="36" t="s">
        <v>103</v>
      </c>
      <c r="F15" s="37"/>
      <c r="G15" s="38"/>
    </row>
    <row r="16" spans="1:7" s="122" customFormat="1" ht="12.75" customHeight="1" x14ac:dyDescent="0.25">
      <c r="A16" s="584" t="s">
        <v>262</v>
      </c>
      <c r="B16" s="585"/>
      <c r="C16" s="585"/>
      <c r="D16" s="585"/>
      <c r="E16" s="585"/>
      <c r="F16" s="585"/>
      <c r="G16" s="586"/>
    </row>
    <row r="17" spans="1:9" s="122" customFormat="1" ht="12.75" customHeight="1" x14ac:dyDescent="0.25">
      <c r="A17" s="584" t="s">
        <v>108</v>
      </c>
      <c r="B17" s="585"/>
      <c r="C17" s="585"/>
      <c r="D17" s="585"/>
      <c r="E17" s="585"/>
      <c r="F17" s="585"/>
      <c r="G17" s="586"/>
    </row>
    <row r="18" spans="1:9" s="122" customFormat="1" ht="12.75" customHeight="1" x14ac:dyDescent="0.25">
      <c r="A18" s="584" t="s">
        <v>263</v>
      </c>
      <c r="B18" s="585"/>
      <c r="C18" s="585"/>
      <c r="D18" s="585"/>
      <c r="E18" s="585"/>
      <c r="F18" s="585"/>
      <c r="G18" s="586"/>
    </row>
    <row r="19" spans="1:9" s="122" customFormat="1" ht="90" x14ac:dyDescent="0.25">
      <c r="A19" s="29" t="s">
        <v>110</v>
      </c>
      <c r="B19" s="30" t="s">
        <v>320</v>
      </c>
      <c r="C19" s="31" t="s">
        <v>112</v>
      </c>
      <c r="D19" s="32">
        <v>52</v>
      </c>
      <c r="E19" s="30" t="s">
        <v>321</v>
      </c>
      <c r="F19" s="31" t="s">
        <v>322</v>
      </c>
      <c r="G19" s="33">
        <v>1683435</v>
      </c>
    </row>
    <row r="20" spans="1:9" s="122" customFormat="1" ht="23.25" x14ac:dyDescent="0.25">
      <c r="A20" s="34"/>
      <c r="B20" s="35"/>
      <c r="C20" s="35"/>
      <c r="D20" s="35"/>
      <c r="E20" s="36" t="s">
        <v>261</v>
      </c>
      <c r="F20" s="37"/>
      <c r="G20" s="38"/>
    </row>
    <row r="21" spans="1:9" s="122" customFormat="1" ht="23.25" x14ac:dyDescent="0.25">
      <c r="A21" s="34"/>
      <c r="B21" s="35"/>
      <c r="C21" s="35"/>
      <c r="D21" s="35"/>
      <c r="E21" s="36" t="s">
        <v>103</v>
      </c>
      <c r="F21" s="37"/>
      <c r="G21" s="38"/>
    </row>
    <row r="22" spans="1:9" s="122" customFormat="1" ht="12.75" customHeight="1" x14ac:dyDescent="0.25">
      <c r="A22" s="584" t="s">
        <v>269</v>
      </c>
      <c r="B22" s="585"/>
      <c r="C22" s="585"/>
      <c r="D22" s="585"/>
      <c r="E22" s="585"/>
      <c r="F22" s="585"/>
      <c r="G22" s="586"/>
    </row>
    <row r="23" spans="1:9" s="122" customFormat="1" ht="67.5" x14ac:dyDescent="0.25">
      <c r="A23" s="29" t="s">
        <v>116</v>
      </c>
      <c r="B23" s="30" t="s">
        <v>117</v>
      </c>
      <c r="C23" s="31" t="s">
        <v>112</v>
      </c>
      <c r="D23" s="32">
        <v>52</v>
      </c>
      <c r="E23" s="30" t="s">
        <v>118</v>
      </c>
      <c r="F23" s="31" t="s">
        <v>323</v>
      </c>
      <c r="G23" s="33">
        <v>1610180</v>
      </c>
    </row>
    <row r="24" spans="1:9" s="122" customFormat="1" ht="23.25" x14ac:dyDescent="0.25">
      <c r="A24" s="34"/>
      <c r="B24" s="35"/>
      <c r="C24" s="35"/>
      <c r="D24" s="35"/>
      <c r="E24" s="36" t="s">
        <v>259</v>
      </c>
      <c r="F24" s="37"/>
      <c r="G24" s="38"/>
    </row>
    <row r="25" spans="1:9" s="122" customFormat="1" ht="23.25" x14ac:dyDescent="0.25">
      <c r="A25" s="34"/>
      <c r="B25" s="35"/>
      <c r="C25" s="35"/>
      <c r="D25" s="35"/>
      <c r="E25" s="36" t="s">
        <v>103</v>
      </c>
      <c r="F25" s="37"/>
      <c r="G25" s="38"/>
    </row>
    <row r="26" spans="1:9" s="122" customFormat="1" ht="12.75" customHeight="1" x14ac:dyDescent="0.25">
      <c r="A26" s="584" t="s">
        <v>272</v>
      </c>
      <c r="B26" s="585"/>
      <c r="C26" s="585"/>
      <c r="D26" s="585"/>
      <c r="E26" s="585"/>
      <c r="F26" s="585"/>
      <c r="G26" s="586"/>
    </row>
    <row r="27" spans="1:9" s="122" customFormat="1" ht="12.75" customHeight="1" x14ac:dyDescent="0.25">
      <c r="A27" s="584" t="s">
        <v>273</v>
      </c>
      <c r="B27" s="585"/>
      <c r="C27" s="585"/>
      <c r="D27" s="585"/>
      <c r="E27" s="585"/>
      <c r="F27" s="585"/>
      <c r="G27" s="586"/>
    </row>
    <row r="28" spans="1:9" s="122" customFormat="1" ht="12.75" customHeight="1" x14ac:dyDescent="0.25">
      <c r="A28" s="584" t="s">
        <v>274</v>
      </c>
      <c r="B28" s="585"/>
      <c r="C28" s="585"/>
      <c r="D28" s="585"/>
      <c r="E28" s="585"/>
      <c r="F28" s="585"/>
      <c r="G28" s="586"/>
    </row>
    <row r="29" spans="1:9" s="122" customFormat="1" ht="11.25" customHeight="1" x14ac:dyDescent="0.25">
      <c r="A29" s="39"/>
      <c r="B29" s="580" t="s">
        <v>131</v>
      </c>
      <c r="C29" s="580"/>
      <c r="D29" s="580"/>
      <c r="E29" s="580"/>
      <c r="F29" s="39"/>
      <c r="G29" s="40"/>
      <c r="H29" s="41"/>
      <c r="I29" s="41"/>
    </row>
    <row r="30" spans="1:9" s="122" customFormat="1" ht="11.25" customHeight="1" x14ac:dyDescent="0.25">
      <c r="A30" s="39"/>
      <c r="B30" s="578" t="s">
        <v>275</v>
      </c>
      <c r="C30" s="578"/>
      <c r="D30" s="578"/>
      <c r="E30" s="578"/>
      <c r="F30" s="39"/>
      <c r="G30" s="42" t="s">
        <v>324</v>
      </c>
    </row>
    <row r="31" spans="1:9" s="122" customFormat="1" ht="11.25" customHeight="1" x14ac:dyDescent="0.25">
      <c r="A31" s="39"/>
      <c r="B31" s="580" t="s">
        <v>136</v>
      </c>
      <c r="C31" s="580"/>
      <c r="D31" s="580"/>
      <c r="E31" s="580"/>
      <c r="F31" s="39"/>
      <c r="G31" s="40" t="s">
        <v>324</v>
      </c>
    </row>
    <row r="32" spans="1:9" s="122" customFormat="1" ht="12.75" customHeight="1" x14ac:dyDescent="0.25">
      <c r="A32" s="581" t="s">
        <v>137</v>
      </c>
      <c r="B32" s="582"/>
      <c r="C32" s="582"/>
      <c r="D32" s="582"/>
      <c r="E32" s="582"/>
      <c r="F32" s="582"/>
      <c r="G32" s="583"/>
    </row>
    <row r="33" spans="1:9" s="122" customFormat="1" ht="33.75" x14ac:dyDescent="0.25">
      <c r="A33" s="29" t="s">
        <v>122</v>
      </c>
      <c r="B33" s="30" t="s">
        <v>139</v>
      </c>
      <c r="C33" s="31" t="s">
        <v>140</v>
      </c>
      <c r="D33" s="43">
        <v>3965558.86</v>
      </c>
      <c r="E33" s="30" t="s">
        <v>141</v>
      </c>
      <c r="F33" s="31" t="s">
        <v>325</v>
      </c>
      <c r="G33" s="33">
        <v>1239237.2239999999</v>
      </c>
    </row>
    <row r="34" spans="1:9" s="122" customFormat="1" ht="23.25" x14ac:dyDescent="0.25">
      <c r="A34" s="34"/>
      <c r="B34" s="35"/>
      <c r="C34" s="35"/>
      <c r="D34" s="35"/>
      <c r="E34" s="36" t="s">
        <v>103</v>
      </c>
      <c r="F34" s="37"/>
      <c r="G34" s="38"/>
    </row>
    <row r="35" spans="1:9" s="122" customFormat="1" ht="90" x14ac:dyDescent="0.25">
      <c r="A35" s="29" t="s">
        <v>129</v>
      </c>
      <c r="B35" s="30" t="s">
        <v>277</v>
      </c>
      <c r="C35" s="31" t="s">
        <v>140</v>
      </c>
      <c r="D35" s="43">
        <v>3965558.86</v>
      </c>
      <c r="E35" s="30" t="s">
        <v>145</v>
      </c>
      <c r="F35" s="31" t="s">
        <v>326</v>
      </c>
      <c r="G35" s="33">
        <v>589876.88</v>
      </c>
    </row>
    <row r="36" spans="1:9" s="122" customFormat="1" ht="23.25" x14ac:dyDescent="0.25">
      <c r="A36" s="34"/>
      <c r="B36" s="35"/>
      <c r="C36" s="35"/>
      <c r="D36" s="35"/>
      <c r="E36" s="36" t="s">
        <v>103</v>
      </c>
      <c r="F36" s="37"/>
      <c r="G36" s="38"/>
    </row>
    <row r="37" spans="1:9" s="122" customFormat="1" ht="78.75" x14ac:dyDescent="0.25">
      <c r="A37" s="29" t="s">
        <v>138</v>
      </c>
      <c r="B37" s="30" t="s">
        <v>148</v>
      </c>
      <c r="C37" s="31" t="s">
        <v>140</v>
      </c>
      <c r="D37" s="43">
        <v>3965558.86</v>
      </c>
      <c r="E37" s="30" t="s">
        <v>149</v>
      </c>
      <c r="F37" s="31" t="s">
        <v>327</v>
      </c>
      <c r="G37" s="33">
        <v>436211.47</v>
      </c>
    </row>
    <row r="38" spans="1:9" s="122" customFormat="1" ht="23.25" x14ac:dyDescent="0.25">
      <c r="A38" s="34"/>
      <c r="B38" s="35"/>
      <c r="C38" s="35"/>
      <c r="D38" s="35"/>
      <c r="E38" s="36" t="s">
        <v>103</v>
      </c>
      <c r="F38" s="37"/>
      <c r="G38" s="38"/>
    </row>
    <row r="39" spans="1:9" s="122" customFormat="1" ht="11.25" customHeight="1" x14ac:dyDescent="0.25">
      <c r="A39" s="39"/>
      <c r="B39" s="580" t="s">
        <v>151</v>
      </c>
      <c r="C39" s="580"/>
      <c r="D39" s="580"/>
      <c r="E39" s="580"/>
      <c r="F39" s="39"/>
      <c r="G39" s="40"/>
      <c r="H39" s="41"/>
      <c r="I39" s="41"/>
    </row>
    <row r="40" spans="1:9" s="122" customFormat="1" ht="11.25" customHeight="1" x14ac:dyDescent="0.25">
      <c r="A40" s="39"/>
      <c r="B40" s="578" t="s">
        <v>283</v>
      </c>
      <c r="C40" s="578"/>
      <c r="D40" s="578"/>
      <c r="E40" s="578"/>
      <c r="F40" s="39"/>
      <c r="G40" s="42" t="s">
        <v>328</v>
      </c>
    </row>
    <row r="41" spans="1:9" s="122" customFormat="1" ht="11.25" customHeight="1" x14ac:dyDescent="0.25">
      <c r="A41" s="39"/>
      <c r="B41" s="580" t="s">
        <v>155</v>
      </c>
      <c r="C41" s="580"/>
      <c r="D41" s="580"/>
      <c r="E41" s="580"/>
      <c r="F41" s="39"/>
      <c r="G41" s="40" t="s">
        <v>328</v>
      </c>
    </row>
    <row r="42" spans="1:9" s="122" customFormat="1" ht="12.75" customHeight="1" x14ac:dyDescent="0.25">
      <c r="A42" s="581" t="s">
        <v>156</v>
      </c>
      <c r="B42" s="582"/>
      <c r="C42" s="582"/>
      <c r="D42" s="582"/>
      <c r="E42" s="582"/>
      <c r="F42" s="582"/>
      <c r="G42" s="583"/>
    </row>
    <row r="43" spans="1:9" s="122" customFormat="1" ht="12.75" customHeight="1" x14ac:dyDescent="0.25">
      <c r="A43" s="584" t="s">
        <v>256</v>
      </c>
      <c r="B43" s="585"/>
      <c r="C43" s="585"/>
      <c r="D43" s="585"/>
      <c r="E43" s="585"/>
      <c r="F43" s="585"/>
      <c r="G43" s="586"/>
    </row>
    <row r="44" spans="1:9" s="122" customFormat="1" ht="45" x14ac:dyDescent="0.25">
      <c r="A44" s="29" t="s">
        <v>143</v>
      </c>
      <c r="B44" s="30" t="s">
        <v>158</v>
      </c>
      <c r="C44" s="31" t="s">
        <v>100</v>
      </c>
      <c r="D44" s="32">
        <v>10</v>
      </c>
      <c r="E44" s="30" t="s">
        <v>159</v>
      </c>
      <c r="F44" s="31" t="s">
        <v>329</v>
      </c>
      <c r="G44" s="33">
        <v>21425</v>
      </c>
    </row>
    <row r="45" spans="1:9" s="122" customFormat="1" ht="23.25" x14ac:dyDescent="0.25">
      <c r="A45" s="34"/>
      <c r="B45" s="35"/>
      <c r="C45" s="35"/>
      <c r="D45" s="35"/>
      <c r="E45" s="36" t="s">
        <v>103</v>
      </c>
      <c r="F45" s="37"/>
      <c r="G45" s="38"/>
    </row>
    <row r="46" spans="1:9" s="122" customFormat="1" ht="45" x14ac:dyDescent="0.25">
      <c r="A46" s="29" t="s">
        <v>147</v>
      </c>
      <c r="B46" s="30" t="s">
        <v>162</v>
      </c>
      <c r="C46" s="31" t="s">
        <v>100</v>
      </c>
      <c r="D46" s="32">
        <v>10</v>
      </c>
      <c r="E46" s="30" t="s">
        <v>163</v>
      </c>
      <c r="F46" s="31" t="s">
        <v>330</v>
      </c>
      <c r="G46" s="33">
        <v>23050</v>
      </c>
    </row>
    <row r="47" spans="1:9" s="122" customFormat="1" ht="23.25" x14ac:dyDescent="0.25">
      <c r="A47" s="34"/>
      <c r="B47" s="35"/>
      <c r="C47" s="35"/>
      <c r="D47" s="35"/>
      <c r="E47" s="36" t="s">
        <v>103</v>
      </c>
      <c r="F47" s="37"/>
      <c r="G47" s="38"/>
    </row>
    <row r="48" spans="1:9" s="122" customFormat="1" ht="12.75" customHeight="1" x14ac:dyDescent="0.25">
      <c r="A48" s="584" t="s">
        <v>287</v>
      </c>
      <c r="B48" s="585"/>
      <c r="C48" s="585"/>
      <c r="D48" s="585"/>
      <c r="E48" s="585"/>
      <c r="F48" s="585"/>
      <c r="G48" s="586"/>
    </row>
    <row r="49" spans="1:7" s="122" customFormat="1" ht="12.75" customHeight="1" x14ac:dyDescent="0.25">
      <c r="A49" s="584" t="s">
        <v>108</v>
      </c>
      <c r="B49" s="585"/>
      <c r="C49" s="585"/>
      <c r="D49" s="585"/>
      <c r="E49" s="585"/>
      <c r="F49" s="585"/>
      <c r="G49" s="586"/>
    </row>
    <row r="50" spans="1:7" s="122" customFormat="1" ht="12.75" customHeight="1" x14ac:dyDescent="0.25">
      <c r="A50" s="584" t="s">
        <v>263</v>
      </c>
      <c r="B50" s="585"/>
      <c r="C50" s="585"/>
      <c r="D50" s="585"/>
      <c r="E50" s="585"/>
      <c r="F50" s="585"/>
      <c r="G50" s="586"/>
    </row>
    <row r="51" spans="1:7" s="122" customFormat="1" ht="67.5" x14ac:dyDescent="0.25">
      <c r="A51" s="29" t="s">
        <v>157</v>
      </c>
      <c r="B51" s="30" t="s">
        <v>331</v>
      </c>
      <c r="C51" s="31" t="s">
        <v>112</v>
      </c>
      <c r="D51" s="32">
        <v>52</v>
      </c>
      <c r="E51" s="30" t="s">
        <v>332</v>
      </c>
      <c r="F51" s="31" t="s">
        <v>333</v>
      </c>
      <c r="G51" s="33">
        <v>85553.75</v>
      </c>
    </row>
    <row r="52" spans="1:7" s="122" customFormat="1" ht="23.25" x14ac:dyDescent="0.25">
      <c r="A52" s="34"/>
      <c r="B52" s="35"/>
      <c r="C52" s="35"/>
      <c r="D52" s="35"/>
      <c r="E52" s="36" t="s">
        <v>103</v>
      </c>
      <c r="F52" s="37"/>
      <c r="G52" s="38"/>
    </row>
    <row r="53" spans="1:7" s="122" customFormat="1" ht="12.75" customHeight="1" x14ac:dyDescent="0.25">
      <c r="A53" s="584" t="s">
        <v>291</v>
      </c>
      <c r="B53" s="585"/>
      <c r="C53" s="585"/>
      <c r="D53" s="585"/>
      <c r="E53" s="585"/>
      <c r="F53" s="585"/>
      <c r="G53" s="586"/>
    </row>
    <row r="54" spans="1:7" s="122" customFormat="1" ht="112.5" x14ac:dyDescent="0.25">
      <c r="A54" s="29" t="s">
        <v>161</v>
      </c>
      <c r="B54" s="30" t="s">
        <v>334</v>
      </c>
      <c r="C54" s="31" t="s">
        <v>112</v>
      </c>
      <c r="D54" s="32">
        <v>52</v>
      </c>
      <c r="E54" s="30" t="s">
        <v>335</v>
      </c>
      <c r="F54" s="31" t="s">
        <v>336</v>
      </c>
      <c r="G54" s="33">
        <v>26150</v>
      </c>
    </row>
    <row r="55" spans="1:7" s="122" customFormat="1" ht="23.25" x14ac:dyDescent="0.25">
      <c r="A55" s="34"/>
      <c r="B55" s="35"/>
      <c r="C55" s="35"/>
      <c r="D55" s="35"/>
      <c r="E55" s="36" t="s">
        <v>103</v>
      </c>
      <c r="F55" s="37"/>
      <c r="G55" s="38"/>
    </row>
    <row r="56" spans="1:7" s="122" customFormat="1" ht="12.75" customHeight="1" x14ac:dyDescent="0.25">
      <c r="A56" s="584" t="s">
        <v>175</v>
      </c>
      <c r="B56" s="585"/>
      <c r="C56" s="585"/>
      <c r="D56" s="585"/>
      <c r="E56" s="585"/>
      <c r="F56" s="585"/>
      <c r="G56" s="586"/>
    </row>
    <row r="57" spans="1:7" s="122" customFormat="1" ht="56.25" x14ac:dyDescent="0.25">
      <c r="A57" s="29" t="s">
        <v>166</v>
      </c>
      <c r="B57" s="30" t="s">
        <v>337</v>
      </c>
      <c r="C57" s="31" t="s">
        <v>338</v>
      </c>
      <c r="D57" s="125">
        <v>33.9</v>
      </c>
      <c r="E57" s="30" t="s">
        <v>339</v>
      </c>
      <c r="F57" s="31" t="s">
        <v>340</v>
      </c>
      <c r="G57" s="33">
        <v>13136.25</v>
      </c>
    </row>
    <row r="58" spans="1:7" s="122" customFormat="1" ht="23.25" x14ac:dyDescent="0.25">
      <c r="A58" s="34"/>
      <c r="B58" s="35"/>
      <c r="C58" s="35"/>
      <c r="D58" s="35"/>
      <c r="E58" s="36" t="s">
        <v>103</v>
      </c>
      <c r="F58" s="37"/>
      <c r="G58" s="38"/>
    </row>
    <row r="59" spans="1:7" s="122" customFormat="1" ht="67.5" x14ac:dyDescent="0.25">
      <c r="A59" s="29" t="s">
        <v>171</v>
      </c>
      <c r="B59" s="30" t="s">
        <v>341</v>
      </c>
      <c r="C59" s="31" t="s">
        <v>338</v>
      </c>
      <c r="D59" s="125">
        <v>33.9</v>
      </c>
      <c r="E59" s="30" t="s">
        <v>342</v>
      </c>
      <c r="F59" s="31" t="s">
        <v>343</v>
      </c>
      <c r="G59" s="33">
        <v>68276.72</v>
      </c>
    </row>
    <row r="60" spans="1:7" s="122" customFormat="1" ht="45.75" x14ac:dyDescent="0.25">
      <c r="A60" s="34"/>
      <c r="B60" s="35"/>
      <c r="C60" s="35"/>
      <c r="D60" s="35"/>
      <c r="E60" s="36" t="s">
        <v>344</v>
      </c>
      <c r="F60" s="37"/>
      <c r="G60" s="38"/>
    </row>
    <row r="61" spans="1:7" s="122" customFormat="1" ht="23.25" x14ac:dyDescent="0.25">
      <c r="A61" s="34"/>
      <c r="B61" s="35"/>
      <c r="C61" s="35"/>
      <c r="D61" s="35"/>
      <c r="E61" s="36" t="s">
        <v>103</v>
      </c>
      <c r="F61" s="37"/>
      <c r="G61" s="38"/>
    </row>
    <row r="62" spans="1:7" s="122" customFormat="1" ht="33.75" x14ac:dyDescent="0.25">
      <c r="A62" s="29" t="s">
        <v>183</v>
      </c>
      <c r="B62" s="30" t="s">
        <v>345</v>
      </c>
      <c r="C62" s="31" t="s">
        <v>338</v>
      </c>
      <c r="D62" s="125">
        <v>33.9</v>
      </c>
      <c r="E62" s="30" t="s">
        <v>346</v>
      </c>
      <c r="F62" s="31" t="s">
        <v>347</v>
      </c>
      <c r="G62" s="33">
        <v>8983.5</v>
      </c>
    </row>
    <row r="63" spans="1:7" s="122" customFormat="1" ht="23.25" x14ac:dyDescent="0.25">
      <c r="A63" s="34"/>
      <c r="B63" s="35"/>
      <c r="C63" s="35"/>
      <c r="D63" s="35"/>
      <c r="E63" s="36" t="s">
        <v>103</v>
      </c>
      <c r="F63" s="37"/>
      <c r="G63" s="38"/>
    </row>
    <row r="64" spans="1:7" s="122" customFormat="1" ht="33.75" x14ac:dyDescent="0.25">
      <c r="A64" s="29" t="s">
        <v>193</v>
      </c>
      <c r="B64" s="30" t="s">
        <v>348</v>
      </c>
      <c r="C64" s="31" t="s">
        <v>349</v>
      </c>
      <c r="D64" s="125">
        <v>169.5</v>
      </c>
      <c r="E64" s="30" t="s">
        <v>350</v>
      </c>
      <c r="F64" s="31" t="s">
        <v>351</v>
      </c>
      <c r="G64" s="33">
        <v>10381.879999999999</v>
      </c>
    </row>
    <row r="65" spans="1:9" s="122" customFormat="1" ht="23.25" x14ac:dyDescent="0.25">
      <c r="A65" s="34"/>
      <c r="B65" s="35"/>
      <c r="C65" s="35"/>
      <c r="D65" s="35"/>
      <c r="E65" s="36" t="s">
        <v>103</v>
      </c>
      <c r="F65" s="37"/>
      <c r="G65" s="38"/>
    </row>
    <row r="66" spans="1:9" s="122" customFormat="1" ht="33.75" x14ac:dyDescent="0.25">
      <c r="A66" s="29" t="s">
        <v>198</v>
      </c>
      <c r="B66" s="30" t="s">
        <v>352</v>
      </c>
      <c r="C66" s="31" t="s">
        <v>353</v>
      </c>
      <c r="D66" s="32">
        <v>678</v>
      </c>
      <c r="E66" s="30" t="s">
        <v>354</v>
      </c>
      <c r="F66" s="31" t="s">
        <v>355</v>
      </c>
      <c r="G66" s="33">
        <v>41527.5</v>
      </c>
    </row>
    <row r="67" spans="1:9" s="122" customFormat="1" ht="23.25" x14ac:dyDescent="0.25">
      <c r="A67" s="34"/>
      <c r="B67" s="35"/>
      <c r="C67" s="35"/>
      <c r="D67" s="35"/>
      <c r="E67" s="36" t="s">
        <v>103</v>
      </c>
      <c r="F67" s="37"/>
      <c r="G67" s="38"/>
    </row>
    <row r="68" spans="1:9" s="122" customFormat="1" ht="56.25" x14ac:dyDescent="0.25">
      <c r="A68" s="29" t="s">
        <v>356</v>
      </c>
      <c r="B68" s="30" t="s">
        <v>357</v>
      </c>
      <c r="C68" s="31" t="s">
        <v>358</v>
      </c>
      <c r="D68" s="125">
        <v>135.6</v>
      </c>
      <c r="E68" s="30" t="s">
        <v>359</v>
      </c>
      <c r="F68" s="31" t="s">
        <v>360</v>
      </c>
      <c r="G68" s="33">
        <v>9153</v>
      </c>
    </row>
    <row r="69" spans="1:9" s="122" customFormat="1" ht="23.25" x14ac:dyDescent="0.25">
      <c r="A69" s="34"/>
      <c r="B69" s="35"/>
      <c r="C69" s="35"/>
      <c r="D69" s="35"/>
      <c r="E69" s="36" t="s">
        <v>103</v>
      </c>
      <c r="F69" s="37"/>
      <c r="G69" s="38"/>
    </row>
    <row r="70" spans="1:9" s="122" customFormat="1" ht="12.75" customHeight="1" x14ac:dyDescent="0.25">
      <c r="A70" s="584" t="s">
        <v>176</v>
      </c>
      <c r="B70" s="585"/>
      <c r="C70" s="585"/>
      <c r="D70" s="585"/>
      <c r="E70" s="585"/>
      <c r="F70" s="585"/>
      <c r="G70" s="586"/>
    </row>
    <row r="71" spans="1:9" s="122" customFormat="1" ht="11.25" customHeight="1" x14ac:dyDescent="0.25">
      <c r="A71" s="39"/>
      <c r="B71" s="580" t="s">
        <v>177</v>
      </c>
      <c r="C71" s="580"/>
      <c r="D71" s="580"/>
      <c r="E71" s="580"/>
      <c r="F71" s="39"/>
      <c r="G71" s="40"/>
      <c r="H71" s="41"/>
      <c r="I71" s="41"/>
    </row>
    <row r="72" spans="1:9" s="122" customFormat="1" ht="11.25" customHeight="1" x14ac:dyDescent="0.25">
      <c r="A72" s="39"/>
      <c r="B72" s="578" t="s">
        <v>361</v>
      </c>
      <c r="C72" s="578"/>
      <c r="D72" s="578"/>
      <c r="E72" s="578"/>
      <c r="F72" s="39"/>
      <c r="G72" s="42" t="s">
        <v>362</v>
      </c>
    </row>
    <row r="73" spans="1:9" s="122" customFormat="1" ht="11.25" customHeight="1" x14ac:dyDescent="0.25">
      <c r="A73" s="39"/>
      <c r="B73" s="580" t="s">
        <v>181</v>
      </c>
      <c r="C73" s="580"/>
      <c r="D73" s="580"/>
      <c r="E73" s="580"/>
      <c r="F73" s="39"/>
      <c r="G73" s="40" t="s">
        <v>362</v>
      </c>
    </row>
    <row r="74" spans="1:9" s="122" customFormat="1" ht="12.75" customHeight="1" x14ac:dyDescent="0.25">
      <c r="A74" s="581" t="s">
        <v>182</v>
      </c>
      <c r="B74" s="582"/>
      <c r="C74" s="582"/>
      <c r="D74" s="582"/>
      <c r="E74" s="582"/>
      <c r="F74" s="582"/>
      <c r="G74" s="583"/>
    </row>
    <row r="75" spans="1:9" s="122" customFormat="1" ht="33.75" x14ac:dyDescent="0.25">
      <c r="A75" s="29" t="s">
        <v>363</v>
      </c>
      <c r="B75" s="30" t="s">
        <v>184</v>
      </c>
      <c r="C75" s="31" t="s">
        <v>140</v>
      </c>
      <c r="D75" s="43">
        <v>307637.67</v>
      </c>
      <c r="E75" s="30" t="s">
        <v>185</v>
      </c>
      <c r="F75" s="31" t="s">
        <v>364</v>
      </c>
      <c r="G75" s="33">
        <v>42107.91</v>
      </c>
    </row>
    <row r="76" spans="1:9" s="122" customFormat="1" ht="23.25" x14ac:dyDescent="0.25">
      <c r="A76" s="34"/>
      <c r="B76" s="35"/>
      <c r="C76" s="35"/>
      <c r="D76" s="35"/>
      <c r="E76" s="36" t="s">
        <v>103</v>
      </c>
      <c r="F76" s="37"/>
      <c r="G76" s="38"/>
    </row>
    <row r="77" spans="1:9" s="122" customFormat="1" ht="11.25" customHeight="1" x14ac:dyDescent="0.25">
      <c r="A77" s="39"/>
      <c r="B77" s="580" t="s">
        <v>187</v>
      </c>
      <c r="C77" s="580"/>
      <c r="D77" s="580"/>
      <c r="E77" s="580"/>
      <c r="F77" s="39"/>
      <c r="G77" s="40"/>
      <c r="H77" s="41"/>
      <c r="I77" s="41"/>
    </row>
    <row r="78" spans="1:9" s="122" customFormat="1" ht="11.25" customHeight="1" x14ac:dyDescent="0.25">
      <c r="A78" s="39"/>
      <c r="B78" s="578" t="s">
        <v>365</v>
      </c>
      <c r="C78" s="578"/>
      <c r="D78" s="578"/>
      <c r="E78" s="578"/>
      <c r="F78" s="39"/>
      <c r="G78" s="42" t="s">
        <v>366</v>
      </c>
    </row>
    <row r="79" spans="1:9" s="122" customFormat="1" ht="11.25" customHeight="1" x14ac:dyDescent="0.25">
      <c r="A79" s="39"/>
      <c r="B79" s="580" t="s">
        <v>191</v>
      </c>
      <c r="C79" s="580"/>
      <c r="D79" s="580"/>
      <c r="E79" s="580"/>
      <c r="F79" s="39"/>
      <c r="G79" s="40" t="s">
        <v>366</v>
      </c>
    </row>
    <row r="80" spans="1:9" s="122" customFormat="1" ht="12.75" customHeight="1" x14ac:dyDescent="0.25">
      <c r="A80" s="581" t="s">
        <v>306</v>
      </c>
      <c r="B80" s="582"/>
      <c r="C80" s="582"/>
      <c r="D80" s="582"/>
      <c r="E80" s="582"/>
      <c r="F80" s="582"/>
      <c r="G80" s="583"/>
    </row>
    <row r="81" spans="1:9" s="122" customFormat="1" ht="67.5" x14ac:dyDescent="0.25">
      <c r="A81" s="29" t="s">
        <v>367</v>
      </c>
      <c r="B81" s="30" t="s">
        <v>368</v>
      </c>
      <c r="C81" s="31" t="s">
        <v>195</v>
      </c>
      <c r="D81" s="43">
        <v>4273196.53</v>
      </c>
      <c r="E81" s="30" t="s">
        <v>369</v>
      </c>
      <c r="F81" s="31" t="s">
        <v>370</v>
      </c>
      <c r="G81" s="33">
        <v>139242.79</v>
      </c>
    </row>
    <row r="82" spans="1:9" s="122" customFormat="1" ht="23.25" x14ac:dyDescent="0.25">
      <c r="A82" s="34"/>
      <c r="B82" s="35"/>
      <c r="C82" s="35"/>
      <c r="D82" s="35"/>
      <c r="E82" s="36" t="s">
        <v>103</v>
      </c>
      <c r="F82" s="37"/>
      <c r="G82" s="38"/>
    </row>
    <row r="83" spans="1:9" s="122" customFormat="1" ht="67.5" x14ac:dyDescent="0.25">
      <c r="A83" s="29" t="s">
        <v>371</v>
      </c>
      <c r="B83" s="30" t="s">
        <v>372</v>
      </c>
      <c r="C83" s="31" t="s">
        <v>200</v>
      </c>
      <c r="D83" s="43">
        <v>4273196.53</v>
      </c>
      <c r="E83" s="30" t="s">
        <v>373</v>
      </c>
      <c r="F83" s="31" t="s">
        <v>374</v>
      </c>
      <c r="G83" s="33">
        <v>225927.86</v>
      </c>
    </row>
    <row r="84" spans="1:9" s="122" customFormat="1" ht="23.25" x14ac:dyDescent="0.25">
      <c r="A84" s="34"/>
      <c r="B84" s="35"/>
      <c r="C84" s="35"/>
      <c r="D84" s="35"/>
      <c r="E84" s="36" t="s">
        <v>103</v>
      </c>
      <c r="F84" s="37"/>
      <c r="G84" s="38"/>
    </row>
    <row r="85" spans="1:9" s="122" customFormat="1" ht="11.25" customHeight="1" x14ac:dyDescent="0.25">
      <c r="A85" s="39"/>
      <c r="B85" s="580" t="s">
        <v>309</v>
      </c>
      <c r="C85" s="580"/>
      <c r="D85" s="580"/>
      <c r="E85" s="580"/>
      <c r="F85" s="39"/>
      <c r="G85" s="40"/>
      <c r="H85" s="41"/>
      <c r="I85" s="41"/>
    </row>
    <row r="86" spans="1:9" s="122" customFormat="1" ht="11.25" customHeight="1" x14ac:dyDescent="0.25">
      <c r="A86" s="39"/>
      <c r="B86" s="578" t="s">
        <v>375</v>
      </c>
      <c r="C86" s="578"/>
      <c r="D86" s="578"/>
      <c r="E86" s="578"/>
      <c r="F86" s="39"/>
      <c r="G86" s="42" t="s">
        <v>376</v>
      </c>
    </row>
    <row r="87" spans="1:9" s="122" customFormat="1" ht="11.25" customHeight="1" x14ac:dyDescent="0.25">
      <c r="A87" s="39"/>
      <c r="B87" s="580" t="s">
        <v>311</v>
      </c>
      <c r="C87" s="580"/>
      <c r="D87" s="580"/>
      <c r="E87" s="580"/>
      <c r="F87" s="39"/>
      <c r="G87" s="40" t="s">
        <v>376</v>
      </c>
    </row>
    <row r="88" spans="1:9" s="122" customFormat="1" ht="15" x14ac:dyDescent="0.25">
      <c r="A88" s="39"/>
      <c r="B88" s="580" t="s">
        <v>208</v>
      </c>
      <c r="C88" s="580"/>
      <c r="D88" s="580"/>
      <c r="E88" s="580"/>
      <c r="F88" s="39"/>
      <c r="G88" s="40"/>
    </row>
    <row r="89" spans="1:9" s="122" customFormat="1" ht="14.25" customHeight="1" x14ac:dyDescent="0.25">
      <c r="A89" s="39"/>
      <c r="B89" s="578" t="s">
        <v>136</v>
      </c>
      <c r="C89" s="578"/>
      <c r="D89" s="578"/>
      <c r="E89" s="578"/>
      <c r="F89" s="39"/>
      <c r="G89" s="42"/>
    </row>
    <row r="90" spans="1:9" s="122" customFormat="1" ht="11.25" customHeight="1" x14ac:dyDescent="0.25">
      <c r="A90" s="39"/>
      <c r="B90" s="578" t="s">
        <v>312</v>
      </c>
      <c r="C90" s="578"/>
      <c r="D90" s="578"/>
      <c r="E90" s="578"/>
      <c r="F90" s="39"/>
      <c r="G90" s="42" t="s">
        <v>324</v>
      </c>
    </row>
    <row r="91" spans="1:9" s="122" customFormat="1" ht="15.75" customHeight="1" x14ac:dyDescent="0.25">
      <c r="A91" s="39"/>
      <c r="B91" s="578" t="s">
        <v>211</v>
      </c>
      <c r="C91" s="578"/>
      <c r="D91" s="578"/>
      <c r="E91" s="578"/>
      <c r="F91" s="39"/>
      <c r="G91" s="42" t="s">
        <v>324</v>
      </c>
    </row>
    <row r="92" spans="1:9" s="122" customFormat="1" ht="13.5" customHeight="1" x14ac:dyDescent="0.25">
      <c r="A92" s="39"/>
      <c r="B92" s="578" t="s">
        <v>155</v>
      </c>
      <c r="C92" s="578"/>
      <c r="D92" s="578"/>
      <c r="E92" s="578"/>
      <c r="F92" s="39"/>
      <c r="G92" s="42"/>
    </row>
    <row r="93" spans="1:9" s="122" customFormat="1" ht="11.25" customHeight="1" x14ac:dyDescent="0.25">
      <c r="A93" s="39"/>
      <c r="B93" s="578" t="s">
        <v>313</v>
      </c>
      <c r="C93" s="578"/>
      <c r="D93" s="578"/>
      <c r="E93" s="578"/>
      <c r="F93" s="39"/>
      <c r="G93" s="42" t="s">
        <v>328</v>
      </c>
    </row>
    <row r="94" spans="1:9" s="122" customFormat="1" ht="11.25" customHeight="1" x14ac:dyDescent="0.25">
      <c r="A94" s="39"/>
      <c r="B94" s="578" t="s">
        <v>213</v>
      </c>
      <c r="C94" s="578"/>
      <c r="D94" s="578"/>
      <c r="E94" s="578"/>
      <c r="F94" s="39"/>
      <c r="G94" s="42" t="s">
        <v>328</v>
      </c>
    </row>
    <row r="95" spans="1:9" s="122" customFormat="1" ht="11.25" customHeight="1" x14ac:dyDescent="0.25">
      <c r="A95" s="39"/>
      <c r="B95" s="578" t="s">
        <v>181</v>
      </c>
      <c r="C95" s="578"/>
      <c r="D95" s="578"/>
      <c r="E95" s="578"/>
      <c r="F95" s="39"/>
      <c r="G95" s="42"/>
    </row>
    <row r="96" spans="1:9" s="122" customFormat="1" ht="11.25" customHeight="1" x14ac:dyDescent="0.25">
      <c r="A96" s="39"/>
      <c r="B96" s="578" t="s">
        <v>377</v>
      </c>
      <c r="C96" s="578"/>
      <c r="D96" s="578"/>
      <c r="E96" s="578"/>
      <c r="F96" s="39"/>
      <c r="G96" s="42" t="s">
        <v>362</v>
      </c>
    </row>
    <row r="97" spans="1:8" s="122" customFormat="1" ht="11.25" customHeight="1" x14ac:dyDescent="0.25">
      <c r="A97" s="39"/>
      <c r="B97" s="578" t="s">
        <v>215</v>
      </c>
      <c r="C97" s="578"/>
      <c r="D97" s="578"/>
      <c r="E97" s="578"/>
      <c r="F97" s="39"/>
      <c r="G97" s="42" t="s">
        <v>362</v>
      </c>
    </row>
    <row r="98" spans="1:8" s="122" customFormat="1" ht="11.25" customHeight="1" x14ac:dyDescent="0.25">
      <c r="A98" s="39"/>
      <c r="B98" s="578" t="s">
        <v>191</v>
      </c>
      <c r="C98" s="578"/>
      <c r="D98" s="578"/>
      <c r="E98" s="578"/>
      <c r="F98" s="39"/>
      <c r="G98" s="42"/>
    </row>
    <row r="99" spans="1:8" s="122" customFormat="1" ht="11.25" customHeight="1" x14ac:dyDescent="0.25">
      <c r="A99" s="39"/>
      <c r="B99" s="578" t="s">
        <v>378</v>
      </c>
      <c r="C99" s="578"/>
      <c r="D99" s="578"/>
      <c r="E99" s="578"/>
      <c r="F99" s="39"/>
      <c r="G99" s="42" t="s">
        <v>366</v>
      </c>
    </row>
    <row r="100" spans="1:8" s="122" customFormat="1" ht="11.25" customHeight="1" x14ac:dyDescent="0.25">
      <c r="A100" s="39"/>
      <c r="B100" s="578" t="s">
        <v>217</v>
      </c>
      <c r="C100" s="578"/>
      <c r="D100" s="578"/>
      <c r="E100" s="578"/>
      <c r="F100" s="39"/>
      <c r="G100" s="42" t="s">
        <v>366</v>
      </c>
    </row>
    <row r="101" spans="1:8" s="122" customFormat="1" ht="11.25" customHeight="1" x14ac:dyDescent="0.25">
      <c r="A101" s="39"/>
      <c r="B101" s="578" t="s">
        <v>311</v>
      </c>
      <c r="C101" s="578"/>
      <c r="D101" s="578"/>
      <c r="E101" s="578"/>
      <c r="F101" s="39"/>
      <c r="G101" s="42"/>
    </row>
    <row r="102" spans="1:8" s="122" customFormat="1" ht="11.25" customHeight="1" x14ac:dyDescent="0.25">
      <c r="A102" s="39"/>
      <c r="B102" s="578" t="s">
        <v>379</v>
      </c>
      <c r="C102" s="578"/>
      <c r="D102" s="578"/>
      <c r="E102" s="578"/>
      <c r="F102" s="39"/>
      <c r="G102" s="42" t="s">
        <v>376</v>
      </c>
    </row>
    <row r="103" spans="1:8" s="122" customFormat="1" ht="11.25" customHeight="1" x14ac:dyDescent="0.25">
      <c r="A103" s="39"/>
      <c r="B103" s="578" t="s">
        <v>315</v>
      </c>
      <c r="C103" s="578"/>
      <c r="D103" s="578"/>
      <c r="E103" s="578"/>
      <c r="F103" s="39"/>
      <c r="G103" s="42" t="s">
        <v>376</v>
      </c>
    </row>
    <row r="104" spans="1:8" s="122" customFormat="1" ht="11.25" customHeight="1" x14ac:dyDescent="0.25">
      <c r="A104" s="39"/>
      <c r="B104" s="578" t="s">
        <v>220</v>
      </c>
      <c r="C104" s="578"/>
      <c r="D104" s="578"/>
      <c r="E104" s="578"/>
      <c r="F104" s="39"/>
      <c r="G104" s="126">
        <f>(6945800.4/1.25)*1.27</f>
        <v>7056933.2064000005</v>
      </c>
    </row>
    <row r="105" spans="1:8" s="122" customFormat="1" ht="11.25" customHeight="1" x14ac:dyDescent="0.25">
      <c r="A105" s="39"/>
      <c r="B105" s="580" t="s">
        <v>316</v>
      </c>
      <c r="C105" s="580"/>
      <c r="D105" s="580"/>
      <c r="E105" s="580"/>
      <c r="F105" s="39"/>
      <c r="G105" s="127">
        <f>G104</f>
        <v>7056933.2064000005</v>
      </c>
    </row>
    <row r="106" spans="1:8" s="122" customFormat="1" ht="11.25" customHeight="1" x14ac:dyDescent="0.25">
      <c r="F106" s="128"/>
      <c r="G106" s="128"/>
      <c r="H106" s="128"/>
    </row>
  </sheetData>
  <mergeCells count="53">
    <mergeCell ref="A7:G7"/>
    <mergeCell ref="A8:G8"/>
    <mergeCell ref="A16:G16"/>
    <mergeCell ref="A17:G17"/>
    <mergeCell ref="A18:G18"/>
    <mergeCell ref="A22:G22"/>
    <mergeCell ref="A26:G26"/>
    <mergeCell ref="A27:G27"/>
    <mergeCell ref="A28:G28"/>
    <mergeCell ref="B29:E29"/>
    <mergeCell ref="B30:E30"/>
    <mergeCell ref="B31:E31"/>
    <mergeCell ref="A32:G32"/>
    <mergeCell ref="B39:E39"/>
    <mergeCell ref="B40:E40"/>
    <mergeCell ref="B41:E41"/>
    <mergeCell ref="A42:G42"/>
    <mergeCell ref="A43:G43"/>
    <mergeCell ref="A48:G48"/>
    <mergeCell ref="A49:G49"/>
    <mergeCell ref="A50:G50"/>
    <mergeCell ref="A53:G53"/>
    <mergeCell ref="A56:G56"/>
    <mergeCell ref="A70:G70"/>
    <mergeCell ref="B71:E71"/>
    <mergeCell ref="B72:E72"/>
    <mergeCell ref="B73:E73"/>
    <mergeCell ref="A74:G74"/>
    <mergeCell ref="B77:E77"/>
    <mergeCell ref="B78:E78"/>
    <mergeCell ref="B79:E79"/>
    <mergeCell ref="A80:G80"/>
    <mergeCell ref="B85:E85"/>
    <mergeCell ref="B86:E86"/>
    <mergeCell ref="B87:E87"/>
    <mergeCell ref="B88:E88"/>
    <mergeCell ref="B89:E89"/>
    <mergeCell ref="B90:E90"/>
    <mergeCell ref="B91:E91"/>
    <mergeCell ref="B92:E92"/>
    <mergeCell ref="B93:E93"/>
    <mergeCell ref="B94:E94"/>
    <mergeCell ref="B95:E95"/>
    <mergeCell ref="B96:E96"/>
    <mergeCell ref="B97:E97"/>
    <mergeCell ref="B103:E103"/>
    <mergeCell ref="B104:E104"/>
    <mergeCell ref="B105:E105"/>
    <mergeCell ref="B98:E98"/>
    <mergeCell ref="B99:E99"/>
    <mergeCell ref="B100:E100"/>
    <mergeCell ref="B101:E101"/>
    <mergeCell ref="B102:E102"/>
  </mergeCells>
  <pageMargins left="0.78740155696868885" right="0.31496062874793995" top="0.31496062874793995" bottom="0.31496062874793995" header="0.19685038924217199" footer="0.19685038924217199"/>
  <pageSetup paperSize="9" scale="55" fitToHeight="0" orientation="portrait"/>
  <headerFooter>
    <oddFooter>&amp;RСтраница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L171"/>
  <sheetViews>
    <sheetView view="pageBreakPreview" zoomScale="85" workbookViewId="0">
      <selection activeCell="G102" sqref="G102"/>
    </sheetView>
  </sheetViews>
  <sheetFormatPr defaultRowHeight="12.75" x14ac:dyDescent="0.2"/>
  <cols>
    <col min="1" max="1" width="6.7109375" style="130" customWidth="1"/>
    <col min="2" max="2" width="28.7109375" style="129" customWidth="1"/>
    <col min="3" max="3" width="30" style="129" customWidth="1"/>
    <col min="4" max="4" width="26" style="129" customWidth="1"/>
    <col min="5" max="5" width="15.42578125" style="129" customWidth="1"/>
    <col min="6" max="6" width="9.140625" style="129" hidden="1" customWidth="1"/>
    <col min="7" max="254" width="9.140625" style="129"/>
    <col min="255" max="255" width="4.42578125" style="129" customWidth="1"/>
    <col min="256" max="256" width="34.28515625" style="129" customWidth="1"/>
    <col min="257" max="257" width="10.42578125" style="129" customWidth="1"/>
    <col min="258" max="258" width="6.5703125" style="129" customWidth="1"/>
    <col min="259" max="259" width="7.7109375" style="129" customWidth="1"/>
    <col min="260" max="260" width="17.5703125" style="129" customWidth="1"/>
    <col min="261" max="261" width="10.85546875" style="129" bestFit="1" customWidth="1"/>
    <col min="262" max="510" width="9.140625" style="129"/>
    <col min="511" max="511" width="4.42578125" style="129" customWidth="1"/>
    <col min="512" max="512" width="34.28515625" style="129" customWidth="1"/>
    <col min="513" max="513" width="10.42578125" style="129" customWidth="1"/>
    <col min="514" max="514" width="6.5703125" style="129" customWidth="1"/>
    <col min="515" max="515" width="7.7109375" style="129" customWidth="1"/>
    <col min="516" max="516" width="17.5703125" style="129" customWidth="1"/>
    <col min="517" max="517" width="10.85546875" style="129" bestFit="1" customWidth="1"/>
    <col min="518" max="766" width="9.140625" style="129"/>
    <col min="767" max="767" width="4.42578125" style="129" customWidth="1"/>
    <col min="768" max="768" width="34.28515625" style="129" customWidth="1"/>
    <col min="769" max="769" width="10.42578125" style="129" customWidth="1"/>
    <col min="770" max="770" width="6.5703125" style="129" customWidth="1"/>
    <col min="771" max="771" width="7.7109375" style="129" customWidth="1"/>
    <col min="772" max="772" width="17.5703125" style="129" customWidth="1"/>
    <col min="773" max="773" width="10.85546875" style="129" bestFit="1" customWidth="1"/>
    <col min="774" max="1022" width="9.140625" style="129"/>
    <col min="1023" max="1023" width="4.42578125" style="129" customWidth="1"/>
    <col min="1024" max="1024" width="34.28515625" style="129" customWidth="1"/>
    <col min="1025" max="1025" width="10.42578125" style="129" customWidth="1"/>
    <col min="1026" max="1026" width="6.5703125" style="129" customWidth="1"/>
    <col min="1027" max="1027" width="7.7109375" style="129" customWidth="1"/>
    <col min="1028" max="1028" width="17.5703125" style="129" customWidth="1"/>
    <col min="1029" max="1029" width="10.85546875" style="129" bestFit="1" customWidth="1"/>
    <col min="1030" max="1278" width="9.140625" style="129"/>
    <col min="1279" max="1279" width="4.42578125" style="129" customWidth="1"/>
    <col min="1280" max="1280" width="34.28515625" style="129" customWidth="1"/>
    <col min="1281" max="1281" width="10.42578125" style="129" customWidth="1"/>
    <col min="1282" max="1282" width="6.5703125" style="129" customWidth="1"/>
    <col min="1283" max="1283" width="7.7109375" style="129" customWidth="1"/>
    <col min="1284" max="1284" width="17.5703125" style="129" customWidth="1"/>
    <col min="1285" max="1285" width="10.85546875" style="129" bestFit="1" customWidth="1"/>
    <col min="1286" max="1534" width="9.140625" style="129"/>
    <col min="1535" max="1535" width="4.42578125" style="129" customWidth="1"/>
    <col min="1536" max="1536" width="34.28515625" style="129" customWidth="1"/>
    <col min="1537" max="1537" width="10.42578125" style="129" customWidth="1"/>
    <col min="1538" max="1538" width="6.5703125" style="129" customWidth="1"/>
    <col min="1539" max="1539" width="7.7109375" style="129" customWidth="1"/>
    <col min="1540" max="1540" width="17.5703125" style="129" customWidth="1"/>
    <col min="1541" max="1541" width="10.85546875" style="129" bestFit="1" customWidth="1"/>
    <col min="1542" max="1790" width="9.140625" style="129"/>
    <col min="1791" max="1791" width="4.42578125" style="129" customWidth="1"/>
    <col min="1792" max="1792" width="34.28515625" style="129" customWidth="1"/>
    <col min="1793" max="1793" width="10.42578125" style="129" customWidth="1"/>
    <col min="1794" max="1794" width="6.5703125" style="129" customWidth="1"/>
    <col min="1795" max="1795" width="7.7109375" style="129" customWidth="1"/>
    <col min="1796" max="1796" width="17.5703125" style="129" customWidth="1"/>
    <col min="1797" max="1797" width="10.85546875" style="129" bestFit="1" customWidth="1"/>
    <col min="1798" max="2046" width="9.140625" style="129"/>
    <col min="2047" max="2047" width="4.42578125" style="129" customWidth="1"/>
    <col min="2048" max="2048" width="34.28515625" style="129" customWidth="1"/>
    <col min="2049" max="2049" width="10.42578125" style="129" customWidth="1"/>
    <col min="2050" max="2050" width="6.5703125" style="129" customWidth="1"/>
    <col min="2051" max="2051" width="7.7109375" style="129" customWidth="1"/>
    <col min="2052" max="2052" width="17.5703125" style="129" customWidth="1"/>
    <col min="2053" max="2053" width="10.85546875" style="129" bestFit="1" customWidth="1"/>
    <col min="2054" max="2302" width="9.140625" style="129"/>
    <col min="2303" max="2303" width="4.42578125" style="129" customWidth="1"/>
    <col min="2304" max="2304" width="34.28515625" style="129" customWidth="1"/>
    <col min="2305" max="2305" width="10.42578125" style="129" customWidth="1"/>
    <col min="2306" max="2306" width="6.5703125" style="129" customWidth="1"/>
    <col min="2307" max="2307" width="7.7109375" style="129" customWidth="1"/>
    <col min="2308" max="2308" width="17.5703125" style="129" customWidth="1"/>
    <col min="2309" max="2309" width="10.85546875" style="129" bestFit="1" customWidth="1"/>
    <col min="2310" max="2558" width="9.140625" style="129"/>
    <col min="2559" max="2559" width="4.42578125" style="129" customWidth="1"/>
    <col min="2560" max="2560" width="34.28515625" style="129" customWidth="1"/>
    <col min="2561" max="2561" width="10.42578125" style="129" customWidth="1"/>
    <col min="2562" max="2562" width="6.5703125" style="129" customWidth="1"/>
    <col min="2563" max="2563" width="7.7109375" style="129" customWidth="1"/>
    <col min="2564" max="2564" width="17.5703125" style="129" customWidth="1"/>
    <col min="2565" max="2565" width="10.85546875" style="129" bestFit="1" customWidth="1"/>
    <col min="2566" max="2814" width="9.140625" style="129"/>
    <col min="2815" max="2815" width="4.42578125" style="129" customWidth="1"/>
    <col min="2816" max="2816" width="34.28515625" style="129" customWidth="1"/>
    <col min="2817" max="2817" width="10.42578125" style="129" customWidth="1"/>
    <col min="2818" max="2818" width="6.5703125" style="129" customWidth="1"/>
    <col min="2819" max="2819" width="7.7109375" style="129" customWidth="1"/>
    <col min="2820" max="2820" width="17.5703125" style="129" customWidth="1"/>
    <col min="2821" max="2821" width="10.85546875" style="129" bestFit="1" customWidth="1"/>
    <col min="2822" max="3070" width="9.140625" style="129"/>
    <col min="3071" max="3071" width="4.42578125" style="129" customWidth="1"/>
    <col min="3072" max="3072" width="34.28515625" style="129" customWidth="1"/>
    <col min="3073" max="3073" width="10.42578125" style="129" customWidth="1"/>
    <col min="3074" max="3074" width="6.5703125" style="129" customWidth="1"/>
    <col min="3075" max="3075" width="7.7109375" style="129" customWidth="1"/>
    <col min="3076" max="3076" width="17.5703125" style="129" customWidth="1"/>
    <col min="3077" max="3077" width="10.85546875" style="129" bestFit="1" customWidth="1"/>
    <col min="3078" max="3326" width="9.140625" style="129"/>
    <col min="3327" max="3327" width="4.42578125" style="129" customWidth="1"/>
    <col min="3328" max="3328" width="34.28515625" style="129" customWidth="1"/>
    <col min="3329" max="3329" width="10.42578125" style="129" customWidth="1"/>
    <col min="3330" max="3330" width="6.5703125" style="129" customWidth="1"/>
    <col min="3331" max="3331" width="7.7109375" style="129" customWidth="1"/>
    <col min="3332" max="3332" width="17.5703125" style="129" customWidth="1"/>
    <col min="3333" max="3333" width="10.85546875" style="129" bestFit="1" customWidth="1"/>
    <col min="3334" max="3582" width="9.140625" style="129"/>
    <col min="3583" max="3583" width="4.42578125" style="129" customWidth="1"/>
    <col min="3584" max="3584" width="34.28515625" style="129" customWidth="1"/>
    <col min="3585" max="3585" width="10.42578125" style="129" customWidth="1"/>
    <col min="3586" max="3586" width="6.5703125" style="129" customWidth="1"/>
    <col min="3587" max="3587" width="7.7109375" style="129" customWidth="1"/>
    <col min="3588" max="3588" width="17.5703125" style="129" customWidth="1"/>
    <col min="3589" max="3589" width="10.85546875" style="129" bestFit="1" customWidth="1"/>
    <col min="3590" max="3838" width="9.140625" style="129"/>
    <col min="3839" max="3839" width="4.42578125" style="129" customWidth="1"/>
    <col min="3840" max="3840" width="34.28515625" style="129" customWidth="1"/>
    <col min="3841" max="3841" width="10.42578125" style="129" customWidth="1"/>
    <col min="3842" max="3842" width="6.5703125" style="129" customWidth="1"/>
    <col min="3843" max="3843" width="7.7109375" style="129" customWidth="1"/>
    <col min="3844" max="3844" width="17.5703125" style="129" customWidth="1"/>
    <col min="3845" max="3845" width="10.85546875" style="129" bestFit="1" customWidth="1"/>
    <col min="3846" max="4094" width="9.140625" style="129"/>
    <col min="4095" max="4095" width="4.42578125" style="129" customWidth="1"/>
    <col min="4096" max="4096" width="34.28515625" style="129" customWidth="1"/>
    <col min="4097" max="4097" width="10.42578125" style="129" customWidth="1"/>
    <col min="4098" max="4098" width="6.5703125" style="129" customWidth="1"/>
    <col min="4099" max="4099" width="7.7109375" style="129" customWidth="1"/>
    <col min="4100" max="4100" width="17.5703125" style="129" customWidth="1"/>
    <col min="4101" max="4101" width="10.85546875" style="129" bestFit="1" customWidth="1"/>
    <col min="4102" max="4350" width="9.140625" style="129"/>
    <col min="4351" max="4351" width="4.42578125" style="129" customWidth="1"/>
    <col min="4352" max="4352" width="34.28515625" style="129" customWidth="1"/>
    <col min="4353" max="4353" width="10.42578125" style="129" customWidth="1"/>
    <col min="4354" max="4354" width="6.5703125" style="129" customWidth="1"/>
    <col min="4355" max="4355" width="7.7109375" style="129" customWidth="1"/>
    <col min="4356" max="4356" width="17.5703125" style="129" customWidth="1"/>
    <col min="4357" max="4357" width="10.85546875" style="129" bestFit="1" customWidth="1"/>
    <col min="4358" max="4606" width="9.140625" style="129"/>
    <col min="4607" max="4607" width="4.42578125" style="129" customWidth="1"/>
    <col min="4608" max="4608" width="34.28515625" style="129" customWidth="1"/>
    <col min="4609" max="4609" width="10.42578125" style="129" customWidth="1"/>
    <col min="4610" max="4610" width="6.5703125" style="129" customWidth="1"/>
    <col min="4611" max="4611" width="7.7109375" style="129" customWidth="1"/>
    <col min="4612" max="4612" width="17.5703125" style="129" customWidth="1"/>
    <col min="4613" max="4613" width="10.85546875" style="129" bestFit="1" customWidth="1"/>
    <col min="4614" max="4862" width="9.140625" style="129"/>
    <col min="4863" max="4863" width="4.42578125" style="129" customWidth="1"/>
    <col min="4864" max="4864" width="34.28515625" style="129" customWidth="1"/>
    <col min="4865" max="4865" width="10.42578125" style="129" customWidth="1"/>
    <col min="4866" max="4866" width="6.5703125" style="129" customWidth="1"/>
    <col min="4867" max="4867" width="7.7109375" style="129" customWidth="1"/>
    <col min="4868" max="4868" width="17.5703125" style="129" customWidth="1"/>
    <col min="4869" max="4869" width="10.85546875" style="129" bestFit="1" customWidth="1"/>
    <col min="4870" max="5118" width="9.140625" style="129"/>
    <col min="5119" max="5119" width="4.42578125" style="129" customWidth="1"/>
    <col min="5120" max="5120" width="34.28515625" style="129" customWidth="1"/>
    <col min="5121" max="5121" width="10.42578125" style="129" customWidth="1"/>
    <col min="5122" max="5122" width="6.5703125" style="129" customWidth="1"/>
    <col min="5123" max="5123" width="7.7109375" style="129" customWidth="1"/>
    <col min="5124" max="5124" width="17.5703125" style="129" customWidth="1"/>
    <col min="5125" max="5125" width="10.85546875" style="129" bestFit="1" customWidth="1"/>
    <col min="5126" max="5374" width="9.140625" style="129"/>
    <col min="5375" max="5375" width="4.42578125" style="129" customWidth="1"/>
    <col min="5376" max="5376" width="34.28515625" style="129" customWidth="1"/>
    <col min="5377" max="5377" width="10.42578125" style="129" customWidth="1"/>
    <col min="5378" max="5378" width="6.5703125" style="129" customWidth="1"/>
    <col min="5379" max="5379" width="7.7109375" style="129" customWidth="1"/>
    <col min="5380" max="5380" width="17.5703125" style="129" customWidth="1"/>
    <col min="5381" max="5381" width="10.85546875" style="129" bestFit="1" customWidth="1"/>
    <col min="5382" max="5630" width="9.140625" style="129"/>
    <col min="5631" max="5631" width="4.42578125" style="129" customWidth="1"/>
    <col min="5632" max="5632" width="34.28515625" style="129" customWidth="1"/>
    <col min="5633" max="5633" width="10.42578125" style="129" customWidth="1"/>
    <col min="5634" max="5634" width="6.5703125" style="129" customWidth="1"/>
    <col min="5635" max="5635" width="7.7109375" style="129" customWidth="1"/>
    <col min="5636" max="5636" width="17.5703125" style="129" customWidth="1"/>
    <col min="5637" max="5637" width="10.85546875" style="129" bestFit="1" customWidth="1"/>
    <col min="5638" max="5886" width="9.140625" style="129"/>
    <col min="5887" max="5887" width="4.42578125" style="129" customWidth="1"/>
    <col min="5888" max="5888" width="34.28515625" style="129" customWidth="1"/>
    <col min="5889" max="5889" width="10.42578125" style="129" customWidth="1"/>
    <col min="5890" max="5890" width="6.5703125" style="129" customWidth="1"/>
    <col min="5891" max="5891" width="7.7109375" style="129" customWidth="1"/>
    <col min="5892" max="5892" width="17.5703125" style="129" customWidth="1"/>
    <col min="5893" max="5893" width="10.85546875" style="129" bestFit="1" customWidth="1"/>
    <col min="5894" max="6142" width="9.140625" style="129"/>
    <col min="6143" max="6143" width="4.42578125" style="129" customWidth="1"/>
    <col min="6144" max="6144" width="34.28515625" style="129" customWidth="1"/>
    <col min="6145" max="6145" width="10.42578125" style="129" customWidth="1"/>
    <col min="6146" max="6146" width="6.5703125" style="129" customWidth="1"/>
    <col min="6147" max="6147" width="7.7109375" style="129" customWidth="1"/>
    <col min="6148" max="6148" width="17.5703125" style="129" customWidth="1"/>
    <col min="6149" max="6149" width="10.85546875" style="129" bestFit="1" customWidth="1"/>
    <col min="6150" max="6398" width="9.140625" style="129"/>
    <col min="6399" max="6399" width="4.42578125" style="129" customWidth="1"/>
    <col min="6400" max="6400" width="34.28515625" style="129" customWidth="1"/>
    <col min="6401" max="6401" width="10.42578125" style="129" customWidth="1"/>
    <col min="6402" max="6402" width="6.5703125" style="129" customWidth="1"/>
    <col min="6403" max="6403" width="7.7109375" style="129" customWidth="1"/>
    <col min="6404" max="6404" width="17.5703125" style="129" customWidth="1"/>
    <col min="6405" max="6405" width="10.85546875" style="129" bestFit="1" customWidth="1"/>
    <col min="6406" max="6654" width="9.140625" style="129"/>
    <col min="6655" max="6655" width="4.42578125" style="129" customWidth="1"/>
    <col min="6656" max="6656" width="34.28515625" style="129" customWidth="1"/>
    <col min="6657" max="6657" width="10.42578125" style="129" customWidth="1"/>
    <col min="6658" max="6658" width="6.5703125" style="129" customWidth="1"/>
    <col min="6659" max="6659" width="7.7109375" style="129" customWidth="1"/>
    <col min="6660" max="6660" width="17.5703125" style="129" customWidth="1"/>
    <col min="6661" max="6661" width="10.85546875" style="129" bestFit="1" customWidth="1"/>
    <col min="6662" max="6910" width="9.140625" style="129"/>
    <col min="6911" max="6911" width="4.42578125" style="129" customWidth="1"/>
    <col min="6912" max="6912" width="34.28515625" style="129" customWidth="1"/>
    <col min="6913" max="6913" width="10.42578125" style="129" customWidth="1"/>
    <col min="6914" max="6914" width="6.5703125" style="129" customWidth="1"/>
    <col min="6915" max="6915" width="7.7109375" style="129" customWidth="1"/>
    <col min="6916" max="6916" width="17.5703125" style="129" customWidth="1"/>
    <col min="6917" max="6917" width="10.85546875" style="129" bestFit="1" customWidth="1"/>
    <col min="6918" max="7166" width="9.140625" style="129"/>
    <col min="7167" max="7167" width="4.42578125" style="129" customWidth="1"/>
    <col min="7168" max="7168" width="34.28515625" style="129" customWidth="1"/>
    <col min="7169" max="7169" width="10.42578125" style="129" customWidth="1"/>
    <col min="7170" max="7170" width="6.5703125" style="129" customWidth="1"/>
    <col min="7171" max="7171" width="7.7109375" style="129" customWidth="1"/>
    <col min="7172" max="7172" width="17.5703125" style="129" customWidth="1"/>
    <col min="7173" max="7173" width="10.85546875" style="129" bestFit="1" customWidth="1"/>
    <col min="7174" max="7422" width="9.140625" style="129"/>
    <col min="7423" max="7423" width="4.42578125" style="129" customWidth="1"/>
    <col min="7424" max="7424" width="34.28515625" style="129" customWidth="1"/>
    <col min="7425" max="7425" width="10.42578125" style="129" customWidth="1"/>
    <col min="7426" max="7426" width="6.5703125" style="129" customWidth="1"/>
    <col min="7427" max="7427" width="7.7109375" style="129" customWidth="1"/>
    <col min="7428" max="7428" width="17.5703125" style="129" customWidth="1"/>
    <col min="7429" max="7429" width="10.85546875" style="129" bestFit="1" customWidth="1"/>
    <col min="7430" max="7678" width="9.140625" style="129"/>
    <col min="7679" max="7679" width="4.42578125" style="129" customWidth="1"/>
    <col min="7680" max="7680" width="34.28515625" style="129" customWidth="1"/>
    <col min="7681" max="7681" width="10.42578125" style="129" customWidth="1"/>
    <col min="7682" max="7682" width="6.5703125" style="129" customWidth="1"/>
    <col min="7683" max="7683" width="7.7109375" style="129" customWidth="1"/>
    <col min="7684" max="7684" width="17.5703125" style="129" customWidth="1"/>
    <col min="7685" max="7685" width="10.85546875" style="129" bestFit="1" customWidth="1"/>
    <col min="7686" max="7934" width="9.140625" style="129"/>
    <col min="7935" max="7935" width="4.42578125" style="129" customWidth="1"/>
    <col min="7936" max="7936" width="34.28515625" style="129" customWidth="1"/>
    <col min="7937" max="7937" width="10.42578125" style="129" customWidth="1"/>
    <col min="7938" max="7938" width="6.5703125" style="129" customWidth="1"/>
    <col min="7939" max="7939" width="7.7109375" style="129" customWidth="1"/>
    <col min="7940" max="7940" width="17.5703125" style="129" customWidth="1"/>
    <col min="7941" max="7941" width="10.85546875" style="129" bestFit="1" customWidth="1"/>
    <col min="7942" max="8190" width="9.140625" style="129"/>
    <col min="8191" max="8191" width="4.42578125" style="129" customWidth="1"/>
    <col min="8192" max="8192" width="34.28515625" style="129" customWidth="1"/>
    <col min="8193" max="8193" width="10.42578125" style="129" customWidth="1"/>
    <col min="8194" max="8194" width="6.5703125" style="129" customWidth="1"/>
    <col min="8195" max="8195" width="7.7109375" style="129" customWidth="1"/>
    <col min="8196" max="8196" width="17.5703125" style="129" customWidth="1"/>
    <col min="8197" max="8197" width="10.85546875" style="129" bestFit="1" customWidth="1"/>
    <col min="8198" max="8446" width="9.140625" style="129"/>
    <col min="8447" max="8447" width="4.42578125" style="129" customWidth="1"/>
    <col min="8448" max="8448" width="34.28515625" style="129" customWidth="1"/>
    <col min="8449" max="8449" width="10.42578125" style="129" customWidth="1"/>
    <col min="8450" max="8450" width="6.5703125" style="129" customWidth="1"/>
    <col min="8451" max="8451" width="7.7109375" style="129" customWidth="1"/>
    <col min="8452" max="8452" width="17.5703125" style="129" customWidth="1"/>
    <col min="8453" max="8453" width="10.85546875" style="129" bestFit="1" customWidth="1"/>
    <col min="8454" max="8702" width="9.140625" style="129"/>
    <col min="8703" max="8703" width="4.42578125" style="129" customWidth="1"/>
    <col min="8704" max="8704" width="34.28515625" style="129" customWidth="1"/>
    <col min="8705" max="8705" width="10.42578125" style="129" customWidth="1"/>
    <col min="8706" max="8706" width="6.5703125" style="129" customWidth="1"/>
    <col min="8707" max="8707" width="7.7109375" style="129" customWidth="1"/>
    <col min="8708" max="8708" width="17.5703125" style="129" customWidth="1"/>
    <col min="8709" max="8709" width="10.85546875" style="129" bestFit="1" customWidth="1"/>
    <col min="8710" max="8958" width="9.140625" style="129"/>
    <col min="8959" max="8959" width="4.42578125" style="129" customWidth="1"/>
    <col min="8960" max="8960" width="34.28515625" style="129" customWidth="1"/>
    <col min="8961" max="8961" width="10.42578125" style="129" customWidth="1"/>
    <col min="8962" max="8962" width="6.5703125" style="129" customWidth="1"/>
    <col min="8963" max="8963" width="7.7109375" style="129" customWidth="1"/>
    <col min="8964" max="8964" width="17.5703125" style="129" customWidth="1"/>
    <col min="8965" max="8965" width="10.85546875" style="129" bestFit="1" customWidth="1"/>
    <col min="8966" max="9214" width="9.140625" style="129"/>
    <col min="9215" max="9215" width="4.42578125" style="129" customWidth="1"/>
    <col min="9216" max="9216" width="34.28515625" style="129" customWidth="1"/>
    <col min="9217" max="9217" width="10.42578125" style="129" customWidth="1"/>
    <col min="9218" max="9218" width="6.5703125" style="129" customWidth="1"/>
    <col min="9219" max="9219" width="7.7109375" style="129" customWidth="1"/>
    <col min="9220" max="9220" width="17.5703125" style="129" customWidth="1"/>
    <col min="9221" max="9221" width="10.85546875" style="129" bestFit="1" customWidth="1"/>
    <col min="9222" max="9470" width="9.140625" style="129"/>
    <col min="9471" max="9471" width="4.42578125" style="129" customWidth="1"/>
    <col min="9472" max="9472" width="34.28515625" style="129" customWidth="1"/>
    <col min="9473" max="9473" width="10.42578125" style="129" customWidth="1"/>
    <col min="9474" max="9474" width="6.5703125" style="129" customWidth="1"/>
    <col min="9475" max="9475" width="7.7109375" style="129" customWidth="1"/>
    <col min="9476" max="9476" width="17.5703125" style="129" customWidth="1"/>
    <col min="9477" max="9477" width="10.85546875" style="129" bestFit="1" customWidth="1"/>
    <col min="9478" max="9726" width="9.140625" style="129"/>
    <col min="9727" max="9727" width="4.42578125" style="129" customWidth="1"/>
    <col min="9728" max="9728" width="34.28515625" style="129" customWidth="1"/>
    <col min="9729" max="9729" width="10.42578125" style="129" customWidth="1"/>
    <col min="9730" max="9730" width="6.5703125" style="129" customWidth="1"/>
    <col min="9731" max="9731" width="7.7109375" style="129" customWidth="1"/>
    <col min="9732" max="9732" width="17.5703125" style="129" customWidth="1"/>
    <col min="9733" max="9733" width="10.85546875" style="129" bestFit="1" customWidth="1"/>
    <col min="9734" max="9982" width="9.140625" style="129"/>
    <col min="9983" max="9983" width="4.42578125" style="129" customWidth="1"/>
    <col min="9984" max="9984" width="34.28515625" style="129" customWidth="1"/>
    <col min="9985" max="9985" width="10.42578125" style="129" customWidth="1"/>
    <col min="9986" max="9986" width="6.5703125" style="129" customWidth="1"/>
    <col min="9987" max="9987" width="7.7109375" style="129" customWidth="1"/>
    <col min="9988" max="9988" width="17.5703125" style="129" customWidth="1"/>
    <col min="9989" max="9989" width="10.85546875" style="129" bestFit="1" customWidth="1"/>
    <col min="9990" max="10238" width="9.140625" style="129"/>
    <col min="10239" max="10239" width="4.42578125" style="129" customWidth="1"/>
    <col min="10240" max="10240" width="34.28515625" style="129" customWidth="1"/>
    <col min="10241" max="10241" width="10.42578125" style="129" customWidth="1"/>
    <col min="10242" max="10242" width="6.5703125" style="129" customWidth="1"/>
    <col min="10243" max="10243" width="7.7109375" style="129" customWidth="1"/>
    <col min="10244" max="10244" width="17.5703125" style="129" customWidth="1"/>
    <col min="10245" max="10245" width="10.85546875" style="129" bestFit="1" customWidth="1"/>
    <col min="10246" max="10494" width="9.140625" style="129"/>
    <col min="10495" max="10495" width="4.42578125" style="129" customWidth="1"/>
    <col min="10496" max="10496" width="34.28515625" style="129" customWidth="1"/>
    <col min="10497" max="10497" width="10.42578125" style="129" customWidth="1"/>
    <col min="10498" max="10498" width="6.5703125" style="129" customWidth="1"/>
    <col min="10499" max="10499" width="7.7109375" style="129" customWidth="1"/>
    <col min="10500" max="10500" width="17.5703125" style="129" customWidth="1"/>
    <col min="10501" max="10501" width="10.85546875" style="129" bestFit="1" customWidth="1"/>
    <col min="10502" max="10750" width="9.140625" style="129"/>
    <col min="10751" max="10751" width="4.42578125" style="129" customWidth="1"/>
    <col min="10752" max="10752" width="34.28515625" style="129" customWidth="1"/>
    <col min="10753" max="10753" width="10.42578125" style="129" customWidth="1"/>
    <col min="10754" max="10754" width="6.5703125" style="129" customWidth="1"/>
    <col min="10755" max="10755" width="7.7109375" style="129" customWidth="1"/>
    <col min="10756" max="10756" width="17.5703125" style="129" customWidth="1"/>
    <col min="10757" max="10757" width="10.85546875" style="129" bestFit="1" customWidth="1"/>
    <col min="10758" max="11006" width="9.140625" style="129"/>
    <col min="11007" max="11007" width="4.42578125" style="129" customWidth="1"/>
    <col min="11008" max="11008" width="34.28515625" style="129" customWidth="1"/>
    <col min="11009" max="11009" width="10.42578125" style="129" customWidth="1"/>
    <col min="11010" max="11010" width="6.5703125" style="129" customWidth="1"/>
    <col min="11011" max="11011" width="7.7109375" style="129" customWidth="1"/>
    <col min="11012" max="11012" width="17.5703125" style="129" customWidth="1"/>
    <col min="11013" max="11013" width="10.85546875" style="129" bestFit="1" customWidth="1"/>
    <col min="11014" max="11262" width="9.140625" style="129"/>
    <col min="11263" max="11263" width="4.42578125" style="129" customWidth="1"/>
    <col min="11264" max="11264" width="34.28515625" style="129" customWidth="1"/>
    <col min="11265" max="11265" width="10.42578125" style="129" customWidth="1"/>
    <col min="11266" max="11266" width="6.5703125" style="129" customWidth="1"/>
    <col min="11267" max="11267" width="7.7109375" style="129" customWidth="1"/>
    <col min="11268" max="11268" width="17.5703125" style="129" customWidth="1"/>
    <col min="11269" max="11269" width="10.85546875" style="129" bestFit="1" customWidth="1"/>
    <col min="11270" max="11518" width="9.140625" style="129"/>
    <col min="11519" max="11519" width="4.42578125" style="129" customWidth="1"/>
    <col min="11520" max="11520" width="34.28515625" style="129" customWidth="1"/>
    <col min="11521" max="11521" width="10.42578125" style="129" customWidth="1"/>
    <col min="11522" max="11522" width="6.5703125" style="129" customWidth="1"/>
    <col min="11523" max="11523" width="7.7109375" style="129" customWidth="1"/>
    <col min="11524" max="11524" width="17.5703125" style="129" customWidth="1"/>
    <col min="11525" max="11525" width="10.85546875" style="129" bestFit="1" customWidth="1"/>
    <col min="11526" max="11774" width="9.140625" style="129"/>
    <col min="11775" max="11775" width="4.42578125" style="129" customWidth="1"/>
    <col min="11776" max="11776" width="34.28515625" style="129" customWidth="1"/>
    <col min="11777" max="11777" width="10.42578125" style="129" customWidth="1"/>
    <col min="11778" max="11778" width="6.5703125" style="129" customWidth="1"/>
    <col min="11779" max="11779" width="7.7109375" style="129" customWidth="1"/>
    <col min="11780" max="11780" width="17.5703125" style="129" customWidth="1"/>
    <col min="11781" max="11781" width="10.85546875" style="129" bestFit="1" customWidth="1"/>
    <col min="11782" max="12030" width="9.140625" style="129"/>
    <col min="12031" max="12031" width="4.42578125" style="129" customWidth="1"/>
    <col min="12032" max="12032" width="34.28515625" style="129" customWidth="1"/>
    <col min="12033" max="12033" width="10.42578125" style="129" customWidth="1"/>
    <col min="12034" max="12034" width="6.5703125" style="129" customWidth="1"/>
    <col min="12035" max="12035" width="7.7109375" style="129" customWidth="1"/>
    <col min="12036" max="12036" width="17.5703125" style="129" customWidth="1"/>
    <col min="12037" max="12037" width="10.85546875" style="129" bestFit="1" customWidth="1"/>
    <col min="12038" max="12286" width="9.140625" style="129"/>
    <col min="12287" max="12287" width="4.42578125" style="129" customWidth="1"/>
    <col min="12288" max="12288" width="34.28515625" style="129" customWidth="1"/>
    <col min="12289" max="12289" width="10.42578125" style="129" customWidth="1"/>
    <col min="12290" max="12290" width="6.5703125" style="129" customWidth="1"/>
    <col min="12291" max="12291" width="7.7109375" style="129" customWidth="1"/>
    <col min="12292" max="12292" width="17.5703125" style="129" customWidth="1"/>
    <col min="12293" max="12293" width="10.85546875" style="129" bestFit="1" customWidth="1"/>
    <col min="12294" max="12542" width="9.140625" style="129"/>
    <col min="12543" max="12543" width="4.42578125" style="129" customWidth="1"/>
    <col min="12544" max="12544" width="34.28515625" style="129" customWidth="1"/>
    <col min="12545" max="12545" width="10.42578125" style="129" customWidth="1"/>
    <col min="12546" max="12546" width="6.5703125" style="129" customWidth="1"/>
    <col min="12547" max="12547" width="7.7109375" style="129" customWidth="1"/>
    <col min="12548" max="12548" width="17.5703125" style="129" customWidth="1"/>
    <col min="12549" max="12549" width="10.85546875" style="129" bestFit="1" customWidth="1"/>
    <col min="12550" max="12798" width="9.140625" style="129"/>
    <col min="12799" max="12799" width="4.42578125" style="129" customWidth="1"/>
    <col min="12800" max="12800" width="34.28515625" style="129" customWidth="1"/>
    <col min="12801" max="12801" width="10.42578125" style="129" customWidth="1"/>
    <col min="12802" max="12802" width="6.5703125" style="129" customWidth="1"/>
    <col min="12803" max="12803" width="7.7109375" style="129" customWidth="1"/>
    <col min="12804" max="12804" width="17.5703125" style="129" customWidth="1"/>
    <col min="12805" max="12805" width="10.85546875" style="129" bestFit="1" customWidth="1"/>
    <col min="12806" max="13054" width="9.140625" style="129"/>
    <col min="13055" max="13055" width="4.42578125" style="129" customWidth="1"/>
    <col min="13056" max="13056" width="34.28515625" style="129" customWidth="1"/>
    <col min="13057" max="13057" width="10.42578125" style="129" customWidth="1"/>
    <col min="13058" max="13058" width="6.5703125" style="129" customWidth="1"/>
    <col min="13059" max="13059" width="7.7109375" style="129" customWidth="1"/>
    <col min="13060" max="13060" width="17.5703125" style="129" customWidth="1"/>
    <col min="13061" max="13061" width="10.85546875" style="129" bestFit="1" customWidth="1"/>
    <col min="13062" max="13310" width="9.140625" style="129"/>
    <col min="13311" max="13311" width="4.42578125" style="129" customWidth="1"/>
    <col min="13312" max="13312" width="34.28515625" style="129" customWidth="1"/>
    <col min="13313" max="13313" width="10.42578125" style="129" customWidth="1"/>
    <col min="13314" max="13314" width="6.5703125" style="129" customWidth="1"/>
    <col min="13315" max="13315" width="7.7109375" style="129" customWidth="1"/>
    <col min="13316" max="13316" width="17.5703125" style="129" customWidth="1"/>
    <col min="13317" max="13317" width="10.85546875" style="129" bestFit="1" customWidth="1"/>
    <col min="13318" max="13566" width="9.140625" style="129"/>
    <col min="13567" max="13567" width="4.42578125" style="129" customWidth="1"/>
    <col min="13568" max="13568" width="34.28515625" style="129" customWidth="1"/>
    <col min="13569" max="13569" width="10.42578125" style="129" customWidth="1"/>
    <col min="13570" max="13570" width="6.5703125" style="129" customWidth="1"/>
    <col min="13571" max="13571" width="7.7109375" style="129" customWidth="1"/>
    <col min="13572" max="13572" width="17.5703125" style="129" customWidth="1"/>
    <col min="13573" max="13573" width="10.85546875" style="129" bestFit="1" customWidth="1"/>
    <col min="13574" max="13822" width="9.140625" style="129"/>
    <col min="13823" max="13823" width="4.42578125" style="129" customWidth="1"/>
    <col min="13824" max="13824" width="34.28515625" style="129" customWidth="1"/>
    <col min="13825" max="13825" width="10.42578125" style="129" customWidth="1"/>
    <col min="13826" max="13826" width="6.5703125" style="129" customWidth="1"/>
    <col min="13827" max="13827" width="7.7109375" style="129" customWidth="1"/>
    <col min="13828" max="13828" width="17.5703125" style="129" customWidth="1"/>
    <col min="13829" max="13829" width="10.85546875" style="129" bestFit="1" customWidth="1"/>
    <col min="13830" max="14078" width="9.140625" style="129"/>
    <col min="14079" max="14079" width="4.42578125" style="129" customWidth="1"/>
    <col min="14080" max="14080" width="34.28515625" style="129" customWidth="1"/>
    <col min="14081" max="14081" width="10.42578125" style="129" customWidth="1"/>
    <col min="14082" max="14082" width="6.5703125" style="129" customWidth="1"/>
    <col min="14083" max="14083" width="7.7109375" style="129" customWidth="1"/>
    <col min="14084" max="14084" width="17.5703125" style="129" customWidth="1"/>
    <col min="14085" max="14085" width="10.85546875" style="129" bestFit="1" customWidth="1"/>
    <col min="14086" max="14334" width="9.140625" style="129"/>
    <col min="14335" max="14335" width="4.42578125" style="129" customWidth="1"/>
    <col min="14336" max="14336" width="34.28515625" style="129" customWidth="1"/>
    <col min="14337" max="14337" width="10.42578125" style="129" customWidth="1"/>
    <col min="14338" max="14338" width="6.5703125" style="129" customWidth="1"/>
    <col min="14339" max="14339" width="7.7109375" style="129" customWidth="1"/>
    <col min="14340" max="14340" width="17.5703125" style="129" customWidth="1"/>
    <col min="14341" max="14341" width="10.85546875" style="129" bestFit="1" customWidth="1"/>
    <col min="14342" max="14590" width="9.140625" style="129"/>
    <col min="14591" max="14591" width="4.42578125" style="129" customWidth="1"/>
    <col min="14592" max="14592" width="34.28515625" style="129" customWidth="1"/>
    <col min="14593" max="14593" width="10.42578125" style="129" customWidth="1"/>
    <col min="14594" max="14594" width="6.5703125" style="129" customWidth="1"/>
    <col min="14595" max="14595" width="7.7109375" style="129" customWidth="1"/>
    <col min="14596" max="14596" width="17.5703125" style="129" customWidth="1"/>
    <col min="14597" max="14597" width="10.85546875" style="129" bestFit="1" customWidth="1"/>
    <col min="14598" max="14846" width="9.140625" style="129"/>
    <col min="14847" max="14847" width="4.42578125" style="129" customWidth="1"/>
    <col min="14848" max="14848" width="34.28515625" style="129" customWidth="1"/>
    <col min="14849" max="14849" width="10.42578125" style="129" customWidth="1"/>
    <col min="14850" max="14850" width="6.5703125" style="129" customWidth="1"/>
    <col min="14851" max="14851" width="7.7109375" style="129" customWidth="1"/>
    <col min="14852" max="14852" width="17.5703125" style="129" customWidth="1"/>
    <col min="14853" max="14853" width="10.85546875" style="129" bestFit="1" customWidth="1"/>
    <col min="14854" max="15102" width="9.140625" style="129"/>
    <col min="15103" max="15103" width="4.42578125" style="129" customWidth="1"/>
    <col min="15104" max="15104" width="34.28515625" style="129" customWidth="1"/>
    <col min="15105" max="15105" width="10.42578125" style="129" customWidth="1"/>
    <col min="15106" max="15106" width="6.5703125" style="129" customWidth="1"/>
    <col min="15107" max="15107" width="7.7109375" style="129" customWidth="1"/>
    <col min="15108" max="15108" width="17.5703125" style="129" customWidth="1"/>
    <col min="15109" max="15109" width="10.85546875" style="129" bestFit="1" customWidth="1"/>
    <col min="15110" max="15358" width="9.140625" style="129"/>
    <col min="15359" max="15359" width="4.42578125" style="129" customWidth="1"/>
    <col min="15360" max="15360" width="34.28515625" style="129" customWidth="1"/>
    <col min="15361" max="15361" width="10.42578125" style="129" customWidth="1"/>
    <col min="15362" max="15362" width="6.5703125" style="129" customWidth="1"/>
    <col min="15363" max="15363" width="7.7109375" style="129" customWidth="1"/>
    <col min="15364" max="15364" width="17.5703125" style="129" customWidth="1"/>
    <col min="15365" max="15365" width="10.85546875" style="129" bestFit="1" customWidth="1"/>
    <col min="15366" max="15614" width="9.140625" style="129"/>
    <col min="15615" max="15615" width="4.42578125" style="129" customWidth="1"/>
    <col min="15616" max="15616" width="34.28515625" style="129" customWidth="1"/>
    <col min="15617" max="15617" width="10.42578125" style="129" customWidth="1"/>
    <col min="15618" max="15618" width="6.5703125" style="129" customWidth="1"/>
    <col min="15619" max="15619" width="7.7109375" style="129" customWidth="1"/>
    <col min="15620" max="15620" width="17.5703125" style="129" customWidth="1"/>
    <col min="15621" max="15621" width="10.85546875" style="129" bestFit="1" customWidth="1"/>
    <col min="15622" max="15870" width="9.140625" style="129"/>
    <col min="15871" max="15871" width="4.42578125" style="129" customWidth="1"/>
    <col min="15872" max="15872" width="34.28515625" style="129" customWidth="1"/>
    <col min="15873" max="15873" width="10.42578125" style="129" customWidth="1"/>
    <col min="15874" max="15874" width="6.5703125" style="129" customWidth="1"/>
    <col min="15875" max="15875" width="7.7109375" style="129" customWidth="1"/>
    <col min="15876" max="15876" width="17.5703125" style="129" customWidth="1"/>
    <col min="15877" max="15877" width="10.85546875" style="129" bestFit="1" customWidth="1"/>
    <col min="15878" max="16126" width="9.140625" style="129"/>
    <col min="16127" max="16127" width="4.42578125" style="129" customWidth="1"/>
    <col min="16128" max="16128" width="34.28515625" style="129" customWidth="1"/>
    <col min="16129" max="16129" width="10.42578125" style="129" customWidth="1"/>
    <col min="16130" max="16130" width="6.5703125" style="129" customWidth="1"/>
    <col min="16131" max="16131" width="7.7109375" style="129" customWidth="1"/>
    <col min="16132" max="16132" width="17.5703125" style="129" customWidth="1"/>
    <col min="16133" max="16133" width="10.85546875" style="129" bestFit="1" customWidth="1"/>
    <col min="16134" max="16384" width="9.140625" style="129"/>
  </cols>
  <sheetData>
    <row r="1" spans="1:6" s="131" customFormat="1" ht="15.75" x14ac:dyDescent="0.25">
      <c r="A1" s="607" t="s">
        <v>380</v>
      </c>
      <c r="B1" s="607"/>
      <c r="C1" s="607"/>
      <c r="D1" s="607"/>
      <c r="E1" s="607"/>
    </row>
    <row r="2" spans="1:6" s="131" customFormat="1" ht="15.75" x14ac:dyDescent="0.25">
      <c r="A2" s="608" t="s">
        <v>381</v>
      </c>
      <c r="B2" s="608"/>
      <c r="C2" s="608"/>
      <c r="D2" s="608"/>
      <c r="E2" s="608"/>
    </row>
    <row r="3" spans="1:6" x14ac:dyDescent="0.2">
      <c r="A3" s="625"/>
      <c r="B3" s="625"/>
      <c r="C3" s="625"/>
      <c r="D3" s="625"/>
      <c r="E3" s="625"/>
    </row>
    <row r="4" spans="1:6" ht="12.75" customHeight="1" x14ac:dyDescent="0.2">
      <c r="A4" s="623" t="s">
        <v>382</v>
      </c>
      <c r="B4" s="623"/>
      <c r="C4" s="623"/>
      <c r="D4" s="623"/>
      <c r="E4" s="623"/>
    </row>
    <row r="5" spans="1:6" ht="15" customHeight="1" x14ac:dyDescent="0.2">
      <c r="A5" s="625" t="s">
        <v>383</v>
      </c>
      <c r="B5" s="625"/>
      <c r="C5" s="625"/>
      <c r="D5" s="625"/>
      <c r="E5" s="625"/>
    </row>
    <row r="6" spans="1:6" ht="12.75" customHeight="1" x14ac:dyDescent="0.2">
      <c r="A6" s="623" t="s">
        <v>384</v>
      </c>
      <c r="B6" s="623"/>
      <c r="C6" s="623"/>
      <c r="D6" s="623"/>
      <c r="E6" s="623"/>
    </row>
    <row r="7" spans="1:6" ht="12.75" customHeight="1" x14ac:dyDescent="0.2">
      <c r="A7" s="623" t="s">
        <v>385</v>
      </c>
      <c r="B7" s="623"/>
      <c r="C7" s="623"/>
      <c r="D7" s="623"/>
      <c r="E7" s="623"/>
    </row>
    <row r="8" spans="1:6" ht="12.75" customHeight="1" x14ac:dyDescent="0.2">
      <c r="A8" s="624"/>
      <c r="B8" s="624"/>
      <c r="C8" s="624"/>
      <c r="D8" s="624"/>
      <c r="E8" s="624"/>
    </row>
    <row r="9" spans="1:6" x14ac:dyDescent="0.2">
      <c r="A9" s="625"/>
      <c r="B9" s="625"/>
      <c r="C9" s="625"/>
      <c r="D9" s="625"/>
      <c r="E9" s="625"/>
    </row>
    <row r="10" spans="1:6" ht="72" customHeight="1" x14ac:dyDescent="0.2">
      <c r="A10" s="132" t="s">
        <v>386</v>
      </c>
      <c r="B10" s="132" t="s">
        <v>387</v>
      </c>
      <c r="C10" s="132" t="s">
        <v>388</v>
      </c>
      <c r="D10" s="132" t="s">
        <v>225</v>
      </c>
      <c r="E10" s="132" t="s">
        <v>389</v>
      </c>
      <c r="F10" s="133" t="s">
        <v>390</v>
      </c>
    </row>
    <row r="11" spans="1:6" x14ac:dyDescent="0.2">
      <c r="A11" s="132">
        <v>1</v>
      </c>
      <c r="B11" s="132">
        <v>2</v>
      </c>
      <c r="C11" s="132">
        <v>3</v>
      </c>
      <c r="D11" s="132">
        <v>4</v>
      </c>
      <c r="E11" s="132">
        <v>5</v>
      </c>
    </row>
    <row r="12" spans="1:6" ht="12.75" customHeight="1" x14ac:dyDescent="0.2">
      <c r="A12" s="132"/>
      <c r="B12" s="134" t="s">
        <v>391</v>
      </c>
      <c r="C12" s="134"/>
      <c r="D12" s="134"/>
      <c r="E12" s="134"/>
    </row>
    <row r="13" spans="1:6" s="135" customFormat="1" ht="48" x14ac:dyDescent="0.2">
      <c r="A13" s="136">
        <v>1</v>
      </c>
      <c r="B13" s="137" t="s">
        <v>392</v>
      </c>
      <c r="C13" s="138" t="s">
        <v>393</v>
      </c>
      <c r="D13" s="136" t="str">
        <f>"(15264+3608*"&amp;F13&amp;"га)*1.27"</f>
        <v>(15264+3608*13га)*1.27</v>
      </c>
      <c r="E13" s="139">
        <f>(15264+(3608*F13))*1.27</f>
        <v>78953.36</v>
      </c>
      <c r="F13" s="140">
        <v>13</v>
      </c>
    </row>
    <row r="14" spans="1:6" s="135" customFormat="1" ht="36" x14ac:dyDescent="0.2">
      <c r="A14" s="618">
        <f>A13+1</f>
        <v>2</v>
      </c>
      <c r="B14" s="142" t="s">
        <v>394</v>
      </c>
      <c r="C14" s="621" t="s">
        <v>395</v>
      </c>
      <c r="D14" s="142"/>
      <c r="E14" s="143"/>
      <c r="F14" s="144"/>
    </row>
    <row r="15" spans="1:6" s="135" customFormat="1" ht="72" x14ac:dyDescent="0.2">
      <c r="A15" s="619"/>
      <c r="B15" s="146" t="s">
        <v>396</v>
      </c>
      <c r="C15" s="622"/>
      <c r="D15" s="147"/>
      <c r="E15" s="148"/>
      <c r="F15" s="144"/>
    </row>
    <row r="16" spans="1:6" s="135" customFormat="1" x14ac:dyDescent="0.2">
      <c r="A16" s="619"/>
      <c r="B16" s="149" t="s">
        <v>397</v>
      </c>
      <c r="C16" s="147" t="s">
        <v>398</v>
      </c>
      <c r="D16" s="145" t="str">
        <f>"2858*"&amp;F16&amp;"п.м.*1.04*1.27"</f>
        <v>2858*57п.м.*1.04*1.27</v>
      </c>
      <c r="E16" s="150">
        <f>2858*F16*1.04*1.27</f>
        <v>215166.24480000001</v>
      </c>
      <c r="F16" s="144">
        <v>57</v>
      </c>
    </row>
    <row r="17" spans="1:6" s="135" customFormat="1" x14ac:dyDescent="0.2">
      <c r="A17" s="619"/>
      <c r="B17" s="149" t="s">
        <v>399</v>
      </c>
      <c r="C17" s="147" t="s">
        <v>400</v>
      </c>
      <c r="D17" s="145" t="str">
        <f>"3237*"&amp;F17&amp;"п.м.*1.04*1.27"</f>
        <v>3237*204п.м.*1.04*1.27</v>
      </c>
      <c r="E17" s="150">
        <f>3237*F17*1.04*1.27</f>
        <v>872187.63840000005</v>
      </c>
      <c r="F17" s="144">
        <v>204</v>
      </c>
    </row>
    <row r="18" spans="1:6" s="135" customFormat="1" x14ac:dyDescent="0.2">
      <c r="A18" s="619"/>
      <c r="B18" s="149" t="s">
        <v>401</v>
      </c>
      <c r="C18" s="147" t="s">
        <v>402</v>
      </c>
      <c r="D18" s="145" t="str">
        <f>"3300*"&amp;F18&amp;"п.м.*1.04*1.27"</f>
        <v>3300*74п.м.*1.04*1.27</v>
      </c>
      <c r="E18" s="150">
        <f>3300*F18*1.04*1.27</f>
        <v>322539.36</v>
      </c>
      <c r="F18" s="144">
        <v>74</v>
      </c>
    </row>
    <row r="19" spans="1:6" s="135" customFormat="1" x14ac:dyDescent="0.2">
      <c r="A19" s="620"/>
      <c r="B19" s="152" t="s">
        <v>403</v>
      </c>
      <c r="C19" s="153" t="s">
        <v>404</v>
      </c>
      <c r="D19" s="151" t="str">
        <f>"4125*"&amp;F19&amp;"п.м.*1.04*1.27"</f>
        <v>4125*0п.м.*1.04*1.27</v>
      </c>
      <c r="E19" s="154">
        <f>4125*F19*1.04*1.27</f>
        <v>0</v>
      </c>
      <c r="F19" s="144">
        <v>0</v>
      </c>
    </row>
    <row r="20" spans="1:6" s="135" customFormat="1" ht="48" x14ac:dyDescent="0.2">
      <c r="A20" s="151">
        <f>A14+1</f>
        <v>3</v>
      </c>
      <c r="B20" s="155" t="s">
        <v>405</v>
      </c>
      <c r="C20" s="153" t="s">
        <v>406</v>
      </c>
      <c r="D20" s="136" t="str">
        <f>"1536*"&amp;F20&amp;"п.м.*1.27"</f>
        <v>1536*67п.м.*1.27</v>
      </c>
      <c r="E20" s="139">
        <f>1536*F20*1.27</f>
        <v>130698.24000000001</v>
      </c>
      <c r="F20" s="144">
        <v>67</v>
      </c>
    </row>
    <row r="21" spans="1:6" s="135" customFormat="1" ht="72" x14ac:dyDescent="0.2">
      <c r="A21" s="151">
        <f t="shared" ref="A21:A22" si="0">A20+1</f>
        <v>4</v>
      </c>
      <c r="B21" s="155" t="s">
        <v>407</v>
      </c>
      <c r="C21" s="153" t="s">
        <v>408</v>
      </c>
      <c r="D21" s="136" t="str">
        <f>"983*"&amp;F21&amp;"скв*1.27"</f>
        <v>983*31скв*1.27</v>
      </c>
      <c r="E21" s="139">
        <f>983*F21*1.27</f>
        <v>38700.71</v>
      </c>
      <c r="F21" s="144">
        <v>31</v>
      </c>
    </row>
    <row r="22" spans="1:6" s="135" customFormat="1" ht="24" x14ac:dyDescent="0.2">
      <c r="A22" s="618">
        <f t="shared" si="0"/>
        <v>5</v>
      </c>
      <c r="B22" s="142" t="s">
        <v>409</v>
      </c>
      <c r="C22" s="621" t="s">
        <v>410</v>
      </c>
      <c r="D22" s="142"/>
      <c r="E22" s="143"/>
      <c r="F22" s="144"/>
    </row>
    <row r="23" spans="1:6" s="135" customFormat="1" ht="24" x14ac:dyDescent="0.2">
      <c r="A23" s="619"/>
      <c r="B23" s="146" t="s">
        <v>411</v>
      </c>
      <c r="C23" s="622"/>
      <c r="D23" s="147"/>
      <c r="E23" s="148"/>
      <c r="F23" s="144"/>
    </row>
    <row r="24" spans="1:6" s="135" customFormat="1" x14ac:dyDescent="0.2">
      <c r="A24" s="619"/>
      <c r="B24" s="149" t="s">
        <v>401</v>
      </c>
      <c r="C24" s="147" t="s">
        <v>412</v>
      </c>
      <c r="D24" s="145" t="str">
        <f>"23558*"&amp;F24&amp;"м3*1.27"</f>
        <v>23558*60м3*1.27</v>
      </c>
      <c r="E24" s="150">
        <f>23558*F24*1.02*1.27</f>
        <v>1831021.9920000001</v>
      </c>
      <c r="F24" s="144">
        <f t="shared" ref="F24:F25" si="1">24*2.5</f>
        <v>60</v>
      </c>
    </row>
    <row r="25" spans="1:6" s="135" customFormat="1" x14ac:dyDescent="0.2">
      <c r="A25" s="620"/>
      <c r="B25" s="152" t="s">
        <v>403</v>
      </c>
      <c r="C25" s="153" t="s">
        <v>413</v>
      </c>
      <c r="D25" s="151" t="str">
        <f>"37562*"&amp;F25&amp;"м3*1.27"</f>
        <v>37562*60м3*1.27</v>
      </c>
      <c r="E25" s="154">
        <f>37562*F25*1.02*1.27</f>
        <v>2919468.8879999998</v>
      </c>
      <c r="F25" s="144">
        <f t="shared" si="1"/>
        <v>60</v>
      </c>
    </row>
    <row r="26" spans="1:6" s="135" customFormat="1" ht="120" x14ac:dyDescent="0.2">
      <c r="A26" s="141">
        <f>A22+1</f>
        <v>6</v>
      </c>
      <c r="B26" s="134" t="s">
        <v>414</v>
      </c>
      <c r="C26" s="132" t="s">
        <v>415</v>
      </c>
      <c r="D26" s="132" t="str">
        <f>"902*"&amp;F26&amp;"п.м.*1.02*1.27"</f>
        <v>902*10п.м.*1.02*1.27</v>
      </c>
      <c r="E26" s="156">
        <f>902*F26*1.02*1.27</f>
        <v>11684.508</v>
      </c>
      <c r="F26" s="144">
        <v>10</v>
      </c>
    </row>
    <row r="27" spans="1:6" s="135" customFormat="1" ht="60" x14ac:dyDescent="0.2">
      <c r="A27" s="618">
        <f>A26+1</f>
        <v>7</v>
      </c>
      <c r="B27" s="157" t="s">
        <v>416</v>
      </c>
      <c r="C27" s="141" t="s">
        <v>395</v>
      </c>
      <c r="D27" s="141"/>
      <c r="E27" s="143"/>
      <c r="F27" s="144"/>
    </row>
    <row r="28" spans="1:6" s="135" customFormat="1" x14ac:dyDescent="0.2">
      <c r="A28" s="620"/>
      <c r="B28" s="152" t="s">
        <v>417</v>
      </c>
      <c r="C28" s="158" t="s">
        <v>418</v>
      </c>
      <c r="D28" s="151" t="str">
        <f>"3138*"&amp;F28&amp;"п.м.*1.1*1.27"</f>
        <v>3138*150п.м.*1.1*1.27</v>
      </c>
      <c r="E28" s="154">
        <f>3138*F28*1.1*1.27</f>
        <v>657567.90000000014</v>
      </c>
      <c r="F28" s="144">
        <v>150</v>
      </c>
    </row>
    <row r="29" spans="1:6" s="135" customFormat="1" ht="48" x14ac:dyDescent="0.2">
      <c r="A29" s="136">
        <f>A27+1</f>
        <v>8</v>
      </c>
      <c r="B29" s="159" t="s">
        <v>419</v>
      </c>
      <c r="C29" s="136" t="s">
        <v>420</v>
      </c>
      <c r="D29" s="136" t="str">
        <f>ROUND(SUM(E13:E28),0)&amp;"*0.19"</f>
        <v>7077989*0.19</v>
      </c>
      <c r="E29" s="160">
        <f>SUM(E13:E28)*0.19</f>
        <v>1344817.8798280002</v>
      </c>
      <c r="F29" s="144"/>
    </row>
    <row r="30" spans="1:6" s="135" customFormat="1" ht="48" x14ac:dyDescent="0.2">
      <c r="A30" s="136">
        <f t="shared" ref="A30:A33" si="2">A29+1</f>
        <v>9</v>
      </c>
      <c r="B30" s="159" t="s">
        <v>421</v>
      </c>
      <c r="C30" s="136" t="s">
        <v>422</v>
      </c>
      <c r="D30" s="136" t="str">
        <f>ROUND(SUM(E13:E28),0)&amp;"*0.25"</f>
        <v>7077989*0.25</v>
      </c>
      <c r="E30" s="160">
        <f>SUM(E13:E28)*0.25</f>
        <v>1769497.2103000002</v>
      </c>
      <c r="F30" s="144"/>
    </row>
    <row r="31" spans="1:6" s="135" customFormat="1" ht="48" x14ac:dyDescent="0.2">
      <c r="A31" s="136">
        <f t="shared" si="2"/>
        <v>10</v>
      </c>
      <c r="B31" s="161" t="s">
        <v>423</v>
      </c>
      <c r="C31" s="136" t="s">
        <v>424</v>
      </c>
      <c r="D31" s="136" t="str">
        <f>ROUND(SUM(E13:E28),0)&amp;"*(28.1%+(48.2%-28.1%)/(10млн.руб-5млн.руб)*(10млн.руб-"&amp;ROUND(SUM(E13:E28),0)&amp;"))"</f>
        <v>7077989*(28.1%+(48.2%-28.1%)/(10млн.руб-5млн.руб)*(10млн.руб-7077989))</v>
      </c>
      <c r="E31" s="160">
        <f>SUM(E13:E28)*(28.1%+(48.2%-28.1%)/(10000000-5000000)*(10000000-SUM(E13:E28)))</f>
        <v>2820329.7518863012</v>
      </c>
      <c r="F31" s="144"/>
    </row>
    <row r="32" spans="1:6" s="135" customFormat="1" ht="48" x14ac:dyDescent="0.2">
      <c r="A32" s="136">
        <f t="shared" si="2"/>
        <v>11</v>
      </c>
      <c r="B32" s="134" t="s">
        <v>425</v>
      </c>
      <c r="C32" s="136" t="s">
        <v>426</v>
      </c>
      <c r="D32" s="136" t="str">
        <f>ROUND(SUM(E13:E28),0)&amp;"*7.4%"</f>
        <v>7077989*7.4%</v>
      </c>
      <c r="E32" s="160">
        <f>SUM(E13:E28)*7.4%</f>
        <v>523771.17424880009</v>
      </c>
      <c r="F32" s="144"/>
    </row>
    <row r="33" spans="1:6" s="135" customFormat="1" ht="48" x14ac:dyDescent="0.2">
      <c r="A33" s="136">
        <f t="shared" si="2"/>
        <v>12</v>
      </c>
      <c r="B33" s="134" t="s">
        <v>427</v>
      </c>
      <c r="C33" s="136" t="s">
        <v>428</v>
      </c>
      <c r="D33" s="132" t="str">
        <f>"("&amp;ROUND(SUM(E13:E28),0)&amp;"+"&amp;ROUND(E29,0)&amp;"+"&amp;ROUND(E30,0)&amp;"+"&amp;ROUND(E32,0)&amp;")*(0.41*"&amp;ROUND(F33,2)&amp;"+0.59-1)"</f>
        <v>(7077989+1344818+1769497+523771)*(0.41*1+0.59-1)</v>
      </c>
      <c r="E33" s="156">
        <f>(SUM(E13:E30)+E32)*(0.41*F33+0.59-1)</f>
        <v>0</v>
      </c>
      <c r="F33" s="140">
        <v>1</v>
      </c>
    </row>
    <row r="34" spans="1:6" s="135" customFormat="1" x14ac:dyDescent="0.2">
      <c r="A34" s="132"/>
      <c r="B34" s="134" t="s">
        <v>429</v>
      </c>
      <c r="C34" s="132"/>
      <c r="D34" s="132"/>
      <c r="E34" s="162">
        <f>SUM(E13:E33)</f>
        <v>13536404.857463101</v>
      </c>
      <c r="F34" s="144"/>
    </row>
    <row r="35" spans="1:6" s="135" customFormat="1" x14ac:dyDescent="0.2">
      <c r="A35" s="132"/>
      <c r="B35" s="134" t="s">
        <v>430</v>
      </c>
      <c r="C35" s="136"/>
      <c r="D35" s="132"/>
      <c r="E35" s="162"/>
      <c r="F35" s="144"/>
    </row>
    <row r="36" spans="1:6" s="135" customFormat="1" ht="48" x14ac:dyDescent="0.2">
      <c r="A36" s="132">
        <f>A33+1</f>
        <v>13</v>
      </c>
      <c r="B36" s="161" t="s">
        <v>431</v>
      </c>
      <c r="C36" s="136" t="s">
        <v>432</v>
      </c>
      <c r="D36" s="132" t="str">
        <f>"((459+335+141)*"&amp;F36&amp;"обр+229*"&amp;F36&amp;"опр)*1.27"</f>
        <v>((459+335+141)*167обр+229*167опр)*1.27</v>
      </c>
      <c r="E36" s="156">
        <f>((459+335+141)*F36+229*F36)*1.27</f>
        <v>246872.76</v>
      </c>
      <c r="F36" s="144">
        <v>167</v>
      </c>
    </row>
    <row r="37" spans="1:6" s="135" customFormat="1" ht="48" x14ac:dyDescent="0.2">
      <c r="A37" s="132">
        <f t="shared" ref="A37:A59" si="3">A36+1</f>
        <v>14</v>
      </c>
      <c r="B37" s="134" t="s">
        <v>433</v>
      </c>
      <c r="C37" s="136" t="s">
        <v>434</v>
      </c>
      <c r="D37" s="132" t="str">
        <f>"((459+335+141)*"&amp;F37&amp;"обр+600*"&amp;F37&amp;"опр)*1.27"</f>
        <v>((459+335+141)*122обр+600*122опр)*1.27</v>
      </c>
      <c r="E37" s="156">
        <f>((459+335+141)*F37+600*F37)*1.27</f>
        <v>237832.9</v>
      </c>
      <c r="F37" s="144">
        <f>90+32</f>
        <v>122</v>
      </c>
    </row>
    <row r="38" spans="1:6" s="135" customFormat="1" ht="48" x14ac:dyDescent="0.2">
      <c r="A38" s="132">
        <f t="shared" si="3"/>
        <v>15</v>
      </c>
      <c r="B38" s="134" t="s">
        <v>435</v>
      </c>
      <c r="C38" s="136" t="s">
        <v>436</v>
      </c>
      <c r="D38" s="132" t="str">
        <f>"((459+335+141)*"&amp;F38&amp;"обр+370*"&amp;F38&amp;"опр)*1.27"</f>
        <v>((459+335+141)*18обр+370*18опр)*1.27</v>
      </c>
      <c r="E38" s="156">
        <f>((459+335+141)*F38+370*F38)*1.27</f>
        <v>29832.3</v>
      </c>
      <c r="F38" s="144">
        <v>18</v>
      </c>
    </row>
    <row r="39" spans="1:6" s="135" customFormat="1" ht="120" x14ac:dyDescent="0.2">
      <c r="A39" s="132">
        <f t="shared" si="3"/>
        <v>16</v>
      </c>
      <c r="B39" s="134" t="s">
        <v>437</v>
      </c>
      <c r="C39" s="136" t="s">
        <v>438</v>
      </c>
      <c r="D39" s="132" t="str">
        <f>"((459+335+141)*"&amp;F39&amp;"обр+917*"&amp;F39&amp;"опр)*1.27"</f>
        <v>((459+335+141)*60обр+917*60опр)*1.27</v>
      </c>
      <c r="E39" s="156">
        <f>((459+335+141)*F39+917*F39)*1.27</f>
        <v>141122.4</v>
      </c>
      <c r="F39" s="144">
        <v>60</v>
      </c>
    </row>
    <row r="40" spans="1:6" s="135" customFormat="1" ht="132" x14ac:dyDescent="0.2">
      <c r="A40" s="132">
        <f t="shared" si="3"/>
        <v>17</v>
      </c>
      <c r="B40" s="134" t="s">
        <v>439</v>
      </c>
      <c r="C40" s="136" t="s">
        <v>440</v>
      </c>
      <c r="D40" s="132" t="str">
        <f>"((459+335+141)*"&amp;F40&amp;"обр+1852*"&amp;F40&amp;"опр)*1.27"</f>
        <v>((459+335+141)*60обр+1852*60опр)*1.27</v>
      </c>
      <c r="E40" s="156">
        <f>((459+335+141)*F40+1852*F40)*1.27</f>
        <v>212369.4</v>
      </c>
      <c r="F40" s="144">
        <v>60</v>
      </c>
    </row>
    <row r="41" spans="1:6" s="135" customFormat="1" ht="180" customHeight="1" x14ac:dyDescent="0.2">
      <c r="A41" s="132">
        <f t="shared" si="3"/>
        <v>18</v>
      </c>
      <c r="B41" s="134" t="s">
        <v>441</v>
      </c>
      <c r="C41" s="136" t="s">
        <v>442</v>
      </c>
      <c r="D41" s="132" t="str">
        <f>"((459+335+141)*"&amp;F41&amp;"обр+4546*"&amp;F41&amp;"опр)*1.27"</f>
        <v>((459+335+141)*6обр+4546*6опр)*1.27</v>
      </c>
      <c r="E41" s="156">
        <f>((459+335+141)*F41+4546*F41)*1.27</f>
        <v>41765.22</v>
      </c>
      <c r="F41" s="144">
        <v>6</v>
      </c>
    </row>
    <row r="42" spans="1:6" s="135" customFormat="1" ht="48" x14ac:dyDescent="0.2">
      <c r="A42" s="132">
        <f t="shared" si="3"/>
        <v>19</v>
      </c>
      <c r="B42" s="134" t="s">
        <v>443</v>
      </c>
      <c r="C42" s="136" t="s">
        <v>444</v>
      </c>
      <c r="D42" s="132" t="str">
        <f>"((459+335+141)*"&amp;F42&amp;"обр+529*"&amp;F42&amp;"опр)*1.27"</f>
        <v>((459+335+141)*122обр+529*122опр)*1.27</v>
      </c>
      <c r="E42" s="156">
        <f>((459+335+141)*F42+529*F42)*1.27</f>
        <v>226832.16</v>
      </c>
      <c r="F42" s="144">
        <f>90+32</f>
        <v>122</v>
      </c>
    </row>
    <row r="43" spans="1:6" s="135" customFormat="1" ht="120" x14ac:dyDescent="0.2">
      <c r="A43" s="132">
        <f t="shared" si="3"/>
        <v>20</v>
      </c>
      <c r="B43" s="134" t="s">
        <v>445</v>
      </c>
      <c r="C43" s="136" t="s">
        <v>446</v>
      </c>
      <c r="D43" s="132" t="str">
        <f>"((459+335+141)*"&amp;F43&amp;"обр+1676*"&amp;F43&amp;"опр)*1.27"</f>
        <v>((459+335+141)*139обр+1676*139опр)*1.27</v>
      </c>
      <c r="E43" s="156">
        <f>((459+335+141)*F43+1676*F43)*1.27</f>
        <v>460919.83</v>
      </c>
      <c r="F43" s="144">
        <f>107+32</f>
        <v>139</v>
      </c>
    </row>
    <row r="44" spans="1:6" s="163" customFormat="1" ht="48" x14ac:dyDescent="0.2">
      <c r="A44" s="132">
        <f t="shared" si="3"/>
        <v>21</v>
      </c>
      <c r="B44" s="134" t="s">
        <v>447</v>
      </c>
      <c r="C44" s="136" t="s">
        <v>448</v>
      </c>
      <c r="D44" s="132" t="str">
        <f>"((459+335+141)*"&amp;F44&amp;"обр+723*"&amp;F44&amp;"опр)*1.27"</f>
        <v>((459+335+141)*12обр+723*12опр)*1.27</v>
      </c>
      <c r="E44" s="156">
        <f>((459+335+141)*F44+723*F44)*1.27</f>
        <v>25267.920000000002</v>
      </c>
      <c r="F44" s="144">
        <v>12</v>
      </c>
    </row>
    <row r="45" spans="1:6" s="163" customFormat="1" ht="48" x14ac:dyDescent="0.2">
      <c r="A45" s="132">
        <f t="shared" si="3"/>
        <v>22</v>
      </c>
      <c r="B45" s="134" t="s">
        <v>449</v>
      </c>
      <c r="C45" s="136" t="s">
        <v>450</v>
      </c>
      <c r="D45" s="132" t="str">
        <f>"((459+335+141)*"&amp;F45&amp;"обр+388*"&amp;F45&amp;"опр)*1.27"</f>
        <v>((459+335+141)*6обр+388*6опр)*1.27</v>
      </c>
      <c r="E45" s="156">
        <f>((459+335+141)*F45+388*F45)*1.27</f>
        <v>10081.26</v>
      </c>
      <c r="F45" s="144">
        <v>6</v>
      </c>
    </row>
    <row r="46" spans="1:6" s="163" customFormat="1" ht="84" x14ac:dyDescent="0.2">
      <c r="A46" s="132">
        <f t="shared" si="3"/>
        <v>23</v>
      </c>
      <c r="B46" s="134" t="s">
        <v>451</v>
      </c>
      <c r="C46" s="136" t="s">
        <v>452</v>
      </c>
      <c r="D46" s="132" t="str">
        <f>"((459+335+141)*"&amp;F46&amp;"обр+13759*"&amp;F46&amp;"опр)*1.27"</f>
        <v>((459+335+141)*6обр+13759*6опр)*1.27</v>
      </c>
      <c r="E46" s="156">
        <f>((459+335+141)*F46+13759*F46)*1.27</f>
        <v>111968.28</v>
      </c>
      <c r="F46" s="144">
        <v>6</v>
      </c>
    </row>
    <row r="47" spans="1:6" s="135" customFormat="1" ht="96" x14ac:dyDescent="0.2">
      <c r="A47" s="132">
        <f t="shared" si="3"/>
        <v>24</v>
      </c>
      <c r="B47" s="134" t="s">
        <v>453</v>
      </c>
      <c r="C47" s="136" t="s">
        <v>454</v>
      </c>
      <c r="D47" s="132" t="str">
        <f>"((459+335+141)*"&amp;F47&amp;"обр+2203*"&amp;F47&amp;"опр)*1.27"</f>
        <v>((459+335+141)*10обр+2203*10опр)*1.27</v>
      </c>
      <c r="E47" s="156">
        <f>((459+335+141)*F47+2203*F47)*1.27</f>
        <v>39852.6</v>
      </c>
      <c r="F47" s="144">
        <v>10</v>
      </c>
    </row>
    <row r="48" spans="1:6" s="135" customFormat="1" ht="84" x14ac:dyDescent="0.2">
      <c r="A48" s="132">
        <f t="shared" si="3"/>
        <v>25</v>
      </c>
      <c r="B48" s="134" t="s">
        <v>455</v>
      </c>
      <c r="C48" s="136" t="s">
        <v>456</v>
      </c>
      <c r="D48" s="132" t="str">
        <f>"((459+335+141)*"&amp;F48&amp;"обр+5452*"&amp;F48&amp;"опр)*1.27"</f>
        <v>((459+335+141)*12обр+5452*12опр)*1.27</v>
      </c>
      <c r="E48" s="156">
        <f>((459+335+141)*F48+5452*F48)*1.27</f>
        <v>97337.88</v>
      </c>
      <c r="F48" s="144">
        <v>12</v>
      </c>
    </row>
    <row r="49" spans="1:6" s="135" customFormat="1" ht="144" x14ac:dyDescent="0.2">
      <c r="A49" s="132">
        <f t="shared" si="3"/>
        <v>26</v>
      </c>
      <c r="B49" s="134" t="s">
        <v>457</v>
      </c>
      <c r="C49" s="136" t="s">
        <v>458</v>
      </c>
      <c r="D49" s="132" t="str">
        <f>"((459+335+141)*"&amp;F49&amp;"обр+7357*"&amp;F49&amp;"опр)*1.27"</f>
        <v>((459+335+141)*50обр+7357*50опр)*1.27</v>
      </c>
      <c r="E49" s="156">
        <f>((459+335+141)*F49+7357*F49)*1.27</f>
        <v>526542</v>
      </c>
      <c r="F49" s="144">
        <f>18+32</f>
        <v>50</v>
      </c>
    </row>
    <row r="50" spans="1:6" s="135" customFormat="1" ht="120" x14ac:dyDescent="0.2">
      <c r="A50" s="132">
        <f t="shared" si="3"/>
        <v>27</v>
      </c>
      <c r="B50" s="134" t="s">
        <v>459</v>
      </c>
      <c r="C50" s="136" t="s">
        <v>460</v>
      </c>
      <c r="D50" s="132" t="str">
        <f>"((459+335+141)*"&amp;F50&amp;"обр+7266*"&amp;F50&amp;"опр)*1.27"</f>
        <v>((459+335+141)*12обр+7266*12опр)*1.27</v>
      </c>
      <c r="E50" s="156">
        <f>((459+335+141)*F50+7266*F50)*1.27</f>
        <v>124983.24</v>
      </c>
      <c r="F50" s="144">
        <v>12</v>
      </c>
    </row>
    <row r="51" spans="1:6" s="135" customFormat="1" ht="48" x14ac:dyDescent="0.2">
      <c r="A51" s="132">
        <f t="shared" si="3"/>
        <v>28</v>
      </c>
      <c r="B51" s="134" t="s">
        <v>461</v>
      </c>
      <c r="C51" s="136" t="s">
        <v>462</v>
      </c>
      <c r="D51" s="132" t="str">
        <f>"((459+335+141)*"&amp;F51&amp;"обр+29931*"&amp;F51&amp;"опр)*1.27"</f>
        <v>((459+335+141)*6обр+29931*6опр)*1.27</v>
      </c>
      <c r="E51" s="156">
        <f>((459+335+141)*F51+29931*F51)*1.27</f>
        <v>235198.92</v>
      </c>
      <c r="F51" s="144">
        <v>6</v>
      </c>
    </row>
    <row r="52" spans="1:6" s="135" customFormat="1" ht="120" x14ac:dyDescent="0.2">
      <c r="A52" s="132">
        <f t="shared" si="3"/>
        <v>29</v>
      </c>
      <c r="B52" s="134" t="s">
        <v>463</v>
      </c>
      <c r="C52" s="136" t="s">
        <v>464</v>
      </c>
      <c r="D52" s="132" t="str">
        <f>"((459+335+141)*"&amp;F52&amp;"обр+8520*"&amp;F52&amp;"опр)*1.27"</f>
        <v>((459+335+141)*12обр+8520*12опр)*1.27</v>
      </c>
      <c r="E52" s="156">
        <f>((459+335+141)*F52+8520*F52)*1.27</f>
        <v>144094.20000000001</v>
      </c>
      <c r="F52" s="144">
        <v>12</v>
      </c>
    </row>
    <row r="53" spans="1:6" s="135" customFormat="1" ht="156" x14ac:dyDescent="0.2">
      <c r="A53" s="132">
        <f t="shared" si="3"/>
        <v>30</v>
      </c>
      <c r="B53" s="134" t="s">
        <v>465</v>
      </c>
      <c r="C53" s="136" t="s">
        <v>466</v>
      </c>
      <c r="D53" s="132" t="str">
        <f>"((459+335+141)*"&amp;F53&amp;"обр+9293*"&amp;F53&amp;"опр)*1.27"</f>
        <v>((459+335+141)*50обр+9293*50опр)*1.27</v>
      </c>
      <c r="E53" s="156">
        <f>((459+335+141)*F53+9293*F53)*1.27</f>
        <v>649478</v>
      </c>
      <c r="F53" s="144">
        <f>18+32</f>
        <v>50</v>
      </c>
    </row>
    <row r="54" spans="1:6" s="135" customFormat="1" ht="84" x14ac:dyDescent="0.2">
      <c r="A54" s="132">
        <f t="shared" si="3"/>
        <v>31</v>
      </c>
      <c r="B54" s="134" t="s">
        <v>467</v>
      </c>
      <c r="C54" s="136" t="s">
        <v>468</v>
      </c>
      <c r="D54" s="132" t="str">
        <f>"((459+335+141)*"&amp;F54&amp;"обр+4593*"&amp;F54&amp;"опр)*1.27"</f>
        <v>((459+335+141)*44обр+4593*44опр)*1.27</v>
      </c>
      <c r="E54" s="156">
        <f>((459+335+141)*F54+4593*F54)*1.27</f>
        <v>308904.64</v>
      </c>
      <c r="F54" s="144">
        <f>12+32</f>
        <v>44</v>
      </c>
    </row>
    <row r="55" spans="1:6" s="135" customFormat="1" ht="84" x14ac:dyDescent="0.2">
      <c r="A55" s="132">
        <f t="shared" si="3"/>
        <v>32</v>
      </c>
      <c r="B55" s="134" t="s">
        <v>469</v>
      </c>
      <c r="C55" s="136" t="s">
        <v>470</v>
      </c>
      <c r="D55" s="132" t="str">
        <f>"((459+335+141)*"&amp;F55&amp;"обр+6470*"&amp;F55&amp;"опр)*1.27"</f>
        <v>((459+335+141)*18обр+6470*18опр)*1.27</v>
      </c>
      <c r="E55" s="156">
        <f>((459+335+141)*F55+6470*F55)*1.27</f>
        <v>169278.3</v>
      </c>
      <c r="F55" s="144">
        <v>18</v>
      </c>
    </row>
    <row r="56" spans="1:6" s="135" customFormat="1" ht="48" x14ac:dyDescent="0.2">
      <c r="A56" s="132">
        <f t="shared" si="3"/>
        <v>33</v>
      </c>
      <c r="B56" s="134" t="s">
        <v>471</v>
      </c>
      <c r="C56" s="136" t="s">
        <v>472</v>
      </c>
      <c r="D56" s="132" t="str">
        <f>"11731*"&amp;F56&amp;"опр*1.27"</f>
        <v>11731*9опр*1.27</v>
      </c>
      <c r="E56" s="156">
        <f>11731*F56*1.27</f>
        <v>134085.33000000002</v>
      </c>
      <c r="F56" s="144">
        <v>9</v>
      </c>
    </row>
    <row r="57" spans="1:6" s="135" customFormat="1" ht="48" x14ac:dyDescent="0.2">
      <c r="A57" s="132">
        <f t="shared" si="3"/>
        <v>34</v>
      </c>
      <c r="B57" s="134" t="s">
        <v>473</v>
      </c>
      <c r="C57" s="136" t="s">
        <v>474</v>
      </c>
      <c r="D57" s="132" t="str">
        <f>"9786*"&amp;F57&amp;"опр*1.27"</f>
        <v>9786*22опр*1.27</v>
      </c>
      <c r="E57" s="156">
        <f>9786*F57*1.27</f>
        <v>273420.84000000003</v>
      </c>
      <c r="F57" s="144">
        <v>22</v>
      </c>
    </row>
    <row r="58" spans="1:6" s="135" customFormat="1" ht="48" x14ac:dyDescent="0.2">
      <c r="A58" s="132">
        <f t="shared" si="3"/>
        <v>35</v>
      </c>
      <c r="B58" s="134" t="s">
        <v>475</v>
      </c>
      <c r="C58" s="136" t="s">
        <v>476</v>
      </c>
      <c r="D58" s="132" t="str">
        <f>"2726*"&amp;F58&amp;"опр*1.27"</f>
        <v>2726*18опр*1.27</v>
      </c>
      <c r="E58" s="156">
        <f>2726*F58*1.27</f>
        <v>62316.36</v>
      </c>
      <c r="F58" s="144">
        <v>18</v>
      </c>
    </row>
    <row r="59" spans="1:6" s="135" customFormat="1" ht="48" x14ac:dyDescent="0.2">
      <c r="A59" s="132">
        <f t="shared" si="3"/>
        <v>36</v>
      </c>
      <c r="B59" s="134" t="s">
        <v>427</v>
      </c>
      <c r="C59" s="136" t="s">
        <v>477</v>
      </c>
      <c r="D59" s="132" t="str">
        <f>ROUND(SUM(E36:F58),0)&amp;"*("&amp;0.65&amp;"*"&amp;F59&amp;"+"&amp;0.35&amp;"-"&amp;1&amp;")"</f>
        <v>4511338*(0,65*1,15+0,35-1)</v>
      </c>
      <c r="E59" s="156">
        <f>SUM(E36:E58)*(0.65*F59+0.35-1)</f>
        <v>439759.78214999975</v>
      </c>
      <c r="F59" s="140">
        <v>1.1499999999999999</v>
      </c>
    </row>
    <row r="60" spans="1:6" s="135" customFormat="1" x14ac:dyDescent="0.2">
      <c r="A60" s="132"/>
      <c r="B60" s="134" t="s">
        <v>478</v>
      </c>
      <c r="C60" s="132"/>
      <c r="D60" s="132"/>
      <c r="E60" s="156">
        <f>SUM(E36:E59)</f>
        <v>4950116.5221500006</v>
      </c>
      <c r="F60" s="133"/>
    </row>
    <row r="61" spans="1:6" s="135" customFormat="1" x14ac:dyDescent="0.2">
      <c r="A61" s="132"/>
      <c r="B61" s="134" t="s">
        <v>479</v>
      </c>
      <c r="C61" s="132"/>
      <c r="D61" s="132"/>
      <c r="E61" s="156"/>
      <c r="F61" s="133"/>
    </row>
    <row r="62" spans="1:6" s="135" customFormat="1" ht="48" x14ac:dyDescent="0.2">
      <c r="A62" s="618">
        <f>A59+1</f>
        <v>37</v>
      </c>
      <c r="B62" s="142" t="s">
        <v>480</v>
      </c>
      <c r="C62" s="618" t="s">
        <v>395</v>
      </c>
      <c r="D62" s="141"/>
      <c r="E62" s="143"/>
      <c r="F62" s="133"/>
    </row>
    <row r="63" spans="1:6" s="135" customFormat="1" ht="48" customHeight="1" x14ac:dyDescent="0.2">
      <c r="A63" s="619"/>
      <c r="B63" s="164" t="s">
        <v>481</v>
      </c>
      <c r="C63" s="619"/>
      <c r="D63" s="145"/>
      <c r="E63" s="150"/>
      <c r="F63" s="133"/>
    </row>
    <row r="64" spans="1:6" s="135" customFormat="1" x14ac:dyDescent="0.2">
      <c r="A64" s="619"/>
      <c r="B64" s="149" t="s">
        <v>482</v>
      </c>
      <c r="C64" s="145" t="s">
        <v>483</v>
      </c>
      <c r="D64" s="147" t="str">
        <f>"342*"&amp;F64&amp;"п.м.*1.27"</f>
        <v>342*297п.м.*1.27</v>
      </c>
      <c r="E64" s="165">
        <f>342*F64*1.27</f>
        <v>128998.98</v>
      </c>
      <c r="F64" s="133">
        <v>297</v>
      </c>
    </row>
    <row r="65" spans="1:6" s="135" customFormat="1" x14ac:dyDescent="0.2">
      <c r="A65" s="620"/>
      <c r="B65" s="152" t="s">
        <v>399</v>
      </c>
      <c r="C65" s="151" t="s">
        <v>483</v>
      </c>
      <c r="D65" s="153" t="str">
        <f>"342*"&amp;SUM(F16:F19)&amp;"п.м.*1.27"</f>
        <v>342*335п.м.*1.27</v>
      </c>
      <c r="E65" s="166">
        <f>342*SUM(F16:F19)*1.27</f>
        <v>145503.9</v>
      </c>
      <c r="F65" s="133"/>
    </row>
    <row r="66" spans="1:6" s="135" customFormat="1" ht="48" x14ac:dyDescent="0.2">
      <c r="A66" s="618">
        <f>A62+1</f>
        <v>38</v>
      </c>
      <c r="B66" s="157" t="s">
        <v>484</v>
      </c>
      <c r="C66" s="141" t="s">
        <v>395</v>
      </c>
      <c r="D66" s="141"/>
      <c r="E66" s="143"/>
      <c r="F66" s="133"/>
    </row>
    <row r="67" spans="1:6" s="135" customFormat="1" x14ac:dyDescent="0.2">
      <c r="A67" s="620"/>
      <c r="B67" s="152" t="s">
        <v>485</v>
      </c>
      <c r="C67" s="151" t="s">
        <v>486</v>
      </c>
      <c r="D67" s="151" t="str">
        <f>"2504*"&amp;F67&amp;"шурфов*1.27"</f>
        <v>2504*16шурфов*1.27</v>
      </c>
      <c r="E67" s="154">
        <f>2504*F67*1.2</f>
        <v>48076.799999999996</v>
      </c>
      <c r="F67" s="144">
        <v>16</v>
      </c>
    </row>
    <row r="68" spans="1:6" s="135" customFormat="1" ht="60" x14ac:dyDescent="0.2">
      <c r="A68" s="132">
        <f>A62+1</f>
        <v>38</v>
      </c>
      <c r="B68" s="161" t="s">
        <v>487</v>
      </c>
      <c r="C68" s="136" t="s">
        <v>488</v>
      </c>
      <c r="D68" s="136" t="str">
        <f>"173*"&amp;SUM(F28)&amp;"п.м.*1.27"</f>
        <v>173*150п.м.*1.27</v>
      </c>
      <c r="E68" s="139">
        <f>173*SUM(F28)*1.27</f>
        <v>32956.5</v>
      </c>
      <c r="F68" s="133"/>
    </row>
    <row r="69" spans="1:6" s="135" customFormat="1" ht="48" x14ac:dyDescent="0.2">
      <c r="A69" s="618">
        <f>A68+1</f>
        <v>39</v>
      </c>
      <c r="B69" s="142" t="s">
        <v>489</v>
      </c>
      <c r="C69" s="141" t="s">
        <v>395</v>
      </c>
      <c r="D69" s="141"/>
      <c r="E69" s="143"/>
      <c r="F69" s="133"/>
    </row>
    <row r="70" spans="1:6" s="135" customFormat="1" x14ac:dyDescent="0.2">
      <c r="A70" s="619"/>
      <c r="B70" s="149" t="s">
        <v>490</v>
      </c>
      <c r="C70" s="145" t="s">
        <v>491</v>
      </c>
      <c r="D70" s="145" t="str">
        <f>"320*"&amp;F39&amp;"обр*1.27"</f>
        <v>320*60обр*1.27</v>
      </c>
      <c r="E70" s="150">
        <f>320*F39*1.27</f>
        <v>24384</v>
      </c>
      <c r="F70" s="133"/>
    </row>
    <row r="71" spans="1:6" s="135" customFormat="1" x14ac:dyDescent="0.2">
      <c r="A71" s="619"/>
      <c r="B71" s="149" t="s">
        <v>492</v>
      </c>
      <c r="C71" s="145" t="s">
        <v>493</v>
      </c>
      <c r="D71" s="145" t="str">
        <f>"381*"&amp;F43&amp;"обр*1.27"</f>
        <v>381*139обр*1.27</v>
      </c>
      <c r="E71" s="150">
        <f>381*F43*1.27</f>
        <v>67257.930000000008</v>
      </c>
      <c r="F71" s="133"/>
    </row>
    <row r="72" spans="1:6" s="135" customFormat="1" x14ac:dyDescent="0.2">
      <c r="A72" s="619"/>
      <c r="B72" s="152" t="s">
        <v>494</v>
      </c>
      <c r="C72" s="151" t="s">
        <v>495</v>
      </c>
      <c r="D72" s="151" t="str">
        <f>"358*"&amp;F38&amp;"обр*1.27"</f>
        <v>358*18обр*1.27</v>
      </c>
      <c r="E72" s="167">
        <f>358*F38*1.27</f>
        <v>8183.88</v>
      </c>
      <c r="F72" s="133"/>
    </row>
    <row r="73" spans="1:6" s="135" customFormat="1" ht="96" x14ac:dyDescent="0.2">
      <c r="A73" s="618">
        <f>A69+1</f>
        <v>40</v>
      </c>
      <c r="B73" s="142" t="s">
        <v>496</v>
      </c>
      <c r="C73" s="141" t="s">
        <v>395</v>
      </c>
      <c r="D73" s="141"/>
      <c r="E73" s="143"/>
      <c r="F73" s="133"/>
    </row>
    <row r="74" spans="1:6" s="135" customFormat="1" x14ac:dyDescent="0.2">
      <c r="A74" s="619"/>
      <c r="B74" s="149" t="s">
        <v>490</v>
      </c>
      <c r="C74" s="145" t="s">
        <v>497</v>
      </c>
      <c r="D74" s="145" t="str">
        <f>"693*"&amp;SUM(F48,F52,F54)&amp;"обр*1.27"</f>
        <v>693*68обр*1.27</v>
      </c>
      <c r="E74" s="150">
        <f>693*(SUM(F48,F52,F54))*1.27</f>
        <v>59847.48</v>
      </c>
      <c r="F74" s="133"/>
    </row>
    <row r="75" spans="1:6" s="135" customFormat="1" x14ac:dyDescent="0.2">
      <c r="A75" s="619"/>
      <c r="B75" s="149" t="s">
        <v>492</v>
      </c>
      <c r="C75" s="145" t="s">
        <v>498</v>
      </c>
      <c r="D75" s="145" t="str">
        <f>"730*"&amp;SUM(F41,F49,F50,F51,F53,F55)&amp;"обр*1.27"</f>
        <v>730*142обр*1.27</v>
      </c>
      <c r="E75" s="150">
        <f>730*SUM(F41,F49,F50,F51,F53,F55)*1.27</f>
        <v>131648.20000000001</v>
      </c>
      <c r="F75" s="133"/>
    </row>
    <row r="76" spans="1:6" s="135" customFormat="1" ht="60" x14ac:dyDescent="0.2">
      <c r="A76" s="132">
        <f>A73+1</f>
        <v>41</v>
      </c>
      <c r="B76" s="161" t="s">
        <v>499</v>
      </c>
      <c r="C76" s="136" t="s">
        <v>500</v>
      </c>
      <c r="D76" s="136" t="str">
        <f>"385*"&amp;F57&amp;"обр*1.27"</f>
        <v>385*22обр*1.27</v>
      </c>
      <c r="E76" s="139">
        <f>385*F56*1.27</f>
        <v>4400.55</v>
      </c>
      <c r="F76" s="133"/>
    </row>
    <row r="77" spans="1:6" s="135" customFormat="1" ht="108" x14ac:dyDescent="0.2">
      <c r="A77" s="132">
        <f t="shared" ref="A77:A78" si="4">A76+1</f>
        <v>42</v>
      </c>
      <c r="B77" s="161" t="s">
        <v>501</v>
      </c>
      <c r="C77" s="136" t="s">
        <v>502</v>
      </c>
      <c r="D77" s="136" t="str">
        <f>"352*"&amp;SUM(F57:F58)&amp;"обр*1.27"</f>
        <v>352*40обр*1.27</v>
      </c>
      <c r="E77" s="139">
        <f>352*SUM(F57:F58)*1.27</f>
        <v>17881.599999999999</v>
      </c>
      <c r="F77" s="133"/>
    </row>
    <row r="78" spans="1:6" s="135" customFormat="1" ht="144" x14ac:dyDescent="0.2">
      <c r="A78" s="618">
        <f t="shared" si="4"/>
        <v>43</v>
      </c>
      <c r="B78" s="142" t="s">
        <v>503</v>
      </c>
      <c r="C78" s="141" t="s">
        <v>395</v>
      </c>
      <c r="D78" s="141"/>
      <c r="E78" s="143"/>
      <c r="F78" s="133"/>
    </row>
    <row r="79" spans="1:6" s="135" customFormat="1" x14ac:dyDescent="0.2">
      <c r="A79" s="619"/>
      <c r="B79" s="168" t="s">
        <v>399</v>
      </c>
      <c r="C79" s="164"/>
      <c r="D79" s="145"/>
      <c r="E79" s="150"/>
      <c r="F79" s="133"/>
    </row>
    <row r="80" spans="1:6" s="135" customFormat="1" ht="48" x14ac:dyDescent="0.2">
      <c r="A80" s="620"/>
      <c r="B80" s="155" t="s">
        <v>504</v>
      </c>
      <c r="C80" s="151" t="s">
        <v>505</v>
      </c>
      <c r="D80" s="153" t="str">
        <f>(789323&amp;"-(789323-577018)/(1млн.руб-500тыс.руб)*("&amp;"1млн.руб-"&amp;ROUND(SUM(E62:E75),0)&amp;"))*1.1*1.27")</f>
        <v>789323-(789323-577018)/(1млн.руб-500тыс.руб)*(1млн.руб-646858))*1.1*1.27</v>
      </c>
      <c r="E80" s="167">
        <f>(789323-(789323-577018)/(1000000-500000)*(1000000-SUM(E62:E75)))*1.1*1.27</f>
        <v>893207.20365640393</v>
      </c>
      <c r="F80" s="133"/>
    </row>
    <row r="81" spans="1:12" s="135" customFormat="1" ht="60" x14ac:dyDescent="0.2">
      <c r="A81" s="618">
        <f>A78+1</f>
        <v>44</v>
      </c>
      <c r="B81" s="142" t="s">
        <v>506</v>
      </c>
      <c r="C81" s="618" t="s">
        <v>395</v>
      </c>
      <c r="D81" s="141"/>
      <c r="E81" s="143"/>
      <c r="F81" s="133"/>
    </row>
    <row r="82" spans="1:12" s="135" customFormat="1" ht="72" x14ac:dyDescent="0.2">
      <c r="A82" s="619"/>
      <c r="B82" s="168" t="s">
        <v>507</v>
      </c>
      <c r="C82" s="619"/>
      <c r="D82" s="145"/>
      <c r="E82" s="150"/>
      <c r="F82" s="133"/>
    </row>
    <row r="83" spans="1:12" s="135" customFormat="1" x14ac:dyDescent="0.2">
      <c r="A83" s="620"/>
      <c r="B83" s="155" t="s">
        <v>417</v>
      </c>
      <c r="C83" s="151" t="s">
        <v>508</v>
      </c>
      <c r="D83" s="151" t="str">
        <f>"200982*1.27"</f>
        <v>200982*1.27</v>
      </c>
      <c r="E83" s="167">
        <f>200982*1.27</f>
        <v>255247.14</v>
      </c>
      <c r="F83" s="133"/>
    </row>
    <row r="84" spans="1:12" s="135" customFormat="1" ht="48" x14ac:dyDescent="0.2">
      <c r="A84" s="151">
        <f>A81+1</f>
        <v>45</v>
      </c>
      <c r="B84" s="155" t="s">
        <v>427</v>
      </c>
      <c r="C84" s="136" t="s">
        <v>509</v>
      </c>
      <c r="D84" s="132" t="str">
        <f>ROUND(SUM(E62:E83),0)&amp;"*("&amp;0.73&amp;"*"&amp;F84&amp;"+"&amp;0.27&amp;"-"&amp;1&amp;")"</f>
        <v>1817594*(0,73*1,15+0,27-1)</v>
      </c>
      <c r="E84" s="156">
        <f>SUM(E62:E83)*(0.73*F84+0.27-1)</f>
        <v>199026.5609203761</v>
      </c>
      <c r="F84" s="133">
        <v>1.1499999999999999</v>
      </c>
    </row>
    <row r="85" spans="1:12" s="135" customFormat="1" x14ac:dyDescent="0.2">
      <c r="A85" s="132">
        <v>46</v>
      </c>
      <c r="B85" s="134" t="s">
        <v>510</v>
      </c>
      <c r="C85" s="132"/>
      <c r="D85" s="132"/>
      <c r="E85" s="156">
        <f>SUM(E62:E84)</f>
        <v>2016620.7245767799</v>
      </c>
    </row>
    <row r="86" spans="1:12" s="135" customFormat="1" ht="48" x14ac:dyDescent="0.2">
      <c r="A86" s="132">
        <v>47</v>
      </c>
      <c r="B86" s="134" t="s">
        <v>511</v>
      </c>
      <c r="C86" s="132"/>
      <c r="D86" s="132"/>
      <c r="E86" s="169">
        <f>SUM(E34,E60,E85)</f>
        <v>20503142.10418988</v>
      </c>
    </row>
    <row r="87" spans="1:12" s="170" customFormat="1" ht="13.5" customHeight="1" x14ac:dyDescent="0.2">
      <c r="A87" s="171">
        <v>48</v>
      </c>
      <c r="B87" s="172" t="s">
        <v>252</v>
      </c>
      <c r="C87" s="173"/>
      <c r="D87" s="173"/>
      <c r="E87" s="174">
        <f>E86</f>
        <v>20503142.10418988</v>
      </c>
      <c r="F87" s="175"/>
      <c r="G87" s="176"/>
      <c r="H87" s="176"/>
      <c r="I87" s="176"/>
      <c r="J87" s="176"/>
      <c r="K87" s="176"/>
      <c r="L87" s="176"/>
    </row>
    <row r="88" spans="1:12" s="135" customFormat="1" x14ac:dyDescent="0.2">
      <c r="A88" s="177"/>
      <c r="B88" s="178"/>
      <c r="C88" s="178"/>
      <c r="D88" s="178"/>
      <c r="E88" s="178"/>
    </row>
    <row r="89" spans="1:12" s="135" customFormat="1" x14ac:dyDescent="0.2">
      <c r="A89" s="177"/>
      <c r="B89" s="178"/>
      <c r="C89" s="178"/>
      <c r="D89" s="178"/>
      <c r="E89" s="178"/>
    </row>
    <row r="90" spans="1:12" x14ac:dyDescent="0.2">
      <c r="A90" s="177"/>
      <c r="B90" s="178"/>
      <c r="C90" s="178"/>
      <c r="D90" s="178"/>
      <c r="E90" s="178"/>
      <c r="F90" s="135"/>
    </row>
    <row r="91" spans="1:12" x14ac:dyDescent="0.2">
      <c r="A91" s="177"/>
      <c r="B91" s="178"/>
      <c r="C91" s="178"/>
      <c r="D91" s="178"/>
      <c r="E91" s="178"/>
      <c r="F91" s="135"/>
    </row>
    <row r="92" spans="1:12" x14ac:dyDescent="0.2">
      <c r="A92" s="177"/>
      <c r="B92" s="178"/>
      <c r="C92" s="178"/>
      <c r="D92" s="178"/>
      <c r="E92" s="178"/>
      <c r="F92" s="135"/>
    </row>
    <row r="93" spans="1:12" x14ac:dyDescent="0.2">
      <c r="A93" s="177"/>
      <c r="B93" s="178"/>
      <c r="C93" s="178"/>
      <c r="D93" s="178"/>
      <c r="E93" s="178"/>
      <c r="F93" s="135"/>
    </row>
    <row r="94" spans="1:12" x14ac:dyDescent="0.2">
      <c r="A94" s="177"/>
      <c r="B94" s="178"/>
      <c r="C94" s="178"/>
      <c r="D94" s="178"/>
      <c r="E94" s="178"/>
      <c r="F94" s="135"/>
    </row>
    <row r="95" spans="1:12" x14ac:dyDescent="0.2">
      <c r="A95" s="177"/>
      <c r="B95" s="178"/>
      <c r="C95" s="178"/>
      <c r="D95" s="178"/>
      <c r="E95" s="178"/>
      <c r="F95" s="135"/>
    </row>
    <row r="96" spans="1:12" x14ac:dyDescent="0.2">
      <c r="A96" s="177"/>
      <c r="B96" s="178"/>
      <c r="C96" s="178"/>
      <c r="D96" s="178"/>
      <c r="E96" s="178"/>
      <c r="F96" s="135"/>
    </row>
    <row r="97" spans="1:5" x14ac:dyDescent="0.2">
      <c r="A97" s="177"/>
      <c r="B97" s="178"/>
      <c r="C97" s="178"/>
      <c r="D97" s="178"/>
      <c r="E97" s="178"/>
    </row>
    <row r="98" spans="1:5" x14ac:dyDescent="0.2">
      <c r="A98" s="177"/>
      <c r="B98" s="178"/>
      <c r="C98" s="178"/>
      <c r="D98" s="178"/>
      <c r="E98" s="178"/>
    </row>
    <row r="99" spans="1:5" x14ac:dyDescent="0.2">
      <c r="A99" s="179"/>
      <c r="B99" s="180"/>
      <c r="C99" s="180"/>
      <c r="D99" s="180"/>
      <c r="E99" s="180"/>
    </row>
    <row r="100" spans="1:5" x14ac:dyDescent="0.2">
      <c r="A100" s="179"/>
      <c r="B100" s="180"/>
      <c r="C100" s="180"/>
      <c r="D100" s="180"/>
      <c r="E100" s="180"/>
    </row>
    <row r="101" spans="1:5" x14ac:dyDescent="0.2">
      <c r="A101" s="179"/>
      <c r="B101" s="180"/>
      <c r="C101" s="180"/>
      <c r="D101" s="180"/>
      <c r="E101" s="180"/>
    </row>
    <row r="102" spans="1:5" x14ac:dyDescent="0.2">
      <c r="A102" s="179"/>
      <c r="B102" s="180"/>
      <c r="C102" s="180"/>
      <c r="D102" s="180"/>
      <c r="E102" s="180"/>
    </row>
    <row r="103" spans="1:5" x14ac:dyDescent="0.2">
      <c r="A103" s="179"/>
      <c r="B103" s="180"/>
      <c r="C103" s="180"/>
      <c r="D103" s="180"/>
      <c r="E103" s="180"/>
    </row>
    <row r="104" spans="1:5" x14ac:dyDescent="0.2">
      <c r="A104" s="179"/>
      <c r="B104" s="180"/>
      <c r="C104" s="180"/>
      <c r="D104" s="180"/>
      <c r="E104" s="180"/>
    </row>
    <row r="105" spans="1:5" x14ac:dyDescent="0.2">
      <c r="A105" s="179"/>
      <c r="B105" s="180"/>
      <c r="C105" s="180"/>
      <c r="D105" s="180"/>
      <c r="E105" s="180"/>
    </row>
    <row r="106" spans="1:5" x14ac:dyDescent="0.2">
      <c r="A106" s="179"/>
      <c r="B106" s="180"/>
      <c r="C106" s="180"/>
      <c r="D106" s="180"/>
      <c r="E106" s="180"/>
    </row>
    <row r="107" spans="1:5" x14ac:dyDescent="0.2">
      <c r="A107" s="179"/>
      <c r="B107" s="180"/>
      <c r="C107" s="180"/>
      <c r="D107" s="180"/>
      <c r="E107" s="180"/>
    </row>
    <row r="108" spans="1:5" x14ac:dyDescent="0.2">
      <c r="A108" s="179"/>
      <c r="B108" s="180"/>
      <c r="C108" s="180"/>
      <c r="D108" s="180"/>
      <c r="E108" s="180"/>
    </row>
    <row r="109" spans="1:5" x14ac:dyDescent="0.2">
      <c r="A109" s="179"/>
      <c r="B109" s="180"/>
      <c r="C109" s="180"/>
      <c r="D109" s="180"/>
      <c r="E109" s="180"/>
    </row>
    <row r="110" spans="1:5" x14ac:dyDescent="0.2">
      <c r="A110" s="179"/>
      <c r="B110" s="180"/>
      <c r="C110" s="180"/>
      <c r="D110" s="180"/>
      <c r="E110" s="180"/>
    </row>
    <row r="111" spans="1:5" x14ac:dyDescent="0.2">
      <c r="A111" s="179"/>
      <c r="B111" s="180"/>
      <c r="C111" s="180"/>
      <c r="D111" s="180"/>
      <c r="E111" s="180"/>
    </row>
    <row r="112" spans="1:5" x14ac:dyDescent="0.2">
      <c r="A112" s="179"/>
      <c r="B112" s="180"/>
      <c r="C112" s="180"/>
      <c r="D112" s="180"/>
      <c r="E112" s="180"/>
    </row>
    <row r="113" spans="1:5" x14ac:dyDescent="0.2">
      <c r="A113" s="179"/>
      <c r="B113" s="180"/>
      <c r="C113" s="180"/>
      <c r="D113" s="180"/>
      <c r="E113" s="180"/>
    </row>
    <row r="114" spans="1:5" x14ac:dyDescent="0.2">
      <c r="A114" s="179"/>
      <c r="B114" s="180"/>
      <c r="C114" s="180"/>
      <c r="D114" s="180"/>
      <c r="E114" s="180"/>
    </row>
    <row r="115" spans="1:5" x14ac:dyDescent="0.2">
      <c r="A115" s="179"/>
      <c r="B115" s="180"/>
      <c r="C115" s="180"/>
      <c r="D115" s="180"/>
      <c r="E115" s="180"/>
    </row>
    <row r="116" spans="1:5" x14ac:dyDescent="0.2">
      <c r="A116" s="179"/>
      <c r="B116" s="180"/>
      <c r="C116" s="180"/>
      <c r="D116" s="180"/>
      <c r="E116" s="180"/>
    </row>
    <row r="117" spans="1:5" x14ac:dyDescent="0.2">
      <c r="A117" s="179"/>
      <c r="B117" s="180"/>
      <c r="C117" s="180"/>
      <c r="D117" s="180"/>
      <c r="E117" s="180"/>
    </row>
    <row r="118" spans="1:5" x14ac:dyDescent="0.2">
      <c r="A118" s="179"/>
      <c r="B118" s="180"/>
      <c r="C118" s="180"/>
      <c r="D118" s="180"/>
      <c r="E118" s="180"/>
    </row>
    <row r="119" spans="1:5" x14ac:dyDescent="0.2">
      <c r="A119" s="179"/>
      <c r="B119" s="180"/>
      <c r="C119" s="180"/>
      <c r="D119" s="180"/>
      <c r="E119" s="180"/>
    </row>
    <row r="120" spans="1:5" x14ac:dyDescent="0.2">
      <c r="A120" s="179"/>
      <c r="B120" s="180"/>
      <c r="C120" s="180"/>
      <c r="D120" s="180"/>
      <c r="E120" s="180"/>
    </row>
    <row r="121" spans="1:5" x14ac:dyDescent="0.2">
      <c r="A121" s="179"/>
      <c r="B121" s="180"/>
      <c r="C121" s="180"/>
      <c r="D121" s="180"/>
      <c r="E121" s="180"/>
    </row>
    <row r="122" spans="1:5" x14ac:dyDescent="0.2">
      <c r="A122" s="179"/>
      <c r="B122" s="180"/>
      <c r="C122" s="180"/>
      <c r="D122" s="180"/>
      <c r="E122" s="180"/>
    </row>
    <row r="123" spans="1:5" x14ac:dyDescent="0.2">
      <c r="A123" s="179"/>
      <c r="B123" s="180"/>
      <c r="C123" s="180"/>
      <c r="D123" s="180"/>
      <c r="E123" s="180"/>
    </row>
    <row r="124" spans="1:5" x14ac:dyDescent="0.2">
      <c r="A124" s="179"/>
      <c r="B124" s="180"/>
      <c r="C124" s="180"/>
      <c r="D124" s="180"/>
      <c r="E124" s="180"/>
    </row>
    <row r="125" spans="1:5" x14ac:dyDescent="0.2">
      <c r="A125" s="179"/>
      <c r="B125" s="180"/>
      <c r="C125" s="180"/>
      <c r="D125" s="180"/>
      <c r="E125" s="180"/>
    </row>
    <row r="126" spans="1:5" x14ac:dyDescent="0.2">
      <c r="A126" s="179"/>
      <c r="B126" s="180"/>
      <c r="C126" s="180"/>
      <c r="D126" s="180"/>
      <c r="E126" s="180"/>
    </row>
    <row r="127" spans="1:5" x14ac:dyDescent="0.2">
      <c r="A127" s="179"/>
      <c r="B127" s="180"/>
      <c r="C127" s="180"/>
      <c r="D127" s="180"/>
      <c r="E127" s="180"/>
    </row>
    <row r="128" spans="1:5" x14ac:dyDescent="0.2">
      <c r="A128" s="179"/>
      <c r="B128" s="180"/>
      <c r="C128" s="180"/>
      <c r="D128" s="180"/>
      <c r="E128" s="180"/>
    </row>
    <row r="129" spans="1:5" x14ac:dyDescent="0.2">
      <c r="A129" s="179"/>
      <c r="B129" s="180"/>
      <c r="C129" s="180"/>
      <c r="D129" s="180"/>
      <c r="E129" s="180"/>
    </row>
    <row r="130" spans="1:5" x14ac:dyDescent="0.2">
      <c r="A130" s="179"/>
      <c r="B130" s="180"/>
      <c r="C130" s="180"/>
      <c r="D130" s="180"/>
      <c r="E130" s="180"/>
    </row>
    <row r="131" spans="1:5" x14ac:dyDescent="0.2">
      <c r="A131" s="179"/>
      <c r="B131" s="180"/>
      <c r="C131" s="180"/>
      <c r="D131" s="180"/>
      <c r="E131" s="180"/>
    </row>
    <row r="132" spans="1:5" x14ac:dyDescent="0.2">
      <c r="A132" s="179"/>
      <c r="B132" s="180"/>
      <c r="C132" s="180"/>
      <c r="D132" s="180"/>
      <c r="E132" s="180"/>
    </row>
    <row r="133" spans="1:5" x14ac:dyDescent="0.2">
      <c r="A133" s="179"/>
      <c r="B133" s="180"/>
      <c r="C133" s="180"/>
      <c r="D133" s="180"/>
      <c r="E133" s="180"/>
    </row>
    <row r="134" spans="1:5" x14ac:dyDescent="0.2">
      <c r="A134" s="179"/>
      <c r="B134" s="180"/>
      <c r="C134" s="180"/>
      <c r="D134" s="180"/>
      <c r="E134" s="180"/>
    </row>
    <row r="135" spans="1:5" x14ac:dyDescent="0.2">
      <c r="A135" s="179"/>
      <c r="B135" s="180"/>
      <c r="C135" s="180"/>
      <c r="D135" s="180"/>
      <c r="E135" s="180"/>
    </row>
    <row r="136" spans="1:5" x14ac:dyDescent="0.2">
      <c r="A136" s="179"/>
      <c r="B136" s="180"/>
      <c r="C136" s="180"/>
      <c r="D136" s="180"/>
      <c r="E136" s="180"/>
    </row>
    <row r="137" spans="1:5" x14ac:dyDescent="0.2">
      <c r="A137" s="179"/>
      <c r="B137" s="180"/>
      <c r="C137" s="180"/>
      <c r="D137" s="180"/>
      <c r="E137" s="180"/>
    </row>
    <row r="138" spans="1:5" x14ac:dyDescent="0.2">
      <c r="A138" s="179"/>
      <c r="B138" s="180"/>
      <c r="C138" s="180"/>
      <c r="D138" s="180"/>
      <c r="E138" s="180"/>
    </row>
    <row r="139" spans="1:5" x14ac:dyDescent="0.2">
      <c r="A139" s="179"/>
      <c r="B139" s="180"/>
      <c r="C139" s="180"/>
      <c r="D139" s="180"/>
      <c r="E139" s="180"/>
    </row>
    <row r="140" spans="1:5" x14ac:dyDescent="0.2">
      <c r="A140" s="179"/>
      <c r="B140" s="180"/>
      <c r="C140" s="180"/>
      <c r="D140" s="180"/>
      <c r="E140" s="180"/>
    </row>
    <row r="141" spans="1:5" x14ac:dyDescent="0.2">
      <c r="A141" s="179"/>
      <c r="B141" s="180"/>
      <c r="C141" s="180"/>
      <c r="D141" s="180"/>
      <c r="E141" s="180"/>
    </row>
    <row r="142" spans="1:5" x14ac:dyDescent="0.2">
      <c r="A142" s="179"/>
      <c r="B142" s="180"/>
      <c r="C142" s="180"/>
      <c r="D142" s="180"/>
      <c r="E142" s="180"/>
    </row>
    <row r="143" spans="1:5" x14ac:dyDescent="0.2">
      <c r="A143" s="179"/>
      <c r="B143" s="180"/>
      <c r="C143" s="180"/>
      <c r="D143" s="180"/>
      <c r="E143" s="180"/>
    </row>
    <row r="144" spans="1:5" x14ac:dyDescent="0.2">
      <c r="A144" s="179"/>
      <c r="B144" s="180"/>
      <c r="C144" s="180"/>
      <c r="D144" s="180"/>
      <c r="E144" s="180"/>
    </row>
    <row r="145" spans="1:5" x14ac:dyDescent="0.2">
      <c r="A145" s="179"/>
      <c r="B145" s="180"/>
      <c r="C145" s="180"/>
      <c r="D145" s="180"/>
      <c r="E145" s="180"/>
    </row>
    <row r="146" spans="1:5" x14ac:dyDescent="0.2">
      <c r="A146" s="179"/>
      <c r="B146" s="180"/>
      <c r="C146" s="180"/>
      <c r="D146" s="180"/>
      <c r="E146" s="180"/>
    </row>
    <row r="147" spans="1:5" x14ac:dyDescent="0.2">
      <c r="A147" s="179"/>
      <c r="B147" s="180"/>
      <c r="C147" s="180"/>
      <c r="D147" s="180"/>
      <c r="E147" s="180"/>
    </row>
    <row r="148" spans="1:5" x14ac:dyDescent="0.2">
      <c r="A148" s="179"/>
      <c r="B148" s="180"/>
      <c r="C148" s="180"/>
      <c r="D148" s="180"/>
      <c r="E148" s="180"/>
    </row>
    <row r="149" spans="1:5" x14ac:dyDescent="0.2">
      <c r="A149" s="179"/>
      <c r="B149" s="180"/>
      <c r="C149" s="180"/>
      <c r="D149" s="180"/>
      <c r="E149" s="180"/>
    </row>
    <row r="150" spans="1:5" x14ac:dyDescent="0.2">
      <c r="A150" s="179"/>
      <c r="B150" s="180"/>
      <c r="C150" s="180"/>
      <c r="D150" s="180"/>
      <c r="E150" s="180"/>
    </row>
    <row r="151" spans="1:5" x14ac:dyDescent="0.2">
      <c r="A151" s="179"/>
      <c r="B151" s="180"/>
      <c r="C151" s="180"/>
      <c r="D151" s="180"/>
      <c r="E151" s="180"/>
    </row>
    <row r="152" spans="1:5" x14ac:dyDescent="0.2">
      <c r="A152" s="179"/>
      <c r="B152" s="180"/>
      <c r="C152" s="180"/>
      <c r="D152" s="180"/>
      <c r="E152" s="180"/>
    </row>
    <row r="153" spans="1:5" x14ac:dyDescent="0.2">
      <c r="A153" s="179"/>
      <c r="B153" s="180"/>
      <c r="C153" s="180"/>
      <c r="D153" s="180"/>
      <c r="E153" s="180"/>
    </row>
    <row r="154" spans="1:5" x14ac:dyDescent="0.2">
      <c r="A154" s="179"/>
      <c r="B154" s="180"/>
      <c r="C154" s="180"/>
      <c r="D154" s="180"/>
      <c r="E154" s="180"/>
    </row>
    <row r="155" spans="1:5" x14ac:dyDescent="0.2">
      <c r="A155" s="179"/>
      <c r="B155" s="180"/>
      <c r="C155" s="180"/>
      <c r="D155" s="180"/>
      <c r="E155" s="180"/>
    </row>
    <row r="156" spans="1:5" x14ac:dyDescent="0.2">
      <c r="A156" s="179"/>
      <c r="B156" s="180"/>
      <c r="C156" s="180"/>
      <c r="D156" s="180"/>
      <c r="E156" s="180"/>
    </row>
    <row r="157" spans="1:5" x14ac:dyDescent="0.2">
      <c r="A157" s="179"/>
      <c r="B157" s="180"/>
      <c r="C157" s="180"/>
      <c r="D157" s="180"/>
      <c r="E157" s="180"/>
    </row>
    <row r="158" spans="1:5" x14ac:dyDescent="0.2">
      <c r="A158" s="179"/>
      <c r="B158" s="180"/>
      <c r="C158" s="180"/>
      <c r="D158" s="180"/>
      <c r="E158" s="180"/>
    </row>
    <row r="159" spans="1:5" x14ac:dyDescent="0.2">
      <c r="A159" s="179"/>
      <c r="B159" s="180"/>
      <c r="C159" s="180"/>
      <c r="D159" s="180"/>
      <c r="E159" s="180"/>
    </row>
    <row r="160" spans="1:5" x14ac:dyDescent="0.2">
      <c r="A160" s="179"/>
      <c r="B160" s="180"/>
      <c r="C160" s="180"/>
      <c r="D160" s="180"/>
      <c r="E160" s="180"/>
    </row>
    <row r="161" spans="1:5" x14ac:dyDescent="0.2">
      <c r="A161" s="179"/>
      <c r="B161" s="180"/>
      <c r="C161" s="180"/>
      <c r="D161" s="180"/>
      <c r="E161" s="180"/>
    </row>
    <row r="162" spans="1:5" x14ac:dyDescent="0.2">
      <c r="A162" s="179"/>
      <c r="B162" s="180"/>
      <c r="C162" s="180"/>
      <c r="D162" s="180"/>
      <c r="E162" s="180"/>
    </row>
    <row r="163" spans="1:5" x14ac:dyDescent="0.2">
      <c r="A163" s="179"/>
      <c r="B163" s="180"/>
      <c r="C163" s="180"/>
      <c r="D163" s="180"/>
      <c r="E163" s="180"/>
    </row>
    <row r="164" spans="1:5" x14ac:dyDescent="0.2">
      <c r="A164" s="179"/>
      <c r="B164" s="180"/>
      <c r="C164" s="180"/>
      <c r="D164" s="180"/>
      <c r="E164" s="180"/>
    </row>
    <row r="165" spans="1:5" x14ac:dyDescent="0.2">
      <c r="A165" s="179"/>
      <c r="B165" s="180"/>
      <c r="C165" s="180"/>
      <c r="D165" s="180"/>
      <c r="E165" s="180"/>
    </row>
    <row r="166" spans="1:5" x14ac:dyDescent="0.2">
      <c r="A166" s="179"/>
      <c r="B166" s="180"/>
      <c r="C166" s="180"/>
      <c r="D166" s="180"/>
      <c r="E166" s="180"/>
    </row>
    <row r="167" spans="1:5" x14ac:dyDescent="0.2">
      <c r="A167" s="179"/>
      <c r="B167" s="180"/>
      <c r="C167" s="180"/>
      <c r="D167" s="180"/>
      <c r="E167" s="180"/>
    </row>
    <row r="168" spans="1:5" x14ac:dyDescent="0.2">
      <c r="A168" s="179"/>
      <c r="B168" s="180"/>
      <c r="C168" s="180"/>
      <c r="D168" s="180"/>
      <c r="E168" s="180"/>
    </row>
    <row r="169" spans="1:5" x14ac:dyDescent="0.2">
      <c r="A169" s="179"/>
      <c r="B169" s="180"/>
      <c r="C169" s="180"/>
      <c r="D169" s="180"/>
      <c r="E169" s="180"/>
    </row>
    <row r="170" spans="1:5" x14ac:dyDescent="0.2">
      <c r="A170" s="179"/>
      <c r="B170" s="180"/>
      <c r="C170" s="180"/>
      <c r="D170" s="180"/>
      <c r="E170" s="180"/>
    </row>
    <row r="171" spans="1:5" x14ac:dyDescent="0.2">
      <c r="A171" s="179"/>
      <c r="B171" s="180"/>
      <c r="C171" s="180"/>
      <c r="D171" s="180"/>
      <c r="E171" s="180"/>
    </row>
  </sheetData>
  <mergeCells count="22">
    <mergeCell ref="A1:E1"/>
    <mergeCell ref="A2:E2"/>
    <mergeCell ref="A3:E3"/>
    <mergeCell ref="A4:E4"/>
    <mergeCell ref="A5:E5"/>
    <mergeCell ref="A6:E6"/>
    <mergeCell ref="A7:E7"/>
    <mergeCell ref="A8:E8"/>
    <mergeCell ref="A9:E9"/>
    <mergeCell ref="A14:A19"/>
    <mergeCell ref="C14:C15"/>
    <mergeCell ref="A22:A25"/>
    <mergeCell ref="C22:C23"/>
    <mergeCell ref="A27:A28"/>
    <mergeCell ref="A62:A65"/>
    <mergeCell ref="C62:C63"/>
    <mergeCell ref="C81:C82"/>
    <mergeCell ref="A66:A67"/>
    <mergeCell ref="A69:A72"/>
    <mergeCell ref="A73:A75"/>
    <mergeCell ref="A78:A80"/>
    <mergeCell ref="A81:A83"/>
  </mergeCells>
  <pageMargins left="0.23622047244094491" right="0.23622047244094491" top="0.74803149606299213" bottom="0.74803149606299213" header="0.31496062992125984" footer="0.31496062992125984"/>
  <pageSetup paperSize="9" scale="92"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F151"/>
  <sheetViews>
    <sheetView workbookViewId="0">
      <selection activeCell="G102" sqref="G102"/>
    </sheetView>
  </sheetViews>
  <sheetFormatPr defaultRowHeight="11.25" x14ac:dyDescent="0.2"/>
  <cols>
    <col min="1" max="1" width="4.42578125" style="181" customWidth="1"/>
    <col min="2" max="2" width="22.85546875" style="181" customWidth="1"/>
    <col min="3" max="3" width="20.5703125" style="181" customWidth="1"/>
    <col min="4" max="4" width="26" style="181" customWidth="1"/>
    <col min="5" max="5" width="21.28515625" style="181" customWidth="1"/>
    <col min="6" max="6" width="5.28515625" style="181" hidden="1" customWidth="1"/>
    <col min="7" max="254" width="9.140625" style="181"/>
    <col min="255" max="255" width="4.42578125" style="181" customWidth="1"/>
    <col min="256" max="256" width="34.28515625" style="181" customWidth="1"/>
    <col min="257" max="257" width="10.42578125" style="181" customWidth="1"/>
    <col min="258" max="258" width="6.5703125" style="181" customWidth="1"/>
    <col min="259" max="259" width="7.7109375" style="181" customWidth="1"/>
    <col min="260" max="260" width="17.5703125" style="181" customWidth="1"/>
    <col min="261" max="261" width="10.85546875" style="181" bestFit="1" customWidth="1"/>
    <col min="262" max="510" width="9.140625" style="181"/>
    <col min="511" max="511" width="4.42578125" style="181" customWidth="1"/>
    <col min="512" max="512" width="34.28515625" style="181" customWidth="1"/>
    <col min="513" max="513" width="10.42578125" style="181" customWidth="1"/>
    <col min="514" max="514" width="6.5703125" style="181" customWidth="1"/>
    <col min="515" max="515" width="7.7109375" style="181" customWidth="1"/>
    <col min="516" max="516" width="17.5703125" style="181" customWidth="1"/>
    <col min="517" max="517" width="10.85546875" style="181" bestFit="1" customWidth="1"/>
    <col min="518" max="766" width="9.140625" style="181"/>
    <col min="767" max="767" width="4.42578125" style="181" customWidth="1"/>
    <col min="768" max="768" width="34.28515625" style="181" customWidth="1"/>
    <col min="769" max="769" width="10.42578125" style="181" customWidth="1"/>
    <col min="770" max="770" width="6.5703125" style="181" customWidth="1"/>
    <col min="771" max="771" width="7.7109375" style="181" customWidth="1"/>
    <col min="772" max="772" width="17.5703125" style="181" customWidth="1"/>
    <col min="773" max="773" width="10.85546875" style="181" bestFit="1" customWidth="1"/>
    <col min="774" max="1022" width="9.140625" style="181"/>
    <col min="1023" max="1023" width="4.42578125" style="181" customWidth="1"/>
    <col min="1024" max="1024" width="34.28515625" style="181" customWidth="1"/>
    <col min="1025" max="1025" width="10.42578125" style="181" customWidth="1"/>
    <col min="1026" max="1026" width="6.5703125" style="181" customWidth="1"/>
    <col min="1027" max="1027" width="7.7109375" style="181" customWidth="1"/>
    <col min="1028" max="1028" width="17.5703125" style="181" customWidth="1"/>
    <col min="1029" max="1029" width="10.85546875" style="181" bestFit="1" customWidth="1"/>
    <col min="1030" max="1278" width="9.140625" style="181"/>
    <col min="1279" max="1279" width="4.42578125" style="181" customWidth="1"/>
    <col min="1280" max="1280" width="34.28515625" style="181" customWidth="1"/>
    <col min="1281" max="1281" width="10.42578125" style="181" customWidth="1"/>
    <col min="1282" max="1282" width="6.5703125" style="181" customWidth="1"/>
    <col min="1283" max="1283" width="7.7109375" style="181" customWidth="1"/>
    <col min="1284" max="1284" width="17.5703125" style="181" customWidth="1"/>
    <col min="1285" max="1285" width="10.85546875" style="181" bestFit="1" customWidth="1"/>
    <col min="1286" max="1534" width="9.140625" style="181"/>
    <col min="1535" max="1535" width="4.42578125" style="181" customWidth="1"/>
    <col min="1536" max="1536" width="34.28515625" style="181" customWidth="1"/>
    <col min="1537" max="1537" width="10.42578125" style="181" customWidth="1"/>
    <col min="1538" max="1538" width="6.5703125" style="181" customWidth="1"/>
    <col min="1539" max="1539" width="7.7109375" style="181" customWidth="1"/>
    <col min="1540" max="1540" width="17.5703125" style="181" customWidth="1"/>
    <col min="1541" max="1541" width="10.85546875" style="181" bestFit="1" customWidth="1"/>
    <col min="1542" max="1790" width="9.140625" style="181"/>
    <col min="1791" max="1791" width="4.42578125" style="181" customWidth="1"/>
    <col min="1792" max="1792" width="34.28515625" style="181" customWidth="1"/>
    <col min="1793" max="1793" width="10.42578125" style="181" customWidth="1"/>
    <col min="1794" max="1794" width="6.5703125" style="181" customWidth="1"/>
    <col min="1795" max="1795" width="7.7109375" style="181" customWidth="1"/>
    <col min="1796" max="1796" width="17.5703125" style="181" customWidth="1"/>
    <col min="1797" max="1797" width="10.85546875" style="181" bestFit="1" customWidth="1"/>
    <col min="1798" max="2046" width="9.140625" style="181"/>
    <col min="2047" max="2047" width="4.42578125" style="181" customWidth="1"/>
    <col min="2048" max="2048" width="34.28515625" style="181" customWidth="1"/>
    <col min="2049" max="2049" width="10.42578125" style="181" customWidth="1"/>
    <col min="2050" max="2050" width="6.5703125" style="181" customWidth="1"/>
    <col min="2051" max="2051" width="7.7109375" style="181" customWidth="1"/>
    <col min="2052" max="2052" width="17.5703125" style="181" customWidth="1"/>
    <col min="2053" max="2053" width="10.85546875" style="181" bestFit="1" customWidth="1"/>
    <col min="2054" max="2302" width="9.140625" style="181"/>
    <col min="2303" max="2303" width="4.42578125" style="181" customWidth="1"/>
    <col min="2304" max="2304" width="34.28515625" style="181" customWidth="1"/>
    <col min="2305" max="2305" width="10.42578125" style="181" customWidth="1"/>
    <col min="2306" max="2306" width="6.5703125" style="181" customWidth="1"/>
    <col min="2307" max="2307" width="7.7109375" style="181" customWidth="1"/>
    <col min="2308" max="2308" width="17.5703125" style="181" customWidth="1"/>
    <col min="2309" max="2309" width="10.85546875" style="181" bestFit="1" customWidth="1"/>
    <col min="2310" max="2558" width="9.140625" style="181"/>
    <col min="2559" max="2559" width="4.42578125" style="181" customWidth="1"/>
    <col min="2560" max="2560" width="34.28515625" style="181" customWidth="1"/>
    <col min="2561" max="2561" width="10.42578125" style="181" customWidth="1"/>
    <col min="2562" max="2562" width="6.5703125" style="181" customWidth="1"/>
    <col min="2563" max="2563" width="7.7109375" style="181" customWidth="1"/>
    <col min="2564" max="2564" width="17.5703125" style="181" customWidth="1"/>
    <col min="2565" max="2565" width="10.85546875" style="181" bestFit="1" customWidth="1"/>
    <col min="2566" max="2814" width="9.140625" style="181"/>
    <col min="2815" max="2815" width="4.42578125" style="181" customWidth="1"/>
    <col min="2816" max="2816" width="34.28515625" style="181" customWidth="1"/>
    <col min="2817" max="2817" width="10.42578125" style="181" customWidth="1"/>
    <col min="2818" max="2818" width="6.5703125" style="181" customWidth="1"/>
    <col min="2819" max="2819" width="7.7109375" style="181" customWidth="1"/>
    <col min="2820" max="2820" width="17.5703125" style="181" customWidth="1"/>
    <col min="2821" max="2821" width="10.85546875" style="181" bestFit="1" customWidth="1"/>
    <col min="2822" max="3070" width="9.140625" style="181"/>
    <col min="3071" max="3071" width="4.42578125" style="181" customWidth="1"/>
    <col min="3072" max="3072" width="34.28515625" style="181" customWidth="1"/>
    <col min="3073" max="3073" width="10.42578125" style="181" customWidth="1"/>
    <col min="3074" max="3074" width="6.5703125" style="181" customWidth="1"/>
    <col min="3075" max="3075" width="7.7109375" style="181" customWidth="1"/>
    <col min="3076" max="3076" width="17.5703125" style="181" customWidth="1"/>
    <col min="3077" max="3077" width="10.85546875" style="181" bestFit="1" customWidth="1"/>
    <col min="3078" max="3326" width="9.140625" style="181"/>
    <col min="3327" max="3327" width="4.42578125" style="181" customWidth="1"/>
    <col min="3328" max="3328" width="34.28515625" style="181" customWidth="1"/>
    <col min="3329" max="3329" width="10.42578125" style="181" customWidth="1"/>
    <col min="3330" max="3330" width="6.5703125" style="181" customWidth="1"/>
    <col min="3331" max="3331" width="7.7109375" style="181" customWidth="1"/>
    <col min="3332" max="3332" width="17.5703125" style="181" customWidth="1"/>
    <col min="3333" max="3333" width="10.85546875" style="181" bestFit="1" customWidth="1"/>
    <col min="3334" max="3582" width="9.140625" style="181"/>
    <col min="3583" max="3583" width="4.42578125" style="181" customWidth="1"/>
    <col min="3584" max="3584" width="34.28515625" style="181" customWidth="1"/>
    <col min="3585" max="3585" width="10.42578125" style="181" customWidth="1"/>
    <col min="3586" max="3586" width="6.5703125" style="181" customWidth="1"/>
    <col min="3587" max="3587" width="7.7109375" style="181" customWidth="1"/>
    <col min="3588" max="3588" width="17.5703125" style="181" customWidth="1"/>
    <col min="3589" max="3589" width="10.85546875" style="181" bestFit="1" customWidth="1"/>
    <col min="3590" max="3838" width="9.140625" style="181"/>
    <col min="3839" max="3839" width="4.42578125" style="181" customWidth="1"/>
    <col min="3840" max="3840" width="34.28515625" style="181" customWidth="1"/>
    <col min="3841" max="3841" width="10.42578125" style="181" customWidth="1"/>
    <col min="3842" max="3842" width="6.5703125" style="181" customWidth="1"/>
    <col min="3843" max="3843" width="7.7109375" style="181" customWidth="1"/>
    <col min="3844" max="3844" width="17.5703125" style="181" customWidth="1"/>
    <col min="3845" max="3845" width="10.85546875" style="181" bestFit="1" customWidth="1"/>
    <col min="3846" max="4094" width="9.140625" style="181"/>
    <col min="4095" max="4095" width="4.42578125" style="181" customWidth="1"/>
    <col min="4096" max="4096" width="34.28515625" style="181" customWidth="1"/>
    <col min="4097" max="4097" width="10.42578125" style="181" customWidth="1"/>
    <col min="4098" max="4098" width="6.5703125" style="181" customWidth="1"/>
    <col min="4099" max="4099" width="7.7109375" style="181" customWidth="1"/>
    <col min="4100" max="4100" width="17.5703125" style="181" customWidth="1"/>
    <col min="4101" max="4101" width="10.85546875" style="181" bestFit="1" customWidth="1"/>
    <col min="4102" max="4350" width="9.140625" style="181"/>
    <col min="4351" max="4351" width="4.42578125" style="181" customWidth="1"/>
    <col min="4352" max="4352" width="34.28515625" style="181" customWidth="1"/>
    <col min="4353" max="4353" width="10.42578125" style="181" customWidth="1"/>
    <col min="4354" max="4354" width="6.5703125" style="181" customWidth="1"/>
    <col min="4355" max="4355" width="7.7109375" style="181" customWidth="1"/>
    <col min="4356" max="4356" width="17.5703125" style="181" customWidth="1"/>
    <col min="4357" max="4357" width="10.85546875" style="181" bestFit="1" customWidth="1"/>
    <col min="4358" max="4606" width="9.140625" style="181"/>
    <col min="4607" max="4607" width="4.42578125" style="181" customWidth="1"/>
    <col min="4608" max="4608" width="34.28515625" style="181" customWidth="1"/>
    <col min="4609" max="4609" width="10.42578125" style="181" customWidth="1"/>
    <col min="4610" max="4610" width="6.5703125" style="181" customWidth="1"/>
    <col min="4611" max="4611" width="7.7109375" style="181" customWidth="1"/>
    <col min="4612" max="4612" width="17.5703125" style="181" customWidth="1"/>
    <col min="4613" max="4613" width="10.85546875" style="181" bestFit="1" customWidth="1"/>
    <col min="4614" max="4862" width="9.140625" style="181"/>
    <col min="4863" max="4863" width="4.42578125" style="181" customWidth="1"/>
    <col min="4864" max="4864" width="34.28515625" style="181" customWidth="1"/>
    <col min="4865" max="4865" width="10.42578125" style="181" customWidth="1"/>
    <col min="4866" max="4866" width="6.5703125" style="181" customWidth="1"/>
    <col min="4867" max="4867" width="7.7109375" style="181" customWidth="1"/>
    <col min="4868" max="4868" width="17.5703125" style="181" customWidth="1"/>
    <col min="4869" max="4869" width="10.85546875" style="181" bestFit="1" customWidth="1"/>
    <col min="4870" max="5118" width="9.140625" style="181"/>
    <col min="5119" max="5119" width="4.42578125" style="181" customWidth="1"/>
    <col min="5120" max="5120" width="34.28515625" style="181" customWidth="1"/>
    <col min="5121" max="5121" width="10.42578125" style="181" customWidth="1"/>
    <col min="5122" max="5122" width="6.5703125" style="181" customWidth="1"/>
    <col min="5123" max="5123" width="7.7109375" style="181" customWidth="1"/>
    <col min="5124" max="5124" width="17.5703125" style="181" customWidth="1"/>
    <col min="5125" max="5125" width="10.85546875" style="181" bestFit="1" customWidth="1"/>
    <col min="5126" max="5374" width="9.140625" style="181"/>
    <col min="5375" max="5375" width="4.42578125" style="181" customWidth="1"/>
    <col min="5376" max="5376" width="34.28515625" style="181" customWidth="1"/>
    <col min="5377" max="5377" width="10.42578125" style="181" customWidth="1"/>
    <col min="5378" max="5378" width="6.5703125" style="181" customWidth="1"/>
    <col min="5379" max="5379" width="7.7109375" style="181" customWidth="1"/>
    <col min="5380" max="5380" width="17.5703125" style="181" customWidth="1"/>
    <col min="5381" max="5381" width="10.85546875" style="181" bestFit="1" customWidth="1"/>
    <col min="5382" max="5630" width="9.140625" style="181"/>
    <col min="5631" max="5631" width="4.42578125" style="181" customWidth="1"/>
    <col min="5632" max="5632" width="34.28515625" style="181" customWidth="1"/>
    <col min="5633" max="5633" width="10.42578125" style="181" customWidth="1"/>
    <col min="5634" max="5634" width="6.5703125" style="181" customWidth="1"/>
    <col min="5635" max="5635" width="7.7109375" style="181" customWidth="1"/>
    <col min="5636" max="5636" width="17.5703125" style="181" customWidth="1"/>
    <col min="5637" max="5637" width="10.85546875" style="181" bestFit="1" customWidth="1"/>
    <col min="5638" max="5886" width="9.140625" style="181"/>
    <col min="5887" max="5887" width="4.42578125" style="181" customWidth="1"/>
    <col min="5888" max="5888" width="34.28515625" style="181" customWidth="1"/>
    <col min="5889" max="5889" width="10.42578125" style="181" customWidth="1"/>
    <col min="5890" max="5890" width="6.5703125" style="181" customWidth="1"/>
    <col min="5891" max="5891" width="7.7109375" style="181" customWidth="1"/>
    <col min="5892" max="5892" width="17.5703125" style="181" customWidth="1"/>
    <col min="5893" max="5893" width="10.85546875" style="181" bestFit="1" customWidth="1"/>
    <col min="5894" max="6142" width="9.140625" style="181"/>
    <col min="6143" max="6143" width="4.42578125" style="181" customWidth="1"/>
    <col min="6144" max="6144" width="34.28515625" style="181" customWidth="1"/>
    <col min="6145" max="6145" width="10.42578125" style="181" customWidth="1"/>
    <col min="6146" max="6146" width="6.5703125" style="181" customWidth="1"/>
    <col min="6147" max="6147" width="7.7109375" style="181" customWidth="1"/>
    <col min="6148" max="6148" width="17.5703125" style="181" customWidth="1"/>
    <col min="6149" max="6149" width="10.85546875" style="181" bestFit="1" customWidth="1"/>
    <col min="6150" max="6398" width="9.140625" style="181"/>
    <col min="6399" max="6399" width="4.42578125" style="181" customWidth="1"/>
    <col min="6400" max="6400" width="34.28515625" style="181" customWidth="1"/>
    <col min="6401" max="6401" width="10.42578125" style="181" customWidth="1"/>
    <col min="6402" max="6402" width="6.5703125" style="181" customWidth="1"/>
    <col min="6403" max="6403" width="7.7109375" style="181" customWidth="1"/>
    <col min="6404" max="6404" width="17.5703125" style="181" customWidth="1"/>
    <col min="6405" max="6405" width="10.85546875" style="181" bestFit="1" customWidth="1"/>
    <col min="6406" max="6654" width="9.140625" style="181"/>
    <col min="6655" max="6655" width="4.42578125" style="181" customWidth="1"/>
    <col min="6656" max="6656" width="34.28515625" style="181" customWidth="1"/>
    <col min="6657" max="6657" width="10.42578125" style="181" customWidth="1"/>
    <col min="6658" max="6658" width="6.5703125" style="181" customWidth="1"/>
    <col min="6659" max="6659" width="7.7109375" style="181" customWidth="1"/>
    <col min="6660" max="6660" width="17.5703125" style="181" customWidth="1"/>
    <col min="6661" max="6661" width="10.85546875" style="181" bestFit="1" customWidth="1"/>
    <col min="6662" max="6910" width="9.140625" style="181"/>
    <col min="6911" max="6911" width="4.42578125" style="181" customWidth="1"/>
    <col min="6912" max="6912" width="34.28515625" style="181" customWidth="1"/>
    <col min="6913" max="6913" width="10.42578125" style="181" customWidth="1"/>
    <col min="6914" max="6914" width="6.5703125" style="181" customWidth="1"/>
    <col min="6915" max="6915" width="7.7109375" style="181" customWidth="1"/>
    <col min="6916" max="6916" width="17.5703125" style="181" customWidth="1"/>
    <col min="6917" max="6917" width="10.85546875" style="181" bestFit="1" customWidth="1"/>
    <col min="6918" max="7166" width="9.140625" style="181"/>
    <col min="7167" max="7167" width="4.42578125" style="181" customWidth="1"/>
    <col min="7168" max="7168" width="34.28515625" style="181" customWidth="1"/>
    <col min="7169" max="7169" width="10.42578125" style="181" customWidth="1"/>
    <col min="7170" max="7170" width="6.5703125" style="181" customWidth="1"/>
    <col min="7171" max="7171" width="7.7109375" style="181" customWidth="1"/>
    <col min="7172" max="7172" width="17.5703125" style="181" customWidth="1"/>
    <col min="7173" max="7173" width="10.85546875" style="181" bestFit="1" customWidth="1"/>
    <col min="7174" max="7422" width="9.140625" style="181"/>
    <col min="7423" max="7423" width="4.42578125" style="181" customWidth="1"/>
    <col min="7424" max="7424" width="34.28515625" style="181" customWidth="1"/>
    <col min="7425" max="7425" width="10.42578125" style="181" customWidth="1"/>
    <col min="7426" max="7426" width="6.5703125" style="181" customWidth="1"/>
    <col min="7427" max="7427" width="7.7109375" style="181" customWidth="1"/>
    <col min="7428" max="7428" width="17.5703125" style="181" customWidth="1"/>
    <col min="7429" max="7429" width="10.85546875" style="181" bestFit="1" customWidth="1"/>
    <col min="7430" max="7678" width="9.140625" style="181"/>
    <col min="7679" max="7679" width="4.42578125" style="181" customWidth="1"/>
    <col min="7680" max="7680" width="34.28515625" style="181" customWidth="1"/>
    <col min="7681" max="7681" width="10.42578125" style="181" customWidth="1"/>
    <col min="7682" max="7682" width="6.5703125" style="181" customWidth="1"/>
    <col min="7683" max="7683" width="7.7109375" style="181" customWidth="1"/>
    <col min="7684" max="7684" width="17.5703125" style="181" customWidth="1"/>
    <col min="7685" max="7685" width="10.85546875" style="181" bestFit="1" customWidth="1"/>
    <col min="7686" max="7934" width="9.140625" style="181"/>
    <col min="7935" max="7935" width="4.42578125" style="181" customWidth="1"/>
    <col min="7936" max="7936" width="34.28515625" style="181" customWidth="1"/>
    <col min="7937" max="7937" width="10.42578125" style="181" customWidth="1"/>
    <col min="7938" max="7938" width="6.5703125" style="181" customWidth="1"/>
    <col min="7939" max="7939" width="7.7109375" style="181" customWidth="1"/>
    <col min="7940" max="7940" width="17.5703125" style="181" customWidth="1"/>
    <col min="7941" max="7941" width="10.85546875" style="181" bestFit="1" customWidth="1"/>
    <col min="7942" max="8190" width="9.140625" style="181"/>
    <col min="8191" max="8191" width="4.42578125" style="181" customWidth="1"/>
    <col min="8192" max="8192" width="34.28515625" style="181" customWidth="1"/>
    <col min="8193" max="8193" width="10.42578125" style="181" customWidth="1"/>
    <col min="8194" max="8194" width="6.5703125" style="181" customWidth="1"/>
    <col min="8195" max="8195" width="7.7109375" style="181" customWidth="1"/>
    <col min="8196" max="8196" width="17.5703125" style="181" customWidth="1"/>
    <col min="8197" max="8197" width="10.85546875" style="181" bestFit="1" customWidth="1"/>
    <col min="8198" max="8446" width="9.140625" style="181"/>
    <col min="8447" max="8447" width="4.42578125" style="181" customWidth="1"/>
    <col min="8448" max="8448" width="34.28515625" style="181" customWidth="1"/>
    <col min="8449" max="8449" width="10.42578125" style="181" customWidth="1"/>
    <col min="8450" max="8450" width="6.5703125" style="181" customWidth="1"/>
    <col min="8451" max="8451" width="7.7109375" style="181" customWidth="1"/>
    <col min="8452" max="8452" width="17.5703125" style="181" customWidth="1"/>
    <col min="8453" max="8453" width="10.85546875" style="181" bestFit="1" customWidth="1"/>
    <col min="8454" max="8702" width="9.140625" style="181"/>
    <col min="8703" max="8703" width="4.42578125" style="181" customWidth="1"/>
    <col min="8704" max="8704" width="34.28515625" style="181" customWidth="1"/>
    <col min="8705" max="8705" width="10.42578125" style="181" customWidth="1"/>
    <col min="8706" max="8706" width="6.5703125" style="181" customWidth="1"/>
    <col min="8707" max="8707" width="7.7109375" style="181" customWidth="1"/>
    <col min="8708" max="8708" width="17.5703125" style="181" customWidth="1"/>
    <col min="8709" max="8709" width="10.85546875" style="181" bestFit="1" customWidth="1"/>
    <col min="8710" max="8958" width="9.140625" style="181"/>
    <col min="8959" max="8959" width="4.42578125" style="181" customWidth="1"/>
    <col min="8960" max="8960" width="34.28515625" style="181" customWidth="1"/>
    <col min="8961" max="8961" width="10.42578125" style="181" customWidth="1"/>
    <col min="8962" max="8962" width="6.5703125" style="181" customWidth="1"/>
    <col min="8963" max="8963" width="7.7109375" style="181" customWidth="1"/>
    <col min="8964" max="8964" width="17.5703125" style="181" customWidth="1"/>
    <col min="8965" max="8965" width="10.85546875" style="181" bestFit="1" customWidth="1"/>
    <col min="8966" max="9214" width="9.140625" style="181"/>
    <col min="9215" max="9215" width="4.42578125" style="181" customWidth="1"/>
    <col min="9216" max="9216" width="34.28515625" style="181" customWidth="1"/>
    <col min="9217" max="9217" width="10.42578125" style="181" customWidth="1"/>
    <col min="9218" max="9218" width="6.5703125" style="181" customWidth="1"/>
    <col min="9219" max="9219" width="7.7109375" style="181" customWidth="1"/>
    <col min="9220" max="9220" width="17.5703125" style="181" customWidth="1"/>
    <col min="9221" max="9221" width="10.85546875" style="181" bestFit="1" customWidth="1"/>
    <col min="9222" max="9470" width="9.140625" style="181"/>
    <col min="9471" max="9471" width="4.42578125" style="181" customWidth="1"/>
    <col min="9472" max="9472" width="34.28515625" style="181" customWidth="1"/>
    <col min="9473" max="9473" width="10.42578125" style="181" customWidth="1"/>
    <col min="9474" max="9474" width="6.5703125" style="181" customWidth="1"/>
    <col min="9475" max="9475" width="7.7109375" style="181" customWidth="1"/>
    <col min="9476" max="9476" width="17.5703125" style="181" customWidth="1"/>
    <col min="9477" max="9477" width="10.85546875" style="181" bestFit="1" customWidth="1"/>
    <col min="9478" max="9726" width="9.140625" style="181"/>
    <col min="9727" max="9727" width="4.42578125" style="181" customWidth="1"/>
    <col min="9728" max="9728" width="34.28515625" style="181" customWidth="1"/>
    <col min="9729" max="9729" width="10.42578125" style="181" customWidth="1"/>
    <col min="9730" max="9730" width="6.5703125" style="181" customWidth="1"/>
    <col min="9731" max="9731" width="7.7109375" style="181" customWidth="1"/>
    <col min="9732" max="9732" width="17.5703125" style="181" customWidth="1"/>
    <col min="9733" max="9733" width="10.85546875" style="181" bestFit="1" customWidth="1"/>
    <col min="9734" max="9982" width="9.140625" style="181"/>
    <col min="9983" max="9983" width="4.42578125" style="181" customWidth="1"/>
    <col min="9984" max="9984" width="34.28515625" style="181" customWidth="1"/>
    <col min="9985" max="9985" width="10.42578125" style="181" customWidth="1"/>
    <col min="9986" max="9986" width="6.5703125" style="181" customWidth="1"/>
    <col min="9987" max="9987" width="7.7109375" style="181" customWidth="1"/>
    <col min="9988" max="9988" width="17.5703125" style="181" customWidth="1"/>
    <col min="9989" max="9989" width="10.85546875" style="181" bestFit="1" customWidth="1"/>
    <col min="9990" max="10238" width="9.140625" style="181"/>
    <col min="10239" max="10239" width="4.42578125" style="181" customWidth="1"/>
    <col min="10240" max="10240" width="34.28515625" style="181" customWidth="1"/>
    <col min="10241" max="10241" width="10.42578125" style="181" customWidth="1"/>
    <col min="10242" max="10242" width="6.5703125" style="181" customWidth="1"/>
    <col min="10243" max="10243" width="7.7109375" style="181" customWidth="1"/>
    <col min="10244" max="10244" width="17.5703125" style="181" customWidth="1"/>
    <col min="10245" max="10245" width="10.85546875" style="181" bestFit="1" customWidth="1"/>
    <col min="10246" max="10494" width="9.140625" style="181"/>
    <col min="10495" max="10495" width="4.42578125" style="181" customWidth="1"/>
    <col min="10496" max="10496" width="34.28515625" style="181" customWidth="1"/>
    <col min="10497" max="10497" width="10.42578125" style="181" customWidth="1"/>
    <col min="10498" max="10498" width="6.5703125" style="181" customWidth="1"/>
    <col min="10499" max="10499" width="7.7109375" style="181" customWidth="1"/>
    <col min="10500" max="10500" width="17.5703125" style="181" customWidth="1"/>
    <col min="10501" max="10501" width="10.85546875" style="181" bestFit="1" customWidth="1"/>
    <col min="10502" max="10750" width="9.140625" style="181"/>
    <col min="10751" max="10751" width="4.42578125" style="181" customWidth="1"/>
    <col min="10752" max="10752" width="34.28515625" style="181" customWidth="1"/>
    <col min="10753" max="10753" width="10.42578125" style="181" customWidth="1"/>
    <col min="10754" max="10754" width="6.5703125" style="181" customWidth="1"/>
    <col min="10755" max="10755" width="7.7109375" style="181" customWidth="1"/>
    <col min="10756" max="10756" width="17.5703125" style="181" customWidth="1"/>
    <col min="10757" max="10757" width="10.85546875" style="181" bestFit="1" customWidth="1"/>
    <col min="10758" max="11006" width="9.140625" style="181"/>
    <col min="11007" max="11007" width="4.42578125" style="181" customWidth="1"/>
    <col min="11008" max="11008" width="34.28515625" style="181" customWidth="1"/>
    <col min="11009" max="11009" width="10.42578125" style="181" customWidth="1"/>
    <col min="11010" max="11010" width="6.5703125" style="181" customWidth="1"/>
    <col min="11011" max="11011" width="7.7109375" style="181" customWidth="1"/>
    <col min="11012" max="11012" width="17.5703125" style="181" customWidth="1"/>
    <col min="11013" max="11013" width="10.85546875" style="181" bestFit="1" customWidth="1"/>
    <col min="11014" max="11262" width="9.140625" style="181"/>
    <col min="11263" max="11263" width="4.42578125" style="181" customWidth="1"/>
    <col min="11264" max="11264" width="34.28515625" style="181" customWidth="1"/>
    <col min="11265" max="11265" width="10.42578125" style="181" customWidth="1"/>
    <col min="11266" max="11266" width="6.5703125" style="181" customWidth="1"/>
    <col min="11267" max="11267" width="7.7109375" style="181" customWidth="1"/>
    <col min="11268" max="11268" width="17.5703125" style="181" customWidth="1"/>
    <col min="11269" max="11269" width="10.85546875" style="181" bestFit="1" customWidth="1"/>
    <col min="11270" max="11518" width="9.140625" style="181"/>
    <col min="11519" max="11519" width="4.42578125" style="181" customWidth="1"/>
    <col min="11520" max="11520" width="34.28515625" style="181" customWidth="1"/>
    <col min="11521" max="11521" width="10.42578125" style="181" customWidth="1"/>
    <col min="11522" max="11522" width="6.5703125" style="181" customWidth="1"/>
    <col min="11523" max="11523" width="7.7109375" style="181" customWidth="1"/>
    <col min="11524" max="11524" width="17.5703125" style="181" customWidth="1"/>
    <col min="11525" max="11525" width="10.85546875" style="181" bestFit="1" customWidth="1"/>
    <col min="11526" max="11774" width="9.140625" style="181"/>
    <col min="11775" max="11775" width="4.42578125" style="181" customWidth="1"/>
    <col min="11776" max="11776" width="34.28515625" style="181" customWidth="1"/>
    <col min="11777" max="11777" width="10.42578125" style="181" customWidth="1"/>
    <col min="11778" max="11778" width="6.5703125" style="181" customWidth="1"/>
    <col min="11779" max="11779" width="7.7109375" style="181" customWidth="1"/>
    <col min="11780" max="11780" width="17.5703125" style="181" customWidth="1"/>
    <col min="11781" max="11781" width="10.85546875" style="181" bestFit="1" customWidth="1"/>
    <col min="11782" max="12030" width="9.140625" style="181"/>
    <col min="12031" max="12031" width="4.42578125" style="181" customWidth="1"/>
    <col min="12032" max="12032" width="34.28515625" style="181" customWidth="1"/>
    <col min="12033" max="12033" width="10.42578125" style="181" customWidth="1"/>
    <col min="12034" max="12034" width="6.5703125" style="181" customWidth="1"/>
    <col min="12035" max="12035" width="7.7109375" style="181" customWidth="1"/>
    <col min="12036" max="12036" width="17.5703125" style="181" customWidth="1"/>
    <col min="12037" max="12037" width="10.85546875" style="181" bestFit="1" customWidth="1"/>
    <col min="12038" max="12286" width="9.140625" style="181"/>
    <col min="12287" max="12287" width="4.42578125" style="181" customWidth="1"/>
    <col min="12288" max="12288" width="34.28515625" style="181" customWidth="1"/>
    <col min="12289" max="12289" width="10.42578125" style="181" customWidth="1"/>
    <col min="12290" max="12290" width="6.5703125" style="181" customWidth="1"/>
    <col min="12291" max="12291" width="7.7109375" style="181" customWidth="1"/>
    <col min="12292" max="12292" width="17.5703125" style="181" customWidth="1"/>
    <col min="12293" max="12293" width="10.85546875" style="181" bestFit="1" customWidth="1"/>
    <col min="12294" max="12542" width="9.140625" style="181"/>
    <col min="12543" max="12543" width="4.42578125" style="181" customWidth="1"/>
    <col min="12544" max="12544" width="34.28515625" style="181" customWidth="1"/>
    <col min="12545" max="12545" width="10.42578125" style="181" customWidth="1"/>
    <col min="12546" max="12546" width="6.5703125" style="181" customWidth="1"/>
    <col min="12547" max="12547" width="7.7109375" style="181" customWidth="1"/>
    <col min="12548" max="12548" width="17.5703125" style="181" customWidth="1"/>
    <col min="12549" max="12549" width="10.85546875" style="181" bestFit="1" customWidth="1"/>
    <col min="12550" max="12798" width="9.140625" style="181"/>
    <col min="12799" max="12799" width="4.42578125" style="181" customWidth="1"/>
    <col min="12800" max="12800" width="34.28515625" style="181" customWidth="1"/>
    <col min="12801" max="12801" width="10.42578125" style="181" customWidth="1"/>
    <col min="12802" max="12802" width="6.5703125" style="181" customWidth="1"/>
    <col min="12803" max="12803" width="7.7109375" style="181" customWidth="1"/>
    <col min="12804" max="12804" width="17.5703125" style="181" customWidth="1"/>
    <col min="12805" max="12805" width="10.85546875" style="181" bestFit="1" customWidth="1"/>
    <col min="12806" max="13054" width="9.140625" style="181"/>
    <col min="13055" max="13055" width="4.42578125" style="181" customWidth="1"/>
    <col min="13056" max="13056" width="34.28515625" style="181" customWidth="1"/>
    <col min="13057" max="13057" width="10.42578125" style="181" customWidth="1"/>
    <col min="13058" max="13058" width="6.5703125" style="181" customWidth="1"/>
    <col min="13059" max="13059" width="7.7109375" style="181" customWidth="1"/>
    <col min="13060" max="13060" width="17.5703125" style="181" customWidth="1"/>
    <col min="13061" max="13061" width="10.85546875" style="181" bestFit="1" customWidth="1"/>
    <col min="13062" max="13310" width="9.140625" style="181"/>
    <col min="13311" max="13311" width="4.42578125" style="181" customWidth="1"/>
    <col min="13312" max="13312" width="34.28515625" style="181" customWidth="1"/>
    <col min="13313" max="13313" width="10.42578125" style="181" customWidth="1"/>
    <col min="13314" max="13314" width="6.5703125" style="181" customWidth="1"/>
    <col min="13315" max="13315" width="7.7109375" style="181" customWidth="1"/>
    <col min="13316" max="13316" width="17.5703125" style="181" customWidth="1"/>
    <col min="13317" max="13317" width="10.85546875" style="181" bestFit="1" customWidth="1"/>
    <col min="13318" max="13566" width="9.140625" style="181"/>
    <col min="13567" max="13567" width="4.42578125" style="181" customWidth="1"/>
    <col min="13568" max="13568" width="34.28515625" style="181" customWidth="1"/>
    <col min="13569" max="13569" width="10.42578125" style="181" customWidth="1"/>
    <col min="13570" max="13570" width="6.5703125" style="181" customWidth="1"/>
    <col min="13571" max="13571" width="7.7109375" style="181" customWidth="1"/>
    <col min="13572" max="13572" width="17.5703125" style="181" customWidth="1"/>
    <col min="13573" max="13573" width="10.85546875" style="181" bestFit="1" customWidth="1"/>
    <col min="13574" max="13822" width="9.140625" style="181"/>
    <col min="13823" max="13823" width="4.42578125" style="181" customWidth="1"/>
    <col min="13824" max="13824" width="34.28515625" style="181" customWidth="1"/>
    <col min="13825" max="13825" width="10.42578125" style="181" customWidth="1"/>
    <col min="13826" max="13826" width="6.5703125" style="181" customWidth="1"/>
    <col min="13827" max="13827" width="7.7109375" style="181" customWidth="1"/>
    <col min="13828" max="13828" width="17.5703125" style="181" customWidth="1"/>
    <col min="13829" max="13829" width="10.85546875" style="181" bestFit="1" customWidth="1"/>
    <col min="13830" max="14078" width="9.140625" style="181"/>
    <col min="14079" max="14079" width="4.42578125" style="181" customWidth="1"/>
    <col min="14080" max="14080" width="34.28515625" style="181" customWidth="1"/>
    <col min="14081" max="14081" width="10.42578125" style="181" customWidth="1"/>
    <col min="14082" max="14082" width="6.5703125" style="181" customWidth="1"/>
    <col min="14083" max="14083" width="7.7109375" style="181" customWidth="1"/>
    <col min="14084" max="14084" width="17.5703125" style="181" customWidth="1"/>
    <col min="14085" max="14085" width="10.85546875" style="181" bestFit="1" customWidth="1"/>
    <col min="14086" max="14334" width="9.140625" style="181"/>
    <col min="14335" max="14335" width="4.42578125" style="181" customWidth="1"/>
    <col min="14336" max="14336" width="34.28515625" style="181" customWidth="1"/>
    <col min="14337" max="14337" width="10.42578125" style="181" customWidth="1"/>
    <col min="14338" max="14338" width="6.5703125" style="181" customWidth="1"/>
    <col min="14339" max="14339" width="7.7109375" style="181" customWidth="1"/>
    <col min="14340" max="14340" width="17.5703125" style="181" customWidth="1"/>
    <col min="14341" max="14341" width="10.85546875" style="181" bestFit="1" customWidth="1"/>
    <col min="14342" max="14590" width="9.140625" style="181"/>
    <col min="14591" max="14591" width="4.42578125" style="181" customWidth="1"/>
    <col min="14592" max="14592" width="34.28515625" style="181" customWidth="1"/>
    <col min="14593" max="14593" width="10.42578125" style="181" customWidth="1"/>
    <col min="14594" max="14594" width="6.5703125" style="181" customWidth="1"/>
    <col min="14595" max="14595" width="7.7109375" style="181" customWidth="1"/>
    <col min="14596" max="14596" width="17.5703125" style="181" customWidth="1"/>
    <col min="14597" max="14597" width="10.85546875" style="181" bestFit="1" customWidth="1"/>
    <col min="14598" max="14846" width="9.140625" style="181"/>
    <col min="14847" max="14847" width="4.42578125" style="181" customWidth="1"/>
    <col min="14848" max="14848" width="34.28515625" style="181" customWidth="1"/>
    <col min="14849" max="14849" width="10.42578125" style="181" customWidth="1"/>
    <col min="14850" max="14850" width="6.5703125" style="181" customWidth="1"/>
    <col min="14851" max="14851" width="7.7109375" style="181" customWidth="1"/>
    <col min="14852" max="14852" width="17.5703125" style="181" customWidth="1"/>
    <col min="14853" max="14853" width="10.85546875" style="181" bestFit="1" customWidth="1"/>
    <col min="14854" max="15102" width="9.140625" style="181"/>
    <col min="15103" max="15103" width="4.42578125" style="181" customWidth="1"/>
    <col min="15104" max="15104" width="34.28515625" style="181" customWidth="1"/>
    <col min="15105" max="15105" width="10.42578125" style="181" customWidth="1"/>
    <col min="15106" max="15106" width="6.5703125" style="181" customWidth="1"/>
    <col min="15107" max="15107" width="7.7109375" style="181" customWidth="1"/>
    <col min="15108" max="15108" width="17.5703125" style="181" customWidth="1"/>
    <col min="15109" max="15109" width="10.85546875" style="181" bestFit="1" customWidth="1"/>
    <col min="15110" max="15358" width="9.140625" style="181"/>
    <col min="15359" max="15359" width="4.42578125" style="181" customWidth="1"/>
    <col min="15360" max="15360" width="34.28515625" style="181" customWidth="1"/>
    <col min="15361" max="15361" width="10.42578125" style="181" customWidth="1"/>
    <col min="15362" max="15362" width="6.5703125" style="181" customWidth="1"/>
    <col min="15363" max="15363" width="7.7109375" style="181" customWidth="1"/>
    <col min="15364" max="15364" width="17.5703125" style="181" customWidth="1"/>
    <col min="15365" max="15365" width="10.85546875" style="181" bestFit="1" customWidth="1"/>
    <col min="15366" max="15614" width="9.140625" style="181"/>
    <col min="15615" max="15615" width="4.42578125" style="181" customWidth="1"/>
    <col min="15616" max="15616" width="34.28515625" style="181" customWidth="1"/>
    <col min="15617" max="15617" width="10.42578125" style="181" customWidth="1"/>
    <col min="15618" max="15618" width="6.5703125" style="181" customWidth="1"/>
    <col min="15619" max="15619" width="7.7109375" style="181" customWidth="1"/>
    <col min="15620" max="15620" width="17.5703125" style="181" customWidth="1"/>
    <col min="15621" max="15621" width="10.85546875" style="181" bestFit="1" customWidth="1"/>
    <col min="15622" max="15870" width="9.140625" style="181"/>
    <col min="15871" max="15871" width="4.42578125" style="181" customWidth="1"/>
    <col min="15872" max="15872" width="34.28515625" style="181" customWidth="1"/>
    <col min="15873" max="15873" width="10.42578125" style="181" customWidth="1"/>
    <col min="15874" max="15874" width="6.5703125" style="181" customWidth="1"/>
    <col min="15875" max="15875" width="7.7109375" style="181" customWidth="1"/>
    <col min="15876" max="15876" width="17.5703125" style="181" customWidth="1"/>
    <col min="15877" max="15877" width="10.85546875" style="181" bestFit="1" customWidth="1"/>
    <col min="15878" max="16126" width="9.140625" style="181"/>
    <col min="16127" max="16127" width="4.42578125" style="181" customWidth="1"/>
    <col min="16128" max="16128" width="34.28515625" style="181" customWidth="1"/>
    <col min="16129" max="16129" width="10.42578125" style="181" customWidth="1"/>
    <col min="16130" max="16130" width="6.5703125" style="181" customWidth="1"/>
    <col min="16131" max="16131" width="7.7109375" style="181" customWidth="1"/>
    <col min="16132" max="16132" width="17.5703125" style="181" customWidth="1"/>
    <col min="16133" max="16133" width="10.85546875" style="181" bestFit="1" customWidth="1"/>
    <col min="16134" max="16384" width="9.140625" style="181"/>
  </cols>
  <sheetData>
    <row r="1" spans="1:6" s="182" customFormat="1" x14ac:dyDescent="0.25">
      <c r="A1" s="634" t="s">
        <v>512</v>
      </c>
      <c r="B1" s="634"/>
      <c r="C1" s="634"/>
      <c r="D1" s="634"/>
      <c r="E1" s="634"/>
    </row>
    <row r="2" spans="1:6" s="182" customFormat="1" x14ac:dyDescent="0.25">
      <c r="A2" s="635" t="s">
        <v>381</v>
      </c>
      <c r="B2" s="635"/>
      <c r="C2" s="635"/>
      <c r="D2" s="635"/>
      <c r="E2" s="635"/>
    </row>
    <row r="3" spans="1:6" x14ac:dyDescent="0.2">
      <c r="A3" s="633"/>
      <c r="B3" s="633"/>
      <c r="C3" s="633"/>
      <c r="D3" s="633"/>
      <c r="E3" s="633"/>
    </row>
    <row r="4" spans="1:6" x14ac:dyDescent="0.2">
      <c r="A4" s="631" t="s">
        <v>382</v>
      </c>
      <c r="B4" s="631"/>
      <c r="C4" s="631"/>
      <c r="D4" s="631"/>
      <c r="E4" s="631"/>
    </row>
    <row r="5" spans="1:6" ht="15" customHeight="1" x14ac:dyDescent="0.2">
      <c r="A5" s="633" t="s">
        <v>383</v>
      </c>
      <c r="B5" s="633"/>
      <c r="C5" s="633"/>
      <c r="D5" s="633"/>
      <c r="E5" s="633"/>
    </row>
    <row r="6" spans="1:6" ht="12.75" customHeight="1" x14ac:dyDescent="0.2">
      <c r="A6" s="631" t="s">
        <v>384</v>
      </c>
      <c r="B6" s="631"/>
      <c r="C6" s="631"/>
      <c r="D6" s="631"/>
      <c r="E6" s="631"/>
    </row>
    <row r="7" spans="1:6" ht="12.75" customHeight="1" x14ac:dyDescent="0.2">
      <c r="A7" s="631" t="s">
        <v>385</v>
      </c>
      <c r="B7" s="631"/>
      <c r="C7" s="631"/>
      <c r="D7" s="631"/>
      <c r="E7" s="631"/>
    </row>
    <row r="8" spans="1:6" ht="12.75" customHeight="1" x14ac:dyDescent="0.2">
      <c r="A8" s="632"/>
      <c r="B8" s="632"/>
      <c r="C8" s="632"/>
      <c r="D8" s="632"/>
      <c r="E8" s="632"/>
    </row>
    <row r="9" spans="1:6" x14ac:dyDescent="0.2">
      <c r="A9" s="633"/>
      <c r="B9" s="633"/>
      <c r="C9" s="633"/>
      <c r="D9" s="633"/>
      <c r="E9" s="633"/>
    </row>
    <row r="10" spans="1:6" ht="61.5" customHeight="1" x14ac:dyDescent="0.2">
      <c r="A10" s="183" t="s">
        <v>386</v>
      </c>
      <c r="B10" s="183" t="s">
        <v>387</v>
      </c>
      <c r="C10" s="183" t="s">
        <v>388</v>
      </c>
      <c r="D10" s="183" t="s">
        <v>225</v>
      </c>
      <c r="E10" s="183" t="s">
        <v>389</v>
      </c>
      <c r="F10" s="184" t="s">
        <v>390</v>
      </c>
    </row>
    <row r="11" spans="1:6" x14ac:dyDescent="0.2">
      <c r="A11" s="183">
        <v>1</v>
      </c>
      <c r="B11" s="183">
        <v>2</v>
      </c>
      <c r="C11" s="183">
        <v>3</v>
      </c>
      <c r="D11" s="183">
        <v>4</v>
      </c>
      <c r="E11" s="183">
        <v>5</v>
      </c>
    </row>
    <row r="12" spans="1:6" ht="12.75" customHeight="1" x14ac:dyDescent="0.2">
      <c r="A12" s="183"/>
      <c r="B12" s="185" t="s">
        <v>391</v>
      </c>
      <c r="C12" s="185"/>
      <c r="D12" s="185"/>
      <c r="E12" s="185"/>
    </row>
    <row r="13" spans="1:6" s="186" customFormat="1" ht="56.25" x14ac:dyDescent="0.2">
      <c r="A13" s="187">
        <v>1</v>
      </c>
      <c r="B13" s="188" t="s">
        <v>392</v>
      </c>
      <c r="C13" s="189" t="s">
        <v>393</v>
      </c>
      <c r="D13" s="187" t="str">
        <f>"(15264+3608*"&amp;F13&amp;"га)*1,27"</f>
        <v>(15264+3608*0,3га)*1,27</v>
      </c>
      <c r="E13" s="190">
        <f>(15264+(3608*F13))*1.27</f>
        <v>20759.928</v>
      </c>
      <c r="F13" s="191">
        <v>0.3</v>
      </c>
    </row>
    <row r="14" spans="1:6" s="186" customFormat="1" ht="45" x14ac:dyDescent="0.2">
      <c r="A14" s="626">
        <f>A13+1</f>
        <v>2</v>
      </c>
      <c r="B14" s="193" t="s">
        <v>394</v>
      </c>
      <c r="C14" s="629" t="s">
        <v>395</v>
      </c>
      <c r="D14" s="193"/>
      <c r="E14" s="194"/>
      <c r="F14" s="195"/>
    </row>
    <row r="15" spans="1:6" s="186" customFormat="1" ht="78.75" x14ac:dyDescent="0.2">
      <c r="A15" s="627"/>
      <c r="B15" s="197" t="s">
        <v>396</v>
      </c>
      <c r="C15" s="630"/>
      <c r="D15" s="198"/>
      <c r="E15" s="199"/>
      <c r="F15" s="195"/>
    </row>
    <row r="16" spans="1:6" s="186" customFormat="1" x14ac:dyDescent="0.2">
      <c r="A16" s="627"/>
      <c r="B16" s="200" t="s">
        <v>397</v>
      </c>
      <c r="C16" s="198" t="s">
        <v>398</v>
      </c>
      <c r="D16" s="196" t="str">
        <f>"2858*"&amp;F16&amp;"п.м.*1.04*1,27"</f>
        <v>2858*7п.м.*1.04*1,27</v>
      </c>
      <c r="E16" s="201">
        <f>2858*F16*1.04*1.27</f>
        <v>26423.924800000001</v>
      </c>
      <c r="F16" s="195">
        <v>7</v>
      </c>
    </row>
    <row r="17" spans="1:6" s="186" customFormat="1" x14ac:dyDescent="0.2">
      <c r="A17" s="627"/>
      <c r="B17" s="200" t="s">
        <v>399</v>
      </c>
      <c r="C17" s="198" t="s">
        <v>400</v>
      </c>
      <c r="D17" s="196" t="str">
        <f>"3237*"&amp;F17&amp;"п.м.*1.04*1,27"</f>
        <v>3237*7п.м.*1.04*1,27</v>
      </c>
      <c r="E17" s="201">
        <f>3237*F17*1.04*1.27</f>
        <v>29928.0072</v>
      </c>
      <c r="F17" s="195">
        <v>7</v>
      </c>
    </row>
    <row r="18" spans="1:6" s="186" customFormat="1" x14ac:dyDescent="0.2">
      <c r="A18" s="627"/>
      <c r="B18" s="200" t="s">
        <v>401</v>
      </c>
      <c r="C18" s="198" t="s">
        <v>402</v>
      </c>
      <c r="D18" s="196" t="str">
        <f>"3300*"&amp;F18&amp;"п.м.*1.04*1,27"</f>
        <v>3300*8п.м.*1.04*1,27</v>
      </c>
      <c r="E18" s="201">
        <f>3300*F18*1.04*1.27</f>
        <v>34869.120000000003</v>
      </c>
      <c r="F18" s="195">
        <v>8</v>
      </c>
    </row>
    <row r="19" spans="1:6" s="186" customFormat="1" x14ac:dyDescent="0.2">
      <c r="A19" s="628"/>
      <c r="B19" s="203" t="s">
        <v>403</v>
      </c>
      <c r="C19" s="204" t="s">
        <v>404</v>
      </c>
      <c r="D19" s="202" t="str">
        <f>"4125*"&amp;F19&amp;"п.м.*1.04*1,27"</f>
        <v>4125*0п.м.*1.04*1,27</v>
      </c>
      <c r="E19" s="205">
        <f>4125*F19*1.04*1.27</f>
        <v>0</v>
      </c>
      <c r="F19" s="195">
        <v>0</v>
      </c>
    </row>
    <row r="20" spans="1:6" s="186" customFormat="1" ht="56.25" x14ac:dyDescent="0.2">
      <c r="A20" s="202">
        <f>A14+1</f>
        <v>3</v>
      </c>
      <c r="B20" s="206" t="s">
        <v>405</v>
      </c>
      <c r="C20" s="204" t="s">
        <v>406</v>
      </c>
      <c r="D20" s="187" t="str">
        <f>"1536*"&amp;F20&amp;"п.м.*1,27"</f>
        <v>1536*6п.м.*1,27</v>
      </c>
      <c r="E20" s="190">
        <f>1536*F20*1.27</f>
        <v>11704.32</v>
      </c>
      <c r="F20" s="195">
        <v>6</v>
      </c>
    </row>
    <row r="21" spans="1:6" s="186" customFormat="1" ht="78.75" x14ac:dyDescent="0.2">
      <c r="A21" s="202">
        <f t="shared" ref="A21:A22" si="0">A20+1</f>
        <v>4</v>
      </c>
      <c r="B21" s="206" t="s">
        <v>407</v>
      </c>
      <c r="C21" s="204" t="s">
        <v>408</v>
      </c>
      <c r="D21" s="187" t="str">
        <f>"983*"&amp;F21&amp;"скв*1,27"</f>
        <v>983*2скв*1,27</v>
      </c>
      <c r="E21" s="190">
        <f>983*F21*1.27</f>
        <v>2496.8200000000002</v>
      </c>
      <c r="F21" s="195">
        <v>2</v>
      </c>
    </row>
    <row r="22" spans="1:6" s="186" customFormat="1" ht="22.5" x14ac:dyDescent="0.2">
      <c r="A22" s="626">
        <f t="shared" si="0"/>
        <v>5</v>
      </c>
      <c r="B22" s="193" t="s">
        <v>409</v>
      </c>
      <c r="C22" s="629" t="s">
        <v>410</v>
      </c>
      <c r="D22" s="193"/>
      <c r="E22" s="194"/>
      <c r="F22" s="195"/>
    </row>
    <row r="23" spans="1:6" s="186" customFormat="1" ht="22.5" x14ac:dyDescent="0.2">
      <c r="A23" s="627"/>
      <c r="B23" s="197" t="s">
        <v>411</v>
      </c>
      <c r="C23" s="630"/>
      <c r="D23" s="198"/>
      <c r="E23" s="199"/>
      <c r="F23" s="195"/>
    </row>
    <row r="24" spans="1:6" s="186" customFormat="1" x14ac:dyDescent="0.2">
      <c r="A24" s="627"/>
      <c r="B24" s="200" t="s">
        <v>401</v>
      </c>
      <c r="C24" s="198" t="s">
        <v>412</v>
      </c>
      <c r="D24" s="196" t="str">
        <f>"23558*"&amp;F24&amp;"м3*1,27"</f>
        <v>23558*0м3*1,27</v>
      </c>
      <c r="E24" s="201">
        <f>23558*F24*1.02*1.27</f>
        <v>0</v>
      </c>
      <c r="F24" s="195">
        <v>0</v>
      </c>
    </row>
    <row r="25" spans="1:6" s="186" customFormat="1" x14ac:dyDescent="0.2">
      <c r="A25" s="628"/>
      <c r="B25" s="203" t="s">
        <v>403</v>
      </c>
      <c r="C25" s="204" t="s">
        <v>413</v>
      </c>
      <c r="D25" s="202" t="str">
        <f>"37562*"&amp;F25&amp;"м3*1,27"</f>
        <v>37562*0м3*1,27</v>
      </c>
      <c r="E25" s="205">
        <f>37562*F25*1.02*1.27</f>
        <v>0</v>
      </c>
      <c r="F25" s="195">
        <v>0</v>
      </c>
    </row>
    <row r="26" spans="1:6" s="186" customFormat="1" ht="123.75" x14ac:dyDescent="0.2">
      <c r="A26" s="192">
        <f>A22+1</f>
        <v>6</v>
      </c>
      <c r="B26" s="185" t="s">
        <v>414</v>
      </c>
      <c r="C26" s="183" t="s">
        <v>415</v>
      </c>
      <c r="D26" s="183" t="str">
        <f>"902*"&amp;F26&amp;"п.м.*1.02*1,27"</f>
        <v>902*0п.м.*1.02*1,27</v>
      </c>
      <c r="E26" s="207">
        <f>902*F26*1.02*1.27</f>
        <v>0</v>
      </c>
      <c r="F26" s="195">
        <v>0</v>
      </c>
    </row>
    <row r="27" spans="1:6" s="186" customFormat="1" ht="56.25" x14ac:dyDescent="0.2">
      <c r="A27" s="626">
        <f>A26+1</f>
        <v>7</v>
      </c>
      <c r="B27" s="208" t="s">
        <v>416</v>
      </c>
      <c r="C27" s="192" t="s">
        <v>395</v>
      </c>
      <c r="D27" s="192"/>
      <c r="E27" s="194"/>
      <c r="F27" s="195"/>
    </row>
    <row r="28" spans="1:6" s="186" customFormat="1" x14ac:dyDescent="0.2">
      <c r="A28" s="628"/>
      <c r="B28" s="203" t="s">
        <v>417</v>
      </c>
      <c r="C28" s="209" t="s">
        <v>418</v>
      </c>
      <c r="D28" s="202" t="str">
        <f>"3138*"&amp;F28&amp;"п.м.*1.1*1,27"</f>
        <v>3138*0п.м.*1.1*1,27</v>
      </c>
      <c r="E28" s="205">
        <f>3138*F28*1.1*1.27</f>
        <v>0</v>
      </c>
      <c r="F28" s="195">
        <v>0</v>
      </c>
    </row>
    <row r="29" spans="1:6" s="186" customFormat="1" ht="56.25" x14ac:dyDescent="0.2">
      <c r="A29" s="187">
        <f>A27+1</f>
        <v>8</v>
      </c>
      <c r="B29" s="210" t="s">
        <v>419</v>
      </c>
      <c r="C29" s="187" t="s">
        <v>420</v>
      </c>
      <c r="D29" s="187" t="str">
        <f>ROUND(SUM(E13:E28),0)&amp;"*0.19"</f>
        <v>126182*0.19</v>
      </c>
      <c r="E29" s="211">
        <f>SUM(E13:E28)*0.19</f>
        <v>23974.602800000004</v>
      </c>
      <c r="F29" s="195"/>
    </row>
    <row r="30" spans="1:6" s="186" customFormat="1" ht="56.25" x14ac:dyDescent="0.2">
      <c r="A30" s="187">
        <f t="shared" ref="A30:A33" si="1">A29+1</f>
        <v>9</v>
      </c>
      <c r="B30" s="210" t="s">
        <v>421</v>
      </c>
      <c r="C30" s="187" t="s">
        <v>422</v>
      </c>
      <c r="D30" s="187" t="str">
        <f>ROUND(SUM(E13:E28),0)&amp;"*0.25"</f>
        <v>126182*0.25</v>
      </c>
      <c r="E30" s="211">
        <f>SUM(E13:E28)*0.25</f>
        <v>31545.530000000006</v>
      </c>
      <c r="F30" s="195"/>
    </row>
    <row r="31" spans="1:6" s="186" customFormat="1" ht="56.25" x14ac:dyDescent="0.2">
      <c r="A31" s="187">
        <f t="shared" si="1"/>
        <v>10</v>
      </c>
      <c r="B31" s="212" t="s">
        <v>423</v>
      </c>
      <c r="C31" s="187" t="s">
        <v>424</v>
      </c>
      <c r="D31" s="187" t="str">
        <f>ROUND(SUM(E13:E28),0)&amp;"*(28.1%+(48.2%-28.1%)/(10млн.руб-5млн.руб)*(10млн.руб-"&amp;ROUND(SUM(E13:E28),0)&amp;"))"</f>
        <v>126182*(28.1%+(48.2%-28.1%)/(10млн.руб-5млн.руб)*(10млн.руб-126182))</v>
      </c>
      <c r="E31" s="211">
        <f>SUM(E13:E28)*(28.1%+(48.2%-28.1%)/(10000000-5000000)*(10000000-SUM(E13:E28)))</f>
        <v>85542.326478210714</v>
      </c>
      <c r="F31" s="195"/>
    </row>
    <row r="32" spans="1:6" s="186" customFormat="1" ht="56.25" x14ac:dyDescent="0.2">
      <c r="A32" s="187">
        <f t="shared" si="1"/>
        <v>11</v>
      </c>
      <c r="B32" s="185" t="s">
        <v>425</v>
      </c>
      <c r="C32" s="187" t="s">
        <v>426</v>
      </c>
      <c r="D32" s="187" t="str">
        <f>ROUND(SUM(E13:E28),0)&amp;"*7.4%"</f>
        <v>126182*7.4%</v>
      </c>
      <c r="E32" s="211">
        <f>SUM(E13:E28)*7.4%</f>
        <v>9337.4768800000038</v>
      </c>
      <c r="F32" s="195"/>
    </row>
    <row r="33" spans="1:6" s="186" customFormat="1" ht="56.25" x14ac:dyDescent="0.2">
      <c r="A33" s="187">
        <f t="shared" si="1"/>
        <v>12</v>
      </c>
      <c r="B33" s="185" t="s">
        <v>427</v>
      </c>
      <c r="C33" s="187" t="s">
        <v>428</v>
      </c>
      <c r="D33" s="183" t="str">
        <f>"("&amp;ROUND(SUM(E13:E28),0)&amp;"+"&amp;ROUND(E29,0)&amp;"+"&amp;ROUND(E30,0)&amp;"+"&amp;ROUND(E32,0)&amp;")*(0.41*"&amp;ROUND(F33,2)&amp;"+0.59-1)"</f>
        <v>(126182+23975+31546+9337)*(0.41*1+0.59-1)</v>
      </c>
      <c r="E33" s="207">
        <f>(SUM(E13:E30)+E32)*(0.41*F33+0.59-1)</f>
        <v>0</v>
      </c>
      <c r="F33" s="191">
        <v>1</v>
      </c>
    </row>
    <row r="34" spans="1:6" s="186" customFormat="1" x14ac:dyDescent="0.2">
      <c r="A34" s="185"/>
      <c r="B34" s="185" t="s">
        <v>429</v>
      </c>
      <c r="C34" s="183"/>
      <c r="D34" s="183"/>
      <c r="E34" s="211">
        <f>SUM(E13:E33)</f>
        <v>276582.05615821079</v>
      </c>
      <c r="F34" s="195"/>
    </row>
    <row r="35" spans="1:6" s="186" customFormat="1" x14ac:dyDescent="0.2">
      <c r="A35" s="185"/>
      <c r="B35" s="185" t="s">
        <v>430</v>
      </c>
      <c r="C35" s="187"/>
      <c r="D35" s="183"/>
      <c r="E35" s="211"/>
      <c r="F35" s="195"/>
    </row>
    <row r="36" spans="1:6" s="186" customFormat="1" ht="67.5" x14ac:dyDescent="0.2">
      <c r="A36" s="183">
        <f>A33+1</f>
        <v>13</v>
      </c>
      <c r="B36" s="212" t="s">
        <v>431</v>
      </c>
      <c r="C36" s="187" t="s">
        <v>432</v>
      </c>
      <c r="D36" s="183" t="str">
        <f>"((459+335+141)*"&amp;F36&amp;"обр+229*"&amp;F36&amp;"опр)*1,27"</f>
        <v>((459+335+141)*12обр+229*12опр)*1,27</v>
      </c>
      <c r="E36" s="207">
        <f>((459+335+141)*F36+229*F36)*1.27</f>
        <v>17739.36</v>
      </c>
      <c r="F36" s="195">
        <v>12</v>
      </c>
    </row>
    <row r="37" spans="1:6" s="186" customFormat="1" ht="67.5" x14ac:dyDescent="0.2">
      <c r="A37" s="183">
        <f t="shared" ref="A37:A59" si="2">A36+1</f>
        <v>14</v>
      </c>
      <c r="B37" s="185" t="s">
        <v>433</v>
      </c>
      <c r="C37" s="187" t="s">
        <v>434</v>
      </c>
      <c r="D37" s="183" t="str">
        <f>"((459+335+141)*"&amp;F37&amp;"обр+600*"&amp;F37&amp;"опр)*1,27"</f>
        <v>((459+335+141)*6обр+600*6опр)*1,27</v>
      </c>
      <c r="E37" s="207">
        <f>((459+335+141)*F37+600*F37)*1.27</f>
        <v>11696.7</v>
      </c>
      <c r="F37" s="195">
        <v>6</v>
      </c>
    </row>
    <row r="38" spans="1:6" s="186" customFormat="1" ht="67.5" x14ac:dyDescent="0.2">
      <c r="A38" s="183">
        <f t="shared" si="2"/>
        <v>15</v>
      </c>
      <c r="B38" s="185" t="s">
        <v>435</v>
      </c>
      <c r="C38" s="187" t="s">
        <v>436</v>
      </c>
      <c r="D38" s="183" t="str">
        <f>"((459+335+141)*"&amp;F38&amp;"обр+370*"&amp;F38&amp;"опр)*1,27"</f>
        <v>((459+335+141)*3обр+370*3опр)*1,27</v>
      </c>
      <c r="E38" s="207">
        <f>((459+335+141)*F38+370*F38)*1.27</f>
        <v>4972.05</v>
      </c>
      <c r="F38" s="195">
        <v>3</v>
      </c>
    </row>
    <row r="39" spans="1:6" s="186" customFormat="1" ht="123.75" x14ac:dyDescent="0.2">
      <c r="A39" s="183">
        <f t="shared" si="2"/>
        <v>16</v>
      </c>
      <c r="B39" s="185" t="s">
        <v>437</v>
      </c>
      <c r="C39" s="187" t="s">
        <v>438</v>
      </c>
      <c r="D39" s="183" t="str">
        <f>"((459+335+141)*"&amp;F39&amp;"обр+917*"&amp;F39&amp;"опр)*1,27"</f>
        <v>((459+335+141)*3обр+917*3опр)*1,27</v>
      </c>
      <c r="E39" s="207">
        <f>((459+335+141)*F39+917*F39)*1.27</f>
        <v>7056.12</v>
      </c>
      <c r="F39" s="195">
        <v>3</v>
      </c>
    </row>
    <row r="40" spans="1:6" s="186" customFormat="1" ht="135" x14ac:dyDescent="0.2">
      <c r="A40" s="183">
        <f t="shared" si="2"/>
        <v>17</v>
      </c>
      <c r="B40" s="185" t="s">
        <v>439</v>
      </c>
      <c r="C40" s="187" t="s">
        <v>440</v>
      </c>
      <c r="D40" s="183" t="str">
        <f>"((459+335+141)*"&amp;F40&amp;"обр+1852*"&amp;F40&amp;"опр)*1,27"</f>
        <v>((459+335+141)*2обр+1852*2опр)*1,27</v>
      </c>
      <c r="E40" s="207">
        <f>((459+335+141)*F40+1852*F40)*1.27</f>
        <v>7078.9800000000005</v>
      </c>
      <c r="F40" s="195">
        <v>2</v>
      </c>
    </row>
    <row r="41" spans="1:6" s="186" customFormat="1" ht="180" customHeight="1" x14ac:dyDescent="0.2">
      <c r="A41" s="183">
        <f t="shared" si="2"/>
        <v>18</v>
      </c>
      <c r="B41" s="185" t="s">
        <v>441</v>
      </c>
      <c r="C41" s="187" t="s">
        <v>442</v>
      </c>
      <c r="D41" s="183" t="str">
        <f>"((459+335+141)*"&amp;F41&amp;"обр+4546*"&amp;F41&amp;"опр)*1,27"</f>
        <v>((459+335+141)*1обр+4546*1опр)*1,27</v>
      </c>
      <c r="E41" s="207">
        <f>((459+335+141)*F41+4546*F41)*1.27</f>
        <v>6960.87</v>
      </c>
      <c r="F41" s="195">
        <v>1</v>
      </c>
    </row>
    <row r="42" spans="1:6" s="186" customFormat="1" ht="67.5" x14ac:dyDescent="0.2">
      <c r="A42" s="183">
        <f t="shared" si="2"/>
        <v>19</v>
      </c>
      <c r="B42" s="185" t="s">
        <v>443</v>
      </c>
      <c r="C42" s="187" t="s">
        <v>444</v>
      </c>
      <c r="D42" s="183" t="str">
        <f>"((459+335+141)*"&amp;F42&amp;"обр+529*"&amp;F42&amp;"опр)*1,27"</f>
        <v>((459+335+141)*3обр+529*3опр)*1,27</v>
      </c>
      <c r="E42" s="207">
        <f>((459+335+141)*F42+529*F42)*1.27</f>
        <v>5577.84</v>
      </c>
      <c r="F42" s="195">
        <v>3</v>
      </c>
    </row>
    <row r="43" spans="1:6" s="186" customFormat="1" ht="146.25" x14ac:dyDescent="0.2">
      <c r="A43" s="183">
        <f t="shared" si="2"/>
        <v>20</v>
      </c>
      <c r="B43" s="185" t="s">
        <v>445</v>
      </c>
      <c r="C43" s="187" t="s">
        <v>446</v>
      </c>
      <c r="D43" s="183" t="str">
        <f>"((459+335+141)*"&amp;F43&amp;"обр+1676*"&amp;F43&amp;"опр)*1,27"</f>
        <v>((459+335+141)*6обр+1676*6опр)*1,27</v>
      </c>
      <c r="E43" s="207">
        <f>((459+335+141)*F43+1676*F43)*1.27</f>
        <v>19895.82</v>
      </c>
      <c r="F43" s="195">
        <v>6</v>
      </c>
    </row>
    <row r="44" spans="1:6" s="186" customFormat="1" ht="67.5" x14ac:dyDescent="0.2">
      <c r="A44" s="183">
        <f t="shared" si="2"/>
        <v>21</v>
      </c>
      <c r="B44" s="185" t="s">
        <v>447</v>
      </c>
      <c r="C44" s="187" t="s">
        <v>448</v>
      </c>
      <c r="D44" s="183" t="str">
        <f>"((459+335+141)*"&amp;F44&amp;"обр+723*"&amp;F44&amp;"опр)*1,27"</f>
        <v>((459+335+141)*2обр+723*2опр)*1,27</v>
      </c>
      <c r="E44" s="207">
        <f>((459+335+141)*F44+723*F44)*1.27</f>
        <v>4211.32</v>
      </c>
      <c r="F44" s="195">
        <v>2</v>
      </c>
    </row>
    <row r="45" spans="1:6" s="186" customFormat="1" ht="67.5" x14ac:dyDescent="0.2">
      <c r="A45" s="183">
        <f t="shared" si="2"/>
        <v>22</v>
      </c>
      <c r="B45" s="185" t="s">
        <v>449</v>
      </c>
      <c r="C45" s="187" t="s">
        <v>450</v>
      </c>
      <c r="D45" s="183" t="str">
        <f>"((459+335+141)*"&amp;F45&amp;"обр+388*"&amp;F45&amp;"опр)*1,27"</f>
        <v>((459+335+141)*0обр+388*0опр)*1,27</v>
      </c>
      <c r="E45" s="207">
        <f>((459+335+141)*F45+388*F45)*1.27</f>
        <v>0</v>
      </c>
      <c r="F45" s="195">
        <v>0</v>
      </c>
    </row>
    <row r="46" spans="1:6" s="186" customFormat="1" ht="90" x14ac:dyDescent="0.2">
      <c r="A46" s="183">
        <f t="shared" si="2"/>
        <v>23</v>
      </c>
      <c r="B46" s="185" t="s">
        <v>451</v>
      </c>
      <c r="C46" s="187" t="s">
        <v>452</v>
      </c>
      <c r="D46" s="183" t="str">
        <f>"((459+335+141)*"&amp;F46&amp;"обр+13759*"&amp;F46&amp;"опр)*1,27"</f>
        <v>((459+335+141)*0обр+13759*0опр)*1,27</v>
      </c>
      <c r="E46" s="207">
        <f>((459+335+141)*F46+13759*F46)*1.27</f>
        <v>0</v>
      </c>
      <c r="F46" s="195">
        <v>0</v>
      </c>
    </row>
    <row r="47" spans="1:6" s="186" customFormat="1" ht="101.25" x14ac:dyDescent="0.2">
      <c r="A47" s="183">
        <f t="shared" si="2"/>
        <v>24</v>
      </c>
      <c r="B47" s="185" t="s">
        <v>453</v>
      </c>
      <c r="C47" s="187" t="s">
        <v>454</v>
      </c>
      <c r="D47" s="183" t="str">
        <f>"((459+335+141)*"&amp;F47&amp;"обр+2203*"&amp;F47&amp;"опр)*1,27"</f>
        <v>((459+335+141)*0обр+2203*0опр)*1,27</v>
      </c>
      <c r="E47" s="207">
        <f>((459+335+141)*F47+2203*F47)*1.27</f>
        <v>0</v>
      </c>
      <c r="F47" s="195">
        <v>0</v>
      </c>
    </row>
    <row r="48" spans="1:6" s="186" customFormat="1" ht="90" x14ac:dyDescent="0.2">
      <c r="A48" s="183">
        <f t="shared" si="2"/>
        <v>25</v>
      </c>
      <c r="B48" s="185" t="s">
        <v>455</v>
      </c>
      <c r="C48" s="187" t="s">
        <v>456</v>
      </c>
      <c r="D48" s="183" t="str">
        <f>"((459+335+141)*"&amp;F48&amp;"обр+5452*"&amp;F48&amp;"опр)*1,27"</f>
        <v>((459+335+141)*3обр+5452*3опр)*1,27</v>
      </c>
      <c r="E48" s="207">
        <f>((459+335+141)*F48+5452*F48)*1.27</f>
        <v>24334.47</v>
      </c>
      <c r="F48" s="195">
        <v>3</v>
      </c>
    </row>
    <row r="49" spans="1:6" s="186" customFormat="1" ht="157.5" x14ac:dyDescent="0.2">
      <c r="A49" s="183">
        <f t="shared" si="2"/>
        <v>26</v>
      </c>
      <c r="B49" s="185" t="s">
        <v>457</v>
      </c>
      <c r="C49" s="187" t="s">
        <v>458</v>
      </c>
      <c r="D49" s="183" t="str">
        <f>"((459+335+141)*"&amp;F49&amp;"обр+7357*"&amp;F49&amp;"опр)*1,27"</f>
        <v>((459+335+141)*3обр+7357*3опр)*1,27</v>
      </c>
      <c r="E49" s="207">
        <f>((459+335+141)*F49+7357*F49)*1.27</f>
        <v>31592.52</v>
      </c>
      <c r="F49" s="195">
        <v>3</v>
      </c>
    </row>
    <row r="50" spans="1:6" s="186" customFormat="1" ht="112.5" x14ac:dyDescent="0.2">
      <c r="A50" s="183">
        <f t="shared" si="2"/>
        <v>27</v>
      </c>
      <c r="B50" s="185" t="s">
        <v>459</v>
      </c>
      <c r="C50" s="187" t="s">
        <v>460</v>
      </c>
      <c r="D50" s="183" t="str">
        <f>"((459+335+141)*"&amp;F50&amp;"обр+7266*"&amp;F50&amp;"опр)*1,27"</f>
        <v>((459+335+141)*0обр+7266*0опр)*1,27</v>
      </c>
      <c r="E50" s="207">
        <f>((459+335+141)*F50+7266*F50)*1.27</f>
        <v>0</v>
      </c>
      <c r="F50" s="195">
        <v>0</v>
      </c>
    </row>
    <row r="51" spans="1:6" s="186" customFormat="1" ht="67.5" x14ac:dyDescent="0.2">
      <c r="A51" s="183">
        <f t="shared" si="2"/>
        <v>28</v>
      </c>
      <c r="B51" s="185" t="s">
        <v>461</v>
      </c>
      <c r="C51" s="187" t="s">
        <v>462</v>
      </c>
      <c r="D51" s="183" t="str">
        <f>"((459+335+141)*"&amp;F51&amp;"обр+29931*"&amp;F51&amp;"опр)*1,27"</f>
        <v>((459+335+141)*0обр+29931*0опр)*1,27</v>
      </c>
      <c r="E51" s="207">
        <f>((459+335+141)*F51+29931*F51)*1.27</f>
        <v>0</v>
      </c>
      <c r="F51" s="195">
        <v>0</v>
      </c>
    </row>
    <row r="52" spans="1:6" s="186" customFormat="1" ht="123.75" x14ac:dyDescent="0.2">
      <c r="A52" s="183">
        <f t="shared" si="2"/>
        <v>29</v>
      </c>
      <c r="B52" s="185" t="s">
        <v>463</v>
      </c>
      <c r="C52" s="187" t="s">
        <v>464</v>
      </c>
      <c r="D52" s="183" t="str">
        <f>"((459+335+141)*"&amp;F52&amp;"обр+8520*"&amp;F52&amp;"опр)*1,27"</f>
        <v>((459+335+141)*3обр+8520*3опр)*1,27</v>
      </c>
      <c r="E52" s="207">
        <f>((459+335+141)*F52+8520*F52)*1.27</f>
        <v>36023.550000000003</v>
      </c>
      <c r="F52" s="195">
        <v>3</v>
      </c>
    </row>
    <row r="53" spans="1:6" s="186" customFormat="1" ht="168.75" x14ac:dyDescent="0.2">
      <c r="A53" s="183">
        <f t="shared" si="2"/>
        <v>30</v>
      </c>
      <c r="B53" s="185" t="s">
        <v>465</v>
      </c>
      <c r="C53" s="187" t="s">
        <v>466</v>
      </c>
      <c r="D53" s="183" t="str">
        <f>"((459+335+141)*"&amp;F53&amp;"обр+9293*"&amp;F53&amp;"опр)*1,27"</f>
        <v>((459+335+141)*3обр+9293*3опр)*1,27</v>
      </c>
      <c r="E53" s="207">
        <f>((459+335+141)*F53+9293*F53)*1.27</f>
        <v>38968.68</v>
      </c>
      <c r="F53" s="195">
        <v>3</v>
      </c>
    </row>
    <row r="54" spans="1:6" s="186" customFormat="1" ht="78.75" x14ac:dyDescent="0.2">
      <c r="A54" s="183">
        <f t="shared" si="2"/>
        <v>31</v>
      </c>
      <c r="B54" s="185" t="s">
        <v>467</v>
      </c>
      <c r="C54" s="187" t="s">
        <v>468</v>
      </c>
      <c r="D54" s="183" t="str">
        <f>"((459+335+141)*"&amp;F54&amp;"обр+4593*"&amp;F54&amp;"опр)*1,27"</f>
        <v>((459+335+141)*1обр+4593*1опр)*1,27</v>
      </c>
      <c r="E54" s="207">
        <f>((459+335+141)*F54+4593*F54)*1.27</f>
        <v>7020.56</v>
      </c>
      <c r="F54" s="195">
        <v>1</v>
      </c>
    </row>
    <row r="55" spans="1:6" s="186" customFormat="1" ht="90" x14ac:dyDescent="0.2">
      <c r="A55" s="183">
        <f t="shared" si="2"/>
        <v>32</v>
      </c>
      <c r="B55" s="185" t="s">
        <v>469</v>
      </c>
      <c r="C55" s="187" t="s">
        <v>470</v>
      </c>
      <c r="D55" s="183" t="str">
        <f>"((459+335+141)*"&amp;F55&amp;"обр+6470*"&amp;F55&amp;"опр)*1,27"</f>
        <v>((459+335+141)*1обр+6470*1опр)*1,27</v>
      </c>
      <c r="E55" s="207">
        <f>((459+335+141)*F55+6470*F55)*1.27</f>
        <v>9404.35</v>
      </c>
      <c r="F55" s="195">
        <v>1</v>
      </c>
    </row>
    <row r="56" spans="1:6" s="186" customFormat="1" ht="56.25" x14ac:dyDescent="0.2">
      <c r="A56" s="183">
        <f t="shared" si="2"/>
        <v>33</v>
      </c>
      <c r="B56" s="185" t="s">
        <v>471</v>
      </c>
      <c r="C56" s="187" t="s">
        <v>472</v>
      </c>
      <c r="D56" s="183" t="str">
        <f>"11731*"&amp;F56&amp;"опр*1,27"</f>
        <v>11731*1опр*1,27</v>
      </c>
      <c r="E56" s="207">
        <f>11731*F56*1.27</f>
        <v>14898.37</v>
      </c>
      <c r="F56" s="195">
        <v>1</v>
      </c>
    </row>
    <row r="57" spans="1:6" s="186" customFormat="1" ht="56.25" x14ac:dyDescent="0.2">
      <c r="A57" s="183">
        <f t="shared" si="2"/>
        <v>34</v>
      </c>
      <c r="B57" s="185" t="s">
        <v>473</v>
      </c>
      <c r="C57" s="187" t="s">
        <v>474</v>
      </c>
      <c r="D57" s="183" t="str">
        <f>"9786*"&amp;F57&amp;"опр*1,27"</f>
        <v>9786*1опр*1,27</v>
      </c>
      <c r="E57" s="207">
        <f>9786*F57*1.27</f>
        <v>12428.22</v>
      </c>
      <c r="F57" s="195">
        <v>1</v>
      </c>
    </row>
    <row r="58" spans="1:6" s="186" customFormat="1" ht="56.25" x14ac:dyDescent="0.2">
      <c r="A58" s="183">
        <f t="shared" si="2"/>
        <v>35</v>
      </c>
      <c r="B58" s="185" t="s">
        <v>475</v>
      </c>
      <c r="C58" s="187" t="s">
        <v>476</v>
      </c>
      <c r="D58" s="183" t="str">
        <f>"2726*"&amp;F58&amp;"опр*1,27"</f>
        <v>2726*1опр*1,27</v>
      </c>
      <c r="E58" s="207">
        <f>2726*F58*1.27</f>
        <v>3462.02</v>
      </c>
      <c r="F58" s="195">
        <v>1</v>
      </c>
    </row>
    <row r="59" spans="1:6" s="186" customFormat="1" ht="56.25" x14ac:dyDescent="0.2">
      <c r="A59" s="183">
        <f t="shared" si="2"/>
        <v>36</v>
      </c>
      <c r="B59" s="185" t="s">
        <v>427</v>
      </c>
      <c r="C59" s="187" t="s">
        <v>477</v>
      </c>
      <c r="D59" s="183" t="str">
        <f>ROUND(SUM(E36:F58),0)&amp;"*("&amp;0.65&amp;"*"&amp;F59&amp;"+"&amp;0.35&amp;"-"&amp;1&amp;")"</f>
        <v>263377*(0,65*1,15+0,35-1)</v>
      </c>
      <c r="E59" s="207">
        <f>SUM(E36:E58)*(0.65*F59+0.35-1)</f>
        <v>25673.875499999984</v>
      </c>
      <c r="F59" s="191">
        <v>1.1499999999999999</v>
      </c>
    </row>
    <row r="60" spans="1:6" s="186" customFormat="1" x14ac:dyDescent="0.2">
      <c r="A60" s="213"/>
      <c r="B60" s="185" t="s">
        <v>478</v>
      </c>
      <c r="C60" s="183"/>
      <c r="D60" s="183"/>
      <c r="E60" s="207">
        <f>SUM(E36:E59)</f>
        <v>288995.67550000001</v>
      </c>
      <c r="F60" s="184"/>
    </row>
    <row r="61" spans="1:6" s="186" customFormat="1" x14ac:dyDescent="0.2">
      <c r="A61" s="213"/>
      <c r="B61" s="185" t="s">
        <v>479</v>
      </c>
      <c r="C61" s="183"/>
      <c r="D61" s="183"/>
      <c r="E61" s="207"/>
      <c r="F61" s="184"/>
    </row>
    <row r="62" spans="1:6" s="186" customFormat="1" ht="56.25" x14ac:dyDescent="0.2">
      <c r="A62" s="626">
        <f>A59+1</f>
        <v>37</v>
      </c>
      <c r="B62" s="193" t="s">
        <v>480</v>
      </c>
      <c r="C62" s="626" t="s">
        <v>395</v>
      </c>
      <c r="D62" s="192"/>
      <c r="E62" s="194"/>
      <c r="F62" s="184"/>
    </row>
    <row r="63" spans="1:6" s="186" customFormat="1" ht="48" customHeight="1" x14ac:dyDescent="0.2">
      <c r="A63" s="627"/>
      <c r="B63" s="214" t="s">
        <v>481</v>
      </c>
      <c r="C63" s="627"/>
      <c r="D63" s="196"/>
      <c r="E63" s="201"/>
      <c r="F63" s="184"/>
    </row>
    <row r="64" spans="1:6" s="186" customFormat="1" x14ac:dyDescent="0.2">
      <c r="A64" s="627"/>
      <c r="B64" s="200" t="s">
        <v>482</v>
      </c>
      <c r="C64" s="196" t="s">
        <v>483</v>
      </c>
      <c r="D64" s="198" t="str">
        <f>"342*"&amp;F64&amp;"п.м.*1,27"</f>
        <v>342*0п.м.*1,27</v>
      </c>
      <c r="E64" s="215">
        <f>342*F64*1.27</f>
        <v>0</v>
      </c>
      <c r="F64" s="184">
        <v>0</v>
      </c>
    </row>
    <row r="65" spans="1:6" s="186" customFormat="1" x14ac:dyDescent="0.2">
      <c r="A65" s="628"/>
      <c r="B65" s="203" t="s">
        <v>399</v>
      </c>
      <c r="C65" s="202" t="s">
        <v>483</v>
      </c>
      <c r="D65" s="204" t="str">
        <f>"342*"&amp;SUM(F16:F19)&amp;"п.м.*1,27"</f>
        <v>342*22п.м.*1,27</v>
      </c>
      <c r="E65" s="216">
        <f>342*SUM(F16:F19)*1.27</f>
        <v>9555.48</v>
      </c>
      <c r="F65" s="184"/>
    </row>
    <row r="66" spans="1:6" s="186" customFormat="1" ht="45" x14ac:dyDescent="0.2">
      <c r="A66" s="626">
        <f>A62+1</f>
        <v>38</v>
      </c>
      <c r="B66" s="208" t="s">
        <v>484</v>
      </c>
      <c r="C66" s="192" t="s">
        <v>395</v>
      </c>
      <c r="D66" s="192"/>
      <c r="E66" s="194"/>
      <c r="F66" s="184"/>
    </row>
    <row r="67" spans="1:6" s="186" customFormat="1" x14ac:dyDescent="0.2">
      <c r="A67" s="628"/>
      <c r="B67" s="203" t="s">
        <v>485</v>
      </c>
      <c r="C67" s="202" t="s">
        <v>486</v>
      </c>
      <c r="D67" s="202" t="str">
        <f>"2504*"&amp;F67&amp;"шурфов*1,27"</f>
        <v>2504*0шурфов*1,27</v>
      </c>
      <c r="E67" s="205">
        <f>2504*F67*1.2</f>
        <v>0</v>
      </c>
      <c r="F67" s="195">
        <v>0</v>
      </c>
    </row>
    <row r="68" spans="1:6" s="186" customFormat="1" ht="67.5" x14ac:dyDescent="0.2">
      <c r="A68" s="183">
        <f>A62+1</f>
        <v>38</v>
      </c>
      <c r="B68" s="212" t="s">
        <v>487</v>
      </c>
      <c r="C68" s="187" t="s">
        <v>488</v>
      </c>
      <c r="D68" s="187" t="str">
        <f>"173*"&amp;SUM(F28)&amp;"п.м.*1,27"</f>
        <v>173*0п.м.*1,27</v>
      </c>
      <c r="E68" s="190">
        <f>173*SUM(F28)*1.27</f>
        <v>0</v>
      </c>
      <c r="F68" s="184"/>
    </row>
    <row r="69" spans="1:6" s="186" customFormat="1" ht="45" x14ac:dyDescent="0.2">
      <c r="A69" s="626">
        <f>A68+1</f>
        <v>39</v>
      </c>
      <c r="B69" s="193" t="s">
        <v>489</v>
      </c>
      <c r="C69" s="192" t="s">
        <v>395</v>
      </c>
      <c r="D69" s="192"/>
      <c r="E69" s="194"/>
      <c r="F69" s="184"/>
    </row>
    <row r="70" spans="1:6" s="186" customFormat="1" x14ac:dyDescent="0.2">
      <c r="A70" s="627"/>
      <c r="B70" s="200" t="s">
        <v>490</v>
      </c>
      <c r="C70" s="196" t="s">
        <v>491</v>
      </c>
      <c r="D70" s="196" t="str">
        <f>"320*"&amp;F39&amp;"обр*1,27"</f>
        <v>320*3обр*1,27</v>
      </c>
      <c r="E70" s="201">
        <f>320*F39*1.27</f>
        <v>1219.2</v>
      </c>
      <c r="F70" s="184"/>
    </row>
    <row r="71" spans="1:6" s="186" customFormat="1" x14ac:dyDescent="0.2">
      <c r="A71" s="627"/>
      <c r="B71" s="200" t="s">
        <v>492</v>
      </c>
      <c r="C71" s="196" t="s">
        <v>493</v>
      </c>
      <c r="D71" s="196" t="str">
        <f>"381*"&amp;F43&amp;"обр*1,27"</f>
        <v>381*6обр*1,27</v>
      </c>
      <c r="E71" s="201">
        <f>381*F43*1.27</f>
        <v>2903.2200000000003</v>
      </c>
      <c r="F71" s="184"/>
    </row>
    <row r="72" spans="1:6" s="186" customFormat="1" x14ac:dyDescent="0.2">
      <c r="A72" s="627"/>
      <c r="B72" s="203" t="s">
        <v>494</v>
      </c>
      <c r="C72" s="202" t="s">
        <v>495</v>
      </c>
      <c r="D72" s="202" t="str">
        <f>"358*"&amp;F38&amp;"обр*1,27"</f>
        <v>358*3обр*1,27</v>
      </c>
      <c r="E72" s="217">
        <f>358*F38*1.27</f>
        <v>1363.98</v>
      </c>
      <c r="F72" s="184"/>
    </row>
    <row r="73" spans="1:6" s="186" customFormat="1" ht="90" x14ac:dyDescent="0.2">
      <c r="A73" s="626">
        <f>A69+1</f>
        <v>40</v>
      </c>
      <c r="B73" s="193" t="s">
        <v>496</v>
      </c>
      <c r="C73" s="192" t="s">
        <v>395</v>
      </c>
      <c r="D73" s="192"/>
      <c r="E73" s="194"/>
      <c r="F73" s="184"/>
    </row>
    <row r="74" spans="1:6" s="186" customFormat="1" x14ac:dyDescent="0.2">
      <c r="A74" s="627"/>
      <c r="B74" s="200" t="s">
        <v>490</v>
      </c>
      <c r="C74" s="196" t="s">
        <v>497</v>
      </c>
      <c r="D74" s="196" t="str">
        <f>"693*"&amp;SUM(F48,F52,F54)&amp;"обр*1,27"</f>
        <v>693*7обр*1,27</v>
      </c>
      <c r="E74" s="201">
        <f>693*(SUM(F48,F52,F54))*1.27</f>
        <v>6160.77</v>
      </c>
      <c r="F74" s="184"/>
    </row>
    <row r="75" spans="1:6" s="186" customFormat="1" x14ac:dyDescent="0.2">
      <c r="A75" s="627"/>
      <c r="B75" s="200" t="s">
        <v>492</v>
      </c>
      <c r="C75" s="196" t="s">
        <v>498</v>
      </c>
      <c r="D75" s="196" t="str">
        <f>"730*"&amp;SUM(F41,F49,F50,F51,F53,F55)&amp;"обр*1,27"</f>
        <v>730*8обр*1,27</v>
      </c>
      <c r="E75" s="201">
        <f>730*SUM(F41,F49,F50,F51,F53,F55)*1.27</f>
        <v>7416.8</v>
      </c>
      <c r="F75" s="184"/>
    </row>
    <row r="76" spans="1:6" s="186" customFormat="1" ht="67.5" x14ac:dyDescent="0.2">
      <c r="A76" s="183">
        <f>A73+1</f>
        <v>41</v>
      </c>
      <c r="B76" s="212" t="s">
        <v>499</v>
      </c>
      <c r="C76" s="187" t="s">
        <v>500</v>
      </c>
      <c r="D76" s="187" t="str">
        <f>"385*"&amp;F57&amp;"обр*1,27"</f>
        <v>385*1обр*1,27</v>
      </c>
      <c r="E76" s="190">
        <f>385*F56*1.27</f>
        <v>488.95</v>
      </c>
      <c r="F76" s="184"/>
    </row>
    <row r="77" spans="1:6" s="186" customFormat="1" ht="112.5" x14ac:dyDescent="0.2">
      <c r="A77" s="183">
        <f t="shared" ref="A77:A78" si="3">A76+1</f>
        <v>42</v>
      </c>
      <c r="B77" s="212" t="s">
        <v>501</v>
      </c>
      <c r="C77" s="187" t="s">
        <v>502</v>
      </c>
      <c r="D77" s="187" t="str">
        <f>"352*"&amp;SUM(F57:F58)&amp;"обр*1,27"</f>
        <v>352*2обр*1,27</v>
      </c>
      <c r="E77" s="190">
        <f>352*SUM(F57:F58)*1.27</f>
        <v>894.08</v>
      </c>
      <c r="F77" s="184"/>
    </row>
    <row r="78" spans="1:6" s="186" customFormat="1" ht="168.75" x14ac:dyDescent="0.2">
      <c r="A78" s="626">
        <f t="shared" si="3"/>
        <v>43</v>
      </c>
      <c r="B78" s="193" t="s">
        <v>503</v>
      </c>
      <c r="C78" s="192" t="s">
        <v>395</v>
      </c>
      <c r="D78" s="192"/>
      <c r="E78" s="194"/>
      <c r="F78" s="184"/>
    </row>
    <row r="79" spans="1:6" s="186" customFormat="1" x14ac:dyDescent="0.2">
      <c r="A79" s="627"/>
      <c r="B79" s="218" t="s">
        <v>399</v>
      </c>
      <c r="C79" s="214"/>
      <c r="D79" s="196"/>
      <c r="E79" s="201"/>
      <c r="F79" s="184"/>
    </row>
    <row r="80" spans="1:6" s="186" customFormat="1" ht="45" x14ac:dyDescent="0.2">
      <c r="A80" s="628"/>
      <c r="B80" s="206" t="s">
        <v>504</v>
      </c>
      <c r="C80" s="202" t="s">
        <v>505</v>
      </c>
      <c r="D80" s="204" t="str">
        <f>(789323&amp;"-(789323-577018)/(1млн.руб-500тыс.руб)*("&amp;"1млн.руб-"&amp;ROUND(SUM(E62:E75),0)&amp;"))*1.1*1,27")</f>
        <v>789323-(789323-577018)/(1млн.руб-500тыс.руб)*(1млн.руб-28619))*1.1*1,27</v>
      </c>
      <c r="E80" s="217">
        <f>(789323-(789323-577018)/(1000000-500000)*(1000000-SUM(E62:E75)))*1.1*1.27</f>
        <v>526480.55121630651</v>
      </c>
      <c r="F80" s="184"/>
    </row>
    <row r="81" spans="1:6" s="186" customFormat="1" ht="56.25" x14ac:dyDescent="0.2">
      <c r="A81" s="626">
        <f>A78+1</f>
        <v>44</v>
      </c>
      <c r="B81" s="193" t="s">
        <v>506</v>
      </c>
      <c r="C81" s="626" t="s">
        <v>395</v>
      </c>
      <c r="D81" s="192"/>
      <c r="E81" s="194"/>
      <c r="F81" s="184"/>
    </row>
    <row r="82" spans="1:6" s="186" customFormat="1" ht="78.75" x14ac:dyDescent="0.2">
      <c r="A82" s="627"/>
      <c r="B82" s="218" t="s">
        <v>507</v>
      </c>
      <c r="C82" s="627"/>
      <c r="D82" s="196"/>
      <c r="E82" s="201"/>
      <c r="F82" s="184"/>
    </row>
    <row r="83" spans="1:6" s="186" customFormat="1" x14ac:dyDescent="0.2">
      <c r="A83" s="628"/>
      <c r="B83" s="206" t="s">
        <v>417</v>
      </c>
      <c r="C83" s="202" t="s">
        <v>508</v>
      </c>
      <c r="D83" s="202" t="str">
        <f>"200982*1,27"</f>
        <v>200982*1,27</v>
      </c>
      <c r="E83" s="217">
        <f>200982*1.27</f>
        <v>255247.14</v>
      </c>
      <c r="F83" s="184"/>
    </row>
    <row r="84" spans="1:6" s="186" customFormat="1" ht="56.25" x14ac:dyDescent="0.2">
      <c r="A84" s="202">
        <f>A81+1</f>
        <v>45</v>
      </c>
      <c r="B84" s="206" t="s">
        <v>427</v>
      </c>
      <c r="C84" s="187" t="s">
        <v>509</v>
      </c>
      <c r="D84" s="183" t="str">
        <f>ROUND(SUM(E62:E83),0)&amp;"*("&amp;0.73&amp;"*"&amp;F84&amp;"+"&amp;0.27&amp;"-"&amp;1&amp;")"</f>
        <v>811730*(0,73*1,15+0,27-1)</v>
      </c>
      <c r="E84" s="207">
        <f>SUM(E62:E83)*(0.73*F84+0.27-1)</f>
        <v>88884.453748185508</v>
      </c>
      <c r="F84" s="184">
        <v>1.1499999999999999</v>
      </c>
    </row>
    <row r="85" spans="1:6" s="186" customFormat="1" x14ac:dyDescent="0.2">
      <c r="A85" s="213"/>
      <c r="B85" s="185" t="s">
        <v>510</v>
      </c>
      <c r="C85" s="183"/>
      <c r="D85" s="183"/>
      <c r="E85" s="207">
        <f>SUM(E62:E84)</f>
        <v>900614.62496449205</v>
      </c>
    </row>
    <row r="86" spans="1:6" s="186" customFormat="1" ht="45" x14ac:dyDescent="0.2">
      <c r="A86" s="213"/>
      <c r="B86" s="185" t="s">
        <v>511</v>
      </c>
      <c r="C86" s="183"/>
      <c r="D86" s="183"/>
      <c r="E86" s="219">
        <f>SUM(E34,E60,E85)</f>
        <v>1466192.3566227029</v>
      </c>
    </row>
    <row r="87" spans="1:6" x14ac:dyDescent="0.2">
      <c r="A87" s="220"/>
      <c r="B87" s="220"/>
      <c r="C87" s="220"/>
      <c r="D87" s="220"/>
      <c r="E87" s="220"/>
    </row>
    <row r="88" spans="1:6" x14ac:dyDescent="0.2">
      <c r="A88" s="220"/>
      <c r="B88" s="220"/>
      <c r="C88" s="220"/>
      <c r="D88" s="220"/>
      <c r="E88" s="220"/>
    </row>
    <row r="89" spans="1:6" x14ac:dyDescent="0.2">
      <c r="A89" s="220"/>
      <c r="B89" s="220"/>
      <c r="C89" s="220"/>
      <c r="D89" s="220"/>
      <c r="E89" s="220"/>
    </row>
    <row r="90" spans="1:6" x14ac:dyDescent="0.2">
      <c r="A90" s="220"/>
      <c r="B90" s="220"/>
      <c r="C90" s="220"/>
      <c r="D90" s="220"/>
      <c r="E90" s="220"/>
    </row>
    <row r="91" spans="1:6" x14ac:dyDescent="0.2">
      <c r="A91" s="220"/>
      <c r="B91" s="220"/>
      <c r="C91" s="220"/>
      <c r="D91" s="220"/>
      <c r="E91" s="220"/>
    </row>
    <row r="92" spans="1:6" x14ac:dyDescent="0.2">
      <c r="A92" s="220"/>
      <c r="B92" s="220"/>
      <c r="C92" s="220"/>
      <c r="D92" s="220"/>
      <c r="E92" s="220"/>
    </row>
    <row r="93" spans="1:6" x14ac:dyDescent="0.2">
      <c r="A93" s="220"/>
      <c r="B93" s="220"/>
      <c r="C93" s="220"/>
      <c r="D93" s="220"/>
      <c r="E93" s="220"/>
    </row>
    <row r="94" spans="1:6" x14ac:dyDescent="0.2">
      <c r="A94" s="220"/>
      <c r="B94" s="220"/>
      <c r="C94" s="220"/>
      <c r="D94" s="220"/>
      <c r="E94" s="220"/>
    </row>
    <row r="95" spans="1:6" x14ac:dyDescent="0.2">
      <c r="A95" s="220"/>
      <c r="B95" s="220"/>
      <c r="C95" s="220"/>
      <c r="D95" s="220"/>
      <c r="E95" s="220"/>
    </row>
    <row r="96" spans="1:6" x14ac:dyDescent="0.2">
      <c r="A96" s="220"/>
      <c r="B96" s="220"/>
      <c r="C96" s="220"/>
      <c r="D96" s="220"/>
      <c r="E96" s="220"/>
    </row>
    <row r="97" spans="1:5" x14ac:dyDescent="0.2">
      <c r="A97" s="220"/>
      <c r="B97" s="220"/>
      <c r="C97" s="220"/>
      <c r="D97" s="220"/>
      <c r="E97" s="220"/>
    </row>
    <row r="98" spans="1:5" x14ac:dyDescent="0.2">
      <c r="A98" s="220"/>
      <c r="B98" s="220"/>
      <c r="C98" s="220"/>
      <c r="D98" s="220"/>
      <c r="E98" s="220"/>
    </row>
    <row r="99" spans="1:5" x14ac:dyDescent="0.2">
      <c r="A99" s="220"/>
      <c r="B99" s="220"/>
      <c r="C99" s="220"/>
      <c r="D99" s="220"/>
      <c r="E99" s="220"/>
    </row>
    <row r="100" spans="1:5" x14ac:dyDescent="0.2">
      <c r="A100" s="220"/>
      <c r="B100" s="220"/>
      <c r="C100" s="220"/>
      <c r="D100" s="220"/>
      <c r="E100" s="220"/>
    </row>
    <row r="101" spans="1:5" x14ac:dyDescent="0.2">
      <c r="A101" s="220"/>
      <c r="B101" s="220"/>
      <c r="C101" s="220"/>
      <c r="D101" s="220"/>
      <c r="E101" s="220"/>
    </row>
    <row r="102" spans="1:5" x14ac:dyDescent="0.2">
      <c r="A102" s="220"/>
      <c r="B102" s="220"/>
      <c r="C102" s="220"/>
      <c r="D102" s="220"/>
      <c r="E102" s="220"/>
    </row>
    <row r="103" spans="1:5" x14ac:dyDescent="0.2">
      <c r="A103" s="220"/>
      <c r="B103" s="220"/>
      <c r="C103" s="220"/>
      <c r="D103" s="220"/>
      <c r="E103" s="220"/>
    </row>
    <row r="104" spans="1:5" x14ac:dyDescent="0.2">
      <c r="A104" s="220"/>
      <c r="B104" s="220"/>
      <c r="C104" s="220"/>
      <c r="D104" s="220"/>
      <c r="E104" s="220"/>
    </row>
    <row r="105" spans="1:5" x14ac:dyDescent="0.2">
      <c r="A105" s="220"/>
      <c r="B105" s="220"/>
      <c r="C105" s="220"/>
      <c r="D105" s="220"/>
      <c r="E105" s="220"/>
    </row>
    <row r="106" spans="1:5" x14ac:dyDescent="0.2">
      <c r="A106" s="220"/>
      <c r="B106" s="220"/>
      <c r="C106" s="220"/>
      <c r="D106" s="220"/>
      <c r="E106" s="220"/>
    </row>
    <row r="107" spans="1:5" x14ac:dyDescent="0.2">
      <c r="A107" s="220"/>
      <c r="B107" s="220"/>
      <c r="C107" s="220"/>
      <c r="D107" s="220"/>
      <c r="E107" s="220"/>
    </row>
    <row r="108" spans="1:5" x14ac:dyDescent="0.2">
      <c r="A108" s="220"/>
      <c r="B108" s="220"/>
      <c r="C108" s="220"/>
      <c r="D108" s="220"/>
      <c r="E108" s="220"/>
    </row>
    <row r="109" spans="1:5" x14ac:dyDescent="0.2">
      <c r="A109" s="220"/>
      <c r="B109" s="220"/>
      <c r="C109" s="220"/>
      <c r="D109" s="220"/>
      <c r="E109" s="220"/>
    </row>
    <row r="110" spans="1:5" x14ac:dyDescent="0.2">
      <c r="A110" s="220"/>
      <c r="B110" s="220"/>
      <c r="C110" s="220"/>
      <c r="D110" s="220"/>
      <c r="E110" s="220"/>
    </row>
    <row r="111" spans="1:5" x14ac:dyDescent="0.2">
      <c r="A111" s="220"/>
      <c r="B111" s="220"/>
      <c r="C111" s="220"/>
      <c r="D111" s="220"/>
      <c r="E111" s="220"/>
    </row>
    <row r="112" spans="1:5" x14ac:dyDescent="0.2">
      <c r="A112" s="220"/>
      <c r="B112" s="220"/>
      <c r="C112" s="220"/>
      <c r="D112" s="220"/>
      <c r="E112" s="220"/>
    </row>
    <row r="113" spans="1:5" x14ac:dyDescent="0.2">
      <c r="A113" s="220"/>
      <c r="B113" s="220"/>
      <c r="C113" s="220"/>
      <c r="D113" s="220"/>
      <c r="E113" s="220"/>
    </row>
    <row r="114" spans="1:5" x14ac:dyDescent="0.2">
      <c r="A114" s="220"/>
      <c r="B114" s="220"/>
      <c r="C114" s="220"/>
      <c r="D114" s="220"/>
      <c r="E114" s="220"/>
    </row>
    <row r="115" spans="1:5" x14ac:dyDescent="0.2">
      <c r="A115" s="220"/>
      <c r="B115" s="220"/>
      <c r="C115" s="220"/>
      <c r="D115" s="220"/>
      <c r="E115" s="220"/>
    </row>
    <row r="116" spans="1:5" x14ac:dyDescent="0.2">
      <c r="A116" s="220"/>
      <c r="B116" s="220"/>
      <c r="C116" s="220"/>
      <c r="D116" s="220"/>
      <c r="E116" s="220"/>
    </row>
    <row r="117" spans="1:5" x14ac:dyDescent="0.2">
      <c r="A117" s="220"/>
      <c r="B117" s="220"/>
      <c r="C117" s="220"/>
      <c r="D117" s="220"/>
      <c r="E117" s="220"/>
    </row>
    <row r="118" spans="1:5" x14ac:dyDescent="0.2">
      <c r="A118" s="220"/>
      <c r="B118" s="220"/>
      <c r="C118" s="220"/>
      <c r="D118" s="220"/>
      <c r="E118" s="220"/>
    </row>
    <row r="119" spans="1:5" x14ac:dyDescent="0.2">
      <c r="A119" s="220"/>
      <c r="B119" s="220"/>
      <c r="C119" s="220"/>
      <c r="D119" s="220"/>
      <c r="E119" s="220"/>
    </row>
    <row r="120" spans="1:5" x14ac:dyDescent="0.2">
      <c r="A120" s="220"/>
      <c r="B120" s="220"/>
      <c r="C120" s="220"/>
      <c r="D120" s="220"/>
      <c r="E120" s="220"/>
    </row>
    <row r="121" spans="1:5" x14ac:dyDescent="0.2">
      <c r="A121" s="220"/>
      <c r="B121" s="220"/>
      <c r="C121" s="220"/>
      <c r="D121" s="220"/>
      <c r="E121" s="220"/>
    </row>
    <row r="122" spans="1:5" x14ac:dyDescent="0.2">
      <c r="A122" s="220"/>
      <c r="B122" s="220"/>
      <c r="C122" s="220"/>
      <c r="D122" s="220"/>
      <c r="E122" s="220"/>
    </row>
    <row r="123" spans="1:5" x14ac:dyDescent="0.2">
      <c r="A123" s="220"/>
      <c r="B123" s="220"/>
      <c r="C123" s="220"/>
      <c r="D123" s="220"/>
      <c r="E123" s="220"/>
    </row>
    <row r="124" spans="1:5" x14ac:dyDescent="0.2">
      <c r="A124" s="220"/>
      <c r="B124" s="220"/>
      <c r="C124" s="220"/>
      <c r="D124" s="220"/>
      <c r="E124" s="220"/>
    </row>
    <row r="125" spans="1:5" x14ac:dyDescent="0.2">
      <c r="A125" s="220"/>
      <c r="B125" s="220"/>
      <c r="C125" s="220"/>
      <c r="D125" s="220"/>
      <c r="E125" s="220"/>
    </row>
    <row r="126" spans="1:5" x14ac:dyDescent="0.2">
      <c r="A126" s="220"/>
      <c r="B126" s="220"/>
      <c r="C126" s="220"/>
      <c r="D126" s="220"/>
      <c r="E126" s="220"/>
    </row>
    <row r="127" spans="1:5" x14ac:dyDescent="0.2">
      <c r="A127" s="220"/>
      <c r="B127" s="220"/>
      <c r="C127" s="220"/>
      <c r="D127" s="220"/>
      <c r="E127" s="220"/>
    </row>
    <row r="128" spans="1:5" x14ac:dyDescent="0.2">
      <c r="A128" s="220"/>
      <c r="B128" s="220"/>
      <c r="C128" s="220"/>
      <c r="D128" s="220"/>
      <c r="E128" s="220"/>
    </row>
    <row r="129" spans="1:5" x14ac:dyDescent="0.2">
      <c r="A129" s="220"/>
      <c r="B129" s="220"/>
      <c r="C129" s="220"/>
      <c r="D129" s="220"/>
      <c r="E129" s="220"/>
    </row>
    <row r="130" spans="1:5" x14ac:dyDescent="0.2">
      <c r="A130" s="220"/>
      <c r="B130" s="220"/>
      <c r="C130" s="220"/>
      <c r="D130" s="220"/>
      <c r="E130" s="220"/>
    </row>
    <row r="131" spans="1:5" x14ac:dyDescent="0.2">
      <c r="A131" s="220"/>
      <c r="B131" s="220"/>
      <c r="C131" s="220"/>
      <c r="D131" s="220"/>
      <c r="E131" s="220"/>
    </row>
    <row r="132" spans="1:5" x14ac:dyDescent="0.2">
      <c r="A132" s="220"/>
      <c r="B132" s="220"/>
      <c r="C132" s="220"/>
      <c r="D132" s="220"/>
      <c r="E132" s="220"/>
    </row>
    <row r="133" spans="1:5" x14ac:dyDescent="0.2">
      <c r="A133" s="220"/>
      <c r="B133" s="220"/>
      <c r="C133" s="220"/>
      <c r="D133" s="220"/>
      <c r="E133" s="220"/>
    </row>
    <row r="134" spans="1:5" x14ac:dyDescent="0.2">
      <c r="A134" s="220"/>
      <c r="B134" s="220"/>
      <c r="C134" s="220"/>
      <c r="D134" s="220"/>
      <c r="E134" s="220"/>
    </row>
    <row r="135" spans="1:5" x14ac:dyDescent="0.2">
      <c r="A135" s="220"/>
      <c r="B135" s="220"/>
      <c r="C135" s="220"/>
      <c r="D135" s="220"/>
      <c r="E135" s="220"/>
    </row>
    <row r="136" spans="1:5" x14ac:dyDescent="0.2">
      <c r="A136" s="220"/>
      <c r="B136" s="220"/>
      <c r="C136" s="220"/>
      <c r="D136" s="220"/>
      <c r="E136" s="220"/>
    </row>
    <row r="137" spans="1:5" x14ac:dyDescent="0.2">
      <c r="A137" s="220"/>
      <c r="B137" s="220"/>
      <c r="C137" s="220"/>
      <c r="D137" s="220"/>
      <c r="E137" s="220"/>
    </row>
    <row r="138" spans="1:5" x14ac:dyDescent="0.2">
      <c r="A138" s="220"/>
      <c r="B138" s="220"/>
      <c r="C138" s="220"/>
      <c r="D138" s="220"/>
      <c r="E138" s="220"/>
    </row>
    <row r="139" spans="1:5" x14ac:dyDescent="0.2">
      <c r="A139" s="220"/>
      <c r="B139" s="220"/>
      <c r="C139" s="220"/>
      <c r="D139" s="220"/>
      <c r="E139" s="220"/>
    </row>
    <row r="140" spans="1:5" x14ac:dyDescent="0.2">
      <c r="A140" s="220"/>
      <c r="B140" s="220"/>
      <c r="C140" s="220"/>
      <c r="D140" s="220"/>
      <c r="E140" s="220"/>
    </row>
    <row r="141" spans="1:5" x14ac:dyDescent="0.2">
      <c r="A141" s="220"/>
      <c r="B141" s="220"/>
      <c r="C141" s="220"/>
      <c r="D141" s="220"/>
      <c r="E141" s="220"/>
    </row>
    <row r="142" spans="1:5" x14ac:dyDescent="0.2">
      <c r="A142" s="220"/>
      <c r="B142" s="220"/>
      <c r="C142" s="220"/>
      <c r="D142" s="220"/>
      <c r="E142" s="220"/>
    </row>
    <row r="143" spans="1:5" x14ac:dyDescent="0.2">
      <c r="A143" s="220"/>
      <c r="B143" s="220"/>
      <c r="C143" s="220"/>
      <c r="D143" s="220"/>
      <c r="E143" s="220"/>
    </row>
    <row r="144" spans="1:5" x14ac:dyDescent="0.2">
      <c r="A144" s="220"/>
      <c r="B144" s="220"/>
      <c r="C144" s="220"/>
      <c r="D144" s="220"/>
      <c r="E144" s="220"/>
    </row>
    <row r="145" spans="1:5" x14ac:dyDescent="0.2">
      <c r="A145" s="220"/>
      <c r="B145" s="220"/>
      <c r="C145" s="220"/>
      <c r="D145" s="220"/>
      <c r="E145" s="220"/>
    </row>
    <row r="146" spans="1:5" x14ac:dyDescent="0.2">
      <c r="A146" s="220"/>
      <c r="B146" s="220"/>
      <c r="C146" s="220"/>
      <c r="D146" s="220"/>
      <c r="E146" s="220"/>
    </row>
    <row r="147" spans="1:5" x14ac:dyDescent="0.2">
      <c r="A147" s="220"/>
      <c r="B147" s="220"/>
      <c r="C147" s="220"/>
      <c r="D147" s="220"/>
      <c r="E147" s="220"/>
    </row>
    <row r="148" spans="1:5" x14ac:dyDescent="0.2">
      <c r="A148" s="220"/>
      <c r="B148" s="220"/>
      <c r="C148" s="220"/>
      <c r="D148" s="220"/>
      <c r="E148" s="220"/>
    </row>
    <row r="149" spans="1:5" x14ac:dyDescent="0.2">
      <c r="A149" s="220"/>
      <c r="B149" s="220"/>
      <c r="C149" s="220"/>
      <c r="D149" s="220"/>
      <c r="E149" s="220"/>
    </row>
    <row r="150" spans="1:5" x14ac:dyDescent="0.2">
      <c r="A150" s="220"/>
      <c r="B150" s="220"/>
      <c r="C150" s="220"/>
      <c r="D150" s="220"/>
      <c r="E150" s="220"/>
    </row>
    <row r="151" spans="1:5" x14ac:dyDescent="0.2">
      <c r="A151" s="220"/>
      <c r="B151" s="220"/>
      <c r="C151" s="220"/>
      <c r="D151" s="220"/>
      <c r="E151" s="220"/>
    </row>
  </sheetData>
  <mergeCells count="22">
    <mergeCell ref="A1:E1"/>
    <mergeCell ref="A2:E2"/>
    <mergeCell ref="A3:E3"/>
    <mergeCell ref="A4:E4"/>
    <mergeCell ref="A5:E5"/>
    <mergeCell ref="A6:E6"/>
    <mergeCell ref="A7:E7"/>
    <mergeCell ref="A8:E8"/>
    <mergeCell ref="A9:E9"/>
    <mergeCell ref="A14:A19"/>
    <mergeCell ref="C14:C15"/>
    <mergeCell ref="A22:A25"/>
    <mergeCell ref="C22:C23"/>
    <mergeCell ref="A27:A28"/>
    <mergeCell ref="A62:A65"/>
    <mergeCell ref="C62:C63"/>
    <mergeCell ref="C81:C82"/>
    <mergeCell ref="A66:A67"/>
    <mergeCell ref="A69:A72"/>
    <mergeCell ref="A73:A75"/>
    <mergeCell ref="A78:A80"/>
    <mergeCell ref="A81:A83"/>
  </mergeCells>
  <pageMargins left="0.78740157480314954" right="0.39370078740157477" top="0.39370078740157477" bottom="0.39370078740157477" header="0.51181102362204722" footer="0.51181102362204722"/>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pageSetUpPr fitToPage="1"/>
  </sheetPr>
  <dimension ref="A1:M127"/>
  <sheetViews>
    <sheetView topLeftCell="A50" workbookViewId="0">
      <selection activeCell="G102" sqref="G102"/>
    </sheetView>
  </sheetViews>
  <sheetFormatPr defaultColWidth="8.85546875" defaultRowHeight="11.25" customHeight="1" x14ac:dyDescent="0.2"/>
  <cols>
    <col min="1" max="1" width="7" style="87" customWidth="1"/>
    <col min="2" max="2" width="36.5703125" style="87" customWidth="1"/>
    <col min="3" max="4" width="12.7109375" style="87" customWidth="1"/>
    <col min="5" max="5" width="47.85546875" style="87" customWidth="1"/>
    <col min="6" max="6" width="42.5703125" style="87" customWidth="1"/>
    <col min="7" max="7" width="12.140625" style="87" customWidth="1"/>
    <col min="8" max="9" width="8.85546875" style="87"/>
    <col min="10" max="10" width="16" style="87" customWidth="1"/>
    <col min="11" max="16384" width="8.85546875" style="87"/>
  </cols>
  <sheetData>
    <row r="1" spans="1:7" s="221" customFormat="1" ht="6" hidden="1" customHeight="1" x14ac:dyDescent="0.25"/>
    <row r="2" spans="1:7" s="221" customFormat="1" ht="15" x14ac:dyDescent="0.25">
      <c r="G2" s="89" t="s">
        <v>253</v>
      </c>
    </row>
    <row r="3" spans="1:7" s="221" customFormat="1" ht="15" x14ac:dyDescent="0.25">
      <c r="B3" s="222" t="str">
        <f>СВОД!E24</f>
        <v>Смета №1.3</v>
      </c>
      <c r="C3" s="91"/>
      <c r="D3" s="91"/>
    </row>
    <row r="4" spans="1:7" s="221" customFormat="1" ht="15" x14ac:dyDescent="0.25">
      <c r="B4" s="90" t="s">
        <v>513</v>
      </c>
      <c r="C4" s="91"/>
      <c r="D4" s="91"/>
    </row>
    <row r="5" spans="1:7" s="221" customFormat="1" ht="15" x14ac:dyDescent="0.25">
      <c r="B5" s="90" t="str">
        <f>СВОД!B24</f>
        <v xml:space="preserve">Мобильное лазерное сканирование (МЛС) </v>
      </c>
      <c r="C5" s="91"/>
      <c r="D5" s="91"/>
    </row>
    <row r="6" spans="1:7" s="221" customFormat="1" ht="15" x14ac:dyDescent="0.25">
      <c r="A6" s="91"/>
      <c r="B6" s="91"/>
      <c r="C6" s="91"/>
      <c r="D6" s="91"/>
      <c r="E6" s="92"/>
      <c r="F6" s="92"/>
      <c r="G6" s="93"/>
    </row>
    <row r="7" spans="1:7" s="221" customFormat="1" ht="35.25" customHeight="1" x14ac:dyDescent="0.25">
      <c r="A7" s="94" t="s">
        <v>90</v>
      </c>
      <c r="B7" s="94" t="s">
        <v>91</v>
      </c>
      <c r="C7" s="94" t="s">
        <v>92</v>
      </c>
      <c r="D7" s="94" t="s">
        <v>93</v>
      </c>
      <c r="E7" s="94" t="s">
        <v>94</v>
      </c>
      <c r="F7" s="94" t="s">
        <v>95</v>
      </c>
      <c r="G7" s="94" t="s">
        <v>13</v>
      </c>
    </row>
    <row r="8" spans="1:7" s="221" customFormat="1" ht="15" x14ac:dyDescent="0.25">
      <c r="A8" s="95">
        <v>1</v>
      </c>
      <c r="B8" s="96">
        <v>2</v>
      </c>
      <c r="C8" s="96">
        <v>3</v>
      </c>
      <c r="D8" s="96">
        <v>4</v>
      </c>
      <c r="E8" s="96">
        <v>5</v>
      </c>
      <c r="F8" s="95">
        <v>6</v>
      </c>
      <c r="G8" s="95">
        <v>7</v>
      </c>
    </row>
    <row r="9" spans="1:7" s="221" customFormat="1" ht="12.75" customHeight="1" x14ac:dyDescent="0.25">
      <c r="A9" s="612" t="s">
        <v>96</v>
      </c>
      <c r="B9" s="613"/>
      <c r="C9" s="613"/>
      <c r="D9" s="613"/>
      <c r="E9" s="613"/>
      <c r="F9" s="613"/>
      <c r="G9" s="614"/>
    </row>
    <row r="10" spans="1:7" s="221" customFormat="1" ht="12.75" customHeight="1" x14ac:dyDescent="0.25">
      <c r="A10" s="615" t="s">
        <v>256</v>
      </c>
      <c r="B10" s="616"/>
      <c r="C10" s="616"/>
      <c r="D10" s="616"/>
      <c r="E10" s="616"/>
      <c r="F10" s="616"/>
      <c r="G10" s="617"/>
    </row>
    <row r="11" spans="1:7" s="221" customFormat="1" ht="56.25" x14ac:dyDescent="0.25">
      <c r="A11" s="97" t="s">
        <v>98</v>
      </c>
      <c r="B11" s="98" t="s">
        <v>99</v>
      </c>
      <c r="C11" s="99" t="s">
        <v>100</v>
      </c>
      <c r="D11" s="100">
        <v>6</v>
      </c>
      <c r="E11" s="98" t="s">
        <v>101</v>
      </c>
      <c r="F11" s="99" t="s">
        <v>514</v>
      </c>
      <c r="G11" s="101">
        <v>268777.5</v>
      </c>
    </row>
    <row r="12" spans="1:7" s="221" customFormat="1" ht="23.25" x14ac:dyDescent="0.25">
      <c r="A12" s="102"/>
      <c r="B12" s="103"/>
      <c r="C12" s="103"/>
      <c r="D12" s="103"/>
      <c r="E12" s="104" t="s">
        <v>515</v>
      </c>
      <c r="F12" s="105"/>
      <c r="G12" s="106"/>
    </row>
    <row r="13" spans="1:7" s="221" customFormat="1" ht="56.25" x14ac:dyDescent="0.25">
      <c r="A13" s="97" t="s">
        <v>104</v>
      </c>
      <c r="B13" s="98" t="s">
        <v>99</v>
      </c>
      <c r="C13" s="99" t="s">
        <v>100</v>
      </c>
      <c r="D13" s="100">
        <v>6</v>
      </c>
      <c r="E13" s="98" t="s">
        <v>101</v>
      </c>
      <c r="F13" s="99" t="s">
        <v>516</v>
      </c>
      <c r="G13" s="101">
        <v>134388.75</v>
      </c>
    </row>
    <row r="14" spans="1:7" s="221" customFormat="1" ht="79.5" x14ac:dyDescent="0.25">
      <c r="A14" s="102"/>
      <c r="B14" s="103"/>
      <c r="C14" s="103"/>
      <c r="D14" s="103"/>
      <c r="E14" s="104" t="s">
        <v>106</v>
      </c>
      <c r="F14" s="105"/>
      <c r="G14" s="106"/>
    </row>
    <row r="15" spans="1:7" s="221" customFormat="1" ht="23.25" x14ac:dyDescent="0.25">
      <c r="A15" s="102"/>
      <c r="B15" s="103"/>
      <c r="C15" s="103"/>
      <c r="D15" s="103"/>
      <c r="E15" s="104" t="s">
        <v>515</v>
      </c>
      <c r="F15" s="105"/>
      <c r="G15" s="106"/>
    </row>
    <row r="16" spans="1:7" s="221" customFormat="1" ht="12.75" customHeight="1" x14ac:dyDescent="0.25">
      <c r="A16" s="615" t="s">
        <v>262</v>
      </c>
      <c r="B16" s="616"/>
      <c r="C16" s="616"/>
      <c r="D16" s="616"/>
      <c r="E16" s="616"/>
      <c r="F16" s="616"/>
      <c r="G16" s="617"/>
    </row>
    <row r="17" spans="1:9" s="221" customFormat="1" ht="12.75" customHeight="1" x14ac:dyDescent="0.25">
      <c r="A17" s="615" t="s">
        <v>517</v>
      </c>
      <c r="B17" s="616"/>
      <c r="C17" s="616"/>
      <c r="D17" s="616"/>
      <c r="E17" s="616"/>
      <c r="F17" s="616"/>
      <c r="G17" s="617"/>
    </row>
    <row r="18" spans="1:9" s="221" customFormat="1" ht="45" x14ac:dyDescent="0.25">
      <c r="A18" s="97" t="s">
        <v>110</v>
      </c>
      <c r="B18" s="98" t="s">
        <v>518</v>
      </c>
      <c r="C18" s="99" t="s">
        <v>100</v>
      </c>
      <c r="D18" s="100">
        <v>90</v>
      </c>
      <c r="E18" s="98" t="s">
        <v>519</v>
      </c>
      <c r="F18" s="99" t="s">
        <v>520</v>
      </c>
      <c r="G18" s="101">
        <v>1849387.5</v>
      </c>
    </row>
    <row r="19" spans="1:9" s="221" customFormat="1" ht="23.25" x14ac:dyDescent="0.25">
      <c r="A19" s="102"/>
      <c r="B19" s="103"/>
      <c r="C19" s="103"/>
      <c r="D19" s="103"/>
      <c r="E19" s="104" t="s">
        <v>515</v>
      </c>
      <c r="F19" s="105"/>
      <c r="G19" s="106"/>
    </row>
    <row r="20" spans="1:9" s="221" customFormat="1" ht="12.75" customHeight="1" x14ac:dyDescent="0.25">
      <c r="A20" s="615" t="s">
        <v>521</v>
      </c>
      <c r="B20" s="616"/>
      <c r="C20" s="616"/>
      <c r="D20" s="616"/>
      <c r="E20" s="616"/>
      <c r="F20" s="616"/>
      <c r="G20" s="617"/>
    </row>
    <row r="21" spans="1:9" s="221" customFormat="1" ht="90" x14ac:dyDescent="0.25">
      <c r="A21" s="97" t="s">
        <v>116</v>
      </c>
      <c r="B21" s="98" t="s">
        <v>522</v>
      </c>
      <c r="C21" s="99" t="s">
        <v>338</v>
      </c>
      <c r="D21" s="100">
        <v>9</v>
      </c>
      <c r="E21" s="98" t="s">
        <v>523</v>
      </c>
      <c r="F21" s="99" t="s">
        <v>524</v>
      </c>
      <c r="G21" s="101">
        <v>357120</v>
      </c>
    </row>
    <row r="22" spans="1:9" s="221" customFormat="1" ht="23.25" x14ac:dyDescent="0.25">
      <c r="A22" s="102"/>
      <c r="B22" s="103"/>
      <c r="C22" s="103"/>
      <c r="D22" s="103"/>
      <c r="E22" s="104" t="s">
        <v>515</v>
      </c>
      <c r="F22" s="105"/>
      <c r="G22" s="106"/>
    </row>
    <row r="23" spans="1:9" s="221" customFormat="1" ht="12.75" customHeight="1" x14ac:dyDescent="0.25">
      <c r="A23" s="615" t="s">
        <v>525</v>
      </c>
      <c r="B23" s="616"/>
      <c r="C23" s="616"/>
      <c r="D23" s="616"/>
      <c r="E23" s="616"/>
      <c r="F23" s="616"/>
      <c r="G23" s="617"/>
    </row>
    <row r="24" spans="1:9" s="221" customFormat="1" ht="12.75" customHeight="1" x14ac:dyDescent="0.25">
      <c r="A24" s="615" t="s">
        <v>269</v>
      </c>
      <c r="B24" s="616"/>
      <c r="C24" s="616"/>
      <c r="D24" s="616"/>
      <c r="E24" s="616"/>
      <c r="F24" s="616"/>
      <c r="G24" s="617"/>
    </row>
    <row r="25" spans="1:9" s="221" customFormat="1" ht="12.75" customHeight="1" x14ac:dyDescent="0.25">
      <c r="A25" s="615" t="s">
        <v>272</v>
      </c>
      <c r="B25" s="616"/>
      <c r="C25" s="616"/>
      <c r="D25" s="616"/>
      <c r="E25" s="616"/>
      <c r="F25" s="616"/>
      <c r="G25" s="617"/>
    </row>
    <row r="26" spans="1:9" s="221" customFormat="1" ht="12.75" customHeight="1" x14ac:dyDescent="0.25">
      <c r="A26" s="615" t="s">
        <v>273</v>
      </c>
      <c r="B26" s="616"/>
      <c r="C26" s="616"/>
      <c r="D26" s="616"/>
      <c r="E26" s="616"/>
      <c r="F26" s="616"/>
      <c r="G26" s="617"/>
    </row>
    <row r="27" spans="1:9" s="221" customFormat="1" ht="12.75" customHeight="1" x14ac:dyDescent="0.25">
      <c r="A27" s="615" t="s">
        <v>274</v>
      </c>
      <c r="B27" s="616"/>
      <c r="C27" s="616"/>
      <c r="D27" s="616"/>
      <c r="E27" s="616"/>
      <c r="F27" s="616"/>
      <c r="G27" s="617"/>
    </row>
    <row r="28" spans="1:9" s="221" customFormat="1" ht="11.25" customHeight="1" x14ac:dyDescent="0.25">
      <c r="A28" s="109"/>
      <c r="B28" s="611" t="s">
        <v>131</v>
      </c>
      <c r="C28" s="611"/>
      <c r="D28" s="611"/>
      <c r="E28" s="611"/>
      <c r="F28" s="109"/>
      <c r="G28" s="110"/>
      <c r="H28" s="111"/>
      <c r="I28" s="111"/>
    </row>
    <row r="29" spans="1:9" s="221" customFormat="1" ht="11.25" customHeight="1" x14ac:dyDescent="0.25">
      <c r="A29" s="109"/>
      <c r="B29" s="609" t="s">
        <v>275</v>
      </c>
      <c r="C29" s="609"/>
      <c r="D29" s="609"/>
      <c r="E29" s="609"/>
      <c r="F29" s="109"/>
      <c r="G29" s="112" t="s">
        <v>526</v>
      </c>
    </row>
    <row r="30" spans="1:9" s="221" customFormat="1" ht="11.25" customHeight="1" x14ac:dyDescent="0.25">
      <c r="A30" s="109"/>
      <c r="B30" s="611" t="s">
        <v>136</v>
      </c>
      <c r="C30" s="611"/>
      <c r="D30" s="611"/>
      <c r="E30" s="611"/>
      <c r="F30" s="109"/>
      <c r="G30" s="110" t="s">
        <v>526</v>
      </c>
    </row>
    <row r="31" spans="1:9" s="221" customFormat="1" ht="12.75" customHeight="1" x14ac:dyDescent="0.25">
      <c r="A31" s="612" t="s">
        <v>137</v>
      </c>
      <c r="B31" s="613"/>
      <c r="C31" s="613"/>
      <c r="D31" s="613"/>
      <c r="E31" s="613"/>
      <c r="F31" s="613"/>
      <c r="G31" s="614"/>
    </row>
    <row r="32" spans="1:9" s="221" customFormat="1" ht="33.75" x14ac:dyDescent="0.25">
      <c r="A32" s="97" t="s">
        <v>122</v>
      </c>
      <c r="B32" s="98" t="s">
        <v>139</v>
      </c>
      <c r="C32" s="99" t="s">
        <v>140</v>
      </c>
      <c r="D32" s="113">
        <v>2609674.02</v>
      </c>
      <c r="E32" s="98" t="s">
        <v>141</v>
      </c>
      <c r="F32" s="99" t="s">
        <v>527</v>
      </c>
      <c r="G32" s="101">
        <v>815523.13</v>
      </c>
    </row>
    <row r="33" spans="1:9" s="221" customFormat="1" ht="23.25" x14ac:dyDescent="0.25">
      <c r="A33" s="102"/>
      <c r="B33" s="103"/>
      <c r="C33" s="103"/>
      <c r="D33" s="103"/>
      <c r="E33" s="104" t="s">
        <v>515</v>
      </c>
      <c r="F33" s="105"/>
      <c r="G33" s="106"/>
    </row>
    <row r="34" spans="1:9" s="221" customFormat="1" ht="90" x14ac:dyDescent="0.25">
      <c r="A34" s="97" t="s">
        <v>129</v>
      </c>
      <c r="B34" s="98" t="s">
        <v>277</v>
      </c>
      <c r="C34" s="99" t="s">
        <v>140</v>
      </c>
      <c r="D34" s="113">
        <v>2609674.02</v>
      </c>
      <c r="E34" s="98" t="s">
        <v>145</v>
      </c>
      <c r="F34" s="99" t="s">
        <v>528</v>
      </c>
      <c r="G34" s="101">
        <v>267491.59000000003</v>
      </c>
    </row>
    <row r="35" spans="1:9" s="221" customFormat="1" ht="23.25" x14ac:dyDescent="0.25">
      <c r="A35" s="102"/>
      <c r="B35" s="103"/>
      <c r="C35" s="103"/>
      <c r="D35" s="103"/>
      <c r="E35" s="104" t="s">
        <v>515</v>
      </c>
      <c r="F35" s="105"/>
      <c r="G35" s="106"/>
    </row>
    <row r="36" spans="1:9" s="221" customFormat="1" ht="78.75" x14ac:dyDescent="0.25">
      <c r="A36" s="97" t="s">
        <v>138</v>
      </c>
      <c r="B36" s="98" t="s">
        <v>148</v>
      </c>
      <c r="C36" s="99" t="s">
        <v>140</v>
      </c>
      <c r="D36" s="113">
        <v>2609674.02</v>
      </c>
      <c r="E36" s="98" t="s">
        <v>149</v>
      </c>
      <c r="F36" s="99" t="s">
        <v>529</v>
      </c>
      <c r="G36" s="101">
        <v>251181.12</v>
      </c>
    </row>
    <row r="37" spans="1:9" s="221" customFormat="1" ht="23.25" x14ac:dyDescent="0.25">
      <c r="A37" s="102"/>
      <c r="B37" s="103"/>
      <c r="C37" s="103"/>
      <c r="D37" s="103"/>
      <c r="E37" s="104" t="s">
        <v>515</v>
      </c>
      <c r="F37" s="105"/>
      <c r="G37" s="106"/>
    </row>
    <row r="38" spans="1:9" s="221" customFormat="1" ht="11.25" customHeight="1" x14ac:dyDescent="0.25">
      <c r="A38" s="109"/>
      <c r="B38" s="611" t="s">
        <v>151</v>
      </c>
      <c r="C38" s="611"/>
      <c r="D38" s="611"/>
      <c r="E38" s="611"/>
      <c r="F38" s="109"/>
      <c r="G38" s="110"/>
      <c r="H38" s="111"/>
      <c r="I38" s="111"/>
    </row>
    <row r="39" spans="1:9" s="221" customFormat="1" ht="11.25" customHeight="1" x14ac:dyDescent="0.25">
      <c r="A39" s="109"/>
      <c r="B39" s="609" t="s">
        <v>283</v>
      </c>
      <c r="C39" s="609"/>
      <c r="D39" s="609"/>
      <c r="E39" s="609"/>
      <c r="F39" s="109"/>
      <c r="G39" s="112" t="s">
        <v>530</v>
      </c>
    </row>
    <row r="40" spans="1:9" s="221" customFormat="1" ht="11.25" customHeight="1" x14ac:dyDescent="0.25">
      <c r="A40" s="109"/>
      <c r="B40" s="611" t="s">
        <v>155</v>
      </c>
      <c r="C40" s="611"/>
      <c r="D40" s="611"/>
      <c r="E40" s="611"/>
      <c r="F40" s="109"/>
      <c r="G40" s="110" t="s">
        <v>530</v>
      </c>
    </row>
    <row r="41" spans="1:9" s="221" customFormat="1" ht="12.75" customHeight="1" x14ac:dyDescent="0.25">
      <c r="A41" s="612" t="s">
        <v>156</v>
      </c>
      <c r="B41" s="613"/>
      <c r="C41" s="613"/>
      <c r="D41" s="613"/>
      <c r="E41" s="613"/>
      <c r="F41" s="613"/>
      <c r="G41" s="614"/>
    </row>
    <row r="42" spans="1:9" s="221" customFormat="1" ht="12.75" customHeight="1" x14ac:dyDescent="0.25">
      <c r="A42" s="615" t="s">
        <v>256</v>
      </c>
      <c r="B42" s="616"/>
      <c r="C42" s="616"/>
      <c r="D42" s="616"/>
      <c r="E42" s="616"/>
      <c r="F42" s="616"/>
      <c r="G42" s="617"/>
    </row>
    <row r="43" spans="1:9" s="221" customFormat="1" ht="45" x14ac:dyDescent="0.25">
      <c r="A43" s="97" t="s">
        <v>143</v>
      </c>
      <c r="B43" s="98" t="s">
        <v>158</v>
      </c>
      <c r="C43" s="99" t="s">
        <v>100</v>
      </c>
      <c r="D43" s="100">
        <v>6</v>
      </c>
      <c r="E43" s="98" t="s">
        <v>159</v>
      </c>
      <c r="F43" s="99" t="s">
        <v>531</v>
      </c>
      <c r="G43" s="101">
        <v>12855</v>
      </c>
    </row>
    <row r="44" spans="1:9" s="221" customFormat="1" ht="23.25" x14ac:dyDescent="0.25">
      <c r="A44" s="102"/>
      <c r="B44" s="103"/>
      <c r="C44" s="103"/>
      <c r="D44" s="103"/>
      <c r="E44" s="104" t="s">
        <v>515</v>
      </c>
      <c r="F44" s="105"/>
      <c r="G44" s="106"/>
    </row>
    <row r="45" spans="1:9" s="221" customFormat="1" ht="45" x14ac:dyDescent="0.25">
      <c r="A45" s="97" t="s">
        <v>147</v>
      </c>
      <c r="B45" s="98" t="s">
        <v>162</v>
      </c>
      <c r="C45" s="99" t="s">
        <v>100</v>
      </c>
      <c r="D45" s="100">
        <v>6</v>
      </c>
      <c r="E45" s="98" t="s">
        <v>163</v>
      </c>
      <c r="F45" s="99" t="s">
        <v>532</v>
      </c>
      <c r="G45" s="101">
        <v>13830</v>
      </c>
    </row>
    <row r="46" spans="1:9" s="221" customFormat="1" ht="23.25" x14ac:dyDescent="0.25">
      <c r="A46" s="102"/>
      <c r="B46" s="103"/>
      <c r="C46" s="103"/>
      <c r="D46" s="103"/>
      <c r="E46" s="104" t="s">
        <v>515</v>
      </c>
      <c r="F46" s="105"/>
      <c r="G46" s="106"/>
    </row>
    <row r="47" spans="1:9" s="221" customFormat="1" ht="12.75" customHeight="1" x14ac:dyDescent="0.25">
      <c r="A47" s="615" t="s">
        <v>262</v>
      </c>
      <c r="B47" s="616"/>
      <c r="C47" s="616"/>
      <c r="D47" s="616"/>
      <c r="E47" s="616"/>
      <c r="F47" s="616"/>
      <c r="G47" s="617"/>
    </row>
    <row r="48" spans="1:9" s="221" customFormat="1" ht="12.75" customHeight="1" x14ac:dyDescent="0.25">
      <c r="A48" s="615" t="s">
        <v>533</v>
      </c>
      <c r="B48" s="616"/>
      <c r="C48" s="616"/>
      <c r="D48" s="616"/>
      <c r="E48" s="616"/>
      <c r="F48" s="616"/>
      <c r="G48" s="617"/>
    </row>
    <row r="49" spans="1:9" s="221" customFormat="1" ht="78.75" x14ac:dyDescent="0.25">
      <c r="A49" s="97" t="s">
        <v>157</v>
      </c>
      <c r="B49" s="98" t="s">
        <v>534</v>
      </c>
      <c r="C49" s="99" t="s">
        <v>100</v>
      </c>
      <c r="D49" s="100">
        <v>90</v>
      </c>
      <c r="E49" s="98" t="s">
        <v>535</v>
      </c>
      <c r="F49" s="99" t="s">
        <v>536</v>
      </c>
      <c r="G49" s="101">
        <v>44100</v>
      </c>
    </row>
    <row r="50" spans="1:9" s="221" customFormat="1" ht="23.25" x14ac:dyDescent="0.25">
      <c r="A50" s="102"/>
      <c r="B50" s="103"/>
      <c r="C50" s="103"/>
      <c r="D50" s="103"/>
      <c r="E50" s="104" t="s">
        <v>515</v>
      </c>
      <c r="F50" s="105"/>
      <c r="G50" s="106"/>
    </row>
    <row r="51" spans="1:9" s="221" customFormat="1" ht="33.75" x14ac:dyDescent="0.25">
      <c r="A51" s="97" t="s">
        <v>161</v>
      </c>
      <c r="B51" s="98" t="s">
        <v>537</v>
      </c>
      <c r="C51" s="99" t="s">
        <v>338</v>
      </c>
      <c r="D51" s="100">
        <v>9</v>
      </c>
      <c r="E51" s="98" t="s">
        <v>538</v>
      </c>
      <c r="F51" s="99" t="s">
        <v>539</v>
      </c>
      <c r="G51" s="101">
        <v>38432.5</v>
      </c>
    </row>
    <row r="52" spans="1:9" s="221" customFormat="1" ht="23.25" x14ac:dyDescent="0.25">
      <c r="A52" s="102"/>
      <c r="B52" s="103"/>
      <c r="C52" s="103"/>
      <c r="D52" s="103"/>
      <c r="E52" s="104" t="s">
        <v>515</v>
      </c>
      <c r="F52" s="105"/>
      <c r="G52" s="106"/>
    </row>
    <row r="53" spans="1:9" s="221" customFormat="1" ht="12.75" customHeight="1" x14ac:dyDescent="0.25">
      <c r="A53" s="615" t="s">
        <v>287</v>
      </c>
      <c r="B53" s="616"/>
      <c r="C53" s="616"/>
      <c r="D53" s="616"/>
      <c r="E53" s="616"/>
      <c r="F53" s="616"/>
      <c r="G53" s="617"/>
    </row>
    <row r="54" spans="1:9" s="221" customFormat="1" ht="12.75" customHeight="1" x14ac:dyDescent="0.25">
      <c r="A54" s="615" t="s">
        <v>108</v>
      </c>
      <c r="B54" s="616"/>
      <c r="C54" s="616"/>
      <c r="D54" s="616"/>
      <c r="E54" s="616"/>
      <c r="F54" s="616"/>
      <c r="G54" s="617"/>
    </row>
    <row r="55" spans="1:9" s="221" customFormat="1" ht="12.75" customHeight="1" x14ac:dyDescent="0.25">
      <c r="A55" s="615" t="s">
        <v>263</v>
      </c>
      <c r="B55" s="616"/>
      <c r="C55" s="616"/>
      <c r="D55" s="616"/>
      <c r="E55" s="616"/>
      <c r="F55" s="616"/>
      <c r="G55" s="617"/>
    </row>
    <row r="56" spans="1:9" s="221" customFormat="1" ht="12.75" customHeight="1" x14ac:dyDescent="0.25">
      <c r="A56" s="615" t="s">
        <v>291</v>
      </c>
      <c r="B56" s="616"/>
      <c r="C56" s="616"/>
      <c r="D56" s="616"/>
      <c r="E56" s="616"/>
      <c r="F56" s="616"/>
      <c r="G56" s="617"/>
    </row>
    <row r="57" spans="1:9" s="221" customFormat="1" ht="12.75" customHeight="1" x14ac:dyDescent="0.25">
      <c r="A57" s="615" t="s">
        <v>175</v>
      </c>
      <c r="B57" s="616"/>
      <c r="C57" s="616"/>
      <c r="D57" s="616"/>
      <c r="E57" s="616"/>
      <c r="F57" s="616"/>
      <c r="G57" s="617"/>
    </row>
    <row r="58" spans="1:9" s="221" customFormat="1" ht="12.75" customHeight="1" x14ac:dyDescent="0.25">
      <c r="A58" s="615" t="s">
        <v>540</v>
      </c>
      <c r="B58" s="616"/>
      <c r="C58" s="616"/>
      <c r="D58" s="616"/>
      <c r="E58" s="616"/>
      <c r="F58" s="616"/>
      <c r="G58" s="617"/>
    </row>
    <row r="59" spans="1:9" s="221" customFormat="1" ht="12.75" customHeight="1" x14ac:dyDescent="0.25">
      <c r="A59" s="615" t="s">
        <v>176</v>
      </c>
      <c r="B59" s="616"/>
      <c r="C59" s="616"/>
      <c r="D59" s="616"/>
      <c r="E59" s="616"/>
      <c r="F59" s="616"/>
      <c r="G59" s="617"/>
    </row>
    <row r="60" spans="1:9" s="221" customFormat="1" ht="67.5" x14ac:dyDescent="0.25">
      <c r="A60" s="97" t="s">
        <v>166</v>
      </c>
      <c r="B60" s="98" t="s">
        <v>295</v>
      </c>
      <c r="C60" s="99" t="s">
        <v>296</v>
      </c>
      <c r="D60" s="100">
        <v>5</v>
      </c>
      <c r="E60" s="98" t="s">
        <v>297</v>
      </c>
      <c r="F60" s="99" t="s">
        <v>541</v>
      </c>
      <c r="G60" s="101">
        <v>134068.75</v>
      </c>
    </row>
    <row r="61" spans="1:9" s="221" customFormat="1" ht="23.25" x14ac:dyDescent="0.25">
      <c r="A61" s="102"/>
      <c r="B61" s="103"/>
      <c r="C61" s="103"/>
      <c r="D61" s="103"/>
      <c r="E61" s="104" t="s">
        <v>515</v>
      </c>
      <c r="F61" s="105"/>
      <c r="G61" s="106"/>
    </row>
    <row r="62" spans="1:9" s="221" customFormat="1" ht="11.25" customHeight="1" x14ac:dyDescent="0.25">
      <c r="A62" s="109"/>
      <c r="B62" s="611" t="s">
        <v>177</v>
      </c>
      <c r="C62" s="611"/>
      <c r="D62" s="611"/>
      <c r="E62" s="611"/>
      <c r="F62" s="109"/>
      <c r="G62" s="110"/>
      <c r="H62" s="111"/>
      <c r="I62" s="111"/>
    </row>
    <row r="63" spans="1:9" s="221" customFormat="1" ht="11.25" customHeight="1" x14ac:dyDescent="0.25">
      <c r="A63" s="109"/>
      <c r="B63" s="609" t="s">
        <v>542</v>
      </c>
      <c r="C63" s="609"/>
      <c r="D63" s="609"/>
      <c r="E63" s="609"/>
      <c r="F63" s="109"/>
      <c r="G63" s="112" t="s">
        <v>543</v>
      </c>
    </row>
    <row r="64" spans="1:9" s="221" customFormat="1" ht="11.25" customHeight="1" x14ac:dyDescent="0.25">
      <c r="A64" s="109"/>
      <c r="B64" s="611" t="s">
        <v>181</v>
      </c>
      <c r="C64" s="611"/>
      <c r="D64" s="611"/>
      <c r="E64" s="611"/>
      <c r="F64" s="109"/>
      <c r="G64" s="110" t="s">
        <v>543</v>
      </c>
    </row>
    <row r="65" spans="1:9" s="221" customFormat="1" ht="12.75" customHeight="1" x14ac:dyDescent="0.25">
      <c r="A65" s="612" t="s">
        <v>182</v>
      </c>
      <c r="B65" s="613"/>
      <c r="C65" s="613"/>
      <c r="D65" s="613"/>
      <c r="E65" s="613"/>
      <c r="F65" s="613"/>
      <c r="G65" s="614"/>
    </row>
    <row r="66" spans="1:9" s="221" customFormat="1" ht="33.75" x14ac:dyDescent="0.25">
      <c r="A66" s="97" t="s">
        <v>171</v>
      </c>
      <c r="B66" s="98" t="s">
        <v>184</v>
      </c>
      <c r="C66" s="99" t="s">
        <v>140</v>
      </c>
      <c r="D66" s="223">
        <v>243286.3</v>
      </c>
      <c r="E66" s="98" t="s">
        <v>185</v>
      </c>
      <c r="F66" s="99" t="s">
        <v>544</v>
      </c>
      <c r="G66" s="101">
        <v>33299.81</v>
      </c>
    </row>
    <row r="67" spans="1:9" s="221" customFormat="1" ht="23.25" x14ac:dyDescent="0.25">
      <c r="A67" s="102"/>
      <c r="B67" s="103"/>
      <c r="C67" s="103"/>
      <c r="D67" s="103"/>
      <c r="E67" s="104" t="s">
        <v>515</v>
      </c>
      <c r="F67" s="105"/>
      <c r="G67" s="106"/>
    </row>
    <row r="68" spans="1:9" s="221" customFormat="1" ht="11.25" customHeight="1" x14ac:dyDescent="0.25">
      <c r="A68" s="109"/>
      <c r="B68" s="611" t="s">
        <v>187</v>
      </c>
      <c r="C68" s="611"/>
      <c r="D68" s="611"/>
      <c r="E68" s="611"/>
      <c r="F68" s="109"/>
      <c r="G68" s="110"/>
      <c r="H68" s="111"/>
      <c r="I68" s="111"/>
    </row>
    <row r="69" spans="1:9" s="221" customFormat="1" ht="11.25" customHeight="1" x14ac:dyDescent="0.25">
      <c r="A69" s="109"/>
      <c r="B69" s="609" t="s">
        <v>545</v>
      </c>
      <c r="C69" s="609"/>
      <c r="D69" s="609"/>
      <c r="E69" s="609"/>
      <c r="F69" s="109"/>
      <c r="G69" s="112" t="s">
        <v>546</v>
      </c>
    </row>
    <row r="70" spans="1:9" s="221" customFormat="1" ht="11.25" customHeight="1" x14ac:dyDescent="0.25">
      <c r="A70" s="109"/>
      <c r="B70" s="611" t="s">
        <v>191</v>
      </c>
      <c r="C70" s="611"/>
      <c r="D70" s="611"/>
      <c r="E70" s="611"/>
      <c r="F70" s="109"/>
      <c r="G70" s="110" t="s">
        <v>546</v>
      </c>
    </row>
    <row r="71" spans="1:9" s="221" customFormat="1" ht="12.75" customHeight="1" x14ac:dyDescent="0.25">
      <c r="A71" s="612" t="s">
        <v>306</v>
      </c>
      <c r="B71" s="613"/>
      <c r="C71" s="613"/>
      <c r="D71" s="613"/>
      <c r="E71" s="613"/>
      <c r="F71" s="613"/>
      <c r="G71" s="614"/>
    </row>
    <row r="72" spans="1:9" s="221" customFormat="1" ht="67.5" x14ac:dyDescent="0.25">
      <c r="A72" s="97" t="s">
        <v>183</v>
      </c>
      <c r="B72" s="98" t="s">
        <v>547</v>
      </c>
      <c r="C72" s="99" t="s">
        <v>195</v>
      </c>
      <c r="D72" s="113">
        <v>2852960.32</v>
      </c>
      <c r="E72" s="98" t="s">
        <v>548</v>
      </c>
      <c r="F72" s="99" t="s">
        <v>549</v>
      </c>
      <c r="G72" s="101">
        <v>98806</v>
      </c>
    </row>
    <row r="73" spans="1:9" s="221" customFormat="1" ht="23.25" x14ac:dyDescent="0.25">
      <c r="A73" s="102"/>
      <c r="B73" s="103"/>
      <c r="C73" s="103"/>
      <c r="D73" s="103"/>
      <c r="E73" s="104" t="s">
        <v>515</v>
      </c>
      <c r="F73" s="105"/>
      <c r="G73" s="106"/>
    </row>
    <row r="74" spans="1:9" s="221" customFormat="1" ht="67.5" x14ac:dyDescent="0.25">
      <c r="A74" s="97" t="s">
        <v>193</v>
      </c>
      <c r="B74" s="98" t="s">
        <v>550</v>
      </c>
      <c r="C74" s="99" t="s">
        <v>200</v>
      </c>
      <c r="D74" s="113">
        <v>2852960.32</v>
      </c>
      <c r="E74" s="98" t="s">
        <v>551</v>
      </c>
      <c r="F74" s="99" t="s">
        <v>552</v>
      </c>
      <c r="G74" s="101">
        <v>169118.41</v>
      </c>
    </row>
    <row r="75" spans="1:9" s="221" customFormat="1" ht="23.25" x14ac:dyDescent="0.25">
      <c r="A75" s="102"/>
      <c r="B75" s="103"/>
      <c r="C75" s="103"/>
      <c r="D75" s="103"/>
      <c r="E75" s="104" t="s">
        <v>515</v>
      </c>
      <c r="F75" s="105"/>
      <c r="G75" s="106"/>
    </row>
    <row r="76" spans="1:9" s="221" customFormat="1" ht="11.25" customHeight="1" x14ac:dyDescent="0.25">
      <c r="A76" s="224">
        <v>16</v>
      </c>
      <c r="B76" s="611" t="s">
        <v>309</v>
      </c>
      <c r="C76" s="611"/>
      <c r="D76" s="611"/>
      <c r="E76" s="611"/>
      <c r="F76" s="109"/>
      <c r="G76" s="110"/>
      <c r="H76" s="111"/>
      <c r="I76" s="111"/>
    </row>
    <row r="77" spans="1:9" s="221" customFormat="1" ht="11.25" customHeight="1" x14ac:dyDescent="0.25">
      <c r="A77" s="224">
        <v>17</v>
      </c>
      <c r="B77" s="609" t="s">
        <v>553</v>
      </c>
      <c r="C77" s="609"/>
      <c r="D77" s="609"/>
      <c r="E77" s="609"/>
      <c r="F77" s="109"/>
      <c r="G77" s="112" t="s">
        <v>554</v>
      </c>
    </row>
    <row r="78" spans="1:9" s="221" customFormat="1" ht="11.25" customHeight="1" x14ac:dyDescent="0.25">
      <c r="A78" s="224">
        <v>18</v>
      </c>
      <c r="B78" s="611" t="s">
        <v>311</v>
      </c>
      <c r="C78" s="611"/>
      <c r="D78" s="611"/>
      <c r="E78" s="611"/>
      <c r="F78" s="109"/>
      <c r="G78" s="110" t="s">
        <v>554</v>
      </c>
    </row>
    <row r="79" spans="1:9" s="221" customFormat="1" ht="15" x14ac:dyDescent="0.25">
      <c r="A79" s="224">
        <v>19</v>
      </c>
      <c r="B79" s="611" t="s">
        <v>208</v>
      </c>
      <c r="C79" s="611"/>
      <c r="D79" s="611"/>
      <c r="E79" s="611"/>
      <c r="F79" s="109"/>
      <c r="G79" s="110"/>
    </row>
    <row r="80" spans="1:9" s="221" customFormat="1" ht="11.25" customHeight="1" x14ac:dyDescent="0.25">
      <c r="A80" s="224">
        <v>20</v>
      </c>
      <c r="B80" s="609" t="s">
        <v>136</v>
      </c>
      <c r="C80" s="609"/>
      <c r="D80" s="609"/>
      <c r="E80" s="609"/>
      <c r="F80" s="109"/>
      <c r="G80" s="112"/>
    </row>
    <row r="81" spans="1:13" s="221" customFormat="1" ht="11.25" customHeight="1" x14ac:dyDescent="0.25">
      <c r="A81" s="224">
        <v>21</v>
      </c>
      <c r="B81" s="609" t="s">
        <v>312</v>
      </c>
      <c r="C81" s="609"/>
      <c r="D81" s="609"/>
      <c r="E81" s="609"/>
      <c r="F81" s="109"/>
      <c r="G81" s="112" t="s">
        <v>526</v>
      </c>
    </row>
    <row r="82" spans="1:13" s="221" customFormat="1" ht="11.25" customHeight="1" x14ac:dyDescent="0.25">
      <c r="A82" s="224">
        <v>22</v>
      </c>
      <c r="B82" s="609" t="s">
        <v>211</v>
      </c>
      <c r="C82" s="609"/>
      <c r="D82" s="609"/>
      <c r="E82" s="609"/>
      <c r="F82" s="109"/>
      <c r="G82" s="112" t="s">
        <v>526</v>
      </c>
    </row>
    <row r="83" spans="1:13" s="221" customFormat="1" ht="11.25" customHeight="1" x14ac:dyDescent="0.25">
      <c r="A83" s="224">
        <v>23</v>
      </c>
      <c r="B83" s="609" t="s">
        <v>155</v>
      </c>
      <c r="C83" s="609"/>
      <c r="D83" s="609"/>
      <c r="E83" s="609"/>
      <c r="F83" s="109"/>
      <c r="G83" s="112"/>
    </row>
    <row r="84" spans="1:13" s="221" customFormat="1" ht="11.25" customHeight="1" x14ac:dyDescent="0.25">
      <c r="A84" s="224">
        <v>24</v>
      </c>
      <c r="B84" s="609" t="s">
        <v>313</v>
      </c>
      <c r="C84" s="609"/>
      <c r="D84" s="609"/>
      <c r="E84" s="609"/>
      <c r="F84" s="109"/>
      <c r="G84" s="112" t="s">
        <v>530</v>
      </c>
    </row>
    <row r="85" spans="1:13" s="221" customFormat="1" ht="11.25" customHeight="1" x14ac:dyDescent="0.25">
      <c r="A85" s="224">
        <v>25</v>
      </c>
      <c r="B85" s="609" t="s">
        <v>213</v>
      </c>
      <c r="C85" s="609"/>
      <c r="D85" s="609"/>
      <c r="E85" s="609"/>
      <c r="F85" s="109"/>
      <c r="G85" s="112" t="s">
        <v>530</v>
      </c>
    </row>
    <row r="86" spans="1:13" s="221" customFormat="1" ht="11.25" customHeight="1" x14ac:dyDescent="0.25">
      <c r="A86" s="224">
        <v>26</v>
      </c>
      <c r="B86" s="609" t="s">
        <v>181</v>
      </c>
      <c r="C86" s="609"/>
      <c r="D86" s="609"/>
      <c r="E86" s="609"/>
      <c r="F86" s="109"/>
      <c r="G86" s="112"/>
    </row>
    <row r="87" spans="1:13" s="221" customFormat="1" ht="11.25" customHeight="1" x14ac:dyDescent="0.25">
      <c r="A87" s="224">
        <v>27</v>
      </c>
      <c r="B87" s="609" t="s">
        <v>555</v>
      </c>
      <c r="C87" s="609"/>
      <c r="D87" s="609"/>
      <c r="E87" s="609"/>
      <c r="F87" s="109"/>
      <c r="G87" s="112" t="s">
        <v>543</v>
      </c>
    </row>
    <row r="88" spans="1:13" s="221" customFormat="1" ht="11.25" customHeight="1" x14ac:dyDescent="0.25">
      <c r="A88" s="224">
        <v>28</v>
      </c>
      <c r="B88" s="609" t="s">
        <v>215</v>
      </c>
      <c r="C88" s="609"/>
      <c r="D88" s="609"/>
      <c r="E88" s="609"/>
      <c r="F88" s="109"/>
      <c r="G88" s="112" t="s">
        <v>543</v>
      </c>
    </row>
    <row r="89" spans="1:13" s="221" customFormat="1" ht="11.25" customHeight="1" x14ac:dyDescent="0.25">
      <c r="A89" s="224">
        <v>29</v>
      </c>
      <c r="B89" s="609" t="s">
        <v>191</v>
      </c>
      <c r="C89" s="609"/>
      <c r="D89" s="609"/>
      <c r="E89" s="609"/>
      <c r="F89" s="109"/>
      <c r="G89" s="112"/>
    </row>
    <row r="90" spans="1:13" s="221" customFormat="1" ht="11.25" customHeight="1" x14ac:dyDescent="0.25">
      <c r="A90" s="224">
        <v>30</v>
      </c>
      <c r="B90" s="609" t="s">
        <v>556</v>
      </c>
      <c r="C90" s="609"/>
      <c r="D90" s="609"/>
      <c r="E90" s="609"/>
      <c r="F90" s="109"/>
      <c r="G90" s="112" t="s">
        <v>546</v>
      </c>
    </row>
    <row r="91" spans="1:13" s="221" customFormat="1" ht="11.25" customHeight="1" x14ac:dyDescent="0.25">
      <c r="A91" s="224">
        <v>31</v>
      </c>
      <c r="B91" s="609" t="s">
        <v>217</v>
      </c>
      <c r="C91" s="609"/>
      <c r="D91" s="609"/>
      <c r="E91" s="609"/>
      <c r="F91" s="109"/>
      <c r="G91" s="112" t="s">
        <v>546</v>
      </c>
    </row>
    <row r="92" spans="1:13" s="221" customFormat="1" ht="11.25" customHeight="1" x14ac:dyDescent="0.25">
      <c r="A92" s="224">
        <v>32</v>
      </c>
      <c r="B92" s="609" t="s">
        <v>311</v>
      </c>
      <c r="C92" s="609"/>
      <c r="D92" s="609"/>
      <c r="E92" s="609"/>
      <c r="F92" s="109"/>
      <c r="G92" s="112"/>
    </row>
    <row r="93" spans="1:13" s="221" customFormat="1" ht="11.25" customHeight="1" x14ac:dyDescent="0.25">
      <c r="A93" s="224">
        <v>33</v>
      </c>
      <c r="B93" s="609" t="s">
        <v>557</v>
      </c>
      <c r="C93" s="609"/>
      <c r="D93" s="609"/>
      <c r="E93" s="609"/>
      <c r="F93" s="109"/>
      <c r="G93" s="115" t="s">
        <v>554</v>
      </c>
      <c r="H93" s="225"/>
      <c r="I93" s="225"/>
      <c r="J93" s="225"/>
      <c r="K93" s="225"/>
      <c r="L93" s="225"/>
    </row>
    <row r="94" spans="1:13" s="221" customFormat="1" ht="11.25" customHeight="1" x14ac:dyDescent="0.25">
      <c r="A94" s="224">
        <v>34</v>
      </c>
      <c r="B94" s="609" t="s">
        <v>315</v>
      </c>
      <c r="C94" s="609"/>
      <c r="D94" s="609"/>
      <c r="E94" s="609"/>
      <c r="F94" s="109"/>
      <c r="G94" s="115" t="s">
        <v>554</v>
      </c>
      <c r="H94" s="225"/>
      <c r="I94" s="225"/>
      <c r="J94" s="225"/>
      <c r="K94" s="225"/>
      <c r="L94" s="225"/>
    </row>
    <row r="95" spans="1:13" s="221" customFormat="1" ht="11.25" customHeight="1" x14ac:dyDescent="0.25">
      <c r="A95" s="224">
        <v>35</v>
      </c>
      <c r="B95" s="609" t="s">
        <v>220</v>
      </c>
      <c r="C95" s="609"/>
      <c r="D95" s="609"/>
      <c r="E95" s="609"/>
      <c r="F95" s="109"/>
      <c r="G95" s="115">
        <v>4560194.1409599995</v>
      </c>
      <c r="H95" s="225"/>
      <c r="I95" s="225"/>
      <c r="J95" s="225"/>
      <c r="K95" s="225"/>
      <c r="L95" s="225"/>
      <c r="M95" s="225"/>
    </row>
    <row r="96" spans="1:13" s="221" customFormat="1" ht="11.25" customHeight="1" x14ac:dyDescent="0.25">
      <c r="A96" s="224">
        <v>36</v>
      </c>
      <c r="B96" s="610" t="s">
        <v>316</v>
      </c>
      <c r="C96" s="610"/>
      <c r="D96" s="610"/>
      <c r="E96" s="610"/>
      <c r="F96" s="117"/>
      <c r="G96" s="226">
        <v>4560194.1409599995</v>
      </c>
      <c r="H96" s="225"/>
      <c r="I96" s="225"/>
      <c r="J96" s="225"/>
      <c r="K96" s="225"/>
      <c r="L96" s="225"/>
      <c r="M96" s="225"/>
    </row>
    <row r="97" spans="7:13" ht="11.25" customHeight="1" x14ac:dyDescent="0.2">
      <c r="G97" s="121"/>
      <c r="H97" s="121"/>
      <c r="I97" s="121"/>
      <c r="J97" s="121"/>
      <c r="K97" s="121"/>
      <c r="L97" s="121"/>
      <c r="M97" s="121"/>
    </row>
    <row r="98" spans="7:13" ht="11.25" customHeight="1" x14ac:dyDescent="0.2">
      <c r="G98" s="121"/>
      <c r="H98" s="121"/>
      <c r="I98" s="121"/>
      <c r="J98" s="121"/>
      <c r="K98" s="121"/>
      <c r="L98" s="121"/>
      <c r="M98" s="121"/>
    </row>
    <row r="99" spans="7:13" ht="11.25" customHeight="1" x14ac:dyDescent="0.2">
      <c r="G99" s="121"/>
      <c r="H99" s="121"/>
      <c r="I99" s="121"/>
      <c r="J99" s="121"/>
      <c r="K99" s="121"/>
      <c r="L99" s="121"/>
      <c r="M99" s="121"/>
    </row>
    <row r="100" spans="7:13" ht="11.25" customHeight="1" x14ac:dyDescent="0.2">
      <c r="G100" s="121"/>
      <c r="H100" s="121"/>
      <c r="I100" s="121"/>
      <c r="J100" s="121"/>
      <c r="K100" s="121"/>
      <c r="L100" s="121"/>
      <c r="M100" s="121"/>
    </row>
    <row r="101" spans="7:13" ht="11.25" customHeight="1" x14ac:dyDescent="0.2">
      <c r="G101" s="121"/>
      <c r="H101" s="121"/>
      <c r="I101" s="121"/>
      <c r="J101" s="121"/>
      <c r="K101" s="121"/>
      <c r="L101" s="121"/>
      <c r="M101" s="121"/>
    </row>
    <row r="102" spans="7:13" ht="11.25" customHeight="1" x14ac:dyDescent="0.2">
      <c r="G102" s="121"/>
      <c r="H102" s="121"/>
      <c r="I102" s="121"/>
      <c r="J102" s="121"/>
      <c r="K102" s="121"/>
      <c r="L102" s="121"/>
      <c r="M102" s="121"/>
    </row>
    <row r="103" spans="7:13" ht="11.25" customHeight="1" x14ac:dyDescent="0.2">
      <c r="G103" s="121"/>
      <c r="H103" s="121"/>
      <c r="I103" s="121"/>
      <c r="J103" s="121"/>
      <c r="K103" s="121"/>
      <c r="L103" s="121"/>
      <c r="M103" s="121"/>
    </row>
    <row r="104" spans="7:13" ht="11.25" customHeight="1" x14ac:dyDescent="0.2">
      <c r="G104" s="121"/>
      <c r="H104" s="121"/>
      <c r="I104" s="121"/>
      <c r="J104" s="121"/>
      <c r="K104" s="121"/>
      <c r="L104" s="121"/>
      <c r="M104" s="121"/>
    </row>
    <row r="105" spans="7:13" ht="11.25" customHeight="1" x14ac:dyDescent="0.2">
      <c r="G105" s="121"/>
      <c r="H105" s="121"/>
      <c r="I105" s="121"/>
      <c r="J105" s="121"/>
      <c r="K105" s="121"/>
      <c r="L105" s="121"/>
      <c r="M105" s="121"/>
    </row>
    <row r="106" spans="7:13" ht="11.25" customHeight="1" x14ac:dyDescent="0.2">
      <c r="G106" s="121"/>
      <c r="H106" s="121"/>
      <c r="I106" s="121"/>
      <c r="J106" s="121"/>
      <c r="K106" s="121"/>
      <c r="L106" s="121"/>
      <c r="M106" s="121"/>
    </row>
    <row r="107" spans="7:13" ht="11.25" customHeight="1" x14ac:dyDescent="0.2">
      <c r="G107" s="121"/>
      <c r="H107" s="121"/>
      <c r="I107" s="121"/>
      <c r="J107" s="121"/>
      <c r="K107" s="121"/>
      <c r="L107" s="121"/>
      <c r="M107" s="121"/>
    </row>
    <row r="108" spans="7:13" ht="11.25" customHeight="1" x14ac:dyDescent="0.2">
      <c r="G108" s="121"/>
      <c r="H108" s="121"/>
      <c r="I108" s="121"/>
      <c r="J108" s="121"/>
      <c r="K108" s="121"/>
      <c r="L108" s="121"/>
      <c r="M108" s="121"/>
    </row>
    <row r="109" spans="7:13" ht="11.25" customHeight="1" x14ac:dyDescent="0.2">
      <c r="G109" s="121"/>
      <c r="H109" s="121"/>
      <c r="I109" s="121"/>
      <c r="J109" s="121"/>
      <c r="K109" s="121"/>
      <c r="L109" s="121"/>
      <c r="M109" s="121"/>
    </row>
    <row r="110" spans="7:13" ht="11.25" customHeight="1" x14ac:dyDescent="0.2">
      <c r="G110" s="121"/>
      <c r="H110" s="121"/>
      <c r="I110" s="121"/>
      <c r="J110" s="121"/>
      <c r="K110" s="121"/>
      <c r="L110" s="121"/>
      <c r="M110" s="121"/>
    </row>
    <row r="111" spans="7:13" ht="11.25" customHeight="1" x14ac:dyDescent="0.2">
      <c r="G111" s="121"/>
      <c r="H111" s="121"/>
      <c r="I111" s="121"/>
      <c r="J111" s="121"/>
      <c r="K111" s="121"/>
      <c r="L111" s="121"/>
      <c r="M111" s="121"/>
    </row>
    <row r="112" spans="7:13" ht="11.25" customHeight="1" x14ac:dyDescent="0.2">
      <c r="G112" s="121"/>
      <c r="H112" s="121"/>
      <c r="I112" s="121"/>
      <c r="J112" s="121"/>
      <c r="K112" s="121"/>
      <c r="L112" s="121"/>
      <c r="M112" s="121"/>
    </row>
    <row r="113" spans="7:13" ht="11.25" customHeight="1" x14ac:dyDescent="0.2">
      <c r="G113" s="121"/>
      <c r="H113" s="121"/>
      <c r="I113" s="121"/>
      <c r="J113" s="121"/>
      <c r="K113" s="121"/>
      <c r="L113" s="121"/>
      <c r="M113" s="121"/>
    </row>
    <row r="114" spans="7:13" ht="11.25" customHeight="1" x14ac:dyDescent="0.2">
      <c r="G114" s="121"/>
      <c r="H114" s="121"/>
      <c r="I114" s="121"/>
      <c r="J114" s="121"/>
      <c r="K114" s="121"/>
      <c r="L114" s="121"/>
      <c r="M114" s="121"/>
    </row>
    <row r="115" spans="7:13" ht="11.25" customHeight="1" x14ac:dyDescent="0.2">
      <c r="G115" s="121"/>
      <c r="H115" s="121"/>
      <c r="I115" s="121"/>
      <c r="J115" s="121"/>
      <c r="K115" s="121"/>
      <c r="L115" s="121"/>
      <c r="M115" s="121"/>
    </row>
    <row r="116" spans="7:13" ht="11.25" customHeight="1" x14ac:dyDescent="0.2">
      <c r="G116" s="121"/>
      <c r="H116" s="121"/>
      <c r="I116" s="121"/>
      <c r="J116" s="121"/>
      <c r="K116" s="121"/>
      <c r="L116" s="121"/>
      <c r="M116" s="121"/>
    </row>
    <row r="117" spans="7:13" ht="11.25" customHeight="1" x14ac:dyDescent="0.2">
      <c r="G117" s="121"/>
      <c r="H117" s="121"/>
      <c r="I117" s="121"/>
      <c r="J117" s="121"/>
      <c r="K117" s="121"/>
      <c r="L117" s="121"/>
      <c r="M117" s="121"/>
    </row>
    <row r="118" spans="7:13" ht="11.25" customHeight="1" x14ac:dyDescent="0.2">
      <c r="G118" s="121"/>
      <c r="H118" s="121"/>
      <c r="I118" s="121"/>
      <c r="J118" s="121"/>
      <c r="K118" s="121"/>
      <c r="L118" s="121"/>
      <c r="M118" s="121"/>
    </row>
    <row r="119" spans="7:13" ht="11.25" customHeight="1" x14ac:dyDescent="0.2">
      <c r="G119" s="121"/>
      <c r="H119" s="121"/>
      <c r="I119" s="121"/>
      <c r="J119" s="121"/>
      <c r="K119" s="121"/>
      <c r="L119" s="121"/>
      <c r="M119" s="121"/>
    </row>
    <row r="120" spans="7:13" ht="11.25" customHeight="1" x14ac:dyDescent="0.2">
      <c r="G120" s="121"/>
      <c r="H120" s="121"/>
      <c r="I120" s="121"/>
      <c r="J120" s="121"/>
      <c r="K120" s="121"/>
      <c r="L120" s="121"/>
      <c r="M120" s="121"/>
    </row>
    <row r="121" spans="7:13" ht="11.25" customHeight="1" x14ac:dyDescent="0.2">
      <c r="G121" s="121"/>
      <c r="H121" s="121"/>
      <c r="I121" s="121"/>
      <c r="J121" s="121"/>
      <c r="K121" s="121"/>
      <c r="L121" s="121"/>
      <c r="M121" s="121"/>
    </row>
    <row r="122" spans="7:13" ht="11.25" customHeight="1" x14ac:dyDescent="0.2">
      <c r="G122" s="121"/>
      <c r="H122" s="121"/>
      <c r="I122" s="121"/>
      <c r="J122" s="121"/>
      <c r="K122" s="121"/>
      <c r="L122" s="121"/>
      <c r="M122" s="121"/>
    </row>
    <row r="123" spans="7:13" ht="11.25" customHeight="1" x14ac:dyDescent="0.2">
      <c r="G123" s="121"/>
      <c r="H123" s="121"/>
      <c r="I123" s="121"/>
      <c r="J123" s="121"/>
      <c r="K123" s="121"/>
      <c r="L123" s="121"/>
      <c r="M123" s="121"/>
    </row>
    <row r="124" spans="7:13" ht="11.25" customHeight="1" x14ac:dyDescent="0.2">
      <c r="G124" s="121"/>
      <c r="H124" s="121"/>
      <c r="I124" s="121"/>
      <c r="J124" s="121"/>
      <c r="K124" s="121"/>
      <c r="L124" s="121"/>
      <c r="M124" s="121"/>
    </row>
    <row r="125" spans="7:13" ht="11.25" customHeight="1" x14ac:dyDescent="0.2">
      <c r="G125" s="121"/>
      <c r="H125" s="121"/>
      <c r="I125" s="121"/>
      <c r="J125" s="121"/>
      <c r="K125" s="121"/>
      <c r="L125" s="121"/>
      <c r="M125" s="121"/>
    </row>
    <row r="126" spans="7:13" ht="11.25" customHeight="1" x14ac:dyDescent="0.2">
      <c r="G126" s="121"/>
      <c r="H126" s="121"/>
      <c r="I126" s="121"/>
      <c r="J126" s="121"/>
      <c r="K126" s="121"/>
      <c r="L126" s="121"/>
      <c r="M126" s="121"/>
    </row>
    <row r="127" spans="7:13" ht="11.25" customHeight="1" x14ac:dyDescent="0.2">
      <c r="G127" s="121"/>
      <c r="H127" s="121"/>
      <c r="I127" s="121"/>
      <c r="J127" s="121"/>
      <c r="K127" s="121"/>
      <c r="L127" s="121"/>
      <c r="M127" s="121"/>
    </row>
  </sheetData>
  <mergeCells count="57">
    <mergeCell ref="A9:G9"/>
    <mergeCell ref="A10:G10"/>
    <mergeCell ref="A16:G16"/>
    <mergeCell ref="A17:G17"/>
    <mergeCell ref="A20:G20"/>
    <mergeCell ref="A23:G23"/>
    <mergeCell ref="A24:G24"/>
    <mergeCell ref="A25:G25"/>
    <mergeCell ref="A26:G26"/>
    <mergeCell ref="A27:G27"/>
    <mergeCell ref="B28:E28"/>
    <mergeCell ref="B29:E29"/>
    <mergeCell ref="B30:E30"/>
    <mergeCell ref="A31:G31"/>
    <mergeCell ref="B38:E38"/>
    <mergeCell ref="B39:E39"/>
    <mergeCell ref="B40:E40"/>
    <mergeCell ref="A41:G41"/>
    <mergeCell ref="A42:G42"/>
    <mergeCell ref="A47:G47"/>
    <mergeCell ref="A48:G48"/>
    <mergeCell ref="A53:G53"/>
    <mergeCell ref="A54:G54"/>
    <mergeCell ref="A55:G55"/>
    <mergeCell ref="A56:G56"/>
    <mergeCell ref="A57:G57"/>
    <mergeCell ref="A58:G58"/>
    <mergeCell ref="A59:G59"/>
    <mergeCell ref="B62:E62"/>
    <mergeCell ref="B63:E63"/>
    <mergeCell ref="B64:E64"/>
    <mergeCell ref="A65:G65"/>
    <mergeCell ref="B68:E68"/>
    <mergeCell ref="B69:E69"/>
    <mergeCell ref="B70:E70"/>
    <mergeCell ref="A71:G71"/>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5:E95"/>
    <mergeCell ref="B96:E96"/>
    <mergeCell ref="B90:E90"/>
    <mergeCell ref="B91:E91"/>
    <mergeCell ref="B92:E92"/>
    <mergeCell ref="B93:E93"/>
    <mergeCell ref="B94:E94"/>
  </mergeCells>
  <pageMargins left="0.78740155696868885" right="0.31496062874793995" top="0.31496062874793995" bottom="0.31496062874793995" header="0.19685038924217199" footer="0.19685038924217199"/>
  <pageSetup paperSize="9" scale="55" fitToHeight="0" orientation="portrait"/>
  <headerFooter>
    <oddFooter>&amp;RСтраница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AX239"/>
  <sheetViews>
    <sheetView showRuler="0" topLeftCell="A140" zoomScale="70" zoomScaleNormal="70" workbookViewId="0">
      <selection activeCell="I250" sqref="I250"/>
    </sheetView>
  </sheetViews>
  <sheetFormatPr defaultRowHeight="15" x14ac:dyDescent="0.25"/>
  <cols>
    <col min="1" max="1" width="6.42578125" style="483" customWidth="1"/>
    <col min="2" max="17" width="8" style="483" customWidth="1"/>
    <col min="18" max="18" width="14" style="483" customWidth="1"/>
    <col min="19" max="50" width="8" style="483" customWidth="1"/>
    <col min="51" max="16384" width="9.140625" style="857"/>
  </cols>
  <sheetData>
    <row r="1" spans="1:16" ht="27.2" customHeight="1" x14ac:dyDescent="0.25">
      <c r="A1" s="652" t="s">
        <v>2409</v>
      </c>
      <c r="B1" s="652"/>
      <c r="C1" s="652"/>
      <c r="D1" s="652"/>
      <c r="E1" s="653" t="s">
        <v>676</v>
      </c>
      <c r="F1" s="653"/>
      <c r="G1" s="653"/>
      <c r="H1" s="653"/>
      <c r="I1" s="653"/>
      <c r="J1" s="653"/>
      <c r="K1" s="653"/>
      <c r="L1" s="653"/>
      <c r="M1" s="653"/>
      <c r="N1" s="653"/>
      <c r="O1" s="653"/>
      <c r="P1" s="653"/>
    </row>
    <row r="2" spans="1:16" ht="15" customHeight="1" x14ac:dyDescent="0.25"/>
    <row r="3" spans="1:16" ht="15" customHeight="1" x14ac:dyDescent="0.25">
      <c r="A3" s="646" t="s">
        <v>558</v>
      </c>
      <c r="B3" s="646"/>
      <c r="C3" s="646"/>
      <c r="D3" s="646"/>
      <c r="E3" s="646"/>
      <c r="F3" s="646"/>
      <c r="G3" s="646"/>
      <c r="H3" s="646"/>
      <c r="I3" s="646"/>
      <c r="J3" s="646"/>
      <c r="K3" s="646"/>
      <c r="L3" s="646"/>
      <c r="M3" s="646"/>
      <c r="N3" s="646"/>
      <c r="O3" s="646"/>
      <c r="P3" s="646"/>
    </row>
    <row r="4" spans="1:16" ht="15" customHeight="1" x14ac:dyDescent="0.25">
      <c r="A4" s="647" t="s">
        <v>559</v>
      </c>
      <c r="B4" s="647"/>
      <c r="C4" s="647"/>
      <c r="D4" s="647"/>
      <c r="E4" s="647"/>
      <c r="F4" s="647"/>
      <c r="G4" s="647"/>
      <c r="H4" s="647"/>
      <c r="I4" s="647"/>
      <c r="J4" s="647"/>
      <c r="K4" s="647"/>
      <c r="L4" s="647"/>
      <c r="M4" s="647"/>
      <c r="N4" s="647"/>
      <c r="O4" s="647"/>
      <c r="P4" s="647"/>
    </row>
    <row r="5" spans="1:16" ht="15" customHeight="1" x14ac:dyDescent="0.25"/>
    <row r="6" spans="1:16" ht="54.4" customHeight="1" x14ac:dyDescent="0.25">
      <c r="A6" s="648" t="s">
        <v>3</v>
      </c>
      <c r="B6" s="648"/>
      <c r="C6" s="648"/>
      <c r="D6" s="648"/>
      <c r="E6" s="648"/>
      <c r="F6" s="649" t="s">
        <v>2410</v>
      </c>
      <c r="G6" s="649"/>
      <c r="H6" s="649"/>
      <c r="I6" s="649"/>
      <c r="J6" s="649"/>
      <c r="K6" s="649"/>
      <c r="L6" s="649"/>
      <c r="M6" s="649"/>
      <c r="N6" s="649"/>
      <c r="O6" s="649"/>
      <c r="P6" s="649"/>
    </row>
    <row r="7" spans="1:16" ht="15" customHeight="1" x14ac:dyDescent="0.25"/>
    <row r="8" spans="1:16" ht="27.2" customHeight="1" x14ac:dyDescent="0.25">
      <c r="A8" s="648" t="s">
        <v>6</v>
      </c>
      <c r="B8" s="648"/>
      <c r="C8" s="648"/>
      <c r="D8" s="648"/>
      <c r="E8" s="648"/>
      <c r="F8" s="649"/>
      <c r="G8" s="649"/>
      <c r="H8" s="649"/>
      <c r="I8" s="649"/>
      <c r="J8" s="649"/>
      <c r="K8" s="649"/>
      <c r="L8" s="649"/>
      <c r="M8" s="649"/>
      <c r="N8" s="649"/>
      <c r="O8" s="649"/>
      <c r="P8" s="649"/>
    </row>
    <row r="9" spans="1:16" ht="15" customHeight="1" x14ac:dyDescent="0.25"/>
    <row r="10" spans="1:16" ht="15" customHeight="1" x14ac:dyDescent="0.25">
      <c r="A10" s="648" t="s">
        <v>8</v>
      </c>
      <c r="B10" s="648"/>
      <c r="C10" s="648"/>
      <c r="D10" s="648"/>
      <c r="E10" s="648"/>
      <c r="F10" s="649"/>
      <c r="G10" s="649"/>
      <c r="H10" s="649"/>
      <c r="I10" s="649"/>
      <c r="J10" s="649"/>
      <c r="K10" s="649"/>
      <c r="L10" s="649"/>
      <c r="M10" s="649"/>
      <c r="N10" s="649"/>
      <c r="O10" s="649"/>
      <c r="P10" s="649"/>
    </row>
    <row r="11" spans="1:16" ht="15" customHeight="1" x14ac:dyDescent="0.25"/>
    <row r="12" spans="1:16" ht="40.9" customHeight="1" x14ac:dyDescent="0.25">
      <c r="A12" s="484" t="s">
        <v>90</v>
      </c>
      <c r="B12" s="645" t="s">
        <v>560</v>
      </c>
      <c r="C12" s="645"/>
      <c r="D12" s="645"/>
      <c r="E12" s="645"/>
      <c r="F12" s="645"/>
      <c r="G12" s="645" t="s">
        <v>561</v>
      </c>
      <c r="H12" s="645"/>
      <c r="I12" s="645"/>
      <c r="J12" s="645"/>
      <c r="K12" s="645" t="s">
        <v>225</v>
      </c>
      <c r="L12" s="645"/>
      <c r="M12" s="645"/>
      <c r="N12" s="645"/>
      <c r="O12" s="645" t="s">
        <v>13</v>
      </c>
      <c r="P12" s="645"/>
    </row>
    <row r="13" spans="1:16" ht="15" customHeight="1" x14ac:dyDescent="0.25">
      <c r="A13" s="484">
        <v>1</v>
      </c>
      <c r="B13" s="645">
        <v>2</v>
      </c>
      <c r="C13" s="645"/>
      <c r="D13" s="645"/>
      <c r="E13" s="645"/>
      <c r="F13" s="645"/>
      <c r="G13" s="645">
        <v>3</v>
      </c>
      <c r="H13" s="645"/>
      <c r="I13" s="645"/>
      <c r="J13" s="645"/>
      <c r="K13" s="645">
        <v>4</v>
      </c>
      <c r="L13" s="645"/>
      <c r="M13" s="645"/>
      <c r="N13" s="645"/>
      <c r="O13" s="645">
        <v>5</v>
      </c>
      <c r="P13" s="645"/>
    </row>
    <row r="14" spans="1:16" ht="15" customHeight="1" x14ac:dyDescent="0.25">
      <c r="A14" s="638" t="s">
        <v>562</v>
      </c>
      <c r="B14" s="638"/>
      <c r="C14" s="638"/>
      <c r="D14" s="638"/>
      <c r="E14" s="638"/>
      <c r="F14" s="638"/>
      <c r="G14" s="638"/>
      <c r="H14" s="638"/>
      <c r="I14" s="638"/>
      <c r="J14" s="638"/>
      <c r="K14" s="638"/>
      <c r="L14" s="638"/>
      <c r="M14" s="638"/>
      <c r="N14" s="638"/>
      <c r="O14" s="638"/>
      <c r="P14" s="638"/>
    </row>
    <row r="15" spans="1:16" ht="15" customHeight="1" x14ac:dyDescent="0.25">
      <c r="A15" s="638" t="s">
        <v>2334</v>
      </c>
      <c r="B15" s="638"/>
      <c r="C15" s="638"/>
      <c r="D15" s="638"/>
      <c r="E15" s="638"/>
      <c r="F15" s="638"/>
      <c r="G15" s="638"/>
      <c r="H15" s="638"/>
      <c r="I15" s="638"/>
      <c r="J15" s="638"/>
      <c r="K15" s="638"/>
      <c r="L15" s="638"/>
      <c r="M15" s="638"/>
      <c r="N15" s="638"/>
      <c r="O15" s="638"/>
      <c r="P15" s="638"/>
    </row>
    <row r="16" spans="1:16" ht="149.65" customHeight="1" x14ac:dyDescent="0.25">
      <c r="A16" s="485" t="s">
        <v>98</v>
      </c>
      <c r="B16" s="642" t="s">
        <v>563</v>
      </c>
      <c r="C16" s="643"/>
      <c r="D16" s="643"/>
      <c r="E16" s="643"/>
      <c r="F16" s="643"/>
      <c r="G16" s="643" t="s">
        <v>2335</v>
      </c>
      <c r="H16" s="643"/>
      <c r="I16" s="643"/>
      <c r="J16" s="643"/>
      <c r="K16" s="643" t="s">
        <v>2336</v>
      </c>
      <c r="L16" s="643"/>
      <c r="M16" s="643"/>
      <c r="N16" s="643"/>
      <c r="O16" s="644">
        <f>ROUND(929.6 * 45.97 * 1 * 7.22 * 1.2 * 1.15 * 1.15 * 1.3, 2)</f>
        <v>636543.51</v>
      </c>
      <c r="P16" s="643"/>
    </row>
    <row r="17" spans="1:16" ht="15" customHeight="1" x14ac:dyDescent="0.25">
      <c r="A17" s="486"/>
      <c r="B17" s="641" t="s">
        <v>564</v>
      </c>
      <c r="C17" s="641"/>
      <c r="D17" s="641"/>
      <c r="E17" s="641"/>
      <c r="F17" s="641"/>
      <c r="G17" s="641" t="s">
        <v>15</v>
      </c>
      <c r="H17" s="641"/>
      <c r="I17" s="641"/>
      <c r="J17" s="641"/>
      <c r="K17" s="641" t="s">
        <v>15</v>
      </c>
      <c r="L17" s="641"/>
      <c r="M17" s="641"/>
      <c r="N17" s="641"/>
      <c r="O17" s="641"/>
      <c r="P17" s="641"/>
    </row>
    <row r="18" spans="1:16" ht="40.9" customHeight="1" x14ac:dyDescent="0.25">
      <c r="A18" s="487"/>
      <c r="B18" s="640" t="s">
        <v>565</v>
      </c>
      <c r="C18" s="640"/>
      <c r="D18" s="640"/>
      <c r="E18" s="640"/>
      <c r="F18" s="640"/>
      <c r="G18" s="640" t="s">
        <v>733</v>
      </c>
      <c r="H18" s="640"/>
      <c r="I18" s="640"/>
      <c r="J18" s="640"/>
      <c r="K18" s="640" t="s">
        <v>15</v>
      </c>
      <c r="L18" s="640"/>
      <c r="M18" s="640"/>
      <c r="N18" s="640"/>
      <c r="O18" s="640"/>
      <c r="P18" s="640"/>
    </row>
    <row r="19" spans="1:16" ht="54.4" customHeight="1" x14ac:dyDescent="0.25">
      <c r="A19" s="487"/>
      <c r="B19" s="640" t="s">
        <v>567</v>
      </c>
      <c r="C19" s="640"/>
      <c r="D19" s="640"/>
      <c r="E19" s="640"/>
      <c r="F19" s="640"/>
      <c r="G19" s="640" t="s">
        <v>568</v>
      </c>
      <c r="H19" s="640"/>
      <c r="I19" s="640"/>
      <c r="J19" s="640"/>
      <c r="K19" s="640" t="s">
        <v>15</v>
      </c>
      <c r="L19" s="640"/>
      <c r="M19" s="640"/>
      <c r="N19" s="640"/>
      <c r="O19" s="640"/>
      <c r="P19" s="640"/>
    </row>
    <row r="20" spans="1:16" ht="95.25" customHeight="1" x14ac:dyDescent="0.25">
      <c r="A20" s="487"/>
      <c r="B20" s="640" t="s">
        <v>569</v>
      </c>
      <c r="C20" s="640"/>
      <c r="D20" s="640"/>
      <c r="E20" s="640"/>
      <c r="F20" s="640"/>
      <c r="G20" s="640" t="s">
        <v>570</v>
      </c>
      <c r="H20" s="640"/>
      <c r="I20" s="640"/>
      <c r="J20" s="640"/>
      <c r="K20" s="640" t="s">
        <v>15</v>
      </c>
      <c r="L20" s="640"/>
      <c r="M20" s="640"/>
      <c r="N20" s="640"/>
      <c r="O20" s="640"/>
      <c r="P20" s="640"/>
    </row>
    <row r="21" spans="1:16" ht="54.4" customHeight="1" x14ac:dyDescent="0.25">
      <c r="A21" s="487"/>
      <c r="B21" s="640" t="s">
        <v>571</v>
      </c>
      <c r="C21" s="640"/>
      <c r="D21" s="640"/>
      <c r="E21" s="640"/>
      <c r="F21" s="640"/>
      <c r="G21" s="640" t="s">
        <v>572</v>
      </c>
      <c r="H21" s="640"/>
      <c r="I21" s="640"/>
      <c r="J21" s="640"/>
      <c r="K21" s="640" t="s">
        <v>15</v>
      </c>
      <c r="L21" s="640"/>
      <c r="M21" s="640"/>
      <c r="N21" s="640"/>
      <c r="O21" s="640"/>
      <c r="P21" s="640"/>
    </row>
    <row r="22" spans="1:16" ht="40.9" customHeight="1" x14ac:dyDescent="0.25">
      <c r="A22" s="487"/>
      <c r="B22" s="640" t="s">
        <v>573</v>
      </c>
      <c r="C22" s="640"/>
      <c r="D22" s="640"/>
      <c r="E22" s="640"/>
      <c r="F22" s="640"/>
      <c r="G22" s="640" t="s">
        <v>574</v>
      </c>
      <c r="H22" s="640"/>
      <c r="I22" s="640"/>
      <c r="J22" s="640"/>
      <c r="K22" s="640" t="s">
        <v>15</v>
      </c>
      <c r="L22" s="640"/>
      <c r="M22" s="640"/>
      <c r="N22" s="640"/>
      <c r="O22" s="640"/>
      <c r="P22" s="640"/>
    </row>
    <row r="23" spans="1:16" ht="163.15" customHeight="1" x14ac:dyDescent="0.25">
      <c r="A23" s="485" t="s">
        <v>104</v>
      </c>
      <c r="B23" s="642" t="s">
        <v>575</v>
      </c>
      <c r="C23" s="643"/>
      <c r="D23" s="643"/>
      <c r="E23" s="643"/>
      <c r="F23" s="643"/>
      <c r="G23" s="643" t="s">
        <v>2337</v>
      </c>
      <c r="H23" s="643"/>
      <c r="I23" s="643"/>
      <c r="J23" s="643"/>
      <c r="K23" s="643" t="s">
        <v>2338</v>
      </c>
      <c r="L23" s="643"/>
      <c r="M23" s="643"/>
      <c r="N23" s="643"/>
      <c r="O23" s="644">
        <f>ROUND(904.4 * 45.97 * 1 * 7.22 * 1.2 * 1.15 * 1.15 * 1.3, 2)</f>
        <v>619287.81000000006</v>
      </c>
      <c r="P23" s="643"/>
    </row>
    <row r="24" spans="1:16" ht="15" customHeight="1" x14ac:dyDescent="0.25">
      <c r="A24" s="486"/>
      <c r="B24" s="641" t="s">
        <v>564</v>
      </c>
      <c r="C24" s="641"/>
      <c r="D24" s="641"/>
      <c r="E24" s="641"/>
      <c r="F24" s="641"/>
      <c r="G24" s="641" t="s">
        <v>15</v>
      </c>
      <c r="H24" s="641"/>
      <c r="I24" s="641"/>
      <c r="J24" s="641"/>
      <c r="K24" s="641" t="s">
        <v>15</v>
      </c>
      <c r="L24" s="641"/>
      <c r="M24" s="641"/>
      <c r="N24" s="641"/>
      <c r="O24" s="641"/>
      <c r="P24" s="641"/>
    </row>
    <row r="25" spans="1:16" ht="40.9" customHeight="1" x14ac:dyDescent="0.25">
      <c r="A25" s="487"/>
      <c r="B25" s="640" t="s">
        <v>565</v>
      </c>
      <c r="C25" s="640"/>
      <c r="D25" s="640"/>
      <c r="E25" s="640"/>
      <c r="F25" s="640"/>
      <c r="G25" s="640" t="s">
        <v>733</v>
      </c>
      <c r="H25" s="640"/>
      <c r="I25" s="640"/>
      <c r="J25" s="640"/>
      <c r="K25" s="640" t="s">
        <v>15</v>
      </c>
      <c r="L25" s="640"/>
      <c r="M25" s="640"/>
      <c r="N25" s="640"/>
      <c r="O25" s="640"/>
      <c r="P25" s="640"/>
    </row>
    <row r="26" spans="1:16" ht="54.4" customHeight="1" x14ac:dyDescent="0.25">
      <c r="A26" s="487"/>
      <c r="B26" s="640" t="s">
        <v>567</v>
      </c>
      <c r="C26" s="640"/>
      <c r="D26" s="640"/>
      <c r="E26" s="640"/>
      <c r="F26" s="640"/>
      <c r="G26" s="640" t="s">
        <v>568</v>
      </c>
      <c r="H26" s="640"/>
      <c r="I26" s="640"/>
      <c r="J26" s="640"/>
      <c r="K26" s="640" t="s">
        <v>15</v>
      </c>
      <c r="L26" s="640"/>
      <c r="M26" s="640"/>
      <c r="N26" s="640"/>
      <c r="O26" s="640"/>
      <c r="P26" s="640"/>
    </row>
    <row r="27" spans="1:16" ht="95.25" customHeight="1" x14ac:dyDescent="0.25">
      <c r="A27" s="487"/>
      <c r="B27" s="640" t="s">
        <v>569</v>
      </c>
      <c r="C27" s="640"/>
      <c r="D27" s="640"/>
      <c r="E27" s="640"/>
      <c r="F27" s="640"/>
      <c r="G27" s="640" t="s">
        <v>570</v>
      </c>
      <c r="H27" s="640"/>
      <c r="I27" s="640"/>
      <c r="J27" s="640"/>
      <c r="K27" s="640" t="s">
        <v>15</v>
      </c>
      <c r="L27" s="640"/>
      <c r="M27" s="640"/>
      <c r="N27" s="640"/>
      <c r="O27" s="640"/>
      <c r="P27" s="640"/>
    </row>
    <row r="28" spans="1:16" ht="54.4" customHeight="1" x14ac:dyDescent="0.25">
      <c r="A28" s="487"/>
      <c r="B28" s="640" t="s">
        <v>571</v>
      </c>
      <c r="C28" s="640"/>
      <c r="D28" s="640"/>
      <c r="E28" s="640"/>
      <c r="F28" s="640"/>
      <c r="G28" s="640" t="s">
        <v>572</v>
      </c>
      <c r="H28" s="640"/>
      <c r="I28" s="640"/>
      <c r="J28" s="640"/>
      <c r="K28" s="640" t="s">
        <v>15</v>
      </c>
      <c r="L28" s="640"/>
      <c r="M28" s="640"/>
      <c r="N28" s="640"/>
      <c r="O28" s="640"/>
      <c r="P28" s="640"/>
    </row>
    <row r="29" spans="1:16" ht="40.9" customHeight="1" x14ac:dyDescent="0.25">
      <c r="A29" s="487"/>
      <c r="B29" s="640" t="s">
        <v>573</v>
      </c>
      <c r="C29" s="640"/>
      <c r="D29" s="640"/>
      <c r="E29" s="640"/>
      <c r="F29" s="640"/>
      <c r="G29" s="640" t="s">
        <v>574</v>
      </c>
      <c r="H29" s="640"/>
      <c r="I29" s="640"/>
      <c r="J29" s="640"/>
      <c r="K29" s="640" t="s">
        <v>15</v>
      </c>
      <c r="L29" s="640"/>
      <c r="M29" s="640"/>
      <c r="N29" s="640"/>
      <c r="O29" s="640"/>
      <c r="P29" s="640"/>
    </row>
    <row r="30" spans="1:16" ht="15" customHeight="1" x14ac:dyDescent="0.25">
      <c r="A30" s="638" t="s">
        <v>2339</v>
      </c>
      <c r="B30" s="638"/>
      <c r="C30" s="638"/>
      <c r="D30" s="638"/>
      <c r="E30" s="638"/>
      <c r="F30" s="638"/>
      <c r="G30" s="638"/>
      <c r="H30" s="638"/>
      <c r="I30" s="638"/>
      <c r="J30" s="638"/>
      <c r="K30" s="638"/>
      <c r="L30" s="638"/>
      <c r="M30" s="638"/>
      <c r="N30" s="638"/>
      <c r="O30" s="638"/>
      <c r="P30" s="638"/>
    </row>
    <row r="31" spans="1:16" ht="149.65" customHeight="1" x14ac:dyDescent="0.25">
      <c r="A31" s="485" t="s">
        <v>110</v>
      </c>
      <c r="B31" s="642" t="s">
        <v>576</v>
      </c>
      <c r="C31" s="643"/>
      <c r="D31" s="643"/>
      <c r="E31" s="643"/>
      <c r="F31" s="643"/>
      <c r="G31" s="643" t="s">
        <v>2340</v>
      </c>
      <c r="H31" s="643"/>
      <c r="I31" s="643"/>
      <c r="J31" s="643"/>
      <c r="K31" s="643" t="s">
        <v>2341</v>
      </c>
      <c r="L31" s="643"/>
      <c r="M31" s="643"/>
      <c r="N31" s="643"/>
      <c r="O31" s="644">
        <f>ROUND(946.8 * 8.045 * 1 * 7.22 * 1.2 * 1.15 * 1.15 * 2.2, 2)</f>
        <v>192008.79</v>
      </c>
      <c r="P31" s="643"/>
    </row>
    <row r="32" spans="1:16" ht="15" customHeight="1" x14ac:dyDescent="0.25">
      <c r="A32" s="486"/>
      <c r="B32" s="641" t="s">
        <v>564</v>
      </c>
      <c r="C32" s="641"/>
      <c r="D32" s="641"/>
      <c r="E32" s="641"/>
      <c r="F32" s="641"/>
      <c r="G32" s="641" t="s">
        <v>15</v>
      </c>
      <c r="H32" s="641"/>
      <c r="I32" s="641"/>
      <c r="J32" s="641"/>
      <c r="K32" s="641" t="s">
        <v>15</v>
      </c>
      <c r="L32" s="641"/>
      <c r="M32" s="641"/>
      <c r="N32" s="641"/>
      <c r="O32" s="641"/>
      <c r="P32" s="641"/>
    </row>
    <row r="33" spans="1:16" ht="40.9" customHeight="1" x14ac:dyDescent="0.25">
      <c r="A33" s="487"/>
      <c r="B33" s="640" t="s">
        <v>565</v>
      </c>
      <c r="C33" s="640"/>
      <c r="D33" s="640"/>
      <c r="E33" s="640"/>
      <c r="F33" s="640"/>
      <c r="G33" s="640" t="s">
        <v>733</v>
      </c>
      <c r="H33" s="640"/>
      <c r="I33" s="640"/>
      <c r="J33" s="640"/>
      <c r="K33" s="640" t="s">
        <v>15</v>
      </c>
      <c r="L33" s="640"/>
      <c r="M33" s="640"/>
      <c r="N33" s="640"/>
      <c r="O33" s="640"/>
      <c r="P33" s="640"/>
    </row>
    <row r="34" spans="1:16" ht="54.4" customHeight="1" x14ac:dyDescent="0.25">
      <c r="A34" s="487"/>
      <c r="B34" s="640" t="s">
        <v>567</v>
      </c>
      <c r="C34" s="640"/>
      <c r="D34" s="640"/>
      <c r="E34" s="640"/>
      <c r="F34" s="640"/>
      <c r="G34" s="640" t="s">
        <v>568</v>
      </c>
      <c r="H34" s="640"/>
      <c r="I34" s="640"/>
      <c r="J34" s="640"/>
      <c r="K34" s="640" t="s">
        <v>15</v>
      </c>
      <c r="L34" s="640"/>
      <c r="M34" s="640"/>
      <c r="N34" s="640"/>
      <c r="O34" s="640"/>
      <c r="P34" s="640"/>
    </row>
    <row r="35" spans="1:16" ht="95.25" customHeight="1" x14ac:dyDescent="0.25">
      <c r="A35" s="487"/>
      <c r="B35" s="640" t="s">
        <v>569</v>
      </c>
      <c r="C35" s="640"/>
      <c r="D35" s="640"/>
      <c r="E35" s="640"/>
      <c r="F35" s="640"/>
      <c r="G35" s="640" t="s">
        <v>570</v>
      </c>
      <c r="H35" s="640"/>
      <c r="I35" s="640"/>
      <c r="J35" s="640"/>
      <c r="K35" s="640" t="s">
        <v>15</v>
      </c>
      <c r="L35" s="640"/>
      <c r="M35" s="640"/>
      <c r="N35" s="640"/>
      <c r="O35" s="640"/>
      <c r="P35" s="640"/>
    </row>
    <row r="36" spans="1:16" ht="54.4" customHeight="1" x14ac:dyDescent="0.25">
      <c r="A36" s="487"/>
      <c r="B36" s="640" t="s">
        <v>571</v>
      </c>
      <c r="C36" s="640"/>
      <c r="D36" s="640"/>
      <c r="E36" s="640"/>
      <c r="F36" s="640"/>
      <c r="G36" s="640" t="s">
        <v>572</v>
      </c>
      <c r="H36" s="640"/>
      <c r="I36" s="640"/>
      <c r="J36" s="640"/>
      <c r="K36" s="640" t="s">
        <v>15</v>
      </c>
      <c r="L36" s="640"/>
      <c r="M36" s="640"/>
      <c r="N36" s="640"/>
      <c r="O36" s="640"/>
      <c r="P36" s="640"/>
    </row>
    <row r="37" spans="1:16" ht="40.9" customHeight="1" x14ac:dyDescent="0.25">
      <c r="A37" s="487"/>
      <c r="B37" s="640" t="s">
        <v>577</v>
      </c>
      <c r="C37" s="640"/>
      <c r="D37" s="640"/>
      <c r="E37" s="640"/>
      <c r="F37" s="640"/>
      <c r="G37" s="640" t="s">
        <v>578</v>
      </c>
      <c r="H37" s="640"/>
      <c r="I37" s="640"/>
      <c r="J37" s="640"/>
      <c r="K37" s="640" t="s">
        <v>15</v>
      </c>
      <c r="L37" s="640"/>
      <c r="M37" s="640"/>
      <c r="N37" s="640"/>
      <c r="O37" s="640"/>
      <c r="P37" s="640"/>
    </row>
    <row r="38" spans="1:16" ht="176.85" customHeight="1" x14ac:dyDescent="0.25">
      <c r="A38" s="485" t="s">
        <v>116</v>
      </c>
      <c r="B38" s="642" t="s">
        <v>579</v>
      </c>
      <c r="C38" s="643"/>
      <c r="D38" s="643"/>
      <c r="E38" s="643"/>
      <c r="F38" s="643"/>
      <c r="G38" s="643" t="s">
        <v>2342</v>
      </c>
      <c r="H38" s="643"/>
      <c r="I38" s="643"/>
      <c r="J38" s="643"/>
      <c r="K38" s="643" t="s">
        <v>2343</v>
      </c>
      <c r="L38" s="643"/>
      <c r="M38" s="643"/>
      <c r="N38" s="643"/>
      <c r="O38" s="644">
        <f>ROUND(910.2 * 8.045 * 1 * 7.22 * 1.2 * 1.15 * 1.15 * 2.2, 2)</f>
        <v>184586.39</v>
      </c>
      <c r="P38" s="643"/>
    </row>
    <row r="39" spans="1:16" ht="15" customHeight="1" x14ac:dyDescent="0.25">
      <c r="A39" s="486"/>
      <c r="B39" s="641" t="s">
        <v>564</v>
      </c>
      <c r="C39" s="641"/>
      <c r="D39" s="641"/>
      <c r="E39" s="641"/>
      <c r="F39" s="641"/>
      <c r="G39" s="641" t="s">
        <v>15</v>
      </c>
      <c r="H39" s="641"/>
      <c r="I39" s="641"/>
      <c r="J39" s="641"/>
      <c r="K39" s="641" t="s">
        <v>15</v>
      </c>
      <c r="L39" s="641"/>
      <c r="M39" s="641"/>
      <c r="N39" s="641"/>
      <c r="O39" s="641"/>
      <c r="P39" s="641"/>
    </row>
    <row r="40" spans="1:16" ht="40.9" customHeight="1" x14ac:dyDescent="0.25">
      <c r="A40" s="487"/>
      <c r="B40" s="640" t="s">
        <v>565</v>
      </c>
      <c r="C40" s="640"/>
      <c r="D40" s="640"/>
      <c r="E40" s="640"/>
      <c r="F40" s="640"/>
      <c r="G40" s="640" t="s">
        <v>733</v>
      </c>
      <c r="H40" s="640"/>
      <c r="I40" s="640"/>
      <c r="J40" s="640"/>
      <c r="K40" s="640" t="s">
        <v>15</v>
      </c>
      <c r="L40" s="640"/>
      <c r="M40" s="640"/>
      <c r="N40" s="640"/>
      <c r="O40" s="640"/>
      <c r="P40" s="640"/>
    </row>
    <row r="41" spans="1:16" ht="54.4" customHeight="1" x14ac:dyDescent="0.25">
      <c r="A41" s="487"/>
      <c r="B41" s="640" t="s">
        <v>567</v>
      </c>
      <c r="C41" s="640"/>
      <c r="D41" s="640"/>
      <c r="E41" s="640"/>
      <c r="F41" s="640"/>
      <c r="G41" s="640" t="s">
        <v>568</v>
      </c>
      <c r="H41" s="640"/>
      <c r="I41" s="640"/>
      <c r="J41" s="640"/>
      <c r="K41" s="640" t="s">
        <v>15</v>
      </c>
      <c r="L41" s="640"/>
      <c r="M41" s="640"/>
      <c r="N41" s="640"/>
      <c r="O41" s="640"/>
      <c r="P41" s="640"/>
    </row>
    <row r="42" spans="1:16" ht="95.25" customHeight="1" x14ac:dyDescent="0.25">
      <c r="A42" s="487"/>
      <c r="B42" s="640" t="s">
        <v>569</v>
      </c>
      <c r="C42" s="640"/>
      <c r="D42" s="640"/>
      <c r="E42" s="640"/>
      <c r="F42" s="640"/>
      <c r="G42" s="640" t="s">
        <v>570</v>
      </c>
      <c r="H42" s="640"/>
      <c r="I42" s="640"/>
      <c r="J42" s="640"/>
      <c r="K42" s="640" t="s">
        <v>15</v>
      </c>
      <c r="L42" s="640"/>
      <c r="M42" s="640"/>
      <c r="N42" s="640"/>
      <c r="O42" s="640"/>
      <c r="P42" s="640"/>
    </row>
    <row r="43" spans="1:16" ht="54.4" customHeight="1" x14ac:dyDescent="0.25">
      <c r="A43" s="487"/>
      <c r="B43" s="640" t="s">
        <v>571</v>
      </c>
      <c r="C43" s="640"/>
      <c r="D43" s="640"/>
      <c r="E43" s="640"/>
      <c r="F43" s="640"/>
      <c r="G43" s="640" t="s">
        <v>572</v>
      </c>
      <c r="H43" s="640"/>
      <c r="I43" s="640"/>
      <c r="J43" s="640"/>
      <c r="K43" s="640" t="s">
        <v>15</v>
      </c>
      <c r="L43" s="640"/>
      <c r="M43" s="640"/>
      <c r="N43" s="640"/>
      <c r="O43" s="640"/>
      <c r="P43" s="640"/>
    </row>
    <row r="44" spans="1:16" ht="40.9" customHeight="1" x14ac:dyDescent="0.25">
      <c r="A44" s="487"/>
      <c r="B44" s="640" t="s">
        <v>577</v>
      </c>
      <c r="C44" s="640"/>
      <c r="D44" s="640"/>
      <c r="E44" s="640"/>
      <c r="F44" s="640"/>
      <c r="G44" s="640" t="s">
        <v>578</v>
      </c>
      <c r="H44" s="640"/>
      <c r="I44" s="640"/>
      <c r="J44" s="640"/>
      <c r="K44" s="640" t="s">
        <v>15</v>
      </c>
      <c r="L44" s="640"/>
      <c r="M44" s="640"/>
      <c r="N44" s="640"/>
      <c r="O44" s="640"/>
      <c r="P44" s="640"/>
    </row>
    <row r="45" spans="1:16" ht="15" customHeight="1" x14ac:dyDescent="0.25">
      <c r="A45" s="638" t="s">
        <v>2344</v>
      </c>
      <c r="B45" s="638"/>
      <c r="C45" s="638"/>
      <c r="D45" s="638"/>
      <c r="E45" s="638"/>
      <c r="F45" s="638"/>
      <c r="G45" s="638"/>
      <c r="H45" s="638"/>
      <c r="I45" s="638"/>
      <c r="J45" s="638"/>
      <c r="K45" s="638"/>
      <c r="L45" s="638"/>
      <c r="M45" s="638"/>
      <c r="N45" s="638"/>
      <c r="O45" s="638"/>
      <c r="P45" s="638"/>
    </row>
    <row r="46" spans="1:16" ht="149.65" customHeight="1" x14ac:dyDescent="0.25">
      <c r="A46" s="485" t="s">
        <v>122</v>
      </c>
      <c r="B46" s="642" t="s">
        <v>563</v>
      </c>
      <c r="C46" s="643"/>
      <c r="D46" s="643"/>
      <c r="E46" s="643"/>
      <c r="F46" s="643"/>
      <c r="G46" s="643" t="s">
        <v>2345</v>
      </c>
      <c r="H46" s="643"/>
      <c r="I46" s="643"/>
      <c r="J46" s="643"/>
      <c r="K46" s="643" t="s">
        <v>2346</v>
      </c>
      <c r="L46" s="643"/>
      <c r="M46" s="643"/>
      <c r="N46" s="643"/>
      <c r="O46" s="644">
        <f>ROUND(929.6 * 37.25 * 1 * 7.22 * 1.2 * 1.15 * 1.15 * 2.2, 2)</f>
        <v>872889.36</v>
      </c>
      <c r="P46" s="643"/>
    </row>
    <row r="47" spans="1:16" ht="15" customHeight="1" x14ac:dyDescent="0.25">
      <c r="A47" s="486"/>
      <c r="B47" s="641" t="s">
        <v>564</v>
      </c>
      <c r="C47" s="641"/>
      <c r="D47" s="641"/>
      <c r="E47" s="641"/>
      <c r="F47" s="641"/>
      <c r="G47" s="641" t="s">
        <v>15</v>
      </c>
      <c r="H47" s="641"/>
      <c r="I47" s="641"/>
      <c r="J47" s="641"/>
      <c r="K47" s="641" t="s">
        <v>15</v>
      </c>
      <c r="L47" s="641"/>
      <c r="M47" s="641"/>
      <c r="N47" s="641"/>
      <c r="O47" s="641"/>
      <c r="P47" s="641"/>
    </row>
    <row r="48" spans="1:16" ht="40.9" customHeight="1" x14ac:dyDescent="0.25">
      <c r="A48" s="487"/>
      <c r="B48" s="640" t="s">
        <v>565</v>
      </c>
      <c r="C48" s="640"/>
      <c r="D48" s="640"/>
      <c r="E48" s="640"/>
      <c r="F48" s="640"/>
      <c r="G48" s="640" t="s">
        <v>733</v>
      </c>
      <c r="H48" s="640"/>
      <c r="I48" s="640"/>
      <c r="J48" s="640"/>
      <c r="K48" s="640" t="s">
        <v>15</v>
      </c>
      <c r="L48" s="640"/>
      <c r="M48" s="640"/>
      <c r="N48" s="640"/>
      <c r="O48" s="640"/>
      <c r="P48" s="640"/>
    </row>
    <row r="49" spans="1:16" ht="54.4" customHeight="1" x14ac:dyDescent="0.25">
      <c r="A49" s="487"/>
      <c r="B49" s="640" t="s">
        <v>567</v>
      </c>
      <c r="C49" s="640"/>
      <c r="D49" s="640"/>
      <c r="E49" s="640"/>
      <c r="F49" s="640"/>
      <c r="G49" s="640" t="s">
        <v>568</v>
      </c>
      <c r="H49" s="640"/>
      <c r="I49" s="640"/>
      <c r="J49" s="640"/>
      <c r="K49" s="640" t="s">
        <v>15</v>
      </c>
      <c r="L49" s="640"/>
      <c r="M49" s="640"/>
      <c r="N49" s="640"/>
      <c r="O49" s="640"/>
      <c r="P49" s="640"/>
    </row>
    <row r="50" spans="1:16" ht="95.25" customHeight="1" x14ac:dyDescent="0.25">
      <c r="A50" s="487"/>
      <c r="B50" s="640" t="s">
        <v>569</v>
      </c>
      <c r="C50" s="640"/>
      <c r="D50" s="640"/>
      <c r="E50" s="640"/>
      <c r="F50" s="640"/>
      <c r="G50" s="640" t="s">
        <v>570</v>
      </c>
      <c r="H50" s="640"/>
      <c r="I50" s="640"/>
      <c r="J50" s="640"/>
      <c r="K50" s="640" t="s">
        <v>15</v>
      </c>
      <c r="L50" s="640"/>
      <c r="M50" s="640"/>
      <c r="N50" s="640"/>
      <c r="O50" s="640"/>
      <c r="P50" s="640"/>
    </row>
    <row r="51" spans="1:16" ht="54.4" customHeight="1" x14ac:dyDescent="0.25">
      <c r="A51" s="487"/>
      <c r="B51" s="640" t="s">
        <v>571</v>
      </c>
      <c r="C51" s="640"/>
      <c r="D51" s="640"/>
      <c r="E51" s="640"/>
      <c r="F51" s="640"/>
      <c r="G51" s="640" t="s">
        <v>572</v>
      </c>
      <c r="H51" s="640"/>
      <c r="I51" s="640"/>
      <c r="J51" s="640"/>
      <c r="K51" s="640" t="s">
        <v>15</v>
      </c>
      <c r="L51" s="640"/>
      <c r="M51" s="640"/>
      <c r="N51" s="640"/>
      <c r="O51" s="640"/>
      <c r="P51" s="640"/>
    </row>
    <row r="52" spans="1:16" ht="40.9" customHeight="1" x14ac:dyDescent="0.25">
      <c r="A52" s="487"/>
      <c r="B52" s="640" t="s">
        <v>577</v>
      </c>
      <c r="C52" s="640"/>
      <c r="D52" s="640"/>
      <c r="E52" s="640"/>
      <c r="F52" s="640"/>
      <c r="G52" s="640" t="s">
        <v>578</v>
      </c>
      <c r="H52" s="640"/>
      <c r="I52" s="640"/>
      <c r="J52" s="640"/>
      <c r="K52" s="640" t="s">
        <v>15</v>
      </c>
      <c r="L52" s="640"/>
      <c r="M52" s="640"/>
      <c r="N52" s="640"/>
      <c r="O52" s="640"/>
      <c r="P52" s="640"/>
    </row>
    <row r="53" spans="1:16" ht="163.15" customHeight="1" x14ac:dyDescent="0.25">
      <c r="A53" s="485" t="s">
        <v>129</v>
      </c>
      <c r="B53" s="642" t="s">
        <v>575</v>
      </c>
      <c r="C53" s="643"/>
      <c r="D53" s="643"/>
      <c r="E53" s="643"/>
      <c r="F53" s="643"/>
      <c r="G53" s="643" t="s">
        <v>2347</v>
      </c>
      <c r="H53" s="643"/>
      <c r="I53" s="643"/>
      <c r="J53" s="643"/>
      <c r="K53" s="643" t="s">
        <v>2348</v>
      </c>
      <c r="L53" s="643"/>
      <c r="M53" s="643"/>
      <c r="N53" s="643"/>
      <c r="O53" s="644">
        <f>ROUND(904.4 * 37.25 * 1 * 7.22 * 1.2 * 1.15 * 1.15 * 2.2, 2)</f>
        <v>849226.69</v>
      </c>
      <c r="P53" s="643"/>
    </row>
    <row r="54" spans="1:16" x14ac:dyDescent="0.25">
      <c r="A54" s="486"/>
      <c r="B54" s="641" t="s">
        <v>564</v>
      </c>
      <c r="C54" s="641"/>
      <c r="D54" s="641"/>
      <c r="E54" s="641"/>
      <c r="F54" s="641"/>
      <c r="G54" s="641" t="s">
        <v>15</v>
      </c>
      <c r="H54" s="641"/>
      <c r="I54" s="641"/>
      <c r="J54" s="641"/>
      <c r="K54" s="641" t="s">
        <v>15</v>
      </c>
      <c r="L54" s="641"/>
      <c r="M54" s="641"/>
      <c r="N54" s="641"/>
      <c r="O54" s="641"/>
      <c r="P54" s="641"/>
    </row>
    <row r="55" spans="1:16" ht="40.9" customHeight="1" x14ac:dyDescent="0.25">
      <c r="A55" s="487"/>
      <c r="B55" s="640" t="s">
        <v>565</v>
      </c>
      <c r="C55" s="640"/>
      <c r="D55" s="640"/>
      <c r="E55" s="640"/>
      <c r="F55" s="640"/>
      <c r="G55" s="640" t="s">
        <v>733</v>
      </c>
      <c r="H55" s="640"/>
      <c r="I55" s="640"/>
      <c r="J55" s="640"/>
      <c r="K55" s="640" t="s">
        <v>15</v>
      </c>
      <c r="L55" s="640"/>
      <c r="M55" s="640"/>
      <c r="N55" s="640"/>
      <c r="O55" s="640"/>
      <c r="P55" s="640"/>
    </row>
    <row r="56" spans="1:16" ht="54.4" customHeight="1" x14ac:dyDescent="0.25">
      <c r="A56" s="487"/>
      <c r="B56" s="640" t="s">
        <v>567</v>
      </c>
      <c r="C56" s="640"/>
      <c r="D56" s="640"/>
      <c r="E56" s="640"/>
      <c r="F56" s="640"/>
      <c r="G56" s="640" t="s">
        <v>568</v>
      </c>
      <c r="H56" s="640"/>
      <c r="I56" s="640"/>
      <c r="J56" s="640"/>
      <c r="K56" s="640" t="s">
        <v>15</v>
      </c>
      <c r="L56" s="640"/>
      <c r="M56" s="640"/>
      <c r="N56" s="640"/>
      <c r="O56" s="640"/>
      <c r="P56" s="640"/>
    </row>
    <row r="57" spans="1:16" ht="95.25" customHeight="1" x14ac:dyDescent="0.25">
      <c r="A57" s="487"/>
      <c r="B57" s="640" t="s">
        <v>569</v>
      </c>
      <c r="C57" s="640"/>
      <c r="D57" s="640"/>
      <c r="E57" s="640"/>
      <c r="F57" s="640"/>
      <c r="G57" s="640" t="s">
        <v>570</v>
      </c>
      <c r="H57" s="640"/>
      <c r="I57" s="640"/>
      <c r="J57" s="640"/>
      <c r="K57" s="640" t="s">
        <v>15</v>
      </c>
      <c r="L57" s="640"/>
      <c r="M57" s="640"/>
      <c r="N57" s="640"/>
      <c r="O57" s="640"/>
      <c r="P57" s="640"/>
    </row>
    <row r="58" spans="1:16" ht="54.4" customHeight="1" x14ac:dyDescent="0.25">
      <c r="A58" s="487"/>
      <c r="B58" s="640" t="s">
        <v>571</v>
      </c>
      <c r="C58" s="640"/>
      <c r="D58" s="640"/>
      <c r="E58" s="640"/>
      <c r="F58" s="640"/>
      <c r="G58" s="640" t="s">
        <v>572</v>
      </c>
      <c r="H58" s="640"/>
      <c r="I58" s="640"/>
      <c r="J58" s="640"/>
      <c r="K58" s="640" t="s">
        <v>15</v>
      </c>
      <c r="L58" s="640"/>
      <c r="M58" s="640"/>
      <c r="N58" s="640"/>
      <c r="O58" s="640"/>
      <c r="P58" s="640"/>
    </row>
    <row r="59" spans="1:16" ht="40.9" customHeight="1" x14ac:dyDescent="0.25">
      <c r="A59" s="487"/>
      <c r="B59" s="640" t="s">
        <v>577</v>
      </c>
      <c r="C59" s="640"/>
      <c r="D59" s="640"/>
      <c r="E59" s="640"/>
      <c r="F59" s="640"/>
      <c r="G59" s="640" t="s">
        <v>578</v>
      </c>
      <c r="H59" s="640"/>
      <c r="I59" s="640"/>
      <c r="J59" s="640"/>
      <c r="K59" s="640" t="s">
        <v>15</v>
      </c>
      <c r="L59" s="640"/>
      <c r="M59" s="640"/>
      <c r="N59" s="640"/>
      <c r="O59" s="640"/>
      <c r="P59" s="640"/>
    </row>
    <row r="60" spans="1:16" x14ac:dyDescent="0.25">
      <c r="A60" s="638" t="s">
        <v>2349</v>
      </c>
      <c r="B60" s="638"/>
      <c r="C60" s="638"/>
      <c r="D60" s="638"/>
      <c r="E60" s="638"/>
      <c r="F60" s="638"/>
      <c r="G60" s="638"/>
      <c r="H60" s="638"/>
      <c r="I60" s="638"/>
      <c r="J60" s="638"/>
      <c r="K60" s="638"/>
      <c r="L60" s="638"/>
      <c r="M60" s="638"/>
      <c r="N60" s="638"/>
      <c r="O60" s="638"/>
      <c r="P60" s="638"/>
    </row>
    <row r="61" spans="1:16" ht="149.65" customHeight="1" x14ac:dyDescent="0.25">
      <c r="A61" s="485" t="s">
        <v>138</v>
      </c>
      <c r="B61" s="642" t="s">
        <v>580</v>
      </c>
      <c r="C61" s="643"/>
      <c r="D61" s="643"/>
      <c r="E61" s="643"/>
      <c r="F61" s="643"/>
      <c r="G61" s="643" t="s">
        <v>2350</v>
      </c>
      <c r="H61" s="643"/>
      <c r="I61" s="643"/>
      <c r="J61" s="643"/>
      <c r="K61" s="643" t="s">
        <v>2351</v>
      </c>
      <c r="L61" s="643"/>
      <c r="M61" s="643"/>
      <c r="N61" s="643"/>
      <c r="O61" s="644">
        <f>ROUND(873.2 * 24.21 * 1 * 7.22 * 1.2 * 1.15 * 1.15 * 2.2, 2)</f>
        <v>532899.51</v>
      </c>
      <c r="P61" s="643"/>
    </row>
    <row r="62" spans="1:16" x14ac:dyDescent="0.25">
      <c r="A62" s="486"/>
      <c r="B62" s="641" t="s">
        <v>564</v>
      </c>
      <c r="C62" s="641"/>
      <c r="D62" s="641"/>
      <c r="E62" s="641"/>
      <c r="F62" s="641"/>
      <c r="G62" s="641" t="s">
        <v>15</v>
      </c>
      <c r="H62" s="641"/>
      <c r="I62" s="641"/>
      <c r="J62" s="641"/>
      <c r="K62" s="641" t="s">
        <v>15</v>
      </c>
      <c r="L62" s="641"/>
      <c r="M62" s="641"/>
      <c r="N62" s="641"/>
      <c r="O62" s="641"/>
      <c r="P62" s="641"/>
    </row>
    <row r="63" spans="1:16" ht="40.9" customHeight="1" x14ac:dyDescent="0.25">
      <c r="A63" s="487"/>
      <c r="B63" s="640" t="s">
        <v>565</v>
      </c>
      <c r="C63" s="640"/>
      <c r="D63" s="640"/>
      <c r="E63" s="640"/>
      <c r="F63" s="640"/>
      <c r="G63" s="640" t="s">
        <v>733</v>
      </c>
      <c r="H63" s="640"/>
      <c r="I63" s="640"/>
      <c r="J63" s="640"/>
      <c r="K63" s="640" t="s">
        <v>15</v>
      </c>
      <c r="L63" s="640"/>
      <c r="M63" s="640"/>
      <c r="N63" s="640"/>
      <c r="O63" s="640"/>
      <c r="P63" s="640"/>
    </row>
    <row r="64" spans="1:16" ht="54.4" customHeight="1" x14ac:dyDescent="0.25">
      <c r="A64" s="487"/>
      <c r="B64" s="640" t="s">
        <v>567</v>
      </c>
      <c r="C64" s="640"/>
      <c r="D64" s="640"/>
      <c r="E64" s="640"/>
      <c r="F64" s="640"/>
      <c r="G64" s="640" t="s">
        <v>568</v>
      </c>
      <c r="H64" s="640"/>
      <c r="I64" s="640"/>
      <c r="J64" s="640"/>
      <c r="K64" s="640" t="s">
        <v>15</v>
      </c>
      <c r="L64" s="640"/>
      <c r="M64" s="640"/>
      <c r="N64" s="640"/>
      <c r="O64" s="640"/>
      <c r="P64" s="640"/>
    </row>
    <row r="65" spans="1:16" ht="95.25" customHeight="1" x14ac:dyDescent="0.25">
      <c r="A65" s="487"/>
      <c r="B65" s="640" t="s">
        <v>569</v>
      </c>
      <c r="C65" s="640"/>
      <c r="D65" s="640"/>
      <c r="E65" s="640"/>
      <c r="F65" s="640"/>
      <c r="G65" s="640" t="s">
        <v>570</v>
      </c>
      <c r="H65" s="640"/>
      <c r="I65" s="640"/>
      <c r="J65" s="640"/>
      <c r="K65" s="640" t="s">
        <v>15</v>
      </c>
      <c r="L65" s="640"/>
      <c r="M65" s="640"/>
      <c r="N65" s="640"/>
      <c r="O65" s="640"/>
      <c r="P65" s="640"/>
    </row>
    <row r="66" spans="1:16" ht="54.4" customHeight="1" x14ac:dyDescent="0.25">
      <c r="A66" s="487"/>
      <c r="B66" s="640" t="s">
        <v>571</v>
      </c>
      <c r="C66" s="640"/>
      <c r="D66" s="640"/>
      <c r="E66" s="640"/>
      <c r="F66" s="640"/>
      <c r="G66" s="640" t="s">
        <v>572</v>
      </c>
      <c r="H66" s="640"/>
      <c r="I66" s="640"/>
      <c r="J66" s="640"/>
      <c r="K66" s="640" t="s">
        <v>15</v>
      </c>
      <c r="L66" s="640"/>
      <c r="M66" s="640"/>
      <c r="N66" s="640"/>
      <c r="O66" s="640"/>
      <c r="P66" s="640"/>
    </row>
    <row r="67" spans="1:16" ht="40.9" customHeight="1" x14ac:dyDescent="0.25">
      <c r="A67" s="487"/>
      <c r="B67" s="640" t="s">
        <v>577</v>
      </c>
      <c r="C67" s="640"/>
      <c r="D67" s="640"/>
      <c r="E67" s="640"/>
      <c r="F67" s="640"/>
      <c r="G67" s="640" t="s">
        <v>578</v>
      </c>
      <c r="H67" s="640"/>
      <c r="I67" s="640"/>
      <c r="J67" s="640"/>
      <c r="K67" s="640" t="s">
        <v>15</v>
      </c>
      <c r="L67" s="640"/>
      <c r="M67" s="640"/>
      <c r="N67" s="640"/>
      <c r="O67" s="640"/>
      <c r="P67" s="640"/>
    </row>
    <row r="68" spans="1:16" ht="176.85" customHeight="1" x14ac:dyDescent="0.25">
      <c r="A68" s="485" t="s">
        <v>143</v>
      </c>
      <c r="B68" s="642" t="s">
        <v>581</v>
      </c>
      <c r="C68" s="643"/>
      <c r="D68" s="643"/>
      <c r="E68" s="643"/>
      <c r="F68" s="643"/>
      <c r="G68" s="643" t="s">
        <v>2352</v>
      </c>
      <c r="H68" s="643"/>
      <c r="I68" s="643"/>
      <c r="J68" s="643"/>
      <c r="K68" s="643" t="s">
        <v>2353</v>
      </c>
      <c r="L68" s="643"/>
      <c r="M68" s="643"/>
      <c r="N68" s="643"/>
      <c r="O68" s="644">
        <f>ROUND(855.8 * 24.21 * 1 * 7.22 * 1.2 * 1.15 * 1.15 * 2.2, 2)</f>
        <v>522280.58</v>
      </c>
      <c r="P68" s="643"/>
    </row>
    <row r="69" spans="1:16" x14ac:dyDescent="0.25">
      <c r="A69" s="486"/>
      <c r="B69" s="641" t="s">
        <v>564</v>
      </c>
      <c r="C69" s="641"/>
      <c r="D69" s="641"/>
      <c r="E69" s="641"/>
      <c r="F69" s="641"/>
      <c r="G69" s="641" t="s">
        <v>15</v>
      </c>
      <c r="H69" s="641"/>
      <c r="I69" s="641"/>
      <c r="J69" s="641"/>
      <c r="K69" s="641" t="s">
        <v>15</v>
      </c>
      <c r="L69" s="641"/>
      <c r="M69" s="641"/>
      <c r="N69" s="641"/>
      <c r="O69" s="641"/>
      <c r="P69" s="641"/>
    </row>
    <row r="70" spans="1:16" ht="40.9" customHeight="1" x14ac:dyDescent="0.25">
      <c r="A70" s="487"/>
      <c r="B70" s="640" t="s">
        <v>565</v>
      </c>
      <c r="C70" s="640"/>
      <c r="D70" s="640"/>
      <c r="E70" s="640"/>
      <c r="F70" s="640"/>
      <c r="G70" s="640" t="s">
        <v>733</v>
      </c>
      <c r="H70" s="640"/>
      <c r="I70" s="640"/>
      <c r="J70" s="640"/>
      <c r="K70" s="640" t="s">
        <v>15</v>
      </c>
      <c r="L70" s="640"/>
      <c r="M70" s="640"/>
      <c r="N70" s="640"/>
      <c r="O70" s="640"/>
      <c r="P70" s="640"/>
    </row>
    <row r="71" spans="1:16" ht="54.4" customHeight="1" x14ac:dyDescent="0.25">
      <c r="A71" s="487"/>
      <c r="B71" s="640" t="s">
        <v>567</v>
      </c>
      <c r="C71" s="640"/>
      <c r="D71" s="640"/>
      <c r="E71" s="640"/>
      <c r="F71" s="640"/>
      <c r="G71" s="640" t="s">
        <v>568</v>
      </c>
      <c r="H71" s="640"/>
      <c r="I71" s="640"/>
      <c r="J71" s="640"/>
      <c r="K71" s="640" t="s">
        <v>15</v>
      </c>
      <c r="L71" s="640"/>
      <c r="M71" s="640"/>
      <c r="N71" s="640"/>
      <c r="O71" s="640"/>
      <c r="P71" s="640"/>
    </row>
    <row r="72" spans="1:16" ht="95.25" customHeight="1" x14ac:dyDescent="0.25">
      <c r="A72" s="487"/>
      <c r="B72" s="640" t="s">
        <v>569</v>
      </c>
      <c r="C72" s="640"/>
      <c r="D72" s="640"/>
      <c r="E72" s="640"/>
      <c r="F72" s="640"/>
      <c r="G72" s="640" t="s">
        <v>570</v>
      </c>
      <c r="H72" s="640"/>
      <c r="I72" s="640"/>
      <c r="J72" s="640"/>
      <c r="K72" s="640" t="s">
        <v>15</v>
      </c>
      <c r="L72" s="640"/>
      <c r="M72" s="640"/>
      <c r="N72" s="640"/>
      <c r="O72" s="640"/>
      <c r="P72" s="640"/>
    </row>
    <row r="73" spans="1:16" ht="54.4" customHeight="1" x14ac:dyDescent="0.25">
      <c r="A73" s="487"/>
      <c r="B73" s="640" t="s">
        <v>571</v>
      </c>
      <c r="C73" s="640"/>
      <c r="D73" s="640"/>
      <c r="E73" s="640"/>
      <c r="F73" s="640"/>
      <c r="G73" s="640" t="s">
        <v>572</v>
      </c>
      <c r="H73" s="640"/>
      <c r="I73" s="640"/>
      <c r="J73" s="640"/>
      <c r="K73" s="640" t="s">
        <v>15</v>
      </c>
      <c r="L73" s="640"/>
      <c r="M73" s="640"/>
      <c r="N73" s="640"/>
      <c r="O73" s="640"/>
      <c r="P73" s="640"/>
    </row>
    <row r="74" spans="1:16" ht="40.9" customHeight="1" x14ac:dyDescent="0.25">
      <c r="A74" s="487"/>
      <c r="B74" s="640" t="s">
        <v>577</v>
      </c>
      <c r="C74" s="640"/>
      <c r="D74" s="640"/>
      <c r="E74" s="640"/>
      <c r="F74" s="640"/>
      <c r="G74" s="640" t="s">
        <v>578</v>
      </c>
      <c r="H74" s="640"/>
      <c r="I74" s="640"/>
      <c r="J74" s="640"/>
      <c r="K74" s="640" t="s">
        <v>15</v>
      </c>
      <c r="L74" s="640"/>
      <c r="M74" s="640"/>
      <c r="N74" s="640"/>
      <c r="O74" s="640"/>
      <c r="P74" s="640"/>
    </row>
    <row r="75" spans="1:16" x14ac:dyDescent="0.25">
      <c r="A75" s="638" t="s">
        <v>2354</v>
      </c>
      <c r="B75" s="638"/>
      <c r="C75" s="638"/>
      <c r="D75" s="638"/>
      <c r="E75" s="638"/>
      <c r="F75" s="638"/>
      <c r="G75" s="638"/>
      <c r="H75" s="638"/>
      <c r="I75" s="638"/>
      <c r="J75" s="638"/>
      <c r="K75" s="638"/>
      <c r="L75" s="638"/>
      <c r="M75" s="638"/>
      <c r="N75" s="638"/>
      <c r="O75" s="638"/>
      <c r="P75" s="638"/>
    </row>
    <row r="76" spans="1:16" ht="176.85" customHeight="1" x14ac:dyDescent="0.25">
      <c r="A76" s="485" t="s">
        <v>147</v>
      </c>
      <c r="B76" s="642" t="s">
        <v>581</v>
      </c>
      <c r="C76" s="643"/>
      <c r="D76" s="643"/>
      <c r="E76" s="643"/>
      <c r="F76" s="643"/>
      <c r="G76" s="643" t="s">
        <v>2355</v>
      </c>
      <c r="H76" s="643"/>
      <c r="I76" s="643"/>
      <c r="J76" s="643"/>
      <c r="K76" s="643" t="s">
        <v>2356</v>
      </c>
      <c r="L76" s="643"/>
      <c r="M76" s="643"/>
      <c r="N76" s="643"/>
      <c r="O76" s="644">
        <f>ROUND(855.8 * 47.47 * 1 * 7.22 * 1.2 * 1.15 * 1.15 * 2.2, 2)</f>
        <v>1024066.88</v>
      </c>
      <c r="P76" s="643"/>
    </row>
    <row r="77" spans="1:16" x14ac:dyDescent="0.25">
      <c r="A77" s="486"/>
      <c r="B77" s="641" t="s">
        <v>564</v>
      </c>
      <c r="C77" s="641"/>
      <c r="D77" s="641"/>
      <c r="E77" s="641"/>
      <c r="F77" s="641"/>
      <c r="G77" s="641" t="s">
        <v>15</v>
      </c>
      <c r="H77" s="641"/>
      <c r="I77" s="641"/>
      <c r="J77" s="641"/>
      <c r="K77" s="641" t="s">
        <v>15</v>
      </c>
      <c r="L77" s="641"/>
      <c r="M77" s="641"/>
      <c r="N77" s="641"/>
      <c r="O77" s="641"/>
      <c r="P77" s="641"/>
    </row>
    <row r="78" spans="1:16" ht="40.9" customHeight="1" x14ac:dyDescent="0.25">
      <c r="A78" s="487"/>
      <c r="B78" s="640" t="s">
        <v>565</v>
      </c>
      <c r="C78" s="640"/>
      <c r="D78" s="640"/>
      <c r="E78" s="640"/>
      <c r="F78" s="640"/>
      <c r="G78" s="640" t="s">
        <v>733</v>
      </c>
      <c r="H78" s="640"/>
      <c r="I78" s="640"/>
      <c r="J78" s="640"/>
      <c r="K78" s="640" t="s">
        <v>15</v>
      </c>
      <c r="L78" s="640"/>
      <c r="M78" s="640"/>
      <c r="N78" s="640"/>
      <c r="O78" s="640"/>
      <c r="P78" s="640"/>
    </row>
    <row r="79" spans="1:16" ht="54.4" customHeight="1" x14ac:dyDescent="0.25">
      <c r="A79" s="487"/>
      <c r="B79" s="640" t="s">
        <v>567</v>
      </c>
      <c r="C79" s="640"/>
      <c r="D79" s="640"/>
      <c r="E79" s="640"/>
      <c r="F79" s="640"/>
      <c r="G79" s="640" t="s">
        <v>568</v>
      </c>
      <c r="H79" s="640"/>
      <c r="I79" s="640"/>
      <c r="J79" s="640"/>
      <c r="K79" s="640" t="s">
        <v>15</v>
      </c>
      <c r="L79" s="640"/>
      <c r="M79" s="640"/>
      <c r="N79" s="640"/>
      <c r="O79" s="640"/>
      <c r="P79" s="640"/>
    </row>
    <row r="80" spans="1:16" ht="95.25" customHeight="1" x14ac:dyDescent="0.25">
      <c r="A80" s="487"/>
      <c r="B80" s="640" t="s">
        <v>569</v>
      </c>
      <c r="C80" s="640"/>
      <c r="D80" s="640"/>
      <c r="E80" s="640"/>
      <c r="F80" s="640"/>
      <c r="G80" s="640" t="s">
        <v>570</v>
      </c>
      <c r="H80" s="640"/>
      <c r="I80" s="640"/>
      <c r="J80" s="640"/>
      <c r="K80" s="640" t="s">
        <v>15</v>
      </c>
      <c r="L80" s="640"/>
      <c r="M80" s="640"/>
      <c r="N80" s="640"/>
      <c r="O80" s="640"/>
      <c r="P80" s="640"/>
    </row>
    <row r="81" spans="1:16" ht="54.4" customHeight="1" x14ac:dyDescent="0.25">
      <c r="A81" s="487"/>
      <c r="B81" s="640" t="s">
        <v>571</v>
      </c>
      <c r="C81" s="640"/>
      <c r="D81" s="640"/>
      <c r="E81" s="640"/>
      <c r="F81" s="640"/>
      <c r="G81" s="640" t="s">
        <v>572</v>
      </c>
      <c r="H81" s="640"/>
      <c r="I81" s="640"/>
      <c r="J81" s="640"/>
      <c r="K81" s="640" t="s">
        <v>15</v>
      </c>
      <c r="L81" s="640"/>
      <c r="M81" s="640"/>
      <c r="N81" s="640"/>
      <c r="O81" s="640"/>
      <c r="P81" s="640"/>
    </row>
    <row r="82" spans="1:16" ht="40.9" customHeight="1" x14ac:dyDescent="0.25">
      <c r="A82" s="487"/>
      <c r="B82" s="640" t="s">
        <v>577</v>
      </c>
      <c r="C82" s="640"/>
      <c r="D82" s="640"/>
      <c r="E82" s="640"/>
      <c r="F82" s="640"/>
      <c r="G82" s="640" t="s">
        <v>578</v>
      </c>
      <c r="H82" s="640"/>
      <c r="I82" s="640"/>
      <c r="J82" s="640"/>
      <c r="K82" s="640" t="s">
        <v>15</v>
      </c>
      <c r="L82" s="640"/>
      <c r="M82" s="640"/>
      <c r="N82" s="640"/>
      <c r="O82" s="640"/>
      <c r="P82" s="640"/>
    </row>
    <row r="83" spans="1:16" ht="149.65" customHeight="1" x14ac:dyDescent="0.25">
      <c r="A83" s="485" t="s">
        <v>157</v>
      </c>
      <c r="B83" s="642" t="s">
        <v>580</v>
      </c>
      <c r="C83" s="643"/>
      <c r="D83" s="643"/>
      <c r="E83" s="643"/>
      <c r="F83" s="643"/>
      <c r="G83" s="643" t="s">
        <v>2357</v>
      </c>
      <c r="H83" s="643"/>
      <c r="I83" s="643"/>
      <c r="J83" s="643"/>
      <c r="K83" s="643" t="s">
        <v>2358</v>
      </c>
      <c r="L83" s="643"/>
      <c r="M83" s="643"/>
      <c r="N83" s="643"/>
      <c r="O83" s="644">
        <f>ROUND(873.2 * 47.47 * 1 * 7.22 * 1.2 * 1.15 * 1.15 * 2.2, 2)</f>
        <v>1044888.05</v>
      </c>
      <c r="P83" s="643"/>
    </row>
    <row r="84" spans="1:16" x14ac:dyDescent="0.25">
      <c r="A84" s="486"/>
      <c r="B84" s="641" t="s">
        <v>564</v>
      </c>
      <c r="C84" s="641"/>
      <c r="D84" s="641"/>
      <c r="E84" s="641"/>
      <c r="F84" s="641"/>
      <c r="G84" s="641" t="s">
        <v>15</v>
      </c>
      <c r="H84" s="641"/>
      <c r="I84" s="641"/>
      <c r="J84" s="641"/>
      <c r="K84" s="641" t="s">
        <v>15</v>
      </c>
      <c r="L84" s="641"/>
      <c r="M84" s="641"/>
      <c r="N84" s="641"/>
      <c r="O84" s="641"/>
      <c r="P84" s="641"/>
    </row>
    <row r="85" spans="1:16" ht="40.9" customHeight="1" x14ac:dyDescent="0.25">
      <c r="A85" s="487"/>
      <c r="B85" s="640" t="s">
        <v>565</v>
      </c>
      <c r="C85" s="640"/>
      <c r="D85" s="640"/>
      <c r="E85" s="640"/>
      <c r="F85" s="640"/>
      <c r="G85" s="640" t="s">
        <v>733</v>
      </c>
      <c r="H85" s="640"/>
      <c r="I85" s="640"/>
      <c r="J85" s="640"/>
      <c r="K85" s="640" t="s">
        <v>15</v>
      </c>
      <c r="L85" s="640"/>
      <c r="M85" s="640"/>
      <c r="N85" s="640"/>
      <c r="O85" s="640"/>
      <c r="P85" s="640"/>
    </row>
    <row r="86" spans="1:16" ht="54.4" customHeight="1" x14ac:dyDescent="0.25">
      <c r="A86" s="487"/>
      <c r="B86" s="640" t="s">
        <v>567</v>
      </c>
      <c r="C86" s="640"/>
      <c r="D86" s="640"/>
      <c r="E86" s="640"/>
      <c r="F86" s="640"/>
      <c r="G86" s="640" t="s">
        <v>568</v>
      </c>
      <c r="H86" s="640"/>
      <c r="I86" s="640"/>
      <c r="J86" s="640"/>
      <c r="K86" s="640" t="s">
        <v>15</v>
      </c>
      <c r="L86" s="640"/>
      <c r="M86" s="640"/>
      <c r="N86" s="640"/>
      <c r="O86" s="640"/>
      <c r="P86" s="640"/>
    </row>
    <row r="87" spans="1:16" ht="95.25" customHeight="1" x14ac:dyDescent="0.25">
      <c r="A87" s="487"/>
      <c r="B87" s="640" t="s">
        <v>569</v>
      </c>
      <c r="C87" s="640"/>
      <c r="D87" s="640"/>
      <c r="E87" s="640"/>
      <c r="F87" s="640"/>
      <c r="G87" s="640" t="s">
        <v>570</v>
      </c>
      <c r="H87" s="640"/>
      <c r="I87" s="640"/>
      <c r="J87" s="640"/>
      <c r="K87" s="640" t="s">
        <v>15</v>
      </c>
      <c r="L87" s="640"/>
      <c r="M87" s="640"/>
      <c r="N87" s="640"/>
      <c r="O87" s="640"/>
      <c r="P87" s="640"/>
    </row>
    <row r="88" spans="1:16" ht="54.4" customHeight="1" x14ac:dyDescent="0.25">
      <c r="A88" s="487"/>
      <c r="B88" s="640" t="s">
        <v>571</v>
      </c>
      <c r="C88" s="640"/>
      <c r="D88" s="640"/>
      <c r="E88" s="640"/>
      <c r="F88" s="640"/>
      <c r="G88" s="640" t="s">
        <v>572</v>
      </c>
      <c r="H88" s="640"/>
      <c r="I88" s="640"/>
      <c r="J88" s="640"/>
      <c r="K88" s="640" t="s">
        <v>15</v>
      </c>
      <c r="L88" s="640"/>
      <c r="M88" s="640"/>
      <c r="N88" s="640"/>
      <c r="O88" s="640"/>
      <c r="P88" s="640"/>
    </row>
    <row r="89" spans="1:16" ht="40.9" customHeight="1" x14ac:dyDescent="0.25">
      <c r="A89" s="487"/>
      <c r="B89" s="640" t="s">
        <v>577</v>
      </c>
      <c r="C89" s="640"/>
      <c r="D89" s="640"/>
      <c r="E89" s="640"/>
      <c r="F89" s="640"/>
      <c r="G89" s="640" t="s">
        <v>578</v>
      </c>
      <c r="H89" s="640"/>
      <c r="I89" s="640"/>
      <c r="J89" s="640"/>
      <c r="K89" s="640" t="s">
        <v>15</v>
      </c>
      <c r="L89" s="640"/>
      <c r="M89" s="640"/>
      <c r="N89" s="640"/>
      <c r="O89" s="640"/>
      <c r="P89" s="640"/>
    </row>
    <row r="90" spans="1:16" x14ac:dyDescent="0.25">
      <c r="A90" s="638" t="s">
        <v>2359</v>
      </c>
      <c r="B90" s="638"/>
      <c r="C90" s="638"/>
      <c r="D90" s="638"/>
      <c r="E90" s="638"/>
      <c r="F90" s="638"/>
      <c r="G90" s="638"/>
      <c r="H90" s="638"/>
      <c r="I90" s="638"/>
      <c r="J90" s="638"/>
      <c r="K90" s="638"/>
      <c r="L90" s="638"/>
      <c r="M90" s="638"/>
      <c r="N90" s="638"/>
      <c r="O90" s="638"/>
      <c r="P90" s="638"/>
    </row>
    <row r="91" spans="1:16" ht="176.85" customHeight="1" x14ac:dyDescent="0.25">
      <c r="A91" s="485" t="s">
        <v>161</v>
      </c>
      <c r="B91" s="642" t="s">
        <v>582</v>
      </c>
      <c r="C91" s="643"/>
      <c r="D91" s="643"/>
      <c r="E91" s="643"/>
      <c r="F91" s="643"/>
      <c r="G91" s="643" t="s">
        <v>2360</v>
      </c>
      <c r="H91" s="643"/>
      <c r="I91" s="643"/>
      <c r="J91" s="643"/>
      <c r="K91" s="643" t="s">
        <v>2361</v>
      </c>
      <c r="L91" s="643"/>
      <c r="M91" s="643"/>
      <c r="N91" s="643"/>
      <c r="O91" s="644">
        <f>ROUND(829 * 51.85 * 1 * 7.22 * 1.2 * 1.15 * 1.15 * 2.2, 2)</f>
        <v>1083527.8899999999</v>
      </c>
      <c r="P91" s="643"/>
    </row>
    <row r="92" spans="1:16" x14ac:dyDescent="0.25">
      <c r="A92" s="486"/>
      <c r="B92" s="641" t="s">
        <v>564</v>
      </c>
      <c r="C92" s="641"/>
      <c r="D92" s="641"/>
      <c r="E92" s="641"/>
      <c r="F92" s="641"/>
      <c r="G92" s="641" t="s">
        <v>15</v>
      </c>
      <c r="H92" s="641"/>
      <c r="I92" s="641"/>
      <c r="J92" s="641"/>
      <c r="K92" s="641" t="s">
        <v>15</v>
      </c>
      <c r="L92" s="641"/>
      <c r="M92" s="641"/>
      <c r="N92" s="641"/>
      <c r="O92" s="641"/>
      <c r="P92" s="641"/>
    </row>
    <row r="93" spans="1:16" ht="40.9" customHeight="1" x14ac:dyDescent="0.25">
      <c r="A93" s="487"/>
      <c r="B93" s="640" t="s">
        <v>565</v>
      </c>
      <c r="C93" s="640"/>
      <c r="D93" s="640"/>
      <c r="E93" s="640"/>
      <c r="F93" s="640"/>
      <c r="G93" s="640" t="s">
        <v>733</v>
      </c>
      <c r="H93" s="640"/>
      <c r="I93" s="640"/>
      <c r="J93" s="640"/>
      <c r="K93" s="640" t="s">
        <v>15</v>
      </c>
      <c r="L93" s="640"/>
      <c r="M93" s="640"/>
      <c r="N93" s="640"/>
      <c r="O93" s="640"/>
      <c r="P93" s="640"/>
    </row>
    <row r="94" spans="1:16" ht="54.4" customHeight="1" x14ac:dyDescent="0.25">
      <c r="A94" s="487"/>
      <c r="B94" s="640" t="s">
        <v>567</v>
      </c>
      <c r="C94" s="640"/>
      <c r="D94" s="640"/>
      <c r="E94" s="640"/>
      <c r="F94" s="640"/>
      <c r="G94" s="640" t="s">
        <v>568</v>
      </c>
      <c r="H94" s="640"/>
      <c r="I94" s="640"/>
      <c r="J94" s="640"/>
      <c r="K94" s="640" t="s">
        <v>15</v>
      </c>
      <c r="L94" s="640"/>
      <c r="M94" s="640"/>
      <c r="N94" s="640"/>
      <c r="O94" s="640"/>
      <c r="P94" s="640"/>
    </row>
    <row r="95" spans="1:16" ht="95.25" customHeight="1" x14ac:dyDescent="0.25">
      <c r="A95" s="487"/>
      <c r="B95" s="640" t="s">
        <v>569</v>
      </c>
      <c r="C95" s="640"/>
      <c r="D95" s="640"/>
      <c r="E95" s="640"/>
      <c r="F95" s="640"/>
      <c r="G95" s="640" t="s">
        <v>570</v>
      </c>
      <c r="H95" s="640"/>
      <c r="I95" s="640"/>
      <c r="J95" s="640"/>
      <c r="K95" s="640" t="s">
        <v>15</v>
      </c>
      <c r="L95" s="640"/>
      <c r="M95" s="640"/>
      <c r="N95" s="640"/>
      <c r="O95" s="640"/>
      <c r="P95" s="640"/>
    </row>
    <row r="96" spans="1:16" ht="54.4" customHeight="1" x14ac:dyDescent="0.25">
      <c r="A96" s="487"/>
      <c r="B96" s="640" t="s">
        <v>571</v>
      </c>
      <c r="C96" s="640"/>
      <c r="D96" s="640"/>
      <c r="E96" s="640"/>
      <c r="F96" s="640"/>
      <c r="G96" s="640" t="s">
        <v>572</v>
      </c>
      <c r="H96" s="640"/>
      <c r="I96" s="640"/>
      <c r="J96" s="640"/>
      <c r="K96" s="640" t="s">
        <v>15</v>
      </c>
      <c r="L96" s="640"/>
      <c r="M96" s="640"/>
      <c r="N96" s="640"/>
      <c r="O96" s="640"/>
      <c r="P96" s="640"/>
    </row>
    <row r="97" spans="1:16" ht="40.9" customHeight="1" x14ac:dyDescent="0.25">
      <c r="A97" s="487"/>
      <c r="B97" s="640" t="s">
        <v>577</v>
      </c>
      <c r="C97" s="640"/>
      <c r="D97" s="640"/>
      <c r="E97" s="640"/>
      <c r="F97" s="640"/>
      <c r="G97" s="640" t="s">
        <v>578</v>
      </c>
      <c r="H97" s="640"/>
      <c r="I97" s="640"/>
      <c r="J97" s="640"/>
      <c r="K97" s="640" t="s">
        <v>15</v>
      </c>
      <c r="L97" s="640"/>
      <c r="M97" s="640"/>
      <c r="N97" s="640"/>
      <c r="O97" s="640"/>
      <c r="P97" s="640"/>
    </row>
    <row r="98" spans="1:16" ht="149.65" customHeight="1" x14ac:dyDescent="0.25">
      <c r="A98" s="485" t="s">
        <v>166</v>
      </c>
      <c r="B98" s="642" t="s">
        <v>583</v>
      </c>
      <c r="C98" s="643"/>
      <c r="D98" s="643"/>
      <c r="E98" s="643"/>
      <c r="F98" s="643"/>
      <c r="G98" s="643" t="s">
        <v>2362</v>
      </c>
      <c r="H98" s="643"/>
      <c r="I98" s="643"/>
      <c r="J98" s="643"/>
      <c r="K98" s="643" t="s">
        <v>2363</v>
      </c>
      <c r="L98" s="643"/>
      <c r="M98" s="643"/>
      <c r="N98" s="643"/>
      <c r="O98" s="644">
        <f>ROUND(837.8 * 51.85 * 1 * 7.22 * 1.2 * 1.15 * 1.15 * 2.2, 2)</f>
        <v>1095029.76</v>
      </c>
      <c r="P98" s="643"/>
    </row>
    <row r="99" spans="1:16" x14ac:dyDescent="0.25">
      <c r="A99" s="486"/>
      <c r="B99" s="641" t="s">
        <v>564</v>
      </c>
      <c r="C99" s="641"/>
      <c r="D99" s="641"/>
      <c r="E99" s="641"/>
      <c r="F99" s="641"/>
      <c r="G99" s="641" t="s">
        <v>15</v>
      </c>
      <c r="H99" s="641"/>
      <c r="I99" s="641"/>
      <c r="J99" s="641"/>
      <c r="K99" s="641" t="s">
        <v>15</v>
      </c>
      <c r="L99" s="641"/>
      <c r="M99" s="641"/>
      <c r="N99" s="641"/>
      <c r="O99" s="641"/>
      <c r="P99" s="641"/>
    </row>
    <row r="100" spans="1:16" ht="40.9" customHeight="1" x14ac:dyDescent="0.25">
      <c r="A100" s="487"/>
      <c r="B100" s="640" t="s">
        <v>565</v>
      </c>
      <c r="C100" s="640"/>
      <c r="D100" s="640"/>
      <c r="E100" s="640"/>
      <c r="F100" s="640"/>
      <c r="G100" s="640" t="s">
        <v>733</v>
      </c>
      <c r="H100" s="640"/>
      <c r="I100" s="640"/>
      <c r="J100" s="640"/>
      <c r="K100" s="640" t="s">
        <v>15</v>
      </c>
      <c r="L100" s="640"/>
      <c r="M100" s="640"/>
      <c r="N100" s="640"/>
      <c r="O100" s="640"/>
      <c r="P100" s="640"/>
    </row>
    <row r="101" spans="1:16" ht="54.4" customHeight="1" x14ac:dyDescent="0.25">
      <c r="A101" s="487"/>
      <c r="B101" s="640" t="s">
        <v>567</v>
      </c>
      <c r="C101" s="640"/>
      <c r="D101" s="640"/>
      <c r="E101" s="640"/>
      <c r="F101" s="640"/>
      <c r="G101" s="640" t="s">
        <v>568</v>
      </c>
      <c r="H101" s="640"/>
      <c r="I101" s="640"/>
      <c r="J101" s="640"/>
      <c r="K101" s="640" t="s">
        <v>15</v>
      </c>
      <c r="L101" s="640"/>
      <c r="M101" s="640"/>
      <c r="N101" s="640"/>
      <c r="O101" s="640"/>
      <c r="P101" s="640"/>
    </row>
    <row r="102" spans="1:16" ht="95.25" customHeight="1" x14ac:dyDescent="0.25">
      <c r="A102" s="487"/>
      <c r="B102" s="640" t="s">
        <v>569</v>
      </c>
      <c r="C102" s="640"/>
      <c r="D102" s="640"/>
      <c r="E102" s="640"/>
      <c r="F102" s="640"/>
      <c r="G102" s="640" t="s">
        <v>570</v>
      </c>
      <c r="H102" s="640"/>
      <c r="I102" s="640"/>
      <c r="J102" s="640"/>
      <c r="K102" s="640" t="s">
        <v>15</v>
      </c>
      <c r="L102" s="640"/>
      <c r="M102" s="640"/>
      <c r="N102" s="640"/>
      <c r="O102" s="640"/>
      <c r="P102" s="640"/>
    </row>
    <row r="103" spans="1:16" ht="54.4" customHeight="1" x14ac:dyDescent="0.25">
      <c r="A103" s="487"/>
      <c r="B103" s="640" t="s">
        <v>571</v>
      </c>
      <c r="C103" s="640"/>
      <c r="D103" s="640"/>
      <c r="E103" s="640"/>
      <c r="F103" s="640"/>
      <c r="G103" s="640" t="s">
        <v>572</v>
      </c>
      <c r="H103" s="640"/>
      <c r="I103" s="640"/>
      <c r="J103" s="640"/>
      <c r="K103" s="640" t="s">
        <v>15</v>
      </c>
      <c r="L103" s="640"/>
      <c r="M103" s="640"/>
      <c r="N103" s="640"/>
      <c r="O103" s="640"/>
      <c r="P103" s="640"/>
    </row>
    <row r="104" spans="1:16" ht="40.9" customHeight="1" x14ac:dyDescent="0.25">
      <c r="A104" s="487"/>
      <c r="B104" s="640" t="s">
        <v>577</v>
      </c>
      <c r="C104" s="640"/>
      <c r="D104" s="640"/>
      <c r="E104" s="640"/>
      <c r="F104" s="640"/>
      <c r="G104" s="640" t="s">
        <v>578</v>
      </c>
      <c r="H104" s="640"/>
      <c r="I104" s="640"/>
      <c r="J104" s="640"/>
      <c r="K104" s="640" t="s">
        <v>15</v>
      </c>
      <c r="L104" s="640"/>
      <c r="M104" s="640"/>
      <c r="N104" s="640"/>
      <c r="O104" s="640"/>
      <c r="P104" s="640"/>
    </row>
    <row r="105" spans="1:16" x14ac:dyDescent="0.25">
      <c r="A105" s="638" t="s">
        <v>2364</v>
      </c>
      <c r="B105" s="638"/>
      <c r="C105" s="638"/>
      <c r="D105" s="638"/>
      <c r="E105" s="638"/>
      <c r="F105" s="638"/>
      <c r="G105" s="638"/>
      <c r="H105" s="638"/>
      <c r="I105" s="638"/>
      <c r="J105" s="638"/>
      <c r="K105" s="638"/>
      <c r="L105" s="638"/>
      <c r="M105" s="638"/>
      <c r="N105" s="638"/>
      <c r="O105" s="638"/>
      <c r="P105" s="638"/>
    </row>
    <row r="106" spans="1:16" ht="176.85" customHeight="1" x14ac:dyDescent="0.25">
      <c r="A106" s="485" t="s">
        <v>171</v>
      </c>
      <c r="B106" s="642" t="s">
        <v>582</v>
      </c>
      <c r="C106" s="643"/>
      <c r="D106" s="643"/>
      <c r="E106" s="643"/>
      <c r="F106" s="643"/>
      <c r="G106" s="643" t="s">
        <v>2365</v>
      </c>
      <c r="H106" s="643"/>
      <c r="I106" s="643"/>
      <c r="J106" s="643"/>
      <c r="K106" s="643" t="s">
        <v>2366</v>
      </c>
      <c r="L106" s="643"/>
      <c r="M106" s="643"/>
      <c r="N106" s="643"/>
      <c r="O106" s="644">
        <f>ROUND(829 * 41.53 * 1 * 7.22 * 1.2 * 1.15 * 1.15 * 2.2, 2)</f>
        <v>867867.18</v>
      </c>
      <c r="P106" s="643"/>
    </row>
    <row r="107" spans="1:16" x14ac:dyDescent="0.25">
      <c r="A107" s="486"/>
      <c r="B107" s="641" t="s">
        <v>564</v>
      </c>
      <c r="C107" s="641"/>
      <c r="D107" s="641"/>
      <c r="E107" s="641"/>
      <c r="F107" s="641"/>
      <c r="G107" s="641" t="s">
        <v>15</v>
      </c>
      <c r="H107" s="641"/>
      <c r="I107" s="641"/>
      <c r="J107" s="641"/>
      <c r="K107" s="641" t="s">
        <v>15</v>
      </c>
      <c r="L107" s="641"/>
      <c r="M107" s="641"/>
      <c r="N107" s="641"/>
      <c r="O107" s="641"/>
      <c r="P107" s="641"/>
    </row>
    <row r="108" spans="1:16" ht="40.9" customHeight="1" x14ac:dyDescent="0.25">
      <c r="A108" s="487"/>
      <c r="B108" s="640" t="s">
        <v>565</v>
      </c>
      <c r="C108" s="640"/>
      <c r="D108" s="640"/>
      <c r="E108" s="640"/>
      <c r="F108" s="640"/>
      <c r="G108" s="640" t="s">
        <v>733</v>
      </c>
      <c r="H108" s="640"/>
      <c r="I108" s="640"/>
      <c r="J108" s="640"/>
      <c r="K108" s="640" t="s">
        <v>15</v>
      </c>
      <c r="L108" s="640"/>
      <c r="M108" s="640"/>
      <c r="N108" s="640"/>
      <c r="O108" s="640"/>
      <c r="P108" s="640"/>
    </row>
    <row r="109" spans="1:16" ht="54.4" customHeight="1" x14ac:dyDescent="0.25">
      <c r="A109" s="487"/>
      <c r="B109" s="640" t="s">
        <v>567</v>
      </c>
      <c r="C109" s="640"/>
      <c r="D109" s="640"/>
      <c r="E109" s="640"/>
      <c r="F109" s="640"/>
      <c r="G109" s="640" t="s">
        <v>568</v>
      </c>
      <c r="H109" s="640"/>
      <c r="I109" s="640"/>
      <c r="J109" s="640"/>
      <c r="K109" s="640" t="s">
        <v>15</v>
      </c>
      <c r="L109" s="640"/>
      <c r="M109" s="640"/>
      <c r="N109" s="640"/>
      <c r="O109" s="640"/>
      <c r="P109" s="640"/>
    </row>
    <row r="110" spans="1:16" ht="95.25" customHeight="1" x14ac:dyDescent="0.25">
      <c r="A110" s="487"/>
      <c r="B110" s="640" t="s">
        <v>569</v>
      </c>
      <c r="C110" s="640"/>
      <c r="D110" s="640"/>
      <c r="E110" s="640"/>
      <c r="F110" s="640"/>
      <c r="G110" s="640" t="s">
        <v>570</v>
      </c>
      <c r="H110" s="640"/>
      <c r="I110" s="640"/>
      <c r="J110" s="640"/>
      <c r="K110" s="640" t="s">
        <v>15</v>
      </c>
      <c r="L110" s="640"/>
      <c r="M110" s="640"/>
      <c r="N110" s="640"/>
      <c r="O110" s="640"/>
      <c r="P110" s="640"/>
    </row>
    <row r="111" spans="1:16" ht="54.4" customHeight="1" x14ac:dyDescent="0.25">
      <c r="A111" s="487"/>
      <c r="B111" s="640" t="s">
        <v>571</v>
      </c>
      <c r="C111" s="640"/>
      <c r="D111" s="640"/>
      <c r="E111" s="640"/>
      <c r="F111" s="640"/>
      <c r="G111" s="640" t="s">
        <v>572</v>
      </c>
      <c r="H111" s="640"/>
      <c r="I111" s="640"/>
      <c r="J111" s="640"/>
      <c r="K111" s="640" t="s">
        <v>15</v>
      </c>
      <c r="L111" s="640"/>
      <c r="M111" s="640"/>
      <c r="N111" s="640"/>
      <c r="O111" s="640"/>
      <c r="P111" s="640"/>
    </row>
    <row r="112" spans="1:16" ht="40.9" customHeight="1" x14ac:dyDescent="0.25">
      <c r="A112" s="487"/>
      <c r="B112" s="640" t="s">
        <v>577</v>
      </c>
      <c r="C112" s="640"/>
      <c r="D112" s="640"/>
      <c r="E112" s="640"/>
      <c r="F112" s="640"/>
      <c r="G112" s="640" t="s">
        <v>578</v>
      </c>
      <c r="H112" s="640"/>
      <c r="I112" s="640"/>
      <c r="J112" s="640"/>
      <c r="K112" s="640" t="s">
        <v>15</v>
      </c>
      <c r="L112" s="640"/>
      <c r="M112" s="640"/>
      <c r="N112" s="640"/>
      <c r="O112" s="640"/>
      <c r="P112" s="640"/>
    </row>
    <row r="113" spans="1:16" ht="149.65" customHeight="1" x14ac:dyDescent="0.25">
      <c r="A113" s="485" t="s">
        <v>183</v>
      </c>
      <c r="B113" s="642" t="s">
        <v>583</v>
      </c>
      <c r="C113" s="643"/>
      <c r="D113" s="643"/>
      <c r="E113" s="643"/>
      <c r="F113" s="643"/>
      <c r="G113" s="643" t="s">
        <v>2367</v>
      </c>
      <c r="H113" s="643"/>
      <c r="I113" s="643"/>
      <c r="J113" s="643"/>
      <c r="K113" s="643" t="s">
        <v>2368</v>
      </c>
      <c r="L113" s="643"/>
      <c r="M113" s="643"/>
      <c r="N113" s="643"/>
      <c r="O113" s="644">
        <f>ROUND(837.8 * 41.53 * 1 * 7.22 * 1.2 * 1.15 * 1.15 * 2.2, 2)</f>
        <v>877079.77</v>
      </c>
      <c r="P113" s="643"/>
    </row>
    <row r="114" spans="1:16" x14ac:dyDescent="0.25">
      <c r="A114" s="486"/>
      <c r="B114" s="641" t="s">
        <v>564</v>
      </c>
      <c r="C114" s="641"/>
      <c r="D114" s="641"/>
      <c r="E114" s="641"/>
      <c r="F114" s="641"/>
      <c r="G114" s="641" t="s">
        <v>15</v>
      </c>
      <c r="H114" s="641"/>
      <c r="I114" s="641"/>
      <c r="J114" s="641"/>
      <c r="K114" s="641" t="s">
        <v>15</v>
      </c>
      <c r="L114" s="641"/>
      <c r="M114" s="641"/>
      <c r="N114" s="641"/>
      <c r="O114" s="641"/>
      <c r="P114" s="641"/>
    </row>
    <row r="115" spans="1:16" ht="40.9" customHeight="1" x14ac:dyDescent="0.25">
      <c r="A115" s="487"/>
      <c r="B115" s="640" t="s">
        <v>565</v>
      </c>
      <c r="C115" s="640"/>
      <c r="D115" s="640"/>
      <c r="E115" s="640"/>
      <c r="F115" s="640"/>
      <c r="G115" s="640" t="s">
        <v>733</v>
      </c>
      <c r="H115" s="640"/>
      <c r="I115" s="640"/>
      <c r="J115" s="640"/>
      <c r="K115" s="640" t="s">
        <v>15</v>
      </c>
      <c r="L115" s="640"/>
      <c r="M115" s="640"/>
      <c r="N115" s="640"/>
      <c r="O115" s="640"/>
      <c r="P115" s="640"/>
    </row>
    <row r="116" spans="1:16" ht="54.4" customHeight="1" x14ac:dyDescent="0.25">
      <c r="A116" s="487"/>
      <c r="B116" s="640" t="s">
        <v>567</v>
      </c>
      <c r="C116" s="640"/>
      <c r="D116" s="640"/>
      <c r="E116" s="640"/>
      <c r="F116" s="640"/>
      <c r="G116" s="640" t="s">
        <v>568</v>
      </c>
      <c r="H116" s="640"/>
      <c r="I116" s="640"/>
      <c r="J116" s="640"/>
      <c r="K116" s="640" t="s">
        <v>15</v>
      </c>
      <c r="L116" s="640"/>
      <c r="M116" s="640"/>
      <c r="N116" s="640"/>
      <c r="O116" s="640"/>
      <c r="P116" s="640"/>
    </row>
    <row r="117" spans="1:16" ht="95.25" customHeight="1" x14ac:dyDescent="0.25">
      <c r="A117" s="487"/>
      <c r="B117" s="640" t="s">
        <v>569</v>
      </c>
      <c r="C117" s="640"/>
      <c r="D117" s="640"/>
      <c r="E117" s="640"/>
      <c r="F117" s="640"/>
      <c r="G117" s="640" t="s">
        <v>570</v>
      </c>
      <c r="H117" s="640"/>
      <c r="I117" s="640"/>
      <c r="J117" s="640"/>
      <c r="K117" s="640" t="s">
        <v>15</v>
      </c>
      <c r="L117" s="640"/>
      <c r="M117" s="640"/>
      <c r="N117" s="640"/>
      <c r="O117" s="640"/>
      <c r="P117" s="640"/>
    </row>
    <row r="118" spans="1:16" ht="54.4" customHeight="1" x14ac:dyDescent="0.25">
      <c r="A118" s="487"/>
      <c r="B118" s="640" t="s">
        <v>571</v>
      </c>
      <c r="C118" s="640"/>
      <c r="D118" s="640"/>
      <c r="E118" s="640"/>
      <c r="F118" s="640"/>
      <c r="G118" s="640" t="s">
        <v>572</v>
      </c>
      <c r="H118" s="640"/>
      <c r="I118" s="640"/>
      <c r="J118" s="640"/>
      <c r="K118" s="640" t="s">
        <v>15</v>
      </c>
      <c r="L118" s="640"/>
      <c r="M118" s="640"/>
      <c r="N118" s="640"/>
      <c r="O118" s="640"/>
      <c r="P118" s="640"/>
    </row>
    <row r="119" spans="1:16" ht="40.9" customHeight="1" x14ac:dyDescent="0.25">
      <c r="A119" s="487"/>
      <c r="B119" s="640" t="s">
        <v>577</v>
      </c>
      <c r="C119" s="640"/>
      <c r="D119" s="640"/>
      <c r="E119" s="640"/>
      <c r="F119" s="640"/>
      <c r="G119" s="640" t="s">
        <v>578</v>
      </c>
      <c r="H119" s="640"/>
      <c r="I119" s="640"/>
      <c r="J119" s="640"/>
      <c r="K119" s="640" t="s">
        <v>15</v>
      </c>
      <c r="L119" s="640"/>
      <c r="M119" s="640"/>
      <c r="N119" s="640"/>
      <c r="O119" s="640"/>
      <c r="P119" s="640"/>
    </row>
    <row r="120" spans="1:16" x14ac:dyDescent="0.25">
      <c r="A120" s="638" t="s">
        <v>2369</v>
      </c>
      <c r="B120" s="638"/>
      <c r="C120" s="638"/>
      <c r="D120" s="638"/>
      <c r="E120" s="638"/>
      <c r="F120" s="638"/>
      <c r="G120" s="638"/>
      <c r="H120" s="638"/>
      <c r="I120" s="638"/>
      <c r="J120" s="638"/>
      <c r="K120" s="638"/>
      <c r="L120" s="638"/>
      <c r="M120" s="638"/>
      <c r="N120" s="638"/>
      <c r="O120" s="638"/>
      <c r="P120" s="638"/>
    </row>
    <row r="121" spans="1:16" ht="149.65" customHeight="1" x14ac:dyDescent="0.25">
      <c r="A121" s="485" t="s">
        <v>193</v>
      </c>
      <c r="B121" s="642" t="s">
        <v>584</v>
      </c>
      <c r="C121" s="643"/>
      <c r="D121" s="643"/>
      <c r="E121" s="643"/>
      <c r="F121" s="643"/>
      <c r="G121" s="643" t="s">
        <v>2370</v>
      </c>
      <c r="H121" s="643"/>
      <c r="I121" s="643"/>
      <c r="J121" s="643"/>
      <c r="K121" s="643" t="s">
        <v>2371</v>
      </c>
      <c r="L121" s="643"/>
      <c r="M121" s="643"/>
      <c r="N121" s="643"/>
      <c r="O121" s="644">
        <f>ROUND(828 * 26.223 * 1 * 7.22 * 1.2 * 1.15 * 1.15 * 2.2, 2)</f>
        <v>547330.32999999996</v>
      </c>
      <c r="P121" s="643"/>
    </row>
    <row r="122" spans="1:16" x14ac:dyDescent="0.25">
      <c r="A122" s="486"/>
      <c r="B122" s="641" t="s">
        <v>564</v>
      </c>
      <c r="C122" s="641"/>
      <c r="D122" s="641"/>
      <c r="E122" s="641"/>
      <c r="F122" s="641"/>
      <c r="G122" s="641" t="s">
        <v>15</v>
      </c>
      <c r="H122" s="641"/>
      <c r="I122" s="641"/>
      <c r="J122" s="641"/>
      <c r="K122" s="641" t="s">
        <v>15</v>
      </c>
      <c r="L122" s="641"/>
      <c r="M122" s="641"/>
      <c r="N122" s="641"/>
      <c r="O122" s="641"/>
      <c r="P122" s="641"/>
    </row>
    <row r="123" spans="1:16" ht="40.9" customHeight="1" x14ac:dyDescent="0.25">
      <c r="A123" s="487"/>
      <c r="B123" s="640" t="s">
        <v>565</v>
      </c>
      <c r="C123" s="640"/>
      <c r="D123" s="640"/>
      <c r="E123" s="640"/>
      <c r="F123" s="640"/>
      <c r="G123" s="640" t="s">
        <v>733</v>
      </c>
      <c r="H123" s="640"/>
      <c r="I123" s="640"/>
      <c r="J123" s="640"/>
      <c r="K123" s="640" t="s">
        <v>15</v>
      </c>
      <c r="L123" s="640"/>
      <c r="M123" s="640"/>
      <c r="N123" s="640"/>
      <c r="O123" s="640"/>
      <c r="P123" s="640"/>
    </row>
    <row r="124" spans="1:16" ht="54.4" customHeight="1" x14ac:dyDescent="0.25">
      <c r="A124" s="487"/>
      <c r="B124" s="640" t="s">
        <v>567</v>
      </c>
      <c r="C124" s="640"/>
      <c r="D124" s="640"/>
      <c r="E124" s="640"/>
      <c r="F124" s="640"/>
      <c r="G124" s="640" t="s">
        <v>568</v>
      </c>
      <c r="H124" s="640"/>
      <c r="I124" s="640"/>
      <c r="J124" s="640"/>
      <c r="K124" s="640" t="s">
        <v>15</v>
      </c>
      <c r="L124" s="640"/>
      <c r="M124" s="640"/>
      <c r="N124" s="640"/>
      <c r="O124" s="640"/>
      <c r="P124" s="640"/>
    </row>
    <row r="125" spans="1:16" ht="95.25" customHeight="1" x14ac:dyDescent="0.25">
      <c r="A125" s="487"/>
      <c r="B125" s="640" t="s">
        <v>569</v>
      </c>
      <c r="C125" s="640"/>
      <c r="D125" s="640"/>
      <c r="E125" s="640"/>
      <c r="F125" s="640"/>
      <c r="G125" s="640" t="s">
        <v>570</v>
      </c>
      <c r="H125" s="640"/>
      <c r="I125" s="640"/>
      <c r="J125" s="640"/>
      <c r="K125" s="640" t="s">
        <v>15</v>
      </c>
      <c r="L125" s="640"/>
      <c r="M125" s="640"/>
      <c r="N125" s="640"/>
      <c r="O125" s="640"/>
      <c r="P125" s="640"/>
    </row>
    <row r="126" spans="1:16" ht="54.4" customHeight="1" x14ac:dyDescent="0.25">
      <c r="A126" s="487"/>
      <c r="B126" s="640" t="s">
        <v>571</v>
      </c>
      <c r="C126" s="640"/>
      <c r="D126" s="640"/>
      <c r="E126" s="640"/>
      <c r="F126" s="640"/>
      <c r="G126" s="640" t="s">
        <v>572</v>
      </c>
      <c r="H126" s="640"/>
      <c r="I126" s="640"/>
      <c r="J126" s="640"/>
      <c r="K126" s="640" t="s">
        <v>15</v>
      </c>
      <c r="L126" s="640"/>
      <c r="M126" s="640"/>
      <c r="N126" s="640"/>
      <c r="O126" s="640"/>
      <c r="P126" s="640"/>
    </row>
    <row r="127" spans="1:16" ht="40.9" customHeight="1" x14ac:dyDescent="0.25">
      <c r="A127" s="487"/>
      <c r="B127" s="640" t="s">
        <v>577</v>
      </c>
      <c r="C127" s="640"/>
      <c r="D127" s="640"/>
      <c r="E127" s="640"/>
      <c r="F127" s="640"/>
      <c r="G127" s="640" t="s">
        <v>578</v>
      </c>
      <c r="H127" s="640"/>
      <c r="I127" s="640"/>
      <c r="J127" s="640"/>
      <c r="K127" s="640" t="s">
        <v>15</v>
      </c>
      <c r="L127" s="640"/>
      <c r="M127" s="640"/>
      <c r="N127" s="640"/>
      <c r="O127" s="640"/>
      <c r="P127" s="640"/>
    </row>
    <row r="128" spans="1:16" ht="163.15" customHeight="1" x14ac:dyDescent="0.25">
      <c r="A128" s="485" t="s">
        <v>198</v>
      </c>
      <c r="B128" s="642" t="s">
        <v>585</v>
      </c>
      <c r="C128" s="643"/>
      <c r="D128" s="643"/>
      <c r="E128" s="643"/>
      <c r="F128" s="643"/>
      <c r="G128" s="643" t="s">
        <v>2372</v>
      </c>
      <c r="H128" s="643"/>
      <c r="I128" s="643"/>
      <c r="J128" s="643"/>
      <c r="K128" s="643" t="s">
        <v>2373</v>
      </c>
      <c r="L128" s="643"/>
      <c r="M128" s="643"/>
      <c r="N128" s="643"/>
      <c r="O128" s="644">
        <f>ROUND(833.4 * 26.223 * 1 * 7.22 * 1.2 * 1.15 * 1.15 * 2.2, 2)</f>
        <v>550899.88</v>
      </c>
      <c r="P128" s="643"/>
    </row>
    <row r="129" spans="1:16" x14ac:dyDescent="0.25">
      <c r="A129" s="486"/>
      <c r="B129" s="641" t="s">
        <v>564</v>
      </c>
      <c r="C129" s="641"/>
      <c r="D129" s="641"/>
      <c r="E129" s="641"/>
      <c r="F129" s="641"/>
      <c r="G129" s="641" t="s">
        <v>15</v>
      </c>
      <c r="H129" s="641"/>
      <c r="I129" s="641"/>
      <c r="J129" s="641"/>
      <c r="K129" s="641" t="s">
        <v>15</v>
      </c>
      <c r="L129" s="641"/>
      <c r="M129" s="641"/>
      <c r="N129" s="641"/>
      <c r="O129" s="641"/>
      <c r="P129" s="641"/>
    </row>
    <row r="130" spans="1:16" ht="40.9" customHeight="1" x14ac:dyDescent="0.25">
      <c r="A130" s="487"/>
      <c r="B130" s="640" t="s">
        <v>565</v>
      </c>
      <c r="C130" s="640"/>
      <c r="D130" s="640"/>
      <c r="E130" s="640"/>
      <c r="F130" s="640"/>
      <c r="G130" s="640" t="s">
        <v>733</v>
      </c>
      <c r="H130" s="640"/>
      <c r="I130" s="640"/>
      <c r="J130" s="640"/>
      <c r="K130" s="640" t="s">
        <v>15</v>
      </c>
      <c r="L130" s="640"/>
      <c r="M130" s="640"/>
      <c r="N130" s="640"/>
      <c r="O130" s="640"/>
      <c r="P130" s="640"/>
    </row>
    <row r="131" spans="1:16" ht="54.4" customHeight="1" x14ac:dyDescent="0.25">
      <c r="A131" s="487"/>
      <c r="B131" s="640" t="s">
        <v>567</v>
      </c>
      <c r="C131" s="640"/>
      <c r="D131" s="640"/>
      <c r="E131" s="640"/>
      <c r="F131" s="640"/>
      <c r="G131" s="640" t="s">
        <v>568</v>
      </c>
      <c r="H131" s="640"/>
      <c r="I131" s="640"/>
      <c r="J131" s="640"/>
      <c r="K131" s="640" t="s">
        <v>15</v>
      </c>
      <c r="L131" s="640"/>
      <c r="M131" s="640"/>
      <c r="N131" s="640"/>
      <c r="O131" s="640"/>
      <c r="P131" s="640"/>
    </row>
    <row r="132" spans="1:16" ht="95.25" customHeight="1" x14ac:dyDescent="0.25">
      <c r="A132" s="487"/>
      <c r="B132" s="640" t="s">
        <v>569</v>
      </c>
      <c r="C132" s="640"/>
      <c r="D132" s="640"/>
      <c r="E132" s="640"/>
      <c r="F132" s="640"/>
      <c r="G132" s="640" t="s">
        <v>570</v>
      </c>
      <c r="H132" s="640"/>
      <c r="I132" s="640"/>
      <c r="J132" s="640"/>
      <c r="K132" s="640" t="s">
        <v>15</v>
      </c>
      <c r="L132" s="640"/>
      <c r="M132" s="640"/>
      <c r="N132" s="640"/>
      <c r="O132" s="640"/>
      <c r="P132" s="640"/>
    </row>
    <row r="133" spans="1:16" ht="54.4" customHeight="1" x14ac:dyDescent="0.25">
      <c r="A133" s="487"/>
      <c r="B133" s="640" t="s">
        <v>571</v>
      </c>
      <c r="C133" s="640"/>
      <c r="D133" s="640"/>
      <c r="E133" s="640"/>
      <c r="F133" s="640"/>
      <c r="G133" s="640" t="s">
        <v>572</v>
      </c>
      <c r="H133" s="640"/>
      <c r="I133" s="640"/>
      <c r="J133" s="640"/>
      <c r="K133" s="640" t="s">
        <v>15</v>
      </c>
      <c r="L133" s="640"/>
      <c r="M133" s="640"/>
      <c r="N133" s="640"/>
      <c r="O133" s="640"/>
      <c r="P133" s="640"/>
    </row>
    <row r="134" spans="1:16" ht="40.9" customHeight="1" x14ac:dyDescent="0.25">
      <c r="A134" s="487"/>
      <c r="B134" s="640" t="s">
        <v>577</v>
      </c>
      <c r="C134" s="640"/>
      <c r="D134" s="640"/>
      <c r="E134" s="640"/>
      <c r="F134" s="640"/>
      <c r="G134" s="640" t="s">
        <v>578</v>
      </c>
      <c r="H134" s="640"/>
      <c r="I134" s="640"/>
      <c r="J134" s="640"/>
      <c r="K134" s="640" t="s">
        <v>15</v>
      </c>
      <c r="L134" s="640"/>
      <c r="M134" s="640"/>
      <c r="N134" s="640"/>
      <c r="O134" s="640"/>
      <c r="P134" s="640"/>
    </row>
    <row r="135" spans="1:16" x14ac:dyDescent="0.25">
      <c r="A135" s="638" t="s">
        <v>2374</v>
      </c>
      <c r="B135" s="638"/>
      <c r="C135" s="638"/>
      <c r="D135" s="638"/>
      <c r="E135" s="638"/>
      <c r="F135" s="638"/>
      <c r="G135" s="638"/>
      <c r="H135" s="638"/>
      <c r="I135" s="638"/>
      <c r="J135" s="638"/>
      <c r="K135" s="638"/>
      <c r="L135" s="638"/>
      <c r="M135" s="638"/>
      <c r="N135" s="638"/>
      <c r="O135" s="638"/>
      <c r="P135" s="638"/>
    </row>
    <row r="136" spans="1:16" ht="149.65" customHeight="1" x14ac:dyDescent="0.25">
      <c r="A136" s="485" t="s">
        <v>356</v>
      </c>
      <c r="B136" s="642" t="s">
        <v>580</v>
      </c>
      <c r="C136" s="643"/>
      <c r="D136" s="643"/>
      <c r="E136" s="643"/>
      <c r="F136" s="643"/>
      <c r="G136" s="643" t="s">
        <v>2375</v>
      </c>
      <c r="H136" s="643"/>
      <c r="I136" s="643"/>
      <c r="J136" s="643"/>
      <c r="K136" s="643" t="s">
        <v>2376</v>
      </c>
      <c r="L136" s="643"/>
      <c r="M136" s="643"/>
      <c r="N136" s="643"/>
      <c r="O136" s="644">
        <f>ROUND(873.2 * 21.6 * 1 * 7.22 * 1.2 * 1.15 * 1.15 * 2.2, 2)</f>
        <v>475449.38</v>
      </c>
      <c r="P136" s="643"/>
    </row>
    <row r="137" spans="1:16" x14ac:dyDescent="0.25">
      <c r="A137" s="486"/>
      <c r="B137" s="641" t="s">
        <v>564</v>
      </c>
      <c r="C137" s="641"/>
      <c r="D137" s="641"/>
      <c r="E137" s="641"/>
      <c r="F137" s="641"/>
      <c r="G137" s="641" t="s">
        <v>15</v>
      </c>
      <c r="H137" s="641"/>
      <c r="I137" s="641"/>
      <c r="J137" s="641"/>
      <c r="K137" s="641" t="s">
        <v>15</v>
      </c>
      <c r="L137" s="641"/>
      <c r="M137" s="641"/>
      <c r="N137" s="641"/>
      <c r="O137" s="641"/>
      <c r="P137" s="641"/>
    </row>
    <row r="138" spans="1:16" ht="40.9" customHeight="1" x14ac:dyDescent="0.25">
      <c r="A138" s="487"/>
      <c r="B138" s="640" t="s">
        <v>565</v>
      </c>
      <c r="C138" s="640"/>
      <c r="D138" s="640"/>
      <c r="E138" s="640"/>
      <c r="F138" s="640"/>
      <c r="G138" s="640" t="s">
        <v>733</v>
      </c>
      <c r="H138" s="640"/>
      <c r="I138" s="640"/>
      <c r="J138" s="640"/>
      <c r="K138" s="640" t="s">
        <v>15</v>
      </c>
      <c r="L138" s="640"/>
      <c r="M138" s="640"/>
      <c r="N138" s="640"/>
      <c r="O138" s="640"/>
      <c r="P138" s="640"/>
    </row>
    <row r="139" spans="1:16" ht="54.4" customHeight="1" x14ac:dyDescent="0.25">
      <c r="A139" s="487"/>
      <c r="B139" s="640" t="s">
        <v>567</v>
      </c>
      <c r="C139" s="640"/>
      <c r="D139" s="640"/>
      <c r="E139" s="640"/>
      <c r="F139" s="640"/>
      <c r="G139" s="640" t="s">
        <v>568</v>
      </c>
      <c r="H139" s="640"/>
      <c r="I139" s="640"/>
      <c r="J139" s="640"/>
      <c r="K139" s="640" t="s">
        <v>15</v>
      </c>
      <c r="L139" s="640"/>
      <c r="M139" s="640"/>
      <c r="N139" s="640"/>
      <c r="O139" s="640"/>
      <c r="P139" s="640"/>
    </row>
    <row r="140" spans="1:16" ht="95.25" customHeight="1" x14ac:dyDescent="0.25">
      <c r="A140" s="487"/>
      <c r="B140" s="640" t="s">
        <v>569</v>
      </c>
      <c r="C140" s="640"/>
      <c r="D140" s="640"/>
      <c r="E140" s="640"/>
      <c r="F140" s="640"/>
      <c r="G140" s="640" t="s">
        <v>570</v>
      </c>
      <c r="H140" s="640"/>
      <c r="I140" s="640"/>
      <c r="J140" s="640"/>
      <c r="K140" s="640" t="s">
        <v>15</v>
      </c>
      <c r="L140" s="640"/>
      <c r="M140" s="640"/>
      <c r="N140" s="640"/>
      <c r="O140" s="640"/>
      <c r="P140" s="640"/>
    </row>
    <row r="141" spans="1:16" ht="54.4" customHeight="1" x14ac:dyDescent="0.25">
      <c r="A141" s="487"/>
      <c r="B141" s="640" t="s">
        <v>571</v>
      </c>
      <c r="C141" s="640"/>
      <c r="D141" s="640"/>
      <c r="E141" s="640"/>
      <c r="F141" s="640"/>
      <c r="G141" s="640" t="s">
        <v>572</v>
      </c>
      <c r="H141" s="640"/>
      <c r="I141" s="640"/>
      <c r="J141" s="640"/>
      <c r="K141" s="640" t="s">
        <v>15</v>
      </c>
      <c r="L141" s="640"/>
      <c r="M141" s="640"/>
      <c r="N141" s="640"/>
      <c r="O141" s="640"/>
      <c r="P141" s="640"/>
    </row>
    <row r="142" spans="1:16" ht="40.9" customHeight="1" x14ac:dyDescent="0.25">
      <c r="A142" s="487"/>
      <c r="B142" s="640" t="s">
        <v>577</v>
      </c>
      <c r="C142" s="640"/>
      <c r="D142" s="640"/>
      <c r="E142" s="640"/>
      <c r="F142" s="640"/>
      <c r="G142" s="640" t="s">
        <v>578</v>
      </c>
      <c r="H142" s="640"/>
      <c r="I142" s="640"/>
      <c r="J142" s="640"/>
      <c r="K142" s="640" t="s">
        <v>15</v>
      </c>
      <c r="L142" s="640"/>
      <c r="M142" s="640"/>
      <c r="N142" s="640"/>
      <c r="O142" s="640"/>
      <c r="P142" s="640"/>
    </row>
    <row r="143" spans="1:16" ht="176.85" customHeight="1" x14ac:dyDescent="0.25">
      <c r="A143" s="485" t="s">
        <v>363</v>
      </c>
      <c r="B143" s="642" t="s">
        <v>581</v>
      </c>
      <c r="C143" s="643"/>
      <c r="D143" s="643"/>
      <c r="E143" s="643"/>
      <c r="F143" s="643"/>
      <c r="G143" s="643" t="s">
        <v>2377</v>
      </c>
      <c r="H143" s="643"/>
      <c r="I143" s="643"/>
      <c r="J143" s="643"/>
      <c r="K143" s="643" t="s">
        <v>2378</v>
      </c>
      <c r="L143" s="643"/>
      <c r="M143" s="643"/>
      <c r="N143" s="643"/>
      <c r="O143" s="644">
        <f>ROUND(855.8 * 21.6 * 1 * 7.22 * 1.2 * 1.15 * 1.15 * 2.2, 2)</f>
        <v>465975.24</v>
      </c>
      <c r="P143" s="643"/>
    </row>
    <row r="144" spans="1:16" x14ac:dyDescent="0.25">
      <c r="A144" s="486"/>
      <c r="B144" s="641" t="s">
        <v>564</v>
      </c>
      <c r="C144" s="641"/>
      <c r="D144" s="641"/>
      <c r="E144" s="641"/>
      <c r="F144" s="641"/>
      <c r="G144" s="641" t="s">
        <v>15</v>
      </c>
      <c r="H144" s="641"/>
      <c r="I144" s="641"/>
      <c r="J144" s="641"/>
      <c r="K144" s="641" t="s">
        <v>15</v>
      </c>
      <c r="L144" s="641"/>
      <c r="M144" s="641"/>
      <c r="N144" s="641"/>
      <c r="O144" s="641"/>
      <c r="P144" s="641"/>
    </row>
    <row r="145" spans="1:16" ht="40.9" customHeight="1" x14ac:dyDescent="0.25">
      <c r="A145" s="487"/>
      <c r="B145" s="640" t="s">
        <v>565</v>
      </c>
      <c r="C145" s="640"/>
      <c r="D145" s="640"/>
      <c r="E145" s="640"/>
      <c r="F145" s="640"/>
      <c r="G145" s="640" t="s">
        <v>733</v>
      </c>
      <c r="H145" s="640"/>
      <c r="I145" s="640"/>
      <c r="J145" s="640"/>
      <c r="K145" s="640" t="s">
        <v>15</v>
      </c>
      <c r="L145" s="640"/>
      <c r="M145" s="640"/>
      <c r="N145" s="640"/>
      <c r="O145" s="640"/>
      <c r="P145" s="640"/>
    </row>
    <row r="146" spans="1:16" ht="54.4" customHeight="1" x14ac:dyDescent="0.25">
      <c r="A146" s="487"/>
      <c r="B146" s="640" t="s">
        <v>567</v>
      </c>
      <c r="C146" s="640"/>
      <c r="D146" s="640"/>
      <c r="E146" s="640"/>
      <c r="F146" s="640"/>
      <c r="G146" s="640" t="s">
        <v>568</v>
      </c>
      <c r="H146" s="640"/>
      <c r="I146" s="640"/>
      <c r="J146" s="640"/>
      <c r="K146" s="640" t="s">
        <v>15</v>
      </c>
      <c r="L146" s="640"/>
      <c r="M146" s="640"/>
      <c r="N146" s="640"/>
      <c r="O146" s="640"/>
      <c r="P146" s="640"/>
    </row>
    <row r="147" spans="1:16" ht="95.25" customHeight="1" x14ac:dyDescent="0.25">
      <c r="A147" s="487"/>
      <c r="B147" s="640" t="s">
        <v>569</v>
      </c>
      <c r="C147" s="640"/>
      <c r="D147" s="640"/>
      <c r="E147" s="640"/>
      <c r="F147" s="640"/>
      <c r="G147" s="640" t="s">
        <v>570</v>
      </c>
      <c r="H147" s="640"/>
      <c r="I147" s="640"/>
      <c r="J147" s="640"/>
      <c r="K147" s="640" t="s">
        <v>15</v>
      </c>
      <c r="L147" s="640"/>
      <c r="M147" s="640"/>
      <c r="N147" s="640"/>
      <c r="O147" s="640"/>
      <c r="P147" s="640"/>
    </row>
    <row r="148" spans="1:16" ht="54.4" customHeight="1" x14ac:dyDescent="0.25">
      <c r="A148" s="487"/>
      <c r="B148" s="640" t="s">
        <v>571</v>
      </c>
      <c r="C148" s="640"/>
      <c r="D148" s="640"/>
      <c r="E148" s="640"/>
      <c r="F148" s="640"/>
      <c r="G148" s="640" t="s">
        <v>572</v>
      </c>
      <c r="H148" s="640"/>
      <c r="I148" s="640"/>
      <c r="J148" s="640"/>
      <c r="K148" s="640" t="s">
        <v>15</v>
      </c>
      <c r="L148" s="640"/>
      <c r="M148" s="640"/>
      <c r="N148" s="640"/>
      <c r="O148" s="640"/>
      <c r="P148" s="640"/>
    </row>
    <row r="149" spans="1:16" ht="40.9" customHeight="1" x14ac:dyDescent="0.25">
      <c r="A149" s="487"/>
      <c r="B149" s="640" t="s">
        <v>577</v>
      </c>
      <c r="C149" s="640"/>
      <c r="D149" s="640"/>
      <c r="E149" s="640"/>
      <c r="F149" s="640"/>
      <c r="G149" s="640" t="s">
        <v>578</v>
      </c>
      <c r="H149" s="640"/>
      <c r="I149" s="640"/>
      <c r="J149" s="640"/>
      <c r="K149" s="640" t="s">
        <v>15</v>
      </c>
      <c r="L149" s="640"/>
      <c r="M149" s="640"/>
      <c r="N149" s="640"/>
      <c r="O149" s="640"/>
      <c r="P149" s="640"/>
    </row>
    <row r="150" spans="1:16" x14ac:dyDescent="0.25">
      <c r="A150" s="638" t="s">
        <v>2379</v>
      </c>
      <c r="B150" s="638"/>
      <c r="C150" s="638"/>
      <c r="D150" s="638"/>
      <c r="E150" s="638"/>
      <c r="F150" s="638"/>
      <c r="G150" s="638"/>
      <c r="H150" s="638"/>
      <c r="I150" s="638"/>
      <c r="J150" s="638"/>
      <c r="K150" s="638"/>
      <c r="L150" s="638"/>
      <c r="M150" s="638"/>
      <c r="N150" s="638"/>
      <c r="O150" s="638"/>
      <c r="P150" s="638"/>
    </row>
    <row r="151" spans="1:16" ht="149.65" customHeight="1" x14ac:dyDescent="0.25">
      <c r="A151" s="485" t="s">
        <v>367</v>
      </c>
      <c r="B151" s="642" t="s">
        <v>576</v>
      </c>
      <c r="C151" s="643"/>
      <c r="D151" s="643"/>
      <c r="E151" s="643"/>
      <c r="F151" s="643"/>
      <c r="G151" s="643" t="s">
        <v>2380</v>
      </c>
      <c r="H151" s="643"/>
      <c r="I151" s="643"/>
      <c r="J151" s="643"/>
      <c r="K151" s="643" t="s">
        <v>2381</v>
      </c>
      <c r="L151" s="643"/>
      <c r="M151" s="643"/>
      <c r="N151" s="643"/>
      <c r="O151" s="644">
        <f>ROUND(946.8 * 10.8 * 1 * 7.22 * 1.2 * 1.15 * 1.15 * 2.2, 2)</f>
        <v>257761.95</v>
      </c>
      <c r="P151" s="643"/>
    </row>
    <row r="152" spans="1:16" x14ac:dyDescent="0.25">
      <c r="A152" s="486"/>
      <c r="B152" s="641" t="s">
        <v>564</v>
      </c>
      <c r="C152" s="641"/>
      <c r="D152" s="641"/>
      <c r="E152" s="641"/>
      <c r="F152" s="641"/>
      <c r="G152" s="641" t="s">
        <v>15</v>
      </c>
      <c r="H152" s="641"/>
      <c r="I152" s="641"/>
      <c r="J152" s="641"/>
      <c r="K152" s="641" t="s">
        <v>15</v>
      </c>
      <c r="L152" s="641"/>
      <c r="M152" s="641"/>
      <c r="N152" s="641"/>
      <c r="O152" s="641"/>
      <c r="P152" s="641"/>
    </row>
    <row r="153" spans="1:16" ht="40.9" customHeight="1" x14ac:dyDescent="0.25">
      <c r="A153" s="487"/>
      <c r="B153" s="640" t="s">
        <v>565</v>
      </c>
      <c r="C153" s="640"/>
      <c r="D153" s="640"/>
      <c r="E153" s="640"/>
      <c r="F153" s="640"/>
      <c r="G153" s="640" t="s">
        <v>733</v>
      </c>
      <c r="H153" s="640"/>
      <c r="I153" s="640"/>
      <c r="J153" s="640"/>
      <c r="K153" s="640" t="s">
        <v>15</v>
      </c>
      <c r="L153" s="640"/>
      <c r="M153" s="640"/>
      <c r="N153" s="640"/>
      <c r="O153" s="640"/>
      <c r="P153" s="640"/>
    </row>
    <row r="154" spans="1:16" ht="54.4" customHeight="1" x14ac:dyDescent="0.25">
      <c r="A154" s="487"/>
      <c r="B154" s="640" t="s">
        <v>567</v>
      </c>
      <c r="C154" s="640"/>
      <c r="D154" s="640"/>
      <c r="E154" s="640"/>
      <c r="F154" s="640"/>
      <c r="G154" s="640" t="s">
        <v>568</v>
      </c>
      <c r="H154" s="640"/>
      <c r="I154" s="640"/>
      <c r="J154" s="640"/>
      <c r="K154" s="640" t="s">
        <v>15</v>
      </c>
      <c r="L154" s="640"/>
      <c r="M154" s="640"/>
      <c r="N154" s="640"/>
      <c r="O154" s="640"/>
      <c r="P154" s="640"/>
    </row>
    <row r="155" spans="1:16" ht="95.25" customHeight="1" x14ac:dyDescent="0.25">
      <c r="A155" s="487"/>
      <c r="B155" s="640" t="s">
        <v>569</v>
      </c>
      <c r="C155" s="640"/>
      <c r="D155" s="640"/>
      <c r="E155" s="640"/>
      <c r="F155" s="640"/>
      <c r="G155" s="640" t="s">
        <v>570</v>
      </c>
      <c r="H155" s="640"/>
      <c r="I155" s="640"/>
      <c r="J155" s="640"/>
      <c r="K155" s="640" t="s">
        <v>15</v>
      </c>
      <c r="L155" s="640"/>
      <c r="M155" s="640"/>
      <c r="N155" s="640"/>
      <c r="O155" s="640"/>
      <c r="P155" s="640"/>
    </row>
    <row r="156" spans="1:16" ht="54.4" customHeight="1" x14ac:dyDescent="0.25">
      <c r="A156" s="487"/>
      <c r="B156" s="640" t="s">
        <v>571</v>
      </c>
      <c r="C156" s="640"/>
      <c r="D156" s="640"/>
      <c r="E156" s="640"/>
      <c r="F156" s="640"/>
      <c r="G156" s="640" t="s">
        <v>572</v>
      </c>
      <c r="H156" s="640"/>
      <c r="I156" s="640"/>
      <c r="J156" s="640"/>
      <c r="K156" s="640" t="s">
        <v>15</v>
      </c>
      <c r="L156" s="640"/>
      <c r="M156" s="640"/>
      <c r="N156" s="640"/>
      <c r="O156" s="640"/>
      <c r="P156" s="640"/>
    </row>
    <row r="157" spans="1:16" ht="40.9" customHeight="1" x14ac:dyDescent="0.25">
      <c r="A157" s="487"/>
      <c r="B157" s="640" t="s">
        <v>577</v>
      </c>
      <c r="C157" s="640"/>
      <c r="D157" s="640"/>
      <c r="E157" s="640"/>
      <c r="F157" s="640"/>
      <c r="G157" s="640" t="s">
        <v>578</v>
      </c>
      <c r="H157" s="640"/>
      <c r="I157" s="640"/>
      <c r="J157" s="640"/>
      <c r="K157" s="640" t="s">
        <v>15</v>
      </c>
      <c r="L157" s="640"/>
      <c r="M157" s="640"/>
      <c r="N157" s="640"/>
      <c r="O157" s="640"/>
      <c r="P157" s="640"/>
    </row>
    <row r="158" spans="1:16" ht="176.85" customHeight="1" x14ac:dyDescent="0.25">
      <c r="A158" s="485" t="s">
        <v>371</v>
      </c>
      <c r="B158" s="642" t="s">
        <v>579</v>
      </c>
      <c r="C158" s="643"/>
      <c r="D158" s="643"/>
      <c r="E158" s="643"/>
      <c r="F158" s="643"/>
      <c r="G158" s="643" t="s">
        <v>2382</v>
      </c>
      <c r="H158" s="643"/>
      <c r="I158" s="643"/>
      <c r="J158" s="643"/>
      <c r="K158" s="643" t="s">
        <v>2383</v>
      </c>
      <c r="L158" s="643"/>
      <c r="M158" s="643"/>
      <c r="N158" s="643"/>
      <c r="O158" s="644">
        <f>ROUND(910.2 * 10.8 * 1 * 7.22 * 1.2 * 1.15 * 1.15 * 2.2, 2)</f>
        <v>247797.77</v>
      </c>
      <c r="P158" s="643"/>
    </row>
    <row r="159" spans="1:16" x14ac:dyDescent="0.25">
      <c r="A159" s="486"/>
      <c r="B159" s="641" t="s">
        <v>564</v>
      </c>
      <c r="C159" s="641"/>
      <c r="D159" s="641"/>
      <c r="E159" s="641"/>
      <c r="F159" s="641"/>
      <c r="G159" s="641" t="s">
        <v>15</v>
      </c>
      <c r="H159" s="641"/>
      <c r="I159" s="641"/>
      <c r="J159" s="641"/>
      <c r="K159" s="641" t="s">
        <v>15</v>
      </c>
      <c r="L159" s="641"/>
      <c r="M159" s="641"/>
      <c r="N159" s="641"/>
      <c r="O159" s="641"/>
      <c r="P159" s="641"/>
    </row>
    <row r="160" spans="1:16" ht="40.9" customHeight="1" x14ac:dyDescent="0.25">
      <c r="A160" s="487"/>
      <c r="B160" s="640" t="s">
        <v>565</v>
      </c>
      <c r="C160" s="640"/>
      <c r="D160" s="640"/>
      <c r="E160" s="640"/>
      <c r="F160" s="640"/>
      <c r="G160" s="640" t="s">
        <v>733</v>
      </c>
      <c r="H160" s="640"/>
      <c r="I160" s="640"/>
      <c r="J160" s="640"/>
      <c r="K160" s="640" t="s">
        <v>15</v>
      </c>
      <c r="L160" s="640"/>
      <c r="M160" s="640"/>
      <c r="N160" s="640"/>
      <c r="O160" s="640"/>
      <c r="P160" s="640"/>
    </row>
    <row r="161" spans="1:16" ht="54.4" customHeight="1" x14ac:dyDescent="0.25">
      <c r="A161" s="487"/>
      <c r="B161" s="640" t="s">
        <v>567</v>
      </c>
      <c r="C161" s="640"/>
      <c r="D161" s="640"/>
      <c r="E161" s="640"/>
      <c r="F161" s="640"/>
      <c r="G161" s="640" t="s">
        <v>568</v>
      </c>
      <c r="H161" s="640"/>
      <c r="I161" s="640"/>
      <c r="J161" s="640"/>
      <c r="K161" s="640" t="s">
        <v>15</v>
      </c>
      <c r="L161" s="640"/>
      <c r="M161" s="640"/>
      <c r="N161" s="640"/>
      <c r="O161" s="640"/>
      <c r="P161" s="640"/>
    </row>
    <row r="162" spans="1:16" ht="95.25" customHeight="1" x14ac:dyDescent="0.25">
      <c r="A162" s="487"/>
      <c r="B162" s="640" t="s">
        <v>569</v>
      </c>
      <c r="C162" s="640"/>
      <c r="D162" s="640"/>
      <c r="E162" s="640"/>
      <c r="F162" s="640"/>
      <c r="G162" s="640" t="s">
        <v>570</v>
      </c>
      <c r="H162" s="640"/>
      <c r="I162" s="640"/>
      <c r="J162" s="640"/>
      <c r="K162" s="640" t="s">
        <v>15</v>
      </c>
      <c r="L162" s="640"/>
      <c r="M162" s="640"/>
      <c r="N162" s="640"/>
      <c r="O162" s="640"/>
      <c r="P162" s="640"/>
    </row>
    <row r="163" spans="1:16" ht="54.4" customHeight="1" x14ac:dyDescent="0.25">
      <c r="A163" s="487"/>
      <c r="B163" s="640" t="s">
        <v>571</v>
      </c>
      <c r="C163" s="640"/>
      <c r="D163" s="640"/>
      <c r="E163" s="640"/>
      <c r="F163" s="640"/>
      <c r="G163" s="640" t="s">
        <v>572</v>
      </c>
      <c r="H163" s="640"/>
      <c r="I163" s="640"/>
      <c r="J163" s="640"/>
      <c r="K163" s="640" t="s">
        <v>15</v>
      </c>
      <c r="L163" s="640"/>
      <c r="M163" s="640"/>
      <c r="N163" s="640"/>
      <c r="O163" s="640"/>
      <c r="P163" s="640"/>
    </row>
    <row r="164" spans="1:16" ht="40.9" customHeight="1" x14ac:dyDescent="0.25">
      <c r="A164" s="487"/>
      <c r="B164" s="640" t="s">
        <v>577</v>
      </c>
      <c r="C164" s="640"/>
      <c r="D164" s="640"/>
      <c r="E164" s="640"/>
      <c r="F164" s="640"/>
      <c r="G164" s="640" t="s">
        <v>578</v>
      </c>
      <c r="H164" s="640"/>
      <c r="I164" s="640"/>
      <c r="J164" s="640"/>
      <c r="K164" s="640" t="s">
        <v>15</v>
      </c>
      <c r="L164" s="640"/>
      <c r="M164" s="640"/>
      <c r="N164" s="640"/>
      <c r="O164" s="640"/>
      <c r="P164" s="640"/>
    </row>
    <row r="165" spans="1:16" x14ac:dyDescent="0.25">
      <c r="A165" s="638" t="s">
        <v>2384</v>
      </c>
      <c r="B165" s="638"/>
      <c r="C165" s="638"/>
      <c r="D165" s="638"/>
      <c r="E165" s="638"/>
      <c r="F165" s="638"/>
      <c r="G165" s="638"/>
      <c r="H165" s="638"/>
      <c r="I165" s="638"/>
      <c r="J165" s="638"/>
      <c r="K165" s="638"/>
      <c r="L165" s="638"/>
      <c r="M165" s="638"/>
      <c r="N165" s="638"/>
      <c r="O165" s="638"/>
      <c r="P165" s="638"/>
    </row>
    <row r="166" spans="1:16" ht="149.65" customHeight="1" x14ac:dyDescent="0.25">
      <c r="A166" s="485" t="s">
        <v>593</v>
      </c>
      <c r="B166" s="642" t="s">
        <v>576</v>
      </c>
      <c r="C166" s="643"/>
      <c r="D166" s="643"/>
      <c r="E166" s="643"/>
      <c r="F166" s="643"/>
      <c r="G166" s="643" t="s">
        <v>2385</v>
      </c>
      <c r="H166" s="643"/>
      <c r="I166" s="643"/>
      <c r="J166" s="643"/>
      <c r="K166" s="643" t="s">
        <v>2386</v>
      </c>
      <c r="L166" s="643"/>
      <c r="M166" s="643"/>
      <c r="N166" s="643"/>
      <c r="O166" s="644">
        <f>ROUND(946.8 * 1.44 * 2 * 7.22 * 1.2 * 1.15 * 1.15 * 2.2, 2)</f>
        <v>68736.52</v>
      </c>
      <c r="P166" s="643"/>
    </row>
    <row r="167" spans="1:16" x14ac:dyDescent="0.25">
      <c r="A167" s="486"/>
      <c r="B167" s="641" t="s">
        <v>564</v>
      </c>
      <c r="C167" s="641"/>
      <c r="D167" s="641"/>
      <c r="E167" s="641"/>
      <c r="F167" s="641"/>
      <c r="G167" s="641" t="s">
        <v>15</v>
      </c>
      <c r="H167" s="641"/>
      <c r="I167" s="641"/>
      <c r="J167" s="641"/>
      <c r="K167" s="641" t="s">
        <v>15</v>
      </c>
      <c r="L167" s="641"/>
      <c r="M167" s="641"/>
      <c r="N167" s="641"/>
      <c r="O167" s="641"/>
      <c r="P167" s="641"/>
    </row>
    <row r="168" spans="1:16" ht="40.9" customHeight="1" x14ac:dyDescent="0.25">
      <c r="A168" s="487"/>
      <c r="B168" s="640" t="s">
        <v>565</v>
      </c>
      <c r="C168" s="640"/>
      <c r="D168" s="640"/>
      <c r="E168" s="640"/>
      <c r="F168" s="640"/>
      <c r="G168" s="640" t="s">
        <v>733</v>
      </c>
      <c r="H168" s="640"/>
      <c r="I168" s="640"/>
      <c r="J168" s="640"/>
      <c r="K168" s="640" t="s">
        <v>15</v>
      </c>
      <c r="L168" s="640"/>
      <c r="M168" s="640"/>
      <c r="N168" s="640"/>
      <c r="O168" s="640"/>
      <c r="P168" s="640"/>
    </row>
    <row r="169" spans="1:16" ht="54.4" customHeight="1" x14ac:dyDescent="0.25">
      <c r="A169" s="487"/>
      <c r="B169" s="640" t="s">
        <v>567</v>
      </c>
      <c r="C169" s="640"/>
      <c r="D169" s="640"/>
      <c r="E169" s="640"/>
      <c r="F169" s="640"/>
      <c r="G169" s="640" t="s">
        <v>568</v>
      </c>
      <c r="H169" s="640"/>
      <c r="I169" s="640"/>
      <c r="J169" s="640"/>
      <c r="K169" s="640" t="s">
        <v>15</v>
      </c>
      <c r="L169" s="640"/>
      <c r="M169" s="640"/>
      <c r="N169" s="640"/>
      <c r="O169" s="640"/>
      <c r="P169" s="640"/>
    </row>
    <row r="170" spans="1:16" ht="95.25" customHeight="1" x14ac:dyDescent="0.25">
      <c r="A170" s="487"/>
      <c r="B170" s="640" t="s">
        <v>569</v>
      </c>
      <c r="C170" s="640"/>
      <c r="D170" s="640"/>
      <c r="E170" s="640"/>
      <c r="F170" s="640"/>
      <c r="G170" s="640" t="s">
        <v>570</v>
      </c>
      <c r="H170" s="640"/>
      <c r="I170" s="640"/>
      <c r="J170" s="640"/>
      <c r="K170" s="640" t="s">
        <v>15</v>
      </c>
      <c r="L170" s="640"/>
      <c r="M170" s="640"/>
      <c r="N170" s="640"/>
      <c r="O170" s="640"/>
      <c r="P170" s="640"/>
    </row>
    <row r="171" spans="1:16" ht="54.4" customHeight="1" x14ac:dyDescent="0.25">
      <c r="A171" s="487"/>
      <c r="B171" s="640" t="s">
        <v>571</v>
      </c>
      <c r="C171" s="640"/>
      <c r="D171" s="640"/>
      <c r="E171" s="640"/>
      <c r="F171" s="640"/>
      <c r="G171" s="640" t="s">
        <v>572</v>
      </c>
      <c r="H171" s="640"/>
      <c r="I171" s="640"/>
      <c r="J171" s="640"/>
      <c r="K171" s="640" t="s">
        <v>15</v>
      </c>
      <c r="L171" s="640"/>
      <c r="M171" s="640"/>
      <c r="N171" s="640"/>
      <c r="O171" s="640"/>
      <c r="P171" s="640"/>
    </row>
    <row r="172" spans="1:16" ht="40.9" customHeight="1" x14ac:dyDescent="0.25">
      <c r="A172" s="487"/>
      <c r="B172" s="640" t="s">
        <v>577</v>
      </c>
      <c r="C172" s="640"/>
      <c r="D172" s="640"/>
      <c r="E172" s="640"/>
      <c r="F172" s="640"/>
      <c r="G172" s="640" t="s">
        <v>578</v>
      </c>
      <c r="H172" s="640"/>
      <c r="I172" s="640"/>
      <c r="J172" s="640"/>
      <c r="K172" s="640" t="s">
        <v>15</v>
      </c>
      <c r="L172" s="640"/>
      <c r="M172" s="640"/>
      <c r="N172" s="640"/>
      <c r="O172" s="640"/>
      <c r="P172" s="640"/>
    </row>
    <row r="173" spans="1:16" ht="176.85" customHeight="1" x14ac:dyDescent="0.25">
      <c r="A173" s="485" t="s">
        <v>595</v>
      </c>
      <c r="B173" s="642" t="s">
        <v>579</v>
      </c>
      <c r="C173" s="643"/>
      <c r="D173" s="643"/>
      <c r="E173" s="643"/>
      <c r="F173" s="643"/>
      <c r="G173" s="643" t="s">
        <v>2387</v>
      </c>
      <c r="H173" s="643"/>
      <c r="I173" s="643"/>
      <c r="J173" s="643"/>
      <c r="K173" s="643" t="s">
        <v>2388</v>
      </c>
      <c r="L173" s="643"/>
      <c r="M173" s="643"/>
      <c r="N173" s="643"/>
      <c r="O173" s="644">
        <f>ROUND(910.2 * 1.44 * 2 * 7.22 * 1.2 * 1.15 * 1.15 * 2.2, 2)</f>
        <v>66079.41</v>
      </c>
      <c r="P173" s="643"/>
    </row>
    <row r="174" spans="1:16" x14ac:dyDescent="0.25">
      <c r="A174" s="486"/>
      <c r="B174" s="641" t="s">
        <v>564</v>
      </c>
      <c r="C174" s="641"/>
      <c r="D174" s="641"/>
      <c r="E174" s="641"/>
      <c r="F174" s="641"/>
      <c r="G174" s="641" t="s">
        <v>15</v>
      </c>
      <c r="H174" s="641"/>
      <c r="I174" s="641"/>
      <c r="J174" s="641"/>
      <c r="K174" s="641" t="s">
        <v>15</v>
      </c>
      <c r="L174" s="641"/>
      <c r="M174" s="641"/>
      <c r="N174" s="641"/>
      <c r="O174" s="641"/>
      <c r="P174" s="641"/>
    </row>
    <row r="175" spans="1:16" ht="40.9" customHeight="1" x14ac:dyDescent="0.25">
      <c r="A175" s="487"/>
      <c r="B175" s="640" t="s">
        <v>565</v>
      </c>
      <c r="C175" s="640"/>
      <c r="D175" s="640"/>
      <c r="E175" s="640"/>
      <c r="F175" s="640"/>
      <c r="G175" s="640" t="s">
        <v>733</v>
      </c>
      <c r="H175" s="640"/>
      <c r="I175" s="640"/>
      <c r="J175" s="640"/>
      <c r="K175" s="640" t="s">
        <v>15</v>
      </c>
      <c r="L175" s="640"/>
      <c r="M175" s="640"/>
      <c r="N175" s="640"/>
      <c r="O175" s="640"/>
      <c r="P175" s="640"/>
    </row>
    <row r="176" spans="1:16" ht="54.4" customHeight="1" x14ac:dyDescent="0.25">
      <c r="A176" s="487"/>
      <c r="B176" s="640" t="s">
        <v>567</v>
      </c>
      <c r="C176" s="640"/>
      <c r="D176" s="640"/>
      <c r="E176" s="640"/>
      <c r="F176" s="640"/>
      <c r="G176" s="640" t="s">
        <v>568</v>
      </c>
      <c r="H176" s="640"/>
      <c r="I176" s="640"/>
      <c r="J176" s="640"/>
      <c r="K176" s="640" t="s">
        <v>15</v>
      </c>
      <c r="L176" s="640"/>
      <c r="M176" s="640"/>
      <c r="N176" s="640"/>
      <c r="O176" s="640"/>
      <c r="P176" s="640"/>
    </row>
    <row r="177" spans="1:16" ht="95.25" customHeight="1" x14ac:dyDescent="0.25">
      <c r="A177" s="487"/>
      <c r="B177" s="640" t="s">
        <v>569</v>
      </c>
      <c r="C177" s="640"/>
      <c r="D177" s="640"/>
      <c r="E177" s="640"/>
      <c r="F177" s="640"/>
      <c r="G177" s="640" t="s">
        <v>570</v>
      </c>
      <c r="H177" s="640"/>
      <c r="I177" s="640"/>
      <c r="J177" s="640"/>
      <c r="K177" s="640" t="s">
        <v>15</v>
      </c>
      <c r="L177" s="640"/>
      <c r="M177" s="640"/>
      <c r="N177" s="640"/>
      <c r="O177" s="640"/>
      <c r="P177" s="640"/>
    </row>
    <row r="178" spans="1:16" ht="54.4" customHeight="1" x14ac:dyDescent="0.25">
      <c r="A178" s="487"/>
      <c r="B178" s="640" t="s">
        <v>571</v>
      </c>
      <c r="C178" s="640"/>
      <c r="D178" s="640"/>
      <c r="E178" s="640"/>
      <c r="F178" s="640"/>
      <c r="G178" s="640" t="s">
        <v>572</v>
      </c>
      <c r="H178" s="640"/>
      <c r="I178" s="640"/>
      <c r="J178" s="640"/>
      <c r="K178" s="640" t="s">
        <v>15</v>
      </c>
      <c r="L178" s="640"/>
      <c r="M178" s="640"/>
      <c r="N178" s="640"/>
      <c r="O178" s="640"/>
      <c r="P178" s="640"/>
    </row>
    <row r="179" spans="1:16" ht="40.9" customHeight="1" x14ac:dyDescent="0.25">
      <c r="A179" s="487"/>
      <c r="B179" s="640" t="s">
        <v>577</v>
      </c>
      <c r="C179" s="640"/>
      <c r="D179" s="640"/>
      <c r="E179" s="640"/>
      <c r="F179" s="640"/>
      <c r="G179" s="640" t="s">
        <v>578</v>
      </c>
      <c r="H179" s="640"/>
      <c r="I179" s="640"/>
      <c r="J179" s="640"/>
      <c r="K179" s="640" t="s">
        <v>15</v>
      </c>
      <c r="L179" s="640"/>
      <c r="M179" s="640"/>
      <c r="N179" s="640"/>
      <c r="O179" s="640"/>
      <c r="P179" s="640"/>
    </row>
    <row r="180" spans="1:16" x14ac:dyDescent="0.25">
      <c r="A180" s="638" t="s">
        <v>586</v>
      </c>
      <c r="B180" s="638"/>
      <c r="C180" s="638"/>
      <c r="D180" s="638"/>
      <c r="E180" s="638"/>
      <c r="F180" s="638"/>
      <c r="G180" s="638"/>
      <c r="H180" s="638"/>
      <c r="I180" s="638"/>
      <c r="J180" s="638"/>
      <c r="K180" s="638"/>
      <c r="L180" s="638"/>
      <c r="M180" s="638"/>
      <c r="N180" s="638"/>
      <c r="O180" s="638"/>
      <c r="P180" s="638"/>
    </row>
    <row r="181" spans="1:16" ht="163.15" customHeight="1" x14ac:dyDescent="0.25">
      <c r="A181" s="485" t="s">
        <v>597</v>
      </c>
      <c r="B181" s="642" t="s">
        <v>587</v>
      </c>
      <c r="C181" s="643"/>
      <c r="D181" s="643"/>
      <c r="E181" s="643"/>
      <c r="F181" s="643"/>
      <c r="G181" s="643" t="s">
        <v>2389</v>
      </c>
      <c r="H181" s="643"/>
      <c r="I181" s="643"/>
      <c r="J181" s="643"/>
      <c r="K181" s="643" t="s">
        <v>2390</v>
      </c>
      <c r="L181" s="643"/>
      <c r="M181" s="643"/>
      <c r="N181" s="643"/>
      <c r="O181" s="644">
        <f>ROUND(70.6 * 10 * 12 * 7.22 * 1.2 * 1.15 * 1.15, 2)</f>
        <v>97073.36</v>
      </c>
      <c r="P181" s="643"/>
    </row>
    <row r="182" spans="1:16" x14ac:dyDescent="0.25">
      <c r="A182" s="486"/>
      <c r="B182" s="641" t="s">
        <v>564</v>
      </c>
      <c r="C182" s="641"/>
      <c r="D182" s="641"/>
      <c r="E182" s="641"/>
      <c r="F182" s="641"/>
      <c r="G182" s="641" t="s">
        <v>15</v>
      </c>
      <c r="H182" s="641"/>
      <c r="I182" s="641"/>
      <c r="J182" s="641"/>
      <c r="K182" s="641" t="s">
        <v>15</v>
      </c>
      <c r="L182" s="641"/>
      <c r="M182" s="641"/>
      <c r="N182" s="641"/>
      <c r="O182" s="641"/>
      <c r="P182" s="641"/>
    </row>
    <row r="183" spans="1:16" ht="40.9" customHeight="1" x14ac:dyDescent="0.25">
      <c r="A183" s="487"/>
      <c r="B183" s="640" t="s">
        <v>565</v>
      </c>
      <c r="C183" s="640"/>
      <c r="D183" s="640"/>
      <c r="E183" s="640"/>
      <c r="F183" s="640"/>
      <c r="G183" s="640" t="s">
        <v>733</v>
      </c>
      <c r="H183" s="640"/>
      <c r="I183" s="640"/>
      <c r="J183" s="640"/>
      <c r="K183" s="640" t="s">
        <v>15</v>
      </c>
      <c r="L183" s="640"/>
      <c r="M183" s="640"/>
      <c r="N183" s="640"/>
      <c r="O183" s="640"/>
      <c r="P183" s="640"/>
    </row>
    <row r="184" spans="1:16" ht="54.4" customHeight="1" x14ac:dyDescent="0.25">
      <c r="A184" s="487"/>
      <c r="B184" s="640" t="s">
        <v>567</v>
      </c>
      <c r="C184" s="640"/>
      <c r="D184" s="640"/>
      <c r="E184" s="640"/>
      <c r="F184" s="640"/>
      <c r="G184" s="640" t="s">
        <v>568</v>
      </c>
      <c r="H184" s="640"/>
      <c r="I184" s="640"/>
      <c r="J184" s="640"/>
      <c r="K184" s="640" t="s">
        <v>15</v>
      </c>
      <c r="L184" s="640"/>
      <c r="M184" s="640"/>
      <c r="N184" s="640"/>
      <c r="O184" s="640"/>
      <c r="P184" s="640"/>
    </row>
    <row r="185" spans="1:16" ht="95.25" customHeight="1" x14ac:dyDescent="0.25">
      <c r="A185" s="487"/>
      <c r="B185" s="640" t="s">
        <v>569</v>
      </c>
      <c r="C185" s="640"/>
      <c r="D185" s="640"/>
      <c r="E185" s="640"/>
      <c r="F185" s="640"/>
      <c r="G185" s="640" t="s">
        <v>570</v>
      </c>
      <c r="H185" s="640"/>
      <c r="I185" s="640"/>
      <c r="J185" s="640"/>
      <c r="K185" s="640" t="s">
        <v>15</v>
      </c>
      <c r="L185" s="640"/>
      <c r="M185" s="640"/>
      <c r="N185" s="640"/>
      <c r="O185" s="640"/>
      <c r="P185" s="640"/>
    </row>
    <row r="186" spans="1:16" ht="54.4" customHeight="1" x14ac:dyDescent="0.25">
      <c r="A186" s="487"/>
      <c r="B186" s="640" t="s">
        <v>571</v>
      </c>
      <c r="C186" s="640"/>
      <c r="D186" s="640"/>
      <c r="E186" s="640"/>
      <c r="F186" s="640"/>
      <c r="G186" s="640" t="s">
        <v>572</v>
      </c>
      <c r="H186" s="640"/>
      <c r="I186" s="640"/>
      <c r="J186" s="640"/>
      <c r="K186" s="640" t="s">
        <v>15</v>
      </c>
      <c r="L186" s="640"/>
      <c r="M186" s="640"/>
      <c r="N186" s="640"/>
      <c r="O186" s="640"/>
      <c r="P186" s="640"/>
    </row>
    <row r="187" spans="1:16" ht="149.65" customHeight="1" x14ac:dyDescent="0.25">
      <c r="A187" s="485" t="s">
        <v>599</v>
      </c>
      <c r="B187" s="642" t="s">
        <v>588</v>
      </c>
      <c r="C187" s="643"/>
      <c r="D187" s="643"/>
      <c r="E187" s="643"/>
      <c r="F187" s="643"/>
      <c r="G187" s="643" t="s">
        <v>2391</v>
      </c>
      <c r="H187" s="643"/>
      <c r="I187" s="643"/>
      <c r="J187" s="643"/>
      <c r="K187" s="643" t="s">
        <v>2392</v>
      </c>
      <c r="L187" s="643"/>
      <c r="M187" s="643"/>
      <c r="N187" s="643"/>
      <c r="O187" s="644">
        <f>ROUND(242.2 * 10 * 12 * 7.22 * 1.15 * 1.2 * 1.15, 2)</f>
        <v>333019.38</v>
      </c>
      <c r="P187" s="643"/>
    </row>
    <row r="188" spans="1:16" x14ac:dyDescent="0.25">
      <c r="A188" s="486"/>
      <c r="B188" s="641" t="s">
        <v>564</v>
      </c>
      <c r="C188" s="641"/>
      <c r="D188" s="641"/>
      <c r="E188" s="641"/>
      <c r="F188" s="641"/>
      <c r="G188" s="641" t="s">
        <v>15</v>
      </c>
      <c r="H188" s="641"/>
      <c r="I188" s="641"/>
      <c r="J188" s="641"/>
      <c r="K188" s="641" t="s">
        <v>15</v>
      </c>
      <c r="L188" s="641"/>
      <c r="M188" s="641"/>
      <c r="N188" s="641"/>
      <c r="O188" s="641"/>
      <c r="P188" s="641"/>
    </row>
    <row r="189" spans="1:16" ht="40.9" customHeight="1" x14ac:dyDescent="0.25">
      <c r="A189" s="487"/>
      <c r="B189" s="640" t="s">
        <v>565</v>
      </c>
      <c r="C189" s="640"/>
      <c r="D189" s="640"/>
      <c r="E189" s="640"/>
      <c r="F189" s="640"/>
      <c r="G189" s="640" t="s">
        <v>733</v>
      </c>
      <c r="H189" s="640"/>
      <c r="I189" s="640"/>
      <c r="J189" s="640"/>
      <c r="K189" s="640" t="s">
        <v>15</v>
      </c>
      <c r="L189" s="640"/>
      <c r="M189" s="640"/>
      <c r="N189" s="640"/>
      <c r="O189" s="640"/>
      <c r="P189" s="640"/>
    </row>
    <row r="190" spans="1:16" ht="95.25" customHeight="1" x14ac:dyDescent="0.25">
      <c r="A190" s="487"/>
      <c r="B190" s="640" t="s">
        <v>569</v>
      </c>
      <c r="C190" s="640"/>
      <c r="D190" s="640"/>
      <c r="E190" s="640"/>
      <c r="F190" s="640"/>
      <c r="G190" s="640" t="s">
        <v>589</v>
      </c>
      <c r="H190" s="640"/>
      <c r="I190" s="640"/>
      <c r="J190" s="640"/>
      <c r="K190" s="640" t="s">
        <v>15</v>
      </c>
      <c r="L190" s="640"/>
      <c r="M190" s="640"/>
      <c r="N190" s="640"/>
      <c r="O190" s="640"/>
      <c r="P190" s="640"/>
    </row>
    <row r="191" spans="1:16" ht="54.4" customHeight="1" x14ac:dyDescent="0.25">
      <c r="A191" s="487"/>
      <c r="B191" s="640" t="s">
        <v>567</v>
      </c>
      <c r="C191" s="640"/>
      <c r="D191" s="640"/>
      <c r="E191" s="640"/>
      <c r="F191" s="640"/>
      <c r="G191" s="640" t="s">
        <v>590</v>
      </c>
      <c r="H191" s="640"/>
      <c r="I191" s="640"/>
      <c r="J191" s="640"/>
      <c r="K191" s="640" t="s">
        <v>15</v>
      </c>
      <c r="L191" s="640"/>
      <c r="M191" s="640"/>
      <c r="N191" s="640"/>
      <c r="O191" s="640"/>
      <c r="P191" s="640"/>
    </row>
    <row r="192" spans="1:16" ht="54.4" customHeight="1" x14ac:dyDescent="0.25">
      <c r="A192" s="487"/>
      <c r="B192" s="640" t="s">
        <v>571</v>
      </c>
      <c r="C192" s="640"/>
      <c r="D192" s="640"/>
      <c r="E192" s="640"/>
      <c r="F192" s="640"/>
      <c r="G192" s="640" t="s">
        <v>572</v>
      </c>
      <c r="H192" s="640"/>
      <c r="I192" s="640"/>
      <c r="J192" s="640"/>
      <c r="K192" s="640" t="s">
        <v>15</v>
      </c>
      <c r="L192" s="640"/>
      <c r="M192" s="640"/>
      <c r="N192" s="640"/>
      <c r="O192" s="640"/>
      <c r="P192" s="640"/>
    </row>
    <row r="193" spans="1:16" ht="149.65" customHeight="1" x14ac:dyDescent="0.25">
      <c r="A193" s="485" t="s">
        <v>601</v>
      </c>
      <c r="B193" s="642" t="s">
        <v>591</v>
      </c>
      <c r="C193" s="643"/>
      <c r="D193" s="643"/>
      <c r="E193" s="643"/>
      <c r="F193" s="643"/>
      <c r="G193" s="643" t="s">
        <v>2393</v>
      </c>
      <c r="H193" s="643"/>
      <c r="I193" s="643"/>
      <c r="J193" s="643"/>
      <c r="K193" s="643" t="s">
        <v>2394</v>
      </c>
      <c r="L193" s="643"/>
      <c r="M193" s="643"/>
      <c r="N193" s="643"/>
      <c r="O193" s="644">
        <f>ROUND(43.4 * 10 * 12 * 7.22 * 1.15 * 1.2 * 1.15, 2)</f>
        <v>59673.99</v>
      </c>
      <c r="P193" s="643"/>
    </row>
    <row r="194" spans="1:16" x14ac:dyDescent="0.25">
      <c r="A194" s="486"/>
      <c r="B194" s="641" t="s">
        <v>564</v>
      </c>
      <c r="C194" s="641"/>
      <c r="D194" s="641"/>
      <c r="E194" s="641"/>
      <c r="F194" s="641"/>
      <c r="G194" s="641" t="s">
        <v>15</v>
      </c>
      <c r="H194" s="641"/>
      <c r="I194" s="641"/>
      <c r="J194" s="641"/>
      <c r="K194" s="641" t="s">
        <v>15</v>
      </c>
      <c r="L194" s="641"/>
      <c r="M194" s="641"/>
      <c r="N194" s="641"/>
      <c r="O194" s="641"/>
      <c r="P194" s="641"/>
    </row>
    <row r="195" spans="1:16" ht="40.9" customHeight="1" x14ac:dyDescent="0.25">
      <c r="A195" s="487"/>
      <c r="B195" s="640" t="s">
        <v>565</v>
      </c>
      <c r="C195" s="640"/>
      <c r="D195" s="640"/>
      <c r="E195" s="640"/>
      <c r="F195" s="640"/>
      <c r="G195" s="640" t="s">
        <v>733</v>
      </c>
      <c r="H195" s="640"/>
      <c r="I195" s="640"/>
      <c r="J195" s="640"/>
      <c r="K195" s="640" t="s">
        <v>15</v>
      </c>
      <c r="L195" s="640"/>
      <c r="M195" s="640"/>
      <c r="N195" s="640"/>
      <c r="O195" s="640"/>
      <c r="P195" s="640"/>
    </row>
    <row r="196" spans="1:16" ht="95.25" customHeight="1" x14ac:dyDescent="0.25">
      <c r="A196" s="487"/>
      <c r="B196" s="640" t="s">
        <v>569</v>
      </c>
      <c r="C196" s="640"/>
      <c r="D196" s="640"/>
      <c r="E196" s="640"/>
      <c r="F196" s="640"/>
      <c r="G196" s="640" t="s">
        <v>589</v>
      </c>
      <c r="H196" s="640"/>
      <c r="I196" s="640"/>
      <c r="J196" s="640"/>
      <c r="K196" s="640" t="s">
        <v>15</v>
      </c>
      <c r="L196" s="640"/>
      <c r="M196" s="640"/>
      <c r="N196" s="640"/>
      <c r="O196" s="640"/>
      <c r="P196" s="640"/>
    </row>
    <row r="197" spans="1:16" ht="54.4" customHeight="1" x14ac:dyDescent="0.25">
      <c r="A197" s="487"/>
      <c r="B197" s="640" t="s">
        <v>567</v>
      </c>
      <c r="C197" s="640"/>
      <c r="D197" s="640"/>
      <c r="E197" s="640"/>
      <c r="F197" s="640"/>
      <c r="G197" s="640" t="s">
        <v>590</v>
      </c>
      <c r="H197" s="640"/>
      <c r="I197" s="640"/>
      <c r="J197" s="640"/>
      <c r="K197" s="640" t="s">
        <v>15</v>
      </c>
      <c r="L197" s="640"/>
      <c r="M197" s="640"/>
      <c r="N197" s="640"/>
      <c r="O197" s="640"/>
      <c r="P197" s="640"/>
    </row>
    <row r="198" spans="1:16" ht="54.4" customHeight="1" x14ac:dyDescent="0.25">
      <c r="A198" s="487"/>
      <c r="B198" s="640" t="s">
        <v>571</v>
      </c>
      <c r="C198" s="640"/>
      <c r="D198" s="640"/>
      <c r="E198" s="640"/>
      <c r="F198" s="640"/>
      <c r="G198" s="640" t="s">
        <v>572</v>
      </c>
      <c r="H198" s="640"/>
      <c r="I198" s="640"/>
      <c r="J198" s="640"/>
      <c r="K198" s="640" t="s">
        <v>15</v>
      </c>
      <c r="L198" s="640"/>
      <c r="M198" s="640"/>
      <c r="N198" s="640"/>
      <c r="O198" s="640"/>
      <c r="P198" s="640"/>
    </row>
    <row r="199" spans="1:16" ht="163.15" customHeight="1" x14ac:dyDescent="0.25">
      <c r="A199" s="485" t="s">
        <v>603</v>
      </c>
      <c r="B199" s="642" t="s">
        <v>592</v>
      </c>
      <c r="C199" s="643"/>
      <c r="D199" s="643"/>
      <c r="E199" s="643"/>
      <c r="F199" s="643"/>
      <c r="G199" s="643" t="s">
        <v>2395</v>
      </c>
      <c r="H199" s="643"/>
      <c r="I199" s="643"/>
      <c r="J199" s="643"/>
      <c r="K199" s="643" t="s">
        <v>2396</v>
      </c>
      <c r="L199" s="643"/>
      <c r="M199" s="643"/>
      <c r="N199" s="643"/>
      <c r="O199" s="644">
        <f>ROUND(2200 * 12 * 7.22 * 1.15 * 1.2 * 1.15, 2)</f>
        <v>302494.90000000002</v>
      </c>
      <c r="P199" s="643"/>
    </row>
    <row r="200" spans="1:16" x14ac:dyDescent="0.25">
      <c r="A200" s="486"/>
      <c r="B200" s="641" t="s">
        <v>564</v>
      </c>
      <c r="C200" s="641"/>
      <c r="D200" s="641"/>
      <c r="E200" s="641"/>
      <c r="F200" s="641"/>
      <c r="G200" s="641" t="s">
        <v>15</v>
      </c>
      <c r="H200" s="641"/>
      <c r="I200" s="641"/>
      <c r="J200" s="641"/>
      <c r="K200" s="641" t="s">
        <v>15</v>
      </c>
      <c r="L200" s="641"/>
      <c r="M200" s="641"/>
      <c r="N200" s="641"/>
      <c r="O200" s="641"/>
      <c r="P200" s="641"/>
    </row>
    <row r="201" spans="1:16" ht="40.9" customHeight="1" x14ac:dyDescent="0.25">
      <c r="A201" s="487"/>
      <c r="B201" s="640" t="s">
        <v>565</v>
      </c>
      <c r="C201" s="640"/>
      <c r="D201" s="640"/>
      <c r="E201" s="640"/>
      <c r="F201" s="640"/>
      <c r="G201" s="640" t="s">
        <v>733</v>
      </c>
      <c r="H201" s="640"/>
      <c r="I201" s="640"/>
      <c r="J201" s="640"/>
      <c r="K201" s="640" t="s">
        <v>15</v>
      </c>
      <c r="L201" s="640"/>
      <c r="M201" s="640"/>
      <c r="N201" s="640"/>
      <c r="O201" s="640"/>
      <c r="P201" s="640"/>
    </row>
    <row r="202" spans="1:16" ht="95.25" customHeight="1" x14ac:dyDescent="0.25">
      <c r="A202" s="487"/>
      <c r="B202" s="640" t="s">
        <v>569</v>
      </c>
      <c r="C202" s="640"/>
      <c r="D202" s="640"/>
      <c r="E202" s="640"/>
      <c r="F202" s="640"/>
      <c r="G202" s="640" t="s">
        <v>589</v>
      </c>
      <c r="H202" s="640"/>
      <c r="I202" s="640"/>
      <c r="J202" s="640"/>
      <c r="K202" s="640" t="s">
        <v>15</v>
      </c>
      <c r="L202" s="640"/>
      <c r="M202" s="640"/>
      <c r="N202" s="640"/>
      <c r="O202" s="640"/>
      <c r="P202" s="640"/>
    </row>
    <row r="203" spans="1:16" ht="54.4" customHeight="1" x14ac:dyDescent="0.25">
      <c r="A203" s="487"/>
      <c r="B203" s="640" t="s">
        <v>567</v>
      </c>
      <c r="C203" s="640"/>
      <c r="D203" s="640"/>
      <c r="E203" s="640"/>
      <c r="F203" s="640"/>
      <c r="G203" s="640" t="s">
        <v>590</v>
      </c>
      <c r="H203" s="640"/>
      <c r="I203" s="640"/>
      <c r="J203" s="640"/>
      <c r="K203" s="640" t="s">
        <v>15</v>
      </c>
      <c r="L203" s="640"/>
      <c r="M203" s="640"/>
      <c r="N203" s="640"/>
      <c r="O203" s="640"/>
      <c r="P203" s="640"/>
    </row>
    <row r="204" spans="1:16" ht="54.4" customHeight="1" x14ac:dyDescent="0.25">
      <c r="A204" s="487"/>
      <c r="B204" s="640" t="s">
        <v>571</v>
      </c>
      <c r="C204" s="640"/>
      <c r="D204" s="640"/>
      <c r="E204" s="640"/>
      <c r="F204" s="640"/>
      <c r="G204" s="640" t="s">
        <v>572</v>
      </c>
      <c r="H204" s="640"/>
      <c r="I204" s="640"/>
      <c r="J204" s="640"/>
      <c r="K204" s="640" t="s">
        <v>15</v>
      </c>
      <c r="L204" s="640"/>
      <c r="M204" s="640"/>
      <c r="N204" s="640"/>
      <c r="O204" s="640"/>
      <c r="P204" s="640"/>
    </row>
    <row r="205" spans="1:16" ht="163.15" customHeight="1" x14ac:dyDescent="0.25">
      <c r="A205" s="485" t="s">
        <v>605</v>
      </c>
      <c r="B205" s="642" t="s">
        <v>594</v>
      </c>
      <c r="C205" s="643"/>
      <c r="D205" s="643"/>
      <c r="E205" s="643"/>
      <c r="F205" s="643"/>
      <c r="G205" s="643" t="s">
        <v>2397</v>
      </c>
      <c r="H205" s="643"/>
      <c r="I205" s="643"/>
      <c r="J205" s="643"/>
      <c r="K205" s="643" t="s">
        <v>2398</v>
      </c>
      <c r="L205" s="643"/>
      <c r="M205" s="643"/>
      <c r="N205" s="643"/>
      <c r="O205" s="644">
        <f>ROUND(2500 * 12 * 7.22 * 1.15 * 1.2 * 1.15, 2)</f>
        <v>343744.2</v>
      </c>
      <c r="P205" s="643"/>
    </row>
    <row r="206" spans="1:16" x14ac:dyDescent="0.25">
      <c r="A206" s="486"/>
      <c r="B206" s="641" t="s">
        <v>564</v>
      </c>
      <c r="C206" s="641"/>
      <c r="D206" s="641"/>
      <c r="E206" s="641"/>
      <c r="F206" s="641"/>
      <c r="G206" s="641" t="s">
        <v>15</v>
      </c>
      <c r="H206" s="641"/>
      <c r="I206" s="641"/>
      <c r="J206" s="641"/>
      <c r="K206" s="641" t="s">
        <v>15</v>
      </c>
      <c r="L206" s="641"/>
      <c r="M206" s="641"/>
      <c r="N206" s="641"/>
      <c r="O206" s="641"/>
      <c r="P206" s="641"/>
    </row>
    <row r="207" spans="1:16" ht="40.9" customHeight="1" x14ac:dyDescent="0.25">
      <c r="A207" s="487"/>
      <c r="B207" s="640" t="s">
        <v>565</v>
      </c>
      <c r="C207" s="640"/>
      <c r="D207" s="640"/>
      <c r="E207" s="640"/>
      <c r="F207" s="640"/>
      <c r="G207" s="640" t="s">
        <v>733</v>
      </c>
      <c r="H207" s="640"/>
      <c r="I207" s="640"/>
      <c r="J207" s="640"/>
      <c r="K207" s="640" t="s">
        <v>15</v>
      </c>
      <c r="L207" s="640"/>
      <c r="M207" s="640"/>
      <c r="N207" s="640"/>
      <c r="O207" s="640"/>
      <c r="P207" s="640"/>
    </row>
    <row r="208" spans="1:16" ht="95.25" customHeight="1" x14ac:dyDescent="0.25">
      <c r="A208" s="487"/>
      <c r="B208" s="640" t="s">
        <v>569</v>
      </c>
      <c r="C208" s="640"/>
      <c r="D208" s="640"/>
      <c r="E208" s="640"/>
      <c r="F208" s="640"/>
      <c r="G208" s="640" t="s">
        <v>589</v>
      </c>
      <c r="H208" s="640"/>
      <c r="I208" s="640"/>
      <c r="J208" s="640"/>
      <c r="K208" s="640" t="s">
        <v>15</v>
      </c>
      <c r="L208" s="640"/>
      <c r="M208" s="640"/>
      <c r="N208" s="640"/>
      <c r="O208" s="640"/>
      <c r="P208" s="640"/>
    </row>
    <row r="209" spans="1:16" ht="54.4" customHeight="1" x14ac:dyDescent="0.25">
      <c r="A209" s="487"/>
      <c r="B209" s="640" t="s">
        <v>567</v>
      </c>
      <c r="C209" s="640"/>
      <c r="D209" s="640"/>
      <c r="E209" s="640"/>
      <c r="F209" s="640"/>
      <c r="G209" s="640" t="s">
        <v>590</v>
      </c>
      <c r="H209" s="640"/>
      <c r="I209" s="640"/>
      <c r="J209" s="640"/>
      <c r="K209" s="640" t="s">
        <v>15</v>
      </c>
      <c r="L209" s="640"/>
      <c r="M209" s="640"/>
      <c r="N209" s="640"/>
      <c r="O209" s="640"/>
      <c r="P209" s="640"/>
    </row>
    <row r="210" spans="1:16" ht="54.4" customHeight="1" x14ac:dyDescent="0.25">
      <c r="A210" s="487"/>
      <c r="B210" s="640" t="s">
        <v>571</v>
      </c>
      <c r="C210" s="640"/>
      <c r="D210" s="640"/>
      <c r="E210" s="640"/>
      <c r="F210" s="640"/>
      <c r="G210" s="640" t="s">
        <v>572</v>
      </c>
      <c r="H210" s="640"/>
      <c r="I210" s="640"/>
      <c r="J210" s="640"/>
      <c r="K210" s="640" t="s">
        <v>15</v>
      </c>
      <c r="L210" s="640"/>
      <c r="M210" s="640"/>
      <c r="N210" s="640"/>
      <c r="O210" s="640"/>
      <c r="P210" s="640"/>
    </row>
    <row r="211" spans="1:16" ht="163.15" customHeight="1" x14ac:dyDescent="0.25">
      <c r="A211" s="485" t="s">
        <v>608</v>
      </c>
      <c r="B211" s="642" t="s">
        <v>596</v>
      </c>
      <c r="C211" s="643"/>
      <c r="D211" s="643"/>
      <c r="E211" s="643"/>
      <c r="F211" s="643"/>
      <c r="G211" s="643" t="s">
        <v>2399</v>
      </c>
      <c r="H211" s="643"/>
      <c r="I211" s="643"/>
      <c r="J211" s="643"/>
      <c r="K211" s="643" t="s">
        <v>2400</v>
      </c>
      <c r="L211" s="643"/>
      <c r="M211" s="643"/>
      <c r="N211" s="643"/>
      <c r="O211" s="644">
        <f>ROUND(3500 * 12 * 7.22 * 1.15 * 1.2 * 1.15, 2)</f>
        <v>481241.88</v>
      </c>
      <c r="P211" s="643"/>
    </row>
    <row r="212" spans="1:16" x14ac:dyDescent="0.25">
      <c r="A212" s="486"/>
      <c r="B212" s="641" t="s">
        <v>564</v>
      </c>
      <c r="C212" s="641"/>
      <c r="D212" s="641"/>
      <c r="E212" s="641"/>
      <c r="F212" s="641"/>
      <c r="G212" s="641" t="s">
        <v>15</v>
      </c>
      <c r="H212" s="641"/>
      <c r="I212" s="641"/>
      <c r="J212" s="641"/>
      <c r="K212" s="641" t="s">
        <v>15</v>
      </c>
      <c r="L212" s="641"/>
      <c r="M212" s="641"/>
      <c r="N212" s="641"/>
      <c r="O212" s="641"/>
      <c r="P212" s="641"/>
    </row>
    <row r="213" spans="1:16" ht="40.9" customHeight="1" x14ac:dyDescent="0.25">
      <c r="A213" s="487"/>
      <c r="B213" s="640" t="s">
        <v>565</v>
      </c>
      <c r="C213" s="640"/>
      <c r="D213" s="640"/>
      <c r="E213" s="640"/>
      <c r="F213" s="640"/>
      <c r="G213" s="640" t="s">
        <v>733</v>
      </c>
      <c r="H213" s="640"/>
      <c r="I213" s="640"/>
      <c r="J213" s="640"/>
      <c r="K213" s="640" t="s">
        <v>15</v>
      </c>
      <c r="L213" s="640"/>
      <c r="M213" s="640"/>
      <c r="N213" s="640"/>
      <c r="O213" s="640"/>
      <c r="P213" s="640"/>
    </row>
    <row r="214" spans="1:16" ht="95.25" customHeight="1" x14ac:dyDescent="0.25">
      <c r="A214" s="487"/>
      <c r="B214" s="640" t="s">
        <v>569</v>
      </c>
      <c r="C214" s="640"/>
      <c r="D214" s="640"/>
      <c r="E214" s="640"/>
      <c r="F214" s="640"/>
      <c r="G214" s="640" t="s">
        <v>589</v>
      </c>
      <c r="H214" s="640"/>
      <c r="I214" s="640"/>
      <c r="J214" s="640"/>
      <c r="K214" s="640" t="s">
        <v>15</v>
      </c>
      <c r="L214" s="640"/>
      <c r="M214" s="640"/>
      <c r="N214" s="640"/>
      <c r="O214" s="640"/>
      <c r="P214" s="640"/>
    </row>
    <row r="215" spans="1:16" ht="54.4" customHeight="1" x14ac:dyDescent="0.25">
      <c r="A215" s="487"/>
      <c r="B215" s="640" t="s">
        <v>567</v>
      </c>
      <c r="C215" s="640"/>
      <c r="D215" s="640"/>
      <c r="E215" s="640"/>
      <c r="F215" s="640"/>
      <c r="G215" s="640" t="s">
        <v>590</v>
      </c>
      <c r="H215" s="640"/>
      <c r="I215" s="640"/>
      <c r="J215" s="640"/>
      <c r="K215" s="640" t="s">
        <v>15</v>
      </c>
      <c r="L215" s="640"/>
      <c r="M215" s="640"/>
      <c r="N215" s="640"/>
      <c r="O215" s="640"/>
      <c r="P215" s="640"/>
    </row>
    <row r="216" spans="1:16" ht="54.4" customHeight="1" x14ac:dyDescent="0.25">
      <c r="A216" s="487"/>
      <c r="B216" s="640" t="s">
        <v>571</v>
      </c>
      <c r="C216" s="640"/>
      <c r="D216" s="640"/>
      <c r="E216" s="640"/>
      <c r="F216" s="640"/>
      <c r="G216" s="640" t="s">
        <v>572</v>
      </c>
      <c r="H216" s="640"/>
      <c r="I216" s="640"/>
      <c r="J216" s="640"/>
      <c r="K216" s="640" t="s">
        <v>15</v>
      </c>
      <c r="L216" s="640"/>
      <c r="M216" s="640"/>
      <c r="N216" s="640"/>
      <c r="O216" s="640"/>
      <c r="P216" s="640"/>
    </row>
    <row r="217" spans="1:16" ht="163.15" customHeight="1" x14ac:dyDescent="0.25">
      <c r="A217" s="485" t="s">
        <v>609</v>
      </c>
      <c r="B217" s="642" t="s">
        <v>598</v>
      </c>
      <c r="C217" s="643"/>
      <c r="D217" s="643"/>
      <c r="E217" s="643"/>
      <c r="F217" s="643"/>
      <c r="G217" s="643" t="s">
        <v>2401</v>
      </c>
      <c r="H217" s="643"/>
      <c r="I217" s="643"/>
      <c r="J217" s="643"/>
      <c r="K217" s="643" t="s">
        <v>2400</v>
      </c>
      <c r="L217" s="643"/>
      <c r="M217" s="643"/>
      <c r="N217" s="643"/>
      <c r="O217" s="644">
        <f>ROUND(3500 * 12 * 7.22 * 1.15 * 1.2 * 1.15, 2)</f>
        <v>481241.88</v>
      </c>
      <c r="P217" s="643"/>
    </row>
    <row r="218" spans="1:16" x14ac:dyDescent="0.25">
      <c r="A218" s="486"/>
      <c r="B218" s="641" t="s">
        <v>564</v>
      </c>
      <c r="C218" s="641"/>
      <c r="D218" s="641"/>
      <c r="E218" s="641"/>
      <c r="F218" s="641"/>
      <c r="G218" s="641" t="s">
        <v>15</v>
      </c>
      <c r="H218" s="641"/>
      <c r="I218" s="641"/>
      <c r="J218" s="641"/>
      <c r="K218" s="641" t="s">
        <v>15</v>
      </c>
      <c r="L218" s="641"/>
      <c r="M218" s="641"/>
      <c r="N218" s="641"/>
      <c r="O218" s="641"/>
      <c r="P218" s="641"/>
    </row>
    <row r="219" spans="1:16" ht="40.9" customHeight="1" x14ac:dyDescent="0.25">
      <c r="A219" s="487"/>
      <c r="B219" s="640" t="s">
        <v>565</v>
      </c>
      <c r="C219" s="640"/>
      <c r="D219" s="640"/>
      <c r="E219" s="640"/>
      <c r="F219" s="640"/>
      <c r="G219" s="640" t="s">
        <v>733</v>
      </c>
      <c r="H219" s="640"/>
      <c r="I219" s="640"/>
      <c r="J219" s="640"/>
      <c r="K219" s="640" t="s">
        <v>15</v>
      </c>
      <c r="L219" s="640"/>
      <c r="M219" s="640"/>
      <c r="N219" s="640"/>
      <c r="O219" s="640"/>
      <c r="P219" s="640"/>
    </row>
    <row r="220" spans="1:16" ht="95.25" customHeight="1" x14ac:dyDescent="0.25">
      <c r="A220" s="487"/>
      <c r="B220" s="640" t="s">
        <v>569</v>
      </c>
      <c r="C220" s="640"/>
      <c r="D220" s="640"/>
      <c r="E220" s="640"/>
      <c r="F220" s="640"/>
      <c r="G220" s="640" t="s">
        <v>589</v>
      </c>
      <c r="H220" s="640"/>
      <c r="I220" s="640"/>
      <c r="J220" s="640"/>
      <c r="K220" s="640" t="s">
        <v>15</v>
      </c>
      <c r="L220" s="640"/>
      <c r="M220" s="640"/>
      <c r="N220" s="640"/>
      <c r="O220" s="640"/>
      <c r="P220" s="640"/>
    </row>
    <row r="221" spans="1:16" ht="54.4" customHeight="1" x14ac:dyDescent="0.25">
      <c r="A221" s="487"/>
      <c r="B221" s="640" t="s">
        <v>567</v>
      </c>
      <c r="C221" s="640"/>
      <c r="D221" s="640"/>
      <c r="E221" s="640"/>
      <c r="F221" s="640"/>
      <c r="G221" s="640" t="s">
        <v>590</v>
      </c>
      <c r="H221" s="640"/>
      <c r="I221" s="640"/>
      <c r="J221" s="640"/>
      <c r="K221" s="640" t="s">
        <v>15</v>
      </c>
      <c r="L221" s="640"/>
      <c r="M221" s="640"/>
      <c r="N221" s="640"/>
      <c r="O221" s="640"/>
      <c r="P221" s="640"/>
    </row>
    <row r="222" spans="1:16" ht="54.4" customHeight="1" x14ac:dyDescent="0.25">
      <c r="A222" s="487"/>
      <c r="B222" s="640" t="s">
        <v>571</v>
      </c>
      <c r="C222" s="640"/>
      <c r="D222" s="640"/>
      <c r="E222" s="640"/>
      <c r="F222" s="640"/>
      <c r="G222" s="640" t="s">
        <v>572</v>
      </c>
      <c r="H222" s="640"/>
      <c r="I222" s="640"/>
      <c r="J222" s="640"/>
      <c r="K222" s="640" t="s">
        <v>15</v>
      </c>
      <c r="L222" s="640"/>
      <c r="M222" s="640"/>
      <c r="N222" s="640"/>
      <c r="O222" s="640"/>
      <c r="P222" s="640"/>
    </row>
    <row r="223" spans="1:16" ht="163.15" customHeight="1" x14ac:dyDescent="0.25">
      <c r="A223" s="485" t="s">
        <v>612</v>
      </c>
      <c r="B223" s="642" t="s">
        <v>600</v>
      </c>
      <c r="C223" s="643"/>
      <c r="D223" s="643"/>
      <c r="E223" s="643"/>
      <c r="F223" s="643"/>
      <c r="G223" s="643" t="s">
        <v>2402</v>
      </c>
      <c r="H223" s="643"/>
      <c r="I223" s="643"/>
      <c r="J223" s="643"/>
      <c r="K223" s="643" t="s">
        <v>2403</v>
      </c>
      <c r="L223" s="643"/>
      <c r="M223" s="643"/>
      <c r="N223" s="643"/>
      <c r="O223" s="644">
        <f>ROUND(1500 * 12 * 7.22 * 1.15 * 1.2 * 1.15, 2)</f>
        <v>206246.52</v>
      </c>
      <c r="P223" s="643"/>
    </row>
    <row r="224" spans="1:16" x14ac:dyDescent="0.25">
      <c r="A224" s="486"/>
      <c r="B224" s="641" t="s">
        <v>564</v>
      </c>
      <c r="C224" s="641"/>
      <c r="D224" s="641"/>
      <c r="E224" s="641"/>
      <c r="F224" s="641"/>
      <c r="G224" s="641" t="s">
        <v>15</v>
      </c>
      <c r="H224" s="641"/>
      <c r="I224" s="641"/>
      <c r="J224" s="641"/>
      <c r="K224" s="641" t="s">
        <v>15</v>
      </c>
      <c r="L224" s="641"/>
      <c r="M224" s="641"/>
      <c r="N224" s="641"/>
      <c r="O224" s="641"/>
      <c r="P224" s="641"/>
    </row>
    <row r="225" spans="1:18" ht="40.9" customHeight="1" x14ac:dyDescent="0.25">
      <c r="A225" s="487"/>
      <c r="B225" s="640" t="s">
        <v>565</v>
      </c>
      <c r="C225" s="640"/>
      <c r="D225" s="640"/>
      <c r="E225" s="640"/>
      <c r="F225" s="640"/>
      <c r="G225" s="640" t="s">
        <v>733</v>
      </c>
      <c r="H225" s="640"/>
      <c r="I225" s="640"/>
      <c r="J225" s="640"/>
      <c r="K225" s="640" t="s">
        <v>15</v>
      </c>
      <c r="L225" s="640"/>
      <c r="M225" s="640"/>
      <c r="N225" s="640"/>
      <c r="O225" s="640"/>
      <c r="P225" s="640"/>
    </row>
    <row r="226" spans="1:18" ht="95.25" customHeight="1" x14ac:dyDescent="0.25">
      <c r="A226" s="487"/>
      <c r="B226" s="640" t="s">
        <v>569</v>
      </c>
      <c r="C226" s="640"/>
      <c r="D226" s="640"/>
      <c r="E226" s="640"/>
      <c r="F226" s="640"/>
      <c r="G226" s="640" t="s">
        <v>589</v>
      </c>
      <c r="H226" s="640"/>
      <c r="I226" s="640"/>
      <c r="J226" s="640"/>
      <c r="K226" s="640" t="s">
        <v>15</v>
      </c>
      <c r="L226" s="640"/>
      <c r="M226" s="640"/>
      <c r="N226" s="640"/>
      <c r="O226" s="640"/>
      <c r="P226" s="640"/>
    </row>
    <row r="227" spans="1:18" ht="54.4" customHeight="1" x14ac:dyDescent="0.25">
      <c r="A227" s="487"/>
      <c r="B227" s="640" t="s">
        <v>567</v>
      </c>
      <c r="C227" s="640"/>
      <c r="D227" s="640"/>
      <c r="E227" s="640"/>
      <c r="F227" s="640"/>
      <c r="G227" s="640" t="s">
        <v>590</v>
      </c>
      <c r="H227" s="640"/>
      <c r="I227" s="640"/>
      <c r="J227" s="640"/>
      <c r="K227" s="640" t="s">
        <v>15</v>
      </c>
      <c r="L227" s="640"/>
      <c r="M227" s="640"/>
      <c r="N227" s="640"/>
      <c r="O227" s="640"/>
      <c r="P227" s="640"/>
    </row>
    <row r="228" spans="1:18" ht="54.4" customHeight="1" x14ac:dyDescent="0.25">
      <c r="A228" s="487"/>
      <c r="B228" s="640" t="s">
        <v>571</v>
      </c>
      <c r="C228" s="640"/>
      <c r="D228" s="640"/>
      <c r="E228" s="640"/>
      <c r="F228" s="640"/>
      <c r="G228" s="640" t="s">
        <v>572</v>
      </c>
      <c r="H228" s="640"/>
      <c r="I228" s="640"/>
      <c r="J228" s="640"/>
      <c r="K228" s="640" t="s">
        <v>15</v>
      </c>
      <c r="L228" s="640"/>
      <c r="M228" s="640"/>
      <c r="N228" s="640"/>
      <c r="O228" s="640"/>
      <c r="P228" s="640"/>
    </row>
    <row r="229" spans="1:18" ht="231.2" customHeight="1" x14ac:dyDescent="0.25">
      <c r="A229" s="485" t="s">
        <v>825</v>
      </c>
      <c r="B229" s="642" t="s">
        <v>602</v>
      </c>
      <c r="C229" s="643"/>
      <c r="D229" s="643"/>
      <c r="E229" s="643"/>
      <c r="F229" s="643"/>
      <c r="G229" s="643" t="s">
        <v>2404</v>
      </c>
      <c r="H229" s="643"/>
      <c r="I229" s="643"/>
      <c r="J229" s="643"/>
      <c r="K229" s="643" t="s">
        <v>2405</v>
      </c>
      <c r="L229" s="643"/>
      <c r="M229" s="643"/>
      <c r="N229" s="643"/>
      <c r="O229" s="644">
        <f>ROUND((0 + 1200 * 1) * 12 * 7.22 * 1.15 * 1.2 * 1.15, 2)</f>
        <v>164997.22</v>
      </c>
      <c r="P229" s="643"/>
    </row>
    <row r="230" spans="1:18" x14ac:dyDescent="0.25">
      <c r="A230" s="486"/>
      <c r="B230" s="641" t="s">
        <v>564</v>
      </c>
      <c r="C230" s="641"/>
      <c r="D230" s="641"/>
      <c r="E230" s="641"/>
      <c r="F230" s="641"/>
      <c r="G230" s="641" t="s">
        <v>15</v>
      </c>
      <c r="H230" s="641"/>
      <c r="I230" s="641"/>
      <c r="J230" s="641"/>
      <c r="K230" s="641" t="s">
        <v>15</v>
      </c>
      <c r="L230" s="641"/>
      <c r="M230" s="641"/>
      <c r="N230" s="641"/>
      <c r="O230" s="641"/>
      <c r="P230" s="641"/>
    </row>
    <row r="231" spans="1:18" ht="40.9" customHeight="1" x14ac:dyDescent="0.25">
      <c r="A231" s="487"/>
      <c r="B231" s="640" t="s">
        <v>565</v>
      </c>
      <c r="C231" s="640"/>
      <c r="D231" s="640"/>
      <c r="E231" s="640"/>
      <c r="F231" s="640"/>
      <c r="G231" s="640" t="s">
        <v>733</v>
      </c>
      <c r="H231" s="640"/>
      <c r="I231" s="640"/>
      <c r="J231" s="640"/>
      <c r="K231" s="640" t="s">
        <v>15</v>
      </c>
      <c r="L231" s="640"/>
      <c r="M231" s="640"/>
      <c r="N231" s="640"/>
      <c r="O231" s="640"/>
      <c r="P231" s="640"/>
    </row>
    <row r="232" spans="1:18" ht="95.25" customHeight="1" x14ac:dyDescent="0.25">
      <c r="A232" s="487"/>
      <c r="B232" s="640" t="s">
        <v>569</v>
      </c>
      <c r="C232" s="640"/>
      <c r="D232" s="640"/>
      <c r="E232" s="640"/>
      <c r="F232" s="640"/>
      <c r="G232" s="640" t="s">
        <v>589</v>
      </c>
      <c r="H232" s="640"/>
      <c r="I232" s="640"/>
      <c r="J232" s="640"/>
      <c r="K232" s="640" t="s">
        <v>15</v>
      </c>
      <c r="L232" s="640"/>
      <c r="M232" s="640"/>
      <c r="N232" s="640"/>
      <c r="O232" s="640"/>
      <c r="P232" s="640"/>
    </row>
    <row r="233" spans="1:18" ht="54.4" customHeight="1" x14ac:dyDescent="0.25">
      <c r="A233" s="487"/>
      <c r="B233" s="640" t="s">
        <v>567</v>
      </c>
      <c r="C233" s="640"/>
      <c r="D233" s="640"/>
      <c r="E233" s="640"/>
      <c r="F233" s="640"/>
      <c r="G233" s="640" t="s">
        <v>590</v>
      </c>
      <c r="H233" s="640"/>
      <c r="I233" s="640"/>
      <c r="J233" s="640"/>
      <c r="K233" s="640" t="s">
        <v>15</v>
      </c>
      <c r="L233" s="640"/>
      <c r="M233" s="640"/>
      <c r="N233" s="640"/>
      <c r="O233" s="640"/>
      <c r="P233" s="640"/>
    </row>
    <row r="234" spans="1:18" ht="54.4" customHeight="1" x14ac:dyDescent="0.25">
      <c r="A234" s="487"/>
      <c r="B234" s="640" t="s">
        <v>571</v>
      </c>
      <c r="C234" s="640"/>
      <c r="D234" s="640"/>
      <c r="E234" s="640"/>
      <c r="F234" s="640"/>
      <c r="G234" s="640" t="s">
        <v>572</v>
      </c>
      <c r="H234" s="640"/>
      <c r="I234" s="640"/>
      <c r="J234" s="640"/>
      <c r="K234" s="640" t="s">
        <v>15</v>
      </c>
      <c r="L234" s="640"/>
      <c r="M234" s="640"/>
      <c r="N234" s="640"/>
      <c r="O234" s="640"/>
      <c r="P234" s="640"/>
    </row>
    <row r="235" spans="1:18" x14ac:dyDescent="0.25">
      <c r="A235" s="488" t="s">
        <v>829</v>
      </c>
      <c r="B235" s="636" t="s">
        <v>604</v>
      </c>
      <c r="C235" s="636"/>
      <c r="D235" s="636"/>
      <c r="E235" s="636"/>
      <c r="F235" s="636"/>
      <c r="G235" s="636"/>
      <c r="H235" s="636"/>
      <c r="I235" s="636"/>
      <c r="J235" s="636"/>
      <c r="K235" s="636" t="s">
        <v>15</v>
      </c>
      <c r="L235" s="636"/>
      <c r="M235" s="636"/>
      <c r="N235" s="636"/>
      <c r="O235" s="637">
        <f>ROUND(SUM($O$16:$O$229),2)</f>
        <v>15551945.98</v>
      </c>
      <c r="P235" s="636"/>
    </row>
    <row r="236" spans="1:18" ht="108.75" customHeight="1" x14ac:dyDescent="0.25">
      <c r="A236" s="488" t="s">
        <v>832</v>
      </c>
      <c r="B236" s="638" t="s">
        <v>606</v>
      </c>
      <c r="C236" s="638"/>
      <c r="D236" s="638"/>
      <c r="E236" s="638"/>
      <c r="F236" s="638"/>
      <c r="G236" s="638" t="s">
        <v>607</v>
      </c>
      <c r="H236" s="638"/>
      <c r="I236" s="638"/>
      <c r="J236" s="638"/>
      <c r="K236" s="638" t="s">
        <v>2406</v>
      </c>
      <c r="L236" s="638"/>
      <c r="M236" s="638"/>
      <c r="N236" s="638"/>
      <c r="O236" s="639">
        <f>ROUND(($O$235) * 1  * 0.8,2)</f>
        <v>12441556.779999999</v>
      </c>
      <c r="P236" s="638"/>
    </row>
    <row r="237" spans="1:18" ht="68.099999999999994" customHeight="1" x14ac:dyDescent="0.25">
      <c r="A237" s="488" t="s">
        <v>836</v>
      </c>
      <c r="B237" s="638" t="s">
        <v>606</v>
      </c>
      <c r="C237" s="638"/>
      <c r="D237" s="638"/>
      <c r="E237" s="638"/>
      <c r="F237" s="638"/>
      <c r="G237" s="638" t="s">
        <v>2407</v>
      </c>
      <c r="H237" s="638"/>
      <c r="I237" s="638"/>
      <c r="J237" s="638"/>
      <c r="K237" s="638" t="s">
        <v>2408</v>
      </c>
      <c r="L237" s="638"/>
      <c r="M237" s="638"/>
      <c r="N237" s="638"/>
      <c r="O237" s="639">
        <f>ROUND(($O$236) * 1  * 1.08,2)</f>
        <v>13436881.32</v>
      </c>
      <c r="P237" s="638"/>
    </row>
    <row r="238" spans="1:18" ht="27.2" customHeight="1" x14ac:dyDescent="0.25">
      <c r="A238" s="488" t="s">
        <v>840</v>
      </c>
      <c r="B238" s="638" t="s">
        <v>610</v>
      </c>
      <c r="C238" s="638"/>
      <c r="D238" s="638"/>
      <c r="E238" s="638"/>
      <c r="F238" s="638"/>
      <c r="G238" s="638" t="s">
        <v>15</v>
      </c>
      <c r="H238" s="638"/>
      <c r="I238" s="638"/>
      <c r="J238" s="638"/>
      <c r="K238" s="638" t="s">
        <v>611</v>
      </c>
      <c r="L238" s="638"/>
      <c r="M238" s="638"/>
      <c r="N238" s="638"/>
      <c r="O238" s="639">
        <f>ROUND(237000,2)</f>
        <v>237000</v>
      </c>
      <c r="P238" s="638"/>
    </row>
    <row r="239" spans="1:18" x14ac:dyDescent="0.25">
      <c r="A239" s="488" t="s">
        <v>843</v>
      </c>
      <c r="B239" s="636" t="s">
        <v>613</v>
      </c>
      <c r="C239" s="636"/>
      <c r="D239" s="636"/>
      <c r="E239" s="636"/>
      <c r="F239" s="636"/>
      <c r="G239" s="636"/>
      <c r="H239" s="636"/>
      <c r="I239" s="636"/>
      <c r="J239" s="636"/>
      <c r="K239" s="636" t="s">
        <v>15</v>
      </c>
      <c r="L239" s="636"/>
      <c r="M239" s="636"/>
      <c r="N239" s="636"/>
      <c r="O239" s="637">
        <f>ROUND((SUM($O$237:$O$238)),2)</f>
        <v>13673881.32</v>
      </c>
      <c r="P239" s="636"/>
      <c r="R239" s="236">
        <f>O239</f>
        <v>13673881.32</v>
      </c>
    </row>
  </sheetData>
  <mergeCells count="883">
    <mergeCell ref="B239:F239"/>
    <mergeCell ref="G239:J239"/>
    <mergeCell ref="K239:N239"/>
    <mergeCell ref="O239:P239"/>
    <mergeCell ref="B237:F237"/>
    <mergeCell ref="G237:J237"/>
    <mergeCell ref="K237:N237"/>
    <mergeCell ref="O237:P237"/>
    <mergeCell ref="B238:F238"/>
    <mergeCell ref="G238:J238"/>
    <mergeCell ref="K238:N238"/>
    <mergeCell ref="O238:P238"/>
    <mergeCell ref="B235:F235"/>
    <mergeCell ref="G235:J235"/>
    <mergeCell ref="K235:N235"/>
    <mergeCell ref="O235:P235"/>
    <mergeCell ref="B236:F236"/>
    <mergeCell ref="G236:J236"/>
    <mergeCell ref="K236:N236"/>
    <mergeCell ref="O236:P236"/>
    <mergeCell ref="B233:F233"/>
    <mergeCell ref="G233:J233"/>
    <mergeCell ref="K233:N233"/>
    <mergeCell ref="O233:P233"/>
    <mergeCell ref="B234:F234"/>
    <mergeCell ref="G234:J234"/>
    <mergeCell ref="K234:N234"/>
    <mergeCell ref="O234:P234"/>
    <mergeCell ref="B231:F231"/>
    <mergeCell ref="G231:J231"/>
    <mergeCell ref="K231:N231"/>
    <mergeCell ref="O231:P231"/>
    <mergeCell ref="B232:F232"/>
    <mergeCell ref="G232:J232"/>
    <mergeCell ref="K232:N232"/>
    <mergeCell ref="O232:P232"/>
    <mergeCell ref="B229:F229"/>
    <mergeCell ref="G229:J229"/>
    <mergeCell ref="K229:N229"/>
    <mergeCell ref="O229:P229"/>
    <mergeCell ref="B230:F230"/>
    <mergeCell ref="G230:J230"/>
    <mergeCell ref="K230:N230"/>
    <mergeCell ref="O230:P230"/>
    <mergeCell ref="B227:F227"/>
    <mergeCell ref="G227:J227"/>
    <mergeCell ref="K227:N227"/>
    <mergeCell ref="O227:P227"/>
    <mergeCell ref="B228:F228"/>
    <mergeCell ref="G228:J228"/>
    <mergeCell ref="K228:N228"/>
    <mergeCell ref="O228:P228"/>
    <mergeCell ref="B225:F225"/>
    <mergeCell ref="G225:J225"/>
    <mergeCell ref="K225:N225"/>
    <mergeCell ref="O225:P225"/>
    <mergeCell ref="B226:F226"/>
    <mergeCell ref="G226:J226"/>
    <mergeCell ref="K226:N226"/>
    <mergeCell ref="O226:P226"/>
    <mergeCell ref="B223:F223"/>
    <mergeCell ref="G223:J223"/>
    <mergeCell ref="K223:N223"/>
    <mergeCell ref="O223:P223"/>
    <mergeCell ref="B224:F224"/>
    <mergeCell ref="G224:J224"/>
    <mergeCell ref="K224:N224"/>
    <mergeCell ref="O224:P224"/>
    <mergeCell ref="B221:F221"/>
    <mergeCell ref="G221:J221"/>
    <mergeCell ref="K221:N221"/>
    <mergeCell ref="O221:P221"/>
    <mergeCell ref="B222:F222"/>
    <mergeCell ref="G222:J222"/>
    <mergeCell ref="K222:N222"/>
    <mergeCell ref="O222:P222"/>
    <mergeCell ref="B219:F219"/>
    <mergeCell ref="G219:J219"/>
    <mergeCell ref="K219:N219"/>
    <mergeCell ref="O219:P219"/>
    <mergeCell ref="B220:F220"/>
    <mergeCell ref="G220:J220"/>
    <mergeCell ref="K220:N220"/>
    <mergeCell ref="O220:P220"/>
    <mergeCell ref="B217:F217"/>
    <mergeCell ref="G217:J217"/>
    <mergeCell ref="K217:N217"/>
    <mergeCell ref="O217:P217"/>
    <mergeCell ref="B218:F218"/>
    <mergeCell ref="G218:J218"/>
    <mergeCell ref="K218:N218"/>
    <mergeCell ref="O218:P218"/>
    <mergeCell ref="B215:F215"/>
    <mergeCell ref="G215:J215"/>
    <mergeCell ref="K215:N215"/>
    <mergeCell ref="O215:P215"/>
    <mergeCell ref="B216:F216"/>
    <mergeCell ref="G216:J216"/>
    <mergeCell ref="K216:N216"/>
    <mergeCell ref="O216:P216"/>
    <mergeCell ref="B213:F213"/>
    <mergeCell ref="G213:J213"/>
    <mergeCell ref="K213:N213"/>
    <mergeCell ref="O213:P213"/>
    <mergeCell ref="B214:F214"/>
    <mergeCell ref="G214:J214"/>
    <mergeCell ref="K214:N214"/>
    <mergeCell ref="O214:P214"/>
    <mergeCell ref="B211:F211"/>
    <mergeCell ref="G211:J211"/>
    <mergeCell ref="K211:N211"/>
    <mergeCell ref="O211:P211"/>
    <mergeCell ref="B212:F212"/>
    <mergeCell ref="G212:J212"/>
    <mergeCell ref="K212:N212"/>
    <mergeCell ref="O212:P212"/>
    <mergeCell ref="B209:F209"/>
    <mergeCell ref="G209:J209"/>
    <mergeCell ref="K209:N209"/>
    <mergeCell ref="O209:P209"/>
    <mergeCell ref="B210:F210"/>
    <mergeCell ref="G210:J210"/>
    <mergeCell ref="K210:N210"/>
    <mergeCell ref="O210:P210"/>
    <mergeCell ref="B207:F207"/>
    <mergeCell ref="G207:J207"/>
    <mergeCell ref="K207:N207"/>
    <mergeCell ref="O207:P207"/>
    <mergeCell ref="B208:F208"/>
    <mergeCell ref="G208:J208"/>
    <mergeCell ref="K208:N208"/>
    <mergeCell ref="O208:P208"/>
    <mergeCell ref="B205:F205"/>
    <mergeCell ref="G205:J205"/>
    <mergeCell ref="K205:N205"/>
    <mergeCell ref="O205:P205"/>
    <mergeCell ref="B206:F206"/>
    <mergeCell ref="G206:J206"/>
    <mergeCell ref="K206:N206"/>
    <mergeCell ref="O206:P206"/>
    <mergeCell ref="B203:F203"/>
    <mergeCell ref="G203:J203"/>
    <mergeCell ref="K203:N203"/>
    <mergeCell ref="O203:P203"/>
    <mergeCell ref="B204:F204"/>
    <mergeCell ref="G204:J204"/>
    <mergeCell ref="K204:N204"/>
    <mergeCell ref="O204:P204"/>
    <mergeCell ref="B201:F201"/>
    <mergeCell ref="G201:J201"/>
    <mergeCell ref="K201:N201"/>
    <mergeCell ref="O201:P201"/>
    <mergeCell ref="B202:F202"/>
    <mergeCell ref="G202:J202"/>
    <mergeCell ref="K202:N202"/>
    <mergeCell ref="O202:P202"/>
    <mergeCell ref="B199:F199"/>
    <mergeCell ref="G199:J199"/>
    <mergeCell ref="K199:N199"/>
    <mergeCell ref="O199:P199"/>
    <mergeCell ref="B200:F200"/>
    <mergeCell ref="G200:J200"/>
    <mergeCell ref="K200:N200"/>
    <mergeCell ref="O200:P200"/>
    <mergeCell ref="B197:F197"/>
    <mergeCell ref="G197:J197"/>
    <mergeCell ref="K197:N197"/>
    <mergeCell ref="O197:P197"/>
    <mergeCell ref="B198:F198"/>
    <mergeCell ref="G198:J198"/>
    <mergeCell ref="K198:N198"/>
    <mergeCell ref="O198:P198"/>
    <mergeCell ref="B195:F195"/>
    <mergeCell ref="G195:J195"/>
    <mergeCell ref="K195:N195"/>
    <mergeCell ref="O195:P195"/>
    <mergeCell ref="B196:F196"/>
    <mergeCell ref="G196:J196"/>
    <mergeCell ref="K196:N196"/>
    <mergeCell ref="O196:P196"/>
    <mergeCell ref="B193:F193"/>
    <mergeCell ref="G193:J193"/>
    <mergeCell ref="K193:N193"/>
    <mergeCell ref="O193:P193"/>
    <mergeCell ref="B194:F194"/>
    <mergeCell ref="G194:J194"/>
    <mergeCell ref="K194:N194"/>
    <mergeCell ref="O194:P194"/>
    <mergeCell ref="B191:F191"/>
    <mergeCell ref="G191:J191"/>
    <mergeCell ref="K191:N191"/>
    <mergeCell ref="O191:P191"/>
    <mergeCell ref="B192:F192"/>
    <mergeCell ref="G192:J192"/>
    <mergeCell ref="K192:N192"/>
    <mergeCell ref="O192:P192"/>
    <mergeCell ref="B189:F189"/>
    <mergeCell ref="G189:J189"/>
    <mergeCell ref="K189:N189"/>
    <mergeCell ref="O189:P189"/>
    <mergeCell ref="B190:F190"/>
    <mergeCell ref="G190:J190"/>
    <mergeCell ref="K190:N190"/>
    <mergeCell ref="O190:P190"/>
    <mergeCell ref="B187:F187"/>
    <mergeCell ref="G187:J187"/>
    <mergeCell ref="K187:N187"/>
    <mergeCell ref="O187:P187"/>
    <mergeCell ref="B188:F188"/>
    <mergeCell ref="G188:J188"/>
    <mergeCell ref="K188:N188"/>
    <mergeCell ref="O188:P188"/>
    <mergeCell ref="B185:F185"/>
    <mergeCell ref="G185:J185"/>
    <mergeCell ref="K185:N185"/>
    <mergeCell ref="O185:P185"/>
    <mergeCell ref="B186:F186"/>
    <mergeCell ref="G186:J186"/>
    <mergeCell ref="K186:N186"/>
    <mergeCell ref="O186:P186"/>
    <mergeCell ref="B183:F183"/>
    <mergeCell ref="G183:J183"/>
    <mergeCell ref="K183:N183"/>
    <mergeCell ref="O183:P183"/>
    <mergeCell ref="B184:F184"/>
    <mergeCell ref="G184:J184"/>
    <mergeCell ref="K184:N184"/>
    <mergeCell ref="O184:P184"/>
    <mergeCell ref="A180:P180"/>
    <mergeCell ref="B181:F181"/>
    <mergeCell ref="G181:J181"/>
    <mergeCell ref="K181:N181"/>
    <mergeCell ref="O181:P181"/>
    <mergeCell ref="B182:F182"/>
    <mergeCell ref="G182:J182"/>
    <mergeCell ref="K182:N182"/>
    <mergeCell ref="O182:P182"/>
    <mergeCell ref="B178:F178"/>
    <mergeCell ref="G178:J178"/>
    <mergeCell ref="K178:N178"/>
    <mergeCell ref="O178:P178"/>
    <mergeCell ref="B179:F179"/>
    <mergeCell ref="G179:J179"/>
    <mergeCell ref="K179:N179"/>
    <mergeCell ref="O179:P179"/>
    <mergeCell ref="B176:F176"/>
    <mergeCell ref="G176:J176"/>
    <mergeCell ref="K176:N176"/>
    <mergeCell ref="O176:P176"/>
    <mergeCell ref="B177:F177"/>
    <mergeCell ref="G177:J177"/>
    <mergeCell ref="K177:N177"/>
    <mergeCell ref="O177:P177"/>
    <mergeCell ref="B174:F174"/>
    <mergeCell ref="G174:J174"/>
    <mergeCell ref="K174:N174"/>
    <mergeCell ref="O174:P174"/>
    <mergeCell ref="B175:F175"/>
    <mergeCell ref="G175:J175"/>
    <mergeCell ref="K175:N175"/>
    <mergeCell ref="O175:P175"/>
    <mergeCell ref="B172:F172"/>
    <mergeCell ref="G172:J172"/>
    <mergeCell ref="K172:N172"/>
    <mergeCell ref="O172:P172"/>
    <mergeCell ref="B173:F173"/>
    <mergeCell ref="G173:J173"/>
    <mergeCell ref="K173:N173"/>
    <mergeCell ref="O173:P173"/>
    <mergeCell ref="B170:F170"/>
    <mergeCell ref="G170:J170"/>
    <mergeCell ref="K170:N170"/>
    <mergeCell ref="O170:P170"/>
    <mergeCell ref="B171:F171"/>
    <mergeCell ref="G171:J171"/>
    <mergeCell ref="K171:N171"/>
    <mergeCell ref="O171:P171"/>
    <mergeCell ref="B168:F168"/>
    <mergeCell ref="G168:J168"/>
    <mergeCell ref="K168:N168"/>
    <mergeCell ref="O168:P168"/>
    <mergeCell ref="B169:F169"/>
    <mergeCell ref="G169:J169"/>
    <mergeCell ref="K169:N169"/>
    <mergeCell ref="O169:P169"/>
    <mergeCell ref="A165:P165"/>
    <mergeCell ref="B166:F166"/>
    <mergeCell ref="G166:J166"/>
    <mergeCell ref="K166:N166"/>
    <mergeCell ref="O166:P166"/>
    <mergeCell ref="B167:F167"/>
    <mergeCell ref="G167:J167"/>
    <mergeCell ref="K167:N167"/>
    <mergeCell ref="O167:P167"/>
    <mergeCell ref="B163:F163"/>
    <mergeCell ref="G163:J163"/>
    <mergeCell ref="K163:N163"/>
    <mergeCell ref="O163:P163"/>
    <mergeCell ref="B164:F164"/>
    <mergeCell ref="G164:J164"/>
    <mergeCell ref="K164:N164"/>
    <mergeCell ref="O164:P164"/>
    <mergeCell ref="B161:F161"/>
    <mergeCell ref="G161:J161"/>
    <mergeCell ref="K161:N161"/>
    <mergeCell ref="O161:P161"/>
    <mergeCell ref="B162:F162"/>
    <mergeCell ref="G162:J162"/>
    <mergeCell ref="K162:N162"/>
    <mergeCell ref="O162:P162"/>
    <mergeCell ref="B159:F159"/>
    <mergeCell ref="G159:J159"/>
    <mergeCell ref="K159:N159"/>
    <mergeCell ref="O159:P159"/>
    <mergeCell ref="B160:F160"/>
    <mergeCell ref="G160:J160"/>
    <mergeCell ref="K160:N160"/>
    <mergeCell ref="O160:P160"/>
    <mergeCell ref="B157:F157"/>
    <mergeCell ref="G157:J157"/>
    <mergeCell ref="K157:N157"/>
    <mergeCell ref="O157:P157"/>
    <mergeCell ref="B158:F158"/>
    <mergeCell ref="G158:J158"/>
    <mergeCell ref="K158:N158"/>
    <mergeCell ref="O158:P158"/>
    <mergeCell ref="B155:F155"/>
    <mergeCell ref="G155:J155"/>
    <mergeCell ref="K155:N155"/>
    <mergeCell ref="O155:P155"/>
    <mergeCell ref="B156:F156"/>
    <mergeCell ref="G156:J156"/>
    <mergeCell ref="K156:N156"/>
    <mergeCell ref="O156:P156"/>
    <mergeCell ref="B153:F153"/>
    <mergeCell ref="G153:J153"/>
    <mergeCell ref="K153:N153"/>
    <mergeCell ref="O153:P153"/>
    <mergeCell ref="B154:F154"/>
    <mergeCell ref="G154:J154"/>
    <mergeCell ref="K154:N154"/>
    <mergeCell ref="O154:P154"/>
    <mergeCell ref="A150:P150"/>
    <mergeCell ref="B151:F151"/>
    <mergeCell ref="G151:J151"/>
    <mergeCell ref="K151:N151"/>
    <mergeCell ref="O151:P151"/>
    <mergeCell ref="B152:F152"/>
    <mergeCell ref="G152:J152"/>
    <mergeCell ref="K152:N152"/>
    <mergeCell ref="O152:P152"/>
    <mergeCell ref="B148:F148"/>
    <mergeCell ref="G148:J148"/>
    <mergeCell ref="K148:N148"/>
    <mergeCell ref="O148:P148"/>
    <mergeCell ref="B149:F149"/>
    <mergeCell ref="G149:J149"/>
    <mergeCell ref="K149:N149"/>
    <mergeCell ref="O149:P149"/>
    <mergeCell ref="B146:F146"/>
    <mergeCell ref="G146:J146"/>
    <mergeCell ref="K146:N146"/>
    <mergeCell ref="O146:P146"/>
    <mergeCell ref="B147:F147"/>
    <mergeCell ref="G147:J147"/>
    <mergeCell ref="K147:N147"/>
    <mergeCell ref="O147:P147"/>
    <mergeCell ref="B144:F144"/>
    <mergeCell ref="G144:J144"/>
    <mergeCell ref="K144:N144"/>
    <mergeCell ref="O144:P144"/>
    <mergeCell ref="B145:F145"/>
    <mergeCell ref="G145:J145"/>
    <mergeCell ref="K145:N145"/>
    <mergeCell ref="O145:P145"/>
    <mergeCell ref="B142:F142"/>
    <mergeCell ref="G142:J142"/>
    <mergeCell ref="K142:N142"/>
    <mergeCell ref="O142:P142"/>
    <mergeCell ref="B143:F143"/>
    <mergeCell ref="G143:J143"/>
    <mergeCell ref="K143:N143"/>
    <mergeCell ref="O143:P143"/>
    <mergeCell ref="B140:F140"/>
    <mergeCell ref="G140:J140"/>
    <mergeCell ref="K140:N140"/>
    <mergeCell ref="O140:P140"/>
    <mergeCell ref="B141:F141"/>
    <mergeCell ref="G141:J141"/>
    <mergeCell ref="K141:N141"/>
    <mergeCell ref="O141:P141"/>
    <mergeCell ref="B138:F138"/>
    <mergeCell ref="G138:J138"/>
    <mergeCell ref="K138:N138"/>
    <mergeCell ref="O138:P138"/>
    <mergeCell ref="B139:F139"/>
    <mergeCell ref="G139:J139"/>
    <mergeCell ref="K139:N139"/>
    <mergeCell ref="O139:P139"/>
    <mergeCell ref="A135:P135"/>
    <mergeCell ref="B136:F136"/>
    <mergeCell ref="G136:J136"/>
    <mergeCell ref="K136:N136"/>
    <mergeCell ref="O136:P136"/>
    <mergeCell ref="B137:F137"/>
    <mergeCell ref="G137:J137"/>
    <mergeCell ref="K137:N137"/>
    <mergeCell ref="O137:P137"/>
    <mergeCell ref="B133:F133"/>
    <mergeCell ref="G133:J133"/>
    <mergeCell ref="K133:N133"/>
    <mergeCell ref="O133:P133"/>
    <mergeCell ref="B134:F134"/>
    <mergeCell ref="G134:J134"/>
    <mergeCell ref="K134:N134"/>
    <mergeCell ref="O134:P134"/>
    <mergeCell ref="B131:F131"/>
    <mergeCell ref="G131:J131"/>
    <mergeCell ref="K131:N131"/>
    <mergeCell ref="O131:P131"/>
    <mergeCell ref="B132:F132"/>
    <mergeCell ref="G132:J132"/>
    <mergeCell ref="K132:N132"/>
    <mergeCell ref="O132:P132"/>
    <mergeCell ref="B129:F129"/>
    <mergeCell ref="G129:J129"/>
    <mergeCell ref="K129:N129"/>
    <mergeCell ref="O129:P129"/>
    <mergeCell ref="B130:F130"/>
    <mergeCell ref="G130:J130"/>
    <mergeCell ref="K130:N130"/>
    <mergeCell ref="O130:P130"/>
    <mergeCell ref="B127:F127"/>
    <mergeCell ref="G127:J127"/>
    <mergeCell ref="K127:N127"/>
    <mergeCell ref="O127:P127"/>
    <mergeCell ref="B128:F128"/>
    <mergeCell ref="G128:J128"/>
    <mergeCell ref="K128:N128"/>
    <mergeCell ref="O128:P128"/>
    <mergeCell ref="B125:F125"/>
    <mergeCell ref="G125:J125"/>
    <mergeCell ref="K125:N125"/>
    <mergeCell ref="O125:P125"/>
    <mergeCell ref="B126:F126"/>
    <mergeCell ref="G126:J126"/>
    <mergeCell ref="K126:N126"/>
    <mergeCell ref="O126:P126"/>
    <mergeCell ref="B123:F123"/>
    <mergeCell ref="G123:J123"/>
    <mergeCell ref="K123:N123"/>
    <mergeCell ref="O123:P123"/>
    <mergeCell ref="B124:F124"/>
    <mergeCell ref="G124:J124"/>
    <mergeCell ref="K124:N124"/>
    <mergeCell ref="O124:P124"/>
    <mergeCell ref="A120:P120"/>
    <mergeCell ref="B121:F121"/>
    <mergeCell ref="G121:J121"/>
    <mergeCell ref="K121:N121"/>
    <mergeCell ref="O121:P121"/>
    <mergeCell ref="B122:F122"/>
    <mergeCell ref="G122:J122"/>
    <mergeCell ref="K122:N122"/>
    <mergeCell ref="O122:P122"/>
    <mergeCell ref="B118:F118"/>
    <mergeCell ref="G118:J118"/>
    <mergeCell ref="K118:N118"/>
    <mergeCell ref="O118:P118"/>
    <mergeCell ref="B119:F119"/>
    <mergeCell ref="G119:J119"/>
    <mergeCell ref="K119:N119"/>
    <mergeCell ref="O119:P119"/>
    <mergeCell ref="B116:F116"/>
    <mergeCell ref="G116:J116"/>
    <mergeCell ref="K116:N116"/>
    <mergeCell ref="O116:P116"/>
    <mergeCell ref="B117:F117"/>
    <mergeCell ref="G117:J117"/>
    <mergeCell ref="K117:N117"/>
    <mergeCell ref="O117:P117"/>
    <mergeCell ref="B114:F114"/>
    <mergeCell ref="G114:J114"/>
    <mergeCell ref="K114:N114"/>
    <mergeCell ref="O114:P114"/>
    <mergeCell ref="B115:F115"/>
    <mergeCell ref="G115:J115"/>
    <mergeCell ref="K115:N115"/>
    <mergeCell ref="O115:P115"/>
    <mergeCell ref="B112:F112"/>
    <mergeCell ref="G112:J112"/>
    <mergeCell ref="K112:N112"/>
    <mergeCell ref="O112:P112"/>
    <mergeCell ref="B113:F113"/>
    <mergeCell ref="G113:J113"/>
    <mergeCell ref="K113:N113"/>
    <mergeCell ref="O113:P113"/>
    <mergeCell ref="B110:F110"/>
    <mergeCell ref="G110:J110"/>
    <mergeCell ref="K110:N110"/>
    <mergeCell ref="O110:P110"/>
    <mergeCell ref="B111:F111"/>
    <mergeCell ref="G111:J111"/>
    <mergeCell ref="K111:N111"/>
    <mergeCell ref="O111:P111"/>
    <mergeCell ref="B108:F108"/>
    <mergeCell ref="G108:J108"/>
    <mergeCell ref="K108:N108"/>
    <mergeCell ref="O108:P108"/>
    <mergeCell ref="B109:F109"/>
    <mergeCell ref="G109:J109"/>
    <mergeCell ref="K109:N109"/>
    <mergeCell ref="O109:P109"/>
    <mergeCell ref="A105:P105"/>
    <mergeCell ref="B106:F106"/>
    <mergeCell ref="G106:J106"/>
    <mergeCell ref="K106:N106"/>
    <mergeCell ref="O106:P106"/>
    <mergeCell ref="B107:F107"/>
    <mergeCell ref="G107:J107"/>
    <mergeCell ref="K107:N107"/>
    <mergeCell ref="O107:P107"/>
    <mergeCell ref="B103:F103"/>
    <mergeCell ref="G103:J103"/>
    <mergeCell ref="K103:N103"/>
    <mergeCell ref="O103:P103"/>
    <mergeCell ref="B104:F104"/>
    <mergeCell ref="G104:J104"/>
    <mergeCell ref="K104:N104"/>
    <mergeCell ref="O104:P104"/>
    <mergeCell ref="B101:F101"/>
    <mergeCell ref="G101:J101"/>
    <mergeCell ref="K101:N101"/>
    <mergeCell ref="O101:P101"/>
    <mergeCell ref="B102:F102"/>
    <mergeCell ref="G102:J102"/>
    <mergeCell ref="K102:N102"/>
    <mergeCell ref="O102:P102"/>
    <mergeCell ref="B99:F99"/>
    <mergeCell ref="G99:J99"/>
    <mergeCell ref="K99:N99"/>
    <mergeCell ref="O99:P99"/>
    <mergeCell ref="B100:F100"/>
    <mergeCell ref="G100:J100"/>
    <mergeCell ref="K100:N100"/>
    <mergeCell ref="O100:P100"/>
    <mergeCell ref="B97:F97"/>
    <mergeCell ref="G97:J97"/>
    <mergeCell ref="K97:N97"/>
    <mergeCell ref="O97:P97"/>
    <mergeCell ref="B98:F98"/>
    <mergeCell ref="G98:J98"/>
    <mergeCell ref="K98:N98"/>
    <mergeCell ref="O98:P98"/>
    <mergeCell ref="B95:F95"/>
    <mergeCell ref="G95:J95"/>
    <mergeCell ref="K95:N95"/>
    <mergeCell ref="O95:P95"/>
    <mergeCell ref="B96:F96"/>
    <mergeCell ref="G96:J96"/>
    <mergeCell ref="K96:N96"/>
    <mergeCell ref="O96:P96"/>
    <mergeCell ref="B93:F93"/>
    <mergeCell ref="G93:J93"/>
    <mergeCell ref="K93:N93"/>
    <mergeCell ref="O93:P93"/>
    <mergeCell ref="B94:F94"/>
    <mergeCell ref="G94:J94"/>
    <mergeCell ref="K94:N94"/>
    <mergeCell ref="O94:P94"/>
    <mergeCell ref="A90:P90"/>
    <mergeCell ref="B91:F91"/>
    <mergeCell ref="G91:J91"/>
    <mergeCell ref="K91:N91"/>
    <mergeCell ref="O91:P91"/>
    <mergeCell ref="B92:F92"/>
    <mergeCell ref="G92:J92"/>
    <mergeCell ref="K92:N92"/>
    <mergeCell ref="O92:P92"/>
    <mergeCell ref="B88:F88"/>
    <mergeCell ref="G88:J88"/>
    <mergeCell ref="K88:N88"/>
    <mergeCell ref="O88:P88"/>
    <mergeCell ref="B89:F89"/>
    <mergeCell ref="G89:J89"/>
    <mergeCell ref="K89:N89"/>
    <mergeCell ref="O89:P89"/>
    <mergeCell ref="B86:F86"/>
    <mergeCell ref="G86:J86"/>
    <mergeCell ref="K86:N86"/>
    <mergeCell ref="O86:P86"/>
    <mergeCell ref="B87:F87"/>
    <mergeCell ref="G87:J87"/>
    <mergeCell ref="K87:N87"/>
    <mergeCell ref="O87:P87"/>
    <mergeCell ref="B84:F84"/>
    <mergeCell ref="G84:J84"/>
    <mergeCell ref="K84:N84"/>
    <mergeCell ref="O84:P84"/>
    <mergeCell ref="B85:F85"/>
    <mergeCell ref="G85:J85"/>
    <mergeCell ref="K85:N85"/>
    <mergeCell ref="O85:P85"/>
    <mergeCell ref="B82:F82"/>
    <mergeCell ref="G82:J82"/>
    <mergeCell ref="K82:N82"/>
    <mergeCell ref="O82:P82"/>
    <mergeCell ref="B83:F83"/>
    <mergeCell ref="G83:J83"/>
    <mergeCell ref="K83:N83"/>
    <mergeCell ref="O83:P83"/>
    <mergeCell ref="B80:F80"/>
    <mergeCell ref="G80:J80"/>
    <mergeCell ref="K80:N80"/>
    <mergeCell ref="O80:P80"/>
    <mergeCell ref="B81:F81"/>
    <mergeCell ref="G81:J81"/>
    <mergeCell ref="K81:N81"/>
    <mergeCell ref="O81:P81"/>
    <mergeCell ref="B78:F78"/>
    <mergeCell ref="G78:J78"/>
    <mergeCell ref="K78:N78"/>
    <mergeCell ref="O78:P78"/>
    <mergeCell ref="B79:F79"/>
    <mergeCell ref="G79:J79"/>
    <mergeCell ref="K79:N79"/>
    <mergeCell ref="O79:P79"/>
    <mergeCell ref="A75:P75"/>
    <mergeCell ref="B76:F76"/>
    <mergeCell ref="G76:J76"/>
    <mergeCell ref="K76:N76"/>
    <mergeCell ref="O76:P76"/>
    <mergeCell ref="B77:F77"/>
    <mergeCell ref="G77:J77"/>
    <mergeCell ref="K77:N77"/>
    <mergeCell ref="O77:P77"/>
    <mergeCell ref="B73:F73"/>
    <mergeCell ref="G73:J73"/>
    <mergeCell ref="K73:N73"/>
    <mergeCell ref="O73:P73"/>
    <mergeCell ref="B74:F74"/>
    <mergeCell ref="G74:J74"/>
    <mergeCell ref="K74:N74"/>
    <mergeCell ref="O74:P74"/>
    <mergeCell ref="B71:F71"/>
    <mergeCell ref="G71:J71"/>
    <mergeCell ref="K71:N71"/>
    <mergeCell ref="O71:P71"/>
    <mergeCell ref="B72:F72"/>
    <mergeCell ref="G72:J72"/>
    <mergeCell ref="K72:N72"/>
    <mergeCell ref="O72:P72"/>
    <mergeCell ref="B69:F69"/>
    <mergeCell ref="G69:J69"/>
    <mergeCell ref="K69:N69"/>
    <mergeCell ref="O69:P69"/>
    <mergeCell ref="B70:F70"/>
    <mergeCell ref="G70:J70"/>
    <mergeCell ref="K70:N70"/>
    <mergeCell ref="O70:P70"/>
    <mergeCell ref="B67:F67"/>
    <mergeCell ref="G67:J67"/>
    <mergeCell ref="K67:N67"/>
    <mergeCell ref="O67:P67"/>
    <mergeCell ref="B68:F68"/>
    <mergeCell ref="G68:J68"/>
    <mergeCell ref="K68:N68"/>
    <mergeCell ref="O68:P68"/>
    <mergeCell ref="B65:F65"/>
    <mergeCell ref="G65:J65"/>
    <mergeCell ref="K65:N65"/>
    <mergeCell ref="O65:P65"/>
    <mergeCell ref="B66:F66"/>
    <mergeCell ref="G66:J66"/>
    <mergeCell ref="K66:N66"/>
    <mergeCell ref="O66:P66"/>
    <mergeCell ref="B63:F63"/>
    <mergeCell ref="G63:J63"/>
    <mergeCell ref="K63:N63"/>
    <mergeCell ref="O63:P63"/>
    <mergeCell ref="B64:F64"/>
    <mergeCell ref="G64:J64"/>
    <mergeCell ref="K64:N64"/>
    <mergeCell ref="O64:P64"/>
    <mergeCell ref="A60:P60"/>
    <mergeCell ref="B61:F61"/>
    <mergeCell ref="G61:J61"/>
    <mergeCell ref="K61:N61"/>
    <mergeCell ref="O61:P61"/>
    <mergeCell ref="B62:F62"/>
    <mergeCell ref="G62:J62"/>
    <mergeCell ref="K62:N62"/>
    <mergeCell ref="O62:P62"/>
    <mergeCell ref="B58:F58"/>
    <mergeCell ref="G58:J58"/>
    <mergeCell ref="K58:N58"/>
    <mergeCell ref="O58:P58"/>
    <mergeCell ref="B59:F59"/>
    <mergeCell ref="G59:J59"/>
    <mergeCell ref="K59:N59"/>
    <mergeCell ref="O59:P59"/>
    <mergeCell ref="B56:F56"/>
    <mergeCell ref="G56:J56"/>
    <mergeCell ref="K56:N56"/>
    <mergeCell ref="O56:P56"/>
    <mergeCell ref="B57:F57"/>
    <mergeCell ref="G57:J57"/>
    <mergeCell ref="K57:N57"/>
    <mergeCell ref="O57:P57"/>
    <mergeCell ref="B54:F54"/>
    <mergeCell ref="G54:J54"/>
    <mergeCell ref="K54:N54"/>
    <mergeCell ref="O54:P54"/>
    <mergeCell ref="B55:F55"/>
    <mergeCell ref="G55:J55"/>
    <mergeCell ref="K55:N55"/>
    <mergeCell ref="O55:P55"/>
    <mergeCell ref="B52:F52"/>
    <mergeCell ref="G52:J52"/>
    <mergeCell ref="K52:N52"/>
    <mergeCell ref="O52:P52"/>
    <mergeCell ref="B53:F53"/>
    <mergeCell ref="G53:J53"/>
    <mergeCell ref="K53:N53"/>
    <mergeCell ref="O53:P53"/>
    <mergeCell ref="B50:F50"/>
    <mergeCell ref="G50:J50"/>
    <mergeCell ref="K50:N50"/>
    <mergeCell ref="O50:P50"/>
    <mergeCell ref="B51:F51"/>
    <mergeCell ref="G51:J51"/>
    <mergeCell ref="K51:N51"/>
    <mergeCell ref="O51:P51"/>
    <mergeCell ref="B48:F48"/>
    <mergeCell ref="G48:J48"/>
    <mergeCell ref="K48:N48"/>
    <mergeCell ref="O48:P48"/>
    <mergeCell ref="B49:F49"/>
    <mergeCell ref="G49:J49"/>
    <mergeCell ref="K49:N49"/>
    <mergeCell ref="O49:P49"/>
    <mergeCell ref="A45:P45"/>
    <mergeCell ref="B46:F46"/>
    <mergeCell ref="G46:J46"/>
    <mergeCell ref="K46:N46"/>
    <mergeCell ref="O46:P46"/>
    <mergeCell ref="B47:F47"/>
    <mergeCell ref="G47:J47"/>
    <mergeCell ref="K47:N47"/>
    <mergeCell ref="O47:P47"/>
    <mergeCell ref="B43:F43"/>
    <mergeCell ref="G43:J43"/>
    <mergeCell ref="K43:N43"/>
    <mergeCell ref="O43:P43"/>
    <mergeCell ref="B44:F44"/>
    <mergeCell ref="G44:J44"/>
    <mergeCell ref="K44:N44"/>
    <mergeCell ref="O44:P44"/>
    <mergeCell ref="B41:F41"/>
    <mergeCell ref="G41:J41"/>
    <mergeCell ref="K41:N41"/>
    <mergeCell ref="O41:P41"/>
    <mergeCell ref="B42:F42"/>
    <mergeCell ref="G42:J42"/>
    <mergeCell ref="K42:N42"/>
    <mergeCell ref="O42:P42"/>
    <mergeCell ref="B39:F39"/>
    <mergeCell ref="G39:J39"/>
    <mergeCell ref="K39:N39"/>
    <mergeCell ref="O39:P39"/>
    <mergeCell ref="B40:F40"/>
    <mergeCell ref="G40:J40"/>
    <mergeCell ref="K40:N40"/>
    <mergeCell ref="O40:P40"/>
    <mergeCell ref="B37:F37"/>
    <mergeCell ref="G37:J37"/>
    <mergeCell ref="K37:N37"/>
    <mergeCell ref="O37:P37"/>
    <mergeCell ref="B38:F38"/>
    <mergeCell ref="G38:J38"/>
    <mergeCell ref="K38:N38"/>
    <mergeCell ref="O38:P38"/>
    <mergeCell ref="B35:F35"/>
    <mergeCell ref="G35:J35"/>
    <mergeCell ref="K35:N35"/>
    <mergeCell ref="O35:P35"/>
    <mergeCell ref="B36:F36"/>
    <mergeCell ref="G36:J36"/>
    <mergeCell ref="K36:N36"/>
    <mergeCell ref="O36:P36"/>
    <mergeCell ref="B33:F33"/>
    <mergeCell ref="G33:J33"/>
    <mergeCell ref="K33:N33"/>
    <mergeCell ref="O33:P33"/>
    <mergeCell ref="B34:F34"/>
    <mergeCell ref="G34:J34"/>
    <mergeCell ref="K34:N34"/>
    <mergeCell ref="O34:P34"/>
    <mergeCell ref="A30:P30"/>
    <mergeCell ref="B31:F31"/>
    <mergeCell ref="G31:J31"/>
    <mergeCell ref="K31:N31"/>
    <mergeCell ref="O31:P31"/>
    <mergeCell ref="B32:F32"/>
    <mergeCell ref="G32:J32"/>
    <mergeCell ref="K32:N32"/>
    <mergeCell ref="O32:P32"/>
    <mergeCell ref="B28:F28"/>
    <mergeCell ref="G28:J28"/>
    <mergeCell ref="K28:N28"/>
    <mergeCell ref="O28:P28"/>
    <mergeCell ref="B29:F29"/>
    <mergeCell ref="G29:J29"/>
    <mergeCell ref="K29:N29"/>
    <mergeCell ref="O29:P29"/>
    <mergeCell ref="B26:F26"/>
    <mergeCell ref="G26:J26"/>
    <mergeCell ref="K26:N26"/>
    <mergeCell ref="O26:P26"/>
    <mergeCell ref="B27:F27"/>
    <mergeCell ref="G27:J27"/>
    <mergeCell ref="K27:N27"/>
    <mergeCell ref="O27:P27"/>
    <mergeCell ref="B24:F24"/>
    <mergeCell ref="G24:J24"/>
    <mergeCell ref="K24:N24"/>
    <mergeCell ref="O24:P24"/>
    <mergeCell ref="B25:F25"/>
    <mergeCell ref="G25:J25"/>
    <mergeCell ref="K25:N25"/>
    <mergeCell ref="O25:P25"/>
    <mergeCell ref="B22:F22"/>
    <mergeCell ref="G22:J22"/>
    <mergeCell ref="K22:N22"/>
    <mergeCell ref="O22:P22"/>
    <mergeCell ref="B23:F23"/>
    <mergeCell ref="G23:J23"/>
    <mergeCell ref="K23:N23"/>
    <mergeCell ref="O23:P23"/>
    <mergeCell ref="B20:F20"/>
    <mergeCell ref="G20:J20"/>
    <mergeCell ref="K20:N20"/>
    <mergeCell ref="O20:P20"/>
    <mergeCell ref="B21:F21"/>
    <mergeCell ref="G21:J21"/>
    <mergeCell ref="K21:N21"/>
    <mergeCell ref="O21:P21"/>
    <mergeCell ref="B18:F18"/>
    <mergeCell ref="G18:J18"/>
    <mergeCell ref="K18:N18"/>
    <mergeCell ref="O18:P18"/>
    <mergeCell ref="B19:F19"/>
    <mergeCell ref="G19:J19"/>
    <mergeCell ref="K19:N19"/>
    <mergeCell ref="O19:P19"/>
    <mergeCell ref="B16:F16"/>
    <mergeCell ref="G16:J16"/>
    <mergeCell ref="K16:N16"/>
    <mergeCell ref="O16:P16"/>
    <mergeCell ref="B17:F17"/>
    <mergeCell ref="G17:J17"/>
    <mergeCell ref="K17:N17"/>
    <mergeCell ref="O17:P17"/>
    <mergeCell ref="B13:F13"/>
    <mergeCell ref="G13:J13"/>
    <mergeCell ref="K13:N13"/>
    <mergeCell ref="O13:P13"/>
    <mergeCell ref="A14:P14"/>
    <mergeCell ref="A15:P15"/>
    <mergeCell ref="A8:E8"/>
    <mergeCell ref="F8:P8"/>
    <mergeCell ref="A10:E10"/>
    <mergeCell ref="F10:P10"/>
    <mergeCell ref="B12:F12"/>
    <mergeCell ref="G12:J12"/>
    <mergeCell ref="K12:N12"/>
    <mergeCell ref="O12:P12"/>
    <mergeCell ref="A1:D1"/>
    <mergeCell ref="E1:P1"/>
    <mergeCell ref="A3:P3"/>
    <mergeCell ref="A4:P4"/>
    <mergeCell ref="A6:E6"/>
    <mergeCell ref="F6:P6"/>
  </mergeCells>
  <pageMargins left="0.4" right="0.4" top="0.75" bottom="0.75" header="0.3" footer="0.3"/>
  <pageSetup paperSize="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AX50"/>
  <sheetViews>
    <sheetView workbookViewId="0">
      <selection activeCell="G248" sqref="G248"/>
    </sheetView>
  </sheetViews>
  <sheetFormatPr defaultRowHeight="15" x14ac:dyDescent="0.25"/>
  <cols>
    <col min="1" max="1" width="24" style="228" customWidth="1"/>
    <col min="2" max="10" width="12" style="228" customWidth="1"/>
    <col min="11" max="50" width="8" style="228" customWidth="1"/>
    <col min="51" max="16384" width="9.140625" style="227"/>
  </cols>
  <sheetData>
    <row r="1" spans="1:10" ht="15" customHeight="1" x14ac:dyDescent="0.25">
      <c r="A1" s="652"/>
      <c r="B1" s="652"/>
      <c r="C1" s="653"/>
      <c r="D1" s="653"/>
      <c r="E1" s="653"/>
      <c r="F1" s="653"/>
      <c r="G1" s="653"/>
      <c r="H1" s="653"/>
      <c r="I1" s="653"/>
      <c r="J1" s="653"/>
    </row>
    <row r="2" spans="1:10" ht="15" customHeight="1" x14ac:dyDescent="0.25"/>
    <row r="3" spans="1:10" ht="15" customHeight="1" x14ac:dyDescent="0.25">
      <c r="A3" s="646" t="s">
        <v>614</v>
      </c>
      <c r="B3" s="646"/>
      <c r="C3" s="646"/>
      <c r="D3" s="646"/>
      <c r="E3" s="646"/>
      <c r="F3" s="646"/>
      <c r="G3" s="646"/>
      <c r="H3" s="646"/>
      <c r="I3" s="646"/>
      <c r="J3" s="646"/>
    </row>
    <row r="4" spans="1:10" ht="15" customHeight="1" x14ac:dyDescent="0.25"/>
    <row r="5" spans="1:10" ht="15" customHeight="1" x14ac:dyDescent="0.25">
      <c r="A5" s="648" t="s">
        <v>615</v>
      </c>
      <c r="B5" s="648"/>
      <c r="C5" s="648"/>
      <c r="D5" s="648"/>
      <c r="E5" s="648"/>
      <c r="F5" s="648"/>
      <c r="G5" s="648"/>
      <c r="H5" s="648"/>
      <c r="I5" s="648"/>
      <c r="J5" s="648"/>
    </row>
    <row r="6" spans="1:10" ht="54.4" customHeight="1" x14ac:dyDescent="0.25">
      <c r="A6" s="230" t="s">
        <v>616</v>
      </c>
      <c r="B6" s="230" t="s">
        <v>617</v>
      </c>
      <c r="C6" s="230" t="s">
        <v>618</v>
      </c>
      <c r="D6" s="230" t="s">
        <v>619</v>
      </c>
      <c r="E6" s="230" t="s">
        <v>620</v>
      </c>
      <c r="F6" s="230" t="s">
        <v>621</v>
      </c>
      <c r="G6" s="230" t="s">
        <v>622</v>
      </c>
      <c r="H6" s="230" t="s">
        <v>623</v>
      </c>
      <c r="I6" s="230" t="s">
        <v>624</v>
      </c>
      <c r="J6" s="230" t="s">
        <v>250</v>
      </c>
    </row>
    <row r="7" spans="1:10" ht="15" customHeight="1" x14ac:dyDescent="0.25">
      <c r="A7" s="230">
        <v>1</v>
      </c>
      <c r="B7" s="230">
        <v>2</v>
      </c>
      <c r="C7" s="230">
        <v>3</v>
      </c>
      <c r="D7" s="230">
        <v>4</v>
      </c>
      <c r="E7" s="230">
        <v>5</v>
      </c>
      <c r="F7" s="230">
        <v>6</v>
      </c>
      <c r="G7" s="230">
        <v>7</v>
      </c>
      <c r="H7" s="230">
        <v>8</v>
      </c>
      <c r="I7" s="230">
        <v>9</v>
      </c>
      <c r="J7" s="230">
        <v>10</v>
      </c>
    </row>
    <row r="8" spans="1:10" ht="27.2" customHeight="1" x14ac:dyDescent="0.25">
      <c r="A8" s="230" t="s">
        <v>625</v>
      </c>
      <c r="B8" s="237">
        <v>1</v>
      </c>
      <c r="C8" s="237">
        <v>3</v>
      </c>
      <c r="D8" s="237">
        <v>10</v>
      </c>
      <c r="E8" s="237">
        <v>9</v>
      </c>
      <c r="F8" s="235">
        <v>6000</v>
      </c>
      <c r="G8" s="235">
        <v>10000</v>
      </c>
      <c r="H8" s="235">
        <v>10000</v>
      </c>
      <c r="I8" s="235">
        <v>500</v>
      </c>
      <c r="J8" s="235">
        <f>$B$8 * $C$8 * ($D$8 * $I$8 + $E$8 * $F$8 + $G$8 + $H$8)</f>
        <v>237000</v>
      </c>
    </row>
    <row r="9" spans="1:10" ht="15" customHeight="1" x14ac:dyDescent="0.25"/>
    <row r="10" spans="1:10" ht="15" customHeight="1" x14ac:dyDescent="0.25">
      <c r="A10" s="648" t="s">
        <v>626</v>
      </c>
      <c r="B10" s="648"/>
      <c r="C10" s="648"/>
      <c r="D10" s="238">
        <f>$B$8 * $C$8</f>
        <v>3</v>
      </c>
      <c r="E10" s="648" t="s">
        <v>627</v>
      </c>
      <c r="F10" s="648"/>
      <c r="G10" s="239">
        <f>$G$8 + $H$8</f>
        <v>20000</v>
      </c>
      <c r="H10" s="228" t="s">
        <v>628</v>
      </c>
      <c r="I10" s="239">
        <f>$D$10*$G$10</f>
        <v>60000</v>
      </c>
      <c r="J10" s="228" t="s">
        <v>140</v>
      </c>
    </row>
    <row r="11" spans="1:10" ht="15" customHeight="1" x14ac:dyDescent="0.25">
      <c r="A11" s="648" t="s">
        <v>629</v>
      </c>
      <c r="B11" s="648"/>
      <c r="C11" s="648"/>
      <c r="D11" s="238">
        <f>$B$8 * $C$8 * $E$8</f>
        <v>27</v>
      </c>
      <c r="E11" s="648" t="s">
        <v>630</v>
      </c>
      <c r="F11" s="648"/>
      <c r="G11" s="239">
        <f>$F$8</f>
        <v>6000</v>
      </c>
      <c r="H11" s="228" t="s">
        <v>628</v>
      </c>
      <c r="I11" s="239">
        <f>$D$11*$G$11</f>
        <v>162000</v>
      </c>
      <c r="J11" s="228" t="s">
        <v>140</v>
      </c>
    </row>
    <row r="12" spans="1:10" ht="15" customHeight="1" x14ac:dyDescent="0.25">
      <c r="A12" s="648" t="s">
        <v>631</v>
      </c>
      <c r="B12" s="648"/>
      <c r="C12" s="648"/>
      <c r="D12" s="238">
        <f>$B$8 * $C$8 * $D$8</f>
        <v>30</v>
      </c>
      <c r="E12" s="648" t="s">
        <v>630</v>
      </c>
      <c r="F12" s="648"/>
      <c r="G12" s="239">
        <f>$I$8</f>
        <v>500</v>
      </c>
      <c r="H12" s="228" t="s">
        <v>628</v>
      </c>
      <c r="I12" s="239">
        <f>$D$12*$G$12</f>
        <v>15000</v>
      </c>
      <c r="J12" s="228" t="s">
        <v>140</v>
      </c>
    </row>
    <row r="13" spans="1:10" ht="15" customHeight="1" x14ac:dyDescent="0.25"/>
    <row r="14" spans="1:10" ht="15" customHeight="1" x14ac:dyDescent="0.25"/>
    <row r="15" spans="1:10" ht="30" customHeight="1" x14ac:dyDescent="0.25">
      <c r="A15" s="650" t="s">
        <v>632</v>
      </c>
      <c r="B15" s="650"/>
      <c r="C15" s="651">
        <f>$J$8</f>
        <v>237000</v>
      </c>
      <c r="D15" s="651"/>
      <c r="E15" s="651"/>
      <c r="F15" s="651"/>
      <c r="G15" s="651"/>
      <c r="H15" s="651"/>
      <c r="I15" s="651"/>
      <c r="J15" s="240" t="s">
        <v>140</v>
      </c>
    </row>
    <row r="16" spans="1:10" ht="15" customHeight="1" x14ac:dyDescent="0.25"/>
    <row r="17" ht="15" customHeight="1" x14ac:dyDescent="0.25"/>
    <row r="18" ht="15" customHeight="1" x14ac:dyDescent="0.25"/>
    <row r="19" ht="15" customHeight="1" x14ac:dyDescent="0.25"/>
    <row r="20" ht="15" customHeight="1" x14ac:dyDescent="0.25"/>
    <row r="21" ht="15" customHeight="1" x14ac:dyDescent="0.25"/>
    <row r="22" ht="15" customHeight="1" x14ac:dyDescent="0.25"/>
    <row r="23" ht="15" customHeight="1" x14ac:dyDescent="0.25"/>
    <row r="24" ht="15" customHeight="1" x14ac:dyDescent="0.25"/>
    <row r="25" ht="15" customHeight="1" x14ac:dyDescent="0.25"/>
    <row r="26" ht="15" customHeight="1" x14ac:dyDescent="0.25"/>
    <row r="27" ht="15" customHeight="1" x14ac:dyDescent="0.25"/>
    <row r="28" ht="15" customHeight="1" x14ac:dyDescent="0.25"/>
    <row r="29" ht="15" customHeight="1" x14ac:dyDescent="0.25"/>
    <row r="30" ht="15" customHeight="1" x14ac:dyDescent="0.25"/>
    <row r="31" ht="15" customHeight="1" x14ac:dyDescent="0.25"/>
    <row r="32" ht="15" customHeight="1" x14ac:dyDescent="0.25"/>
    <row r="33" ht="15" customHeight="1" x14ac:dyDescent="0.25"/>
    <row r="34" ht="15" customHeight="1" x14ac:dyDescent="0.25"/>
    <row r="35" ht="15" customHeight="1" x14ac:dyDescent="0.25"/>
    <row r="36" ht="15" customHeight="1" x14ac:dyDescent="0.25"/>
    <row r="37" ht="15" customHeight="1" x14ac:dyDescent="0.25"/>
    <row r="38"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row r="47" ht="15" customHeight="1" x14ac:dyDescent="0.25"/>
    <row r="48" ht="15" customHeight="1" x14ac:dyDescent="0.25"/>
    <row r="49" ht="15" customHeight="1" x14ac:dyDescent="0.25"/>
    <row r="50" ht="15" customHeight="1" x14ac:dyDescent="0.25"/>
  </sheetData>
  <mergeCells count="12">
    <mergeCell ref="A1:B1"/>
    <mergeCell ref="C1:J1"/>
    <mergeCell ref="A3:J3"/>
    <mergeCell ref="A5:J5"/>
    <mergeCell ref="A10:C10"/>
    <mergeCell ref="E10:F10"/>
    <mergeCell ref="A11:C11"/>
    <mergeCell ref="E11:F11"/>
    <mergeCell ref="A12:C12"/>
    <mergeCell ref="E12:F12"/>
    <mergeCell ref="A15:B15"/>
    <mergeCell ref="C15:I15"/>
  </mergeCells>
  <pageMargins left="0.40000000000000008" right="0.40000000000000008" top="0.75" bottom="0.75" header="0.3" footer="0.3"/>
  <pageSetup paperSize="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sheetPr>
  <dimension ref="A1:AX50"/>
  <sheetViews>
    <sheetView topLeftCell="A7" zoomScale="70" zoomScaleNormal="70" workbookViewId="0">
      <selection activeCell="J37" sqref="J37"/>
    </sheetView>
  </sheetViews>
  <sheetFormatPr defaultRowHeight="15" x14ac:dyDescent="0.25"/>
  <cols>
    <col min="1" max="1" width="6.140625" style="2" customWidth="1"/>
    <col min="2" max="4" width="21.42578125" style="2" customWidth="1"/>
    <col min="5" max="5" width="13.7109375" style="2" customWidth="1"/>
    <col min="6" max="6" width="16" style="2" customWidth="1"/>
    <col min="7" max="8" width="13.7109375" style="2" customWidth="1"/>
    <col min="9" max="9" width="15.28515625" style="2" customWidth="1"/>
    <col min="10" max="10" width="8" style="2" customWidth="1"/>
    <col min="11" max="11" width="17" style="2" customWidth="1"/>
    <col min="12" max="12" width="12.5703125" style="2" customWidth="1"/>
    <col min="13" max="50" width="8" style="2" customWidth="1"/>
  </cols>
  <sheetData>
    <row r="1" spans="1:50" x14ac:dyDescent="0.25">
      <c r="A1" s="574"/>
      <c r="B1" s="574"/>
      <c r="C1" s="574"/>
      <c r="D1" s="575" t="s">
        <v>633</v>
      </c>
      <c r="E1" s="575"/>
      <c r="F1" s="575"/>
      <c r="G1" s="575"/>
      <c r="H1" s="575"/>
      <c r="I1" s="575"/>
    </row>
    <row r="2" spans="1:50" ht="15" customHeight="1" x14ac:dyDescent="0.25"/>
    <row r="3" spans="1:50" ht="15" customHeight="1" x14ac:dyDescent="0.25">
      <c r="A3" s="576" t="s">
        <v>634</v>
      </c>
      <c r="B3" s="576"/>
      <c r="C3" s="576"/>
      <c r="D3" s="576"/>
      <c r="E3" s="576"/>
      <c r="F3" s="576"/>
      <c r="G3" s="576"/>
      <c r="H3" s="576"/>
      <c r="I3" s="576"/>
    </row>
    <row r="4" spans="1:50" ht="15" customHeight="1" x14ac:dyDescent="0.25">
      <c r="A4" s="577" t="s">
        <v>559</v>
      </c>
      <c r="B4" s="577"/>
      <c r="C4" s="577"/>
      <c r="D4" s="577"/>
      <c r="E4" s="577"/>
      <c r="F4" s="577"/>
      <c r="G4" s="577"/>
      <c r="H4" s="577"/>
      <c r="I4" s="577"/>
    </row>
    <row r="5" spans="1:50" ht="15" customHeight="1" x14ac:dyDescent="0.25"/>
    <row r="6" spans="1:50" ht="40.9" customHeight="1" x14ac:dyDescent="0.25">
      <c r="A6" s="571" t="s">
        <v>3</v>
      </c>
      <c r="B6" s="571"/>
      <c r="C6" s="571"/>
      <c r="D6" s="571"/>
      <c r="E6" s="659" t="s">
        <v>51</v>
      </c>
      <c r="F6" s="659"/>
      <c r="G6" s="659"/>
      <c r="H6" s="659"/>
      <c r="I6" s="659"/>
    </row>
    <row r="7" spans="1:50" ht="15" customHeight="1" x14ac:dyDescent="0.25"/>
    <row r="8" spans="1:50" ht="15" customHeight="1" x14ac:dyDescent="0.25">
      <c r="A8" s="571" t="s">
        <v>6</v>
      </c>
      <c r="B8" s="571"/>
      <c r="C8" s="571"/>
      <c r="D8" s="571"/>
      <c r="E8" s="659" t="s">
        <v>7</v>
      </c>
      <c r="F8" s="659"/>
      <c r="G8" s="659"/>
      <c r="H8" s="659"/>
      <c r="I8" s="659"/>
    </row>
    <row r="9" spans="1:50" ht="15" customHeight="1" x14ac:dyDescent="0.25"/>
    <row r="10" spans="1:50" ht="15" customHeight="1" x14ac:dyDescent="0.25">
      <c r="A10" s="571" t="s">
        <v>8</v>
      </c>
      <c r="B10" s="571"/>
      <c r="C10" s="571"/>
      <c r="D10" s="571"/>
      <c r="E10" s="659" t="s">
        <v>9</v>
      </c>
      <c r="F10" s="659"/>
      <c r="G10" s="659"/>
      <c r="H10" s="659"/>
      <c r="I10" s="659"/>
    </row>
    <row r="11" spans="1:50" ht="15" customHeight="1" x14ac:dyDescent="0.25"/>
    <row r="12" spans="1:50" s="7" customFormat="1" ht="21.75" customHeight="1" x14ac:dyDescent="0.25">
      <c r="A12" s="686" t="s">
        <v>90</v>
      </c>
      <c r="B12" s="686" t="s">
        <v>33</v>
      </c>
      <c r="C12" s="686"/>
      <c r="D12" s="686"/>
      <c r="E12" s="686" t="s">
        <v>635</v>
      </c>
      <c r="F12" s="686"/>
      <c r="G12" s="686" t="s">
        <v>636</v>
      </c>
      <c r="H12" s="686" t="s">
        <v>637</v>
      </c>
      <c r="I12" s="686" t="s">
        <v>638</v>
      </c>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row>
    <row r="13" spans="1:50" s="7" customFormat="1" ht="21.75" customHeight="1" x14ac:dyDescent="0.25">
      <c r="A13" s="686"/>
      <c r="B13" s="686"/>
      <c r="C13" s="686"/>
      <c r="D13" s="686"/>
      <c r="E13" s="491" t="s">
        <v>639</v>
      </c>
      <c r="F13" s="491" t="s">
        <v>640</v>
      </c>
      <c r="G13" s="686"/>
      <c r="H13" s="686"/>
      <c r="I13" s="686"/>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row>
    <row r="14" spans="1:50" s="7" customFormat="1" x14ac:dyDescent="0.25">
      <c r="A14" s="491">
        <v>1</v>
      </c>
      <c r="B14" s="686">
        <v>2</v>
      </c>
      <c r="C14" s="686"/>
      <c r="D14" s="686"/>
      <c r="E14" s="491">
        <v>3</v>
      </c>
      <c r="F14" s="491">
        <v>4</v>
      </c>
      <c r="G14" s="491">
        <v>5</v>
      </c>
      <c r="H14" s="491">
        <v>6</v>
      </c>
      <c r="I14" s="491">
        <v>7</v>
      </c>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row>
    <row r="15" spans="1:50" ht="44.25" customHeight="1" x14ac:dyDescent="0.25">
      <c r="A15" s="657" t="s">
        <v>98</v>
      </c>
      <c r="B15" s="657" t="s">
        <v>2411</v>
      </c>
      <c r="C15" s="657"/>
      <c r="D15" s="657"/>
      <c r="E15" s="858">
        <v>1</v>
      </c>
      <c r="F15" s="489" t="s">
        <v>20</v>
      </c>
      <c r="G15" s="858">
        <v>2</v>
      </c>
      <c r="H15" s="490">
        <v>22082</v>
      </c>
      <c r="I15" s="658">
        <f>ROUND((E15 * G15 * H15+E16 * G16 * H16+E17 * G17 * H17+E18 *G18 * H18+E19 * G19 * H19+E20* G20 * H20),2)</f>
        <v>2116515</v>
      </c>
    </row>
    <row r="16" spans="1:50" ht="44.25" customHeight="1" x14ac:dyDescent="0.25">
      <c r="A16" s="657"/>
      <c r="B16" s="657"/>
      <c r="C16" s="657"/>
      <c r="D16" s="657"/>
      <c r="E16" s="858">
        <v>2</v>
      </c>
      <c r="F16" s="489" t="s">
        <v>641</v>
      </c>
      <c r="G16" s="858">
        <v>5</v>
      </c>
      <c r="H16" s="490">
        <v>17599</v>
      </c>
      <c r="I16" s="658"/>
    </row>
    <row r="17" spans="1:12" ht="44.25" customHeight="1" x14ac:dyDescent="0.25">
      <c r="A17" s="657"/>
      <c r="B17" s="657"/>
      <c r="C17" s="657"/>
      <c r="D17" s="657"/>
      <c r="E17" s="858">
        <v>1</v>
      </c>
      <c r="F17" s="489" t="s">
        <v>642</v>
      </c>
      <c r="G17" s="858">
        <v>4</v>
      </c>
      <c r="H17" s="490">
        <v>22082</v>
      </c>
      <c r="I17" s="658"/>
    </row>
    <row r="18" spans="1:12" ht="44.25" customHeight="1" x14ac:dyDescent="0.25">
      <c r="A18" s="657"/>
      <c r="B18" s="657"/>
      <c r="C18" s="657"/>
      <c r="D18" s="657"/>
      <c r="E18" s="858">
        <v>2</v>
      </c>
      <c r="F18" s="489" t="s">
        <v>643</v>
      </c>
      <c r="G18" s="858">
        <v>7</v>
      </c>
      <c r="H18" s="490">
        <v>15758</v>
      </c>
      <c r="I18" s="658"/>
    </row>
    <row r="19" spans="1:12" ht="44.25" customHeight="1" x14ac:dyDescent="0.25">
      <c r="A19" s="657"/>
      <c r="B19" s="657"/>
      <c r="C19" s="657"/>
      <c r="D19" s="657"/>
      <c r="E19" s="858">
        <v>3</v>
      </c>
      <c r="F19" s="489" t="s">
        <v>644</v>
      </c>
      <c r="G19" s="858">
        <v>29</v>
      </c>
      <c r="H19" s="490">
        <v>14027</v>
      </c>
      <c r="I19" s="658"/>
    </row>
    <row r="20" spans="1:12" ht="44.25" customHeight="1" x14ac:dyDescent="0.25">
      <c r="A20" s="657"/>
      <c r="B20" s="657"/>
      <c r="C20" s="657"/>
      <c r="D20" s="657"/>
      <c r="E20" s="858">
        <v>2</v>
      </c>
      <c r="F20" s="489" t="s">
        <v>645</v>
      </c>
      <c r="G20" s="858">
        <v>16</v>
      </c>
      <c r="H20" s="490">
        <v>11471</v>
      </c>
      <c r="I20" s="658"/>
    </row>
    <row r="21" spans="1:12" ht="15" customHeight="1" x14ac:dyDescent="0.25">
      <c r="A21" s="241" t="s">
        <v>104</v>
      </c>
      <c r="B21" s="657" t="s">
        <v>604</v>
      </c>
      <c r="C21" s="657"/>
      <c r="D21" s="657"/>
      <c r="E21" s="241"/>
      <c r="F21" s="241"/>
      <c r="G21" s="241"/>
      <c r="H21" s="241"/>
      <c r="I21" s="242">
        <f>ROUND($I$15,2)</f>
        <v>2116515</v>
      </c>
    </row>
    <row r="22" spans="1:12" ht="15" customHeight="1" x14ac:dyDescent="0.25"/>
    <row r="23" spans="1:12" ht="15" customHeight="1" x14ac:dyDescent="0.25"/>
    <row r="24" spans="1:12" ht="15" customHeight="1" x14ac:dyDescent="0.25">
      <c r="A24" s="571" t="s">
        <v>646</v>
      </c>
      <c r="B24" s="571"/>
      <c r="C24" s="571"/>
      <c r="D24" s="571"/>
      <c r="E24" s="571"/>
      <c r="F24" s="571"/>
      <c r="G24" s="571"/>
      <c r="H24" s="571"/>
      <c r="I24" s="571"/>
    </row>
    <row r="25" spans="1:12" ht="15" customHeight="1" x14ac:dyDescent="0.25"/>
    <row r="26" spans="1:12" ht="15" customHeight="1" x14ac:dyDescent="0.25"/>
    <row r="27" spans="1:12" ht="27.2" customHeight="1" x14ac:dyDescent="0.25">
      <c r="A27" s="241" t="s">
        <v>110</v>
      </c>
      <c r="B27" s="657" t="s">
        <v>647</v>
      </c>
      <c r="C27" s="657"/>
      <c r="D27" s="657"/>
      <c r="E27" s="657"/>
      <c r="F27" s="657"/>
      <c r="G27" s="657"/>
      <c r="H27" s="657"/>
      <c r="I27" s="242">
        <f>I21</f>
        <v>2116515</v>
      </c>
    </row>
    <row r="28" spans="1:12" ht="40.9" customHeight="1" x14ac:dyDescent="0.25">
      <c r="A28" s="241" t="s">
        <v>116</v>
      </c>
      <c r="B28" s="657" t="s">
        <v>648</v>
      </c>
      <c r="C28" s="657"/>
      <c r="D28" s="657"/>
      <c r="E28" s="657"/>
      <c r="F28" s="657"/>
      <c r="G28" s="657"/>
      <c r="H28" s="657"/>
      <c r="I28" s="490">
        <f>ROUND((($I$27) / 0.45),2)</f>
        <v>4703366.67</v>
      </c>
    </row>
    <row r="29" spans="1:12" ht="40.9" customHeight="1" x14ac:dyDescent="0.25">
      <c r="A29" s="241" t="s">
        <v>122</v>
      </c>
      <c r="B29" s="657" t="s">
        <v>649</v>
      </c>
      <c r="C29" s="657"/>
      <c r="D29" s="657"/>
      <c r="E29" s="657"/>
      <c r="F29" s="657"/>
      <c r="G29" s="657"/>
      <c r="H29" s="657"/>
      <c r="I29" s="490">
        <f>ROUND(($I$28) * (8/100),2)</f>
        <v>376269.33</v>
      </c>
    </row>
    <row r="30" spans="1:12" s="2" customFormat="1" ht="27.2" customHeight="1" x14ac:dyDescent="0.25">
      <c r="A30" s="241" t="s">
        <v>129</v>
      </c>
      <c r="B30" s="657" t="s">
        <v>650</v>
      </c>
      <c r="C30" s="657"/>
      <c r="D30" s="657"/>
      <c r="E30" s="657"/>
      <c r="F30" s="657"/>
      <c r="G30" s="657"/>
      <c r="H30" s="657"/>
      <c r="I30" s="490">
        <f>ROUND(($I$28+$I$29),2)</f>
        <v>5079636</v>
      </c>
    </row>
    <row r="31" spans="1:12" s="2" customFormat="1" ht="27.2" customHeight="1" x14ac:dyDescent="0.25">
      <c r="A31" s="241">
        <v>7</v>
      </c>
      <c r="B31" s="654" t="s">
        <v>651</v>
      </c>
      <c r="C31" s="655"/>
      <c r="D31" s="655"/>
      <c r="E31" s="655"/>
      <c r="F31" s="655"/>
      <c r="G31" s="655"/>
      <c r="H31" s="656"/>
      <c r="I31" s="490">
        <f>ROUND(($I$30),2)</f>
        <v>5079636</v>
      </c>
    </row>
    <row r="32" spans="1:12" s="2" customFormat="1" ht="15" customHeight="1" x14ac:dyDescent="0.25">
      <c r="A32" s="241">
        <v>8</v>
      </c>
      <c r="B32" s="657" t="s">
        <v>613</v>
      </c>
      <c r="C32" s="657"/>
      <c r="D32" s="657"/>
      <c r="E32" s="657"/>
      <c r="F32" s="657"/>
      <c r="G32" s="657"/>
      <c r="H32" s="657"/>
      <c r="I32" s="242">
        <f>I31</f>
        <v>5079636</v>
      </c>
      <c r="K32" s="243">
        <f>I32</f>
        <v>5079636</v>
      </c>
      <c r="L32" s="243"/>
    </row>
    <row r="33" s="2" customFormat="1" ht="15" customHeight="1" x14ac:dyDescent="0.25"/>
    <row r="34" s="2" customFormat="1" ht="15" customHeight="1" x14ac:dyDescent="0.25"/>
    <row r="35" s="2" customFormat="1" ht="15" customHeight="1" x14ac:dyDescent="0.25"/>
    <row r="36" s="2" customFormat="1" ht="15" customHeight="1" x14ac:dyDescent="0.25"/>
    <row r="37" s="2" customFormat="1" ht="15" customHeight="1" x14ac:dyDescent="0.25"/>
    <row r="38" s="2" customFormat="1" ht="15" customHeight="1" x14ac:dyDescent="0.25"/>
    <row r="39" s="2" customFormat="1" ht="15" customHeight="1" x14ac:dyDescent="0.25"/>
    <row r="40" s="2" customFormat="1" ht="15" customHeight="1" x14ac:dyDescent="0.25"/>
    <row r="41" s="2" customFormat="1" ht="15" customHeight="1" x14ac:dyDescent="0.25"/>
    <row r="42" s="2" customFormat="1" ht="15" customHeight="1" x14ac:dyDescent="0.25"/>
    <row r="43" s="2" customFormat="1" ht="15" customHeight="1" x14ac:dyDescent="0.25"/>
    <row r="44" s="2" customFormat="1" ht="15" customHeight="1" x14ac:dyDescent="0.25"/>
    <row r="45" s="2" customFormat="1" ht="15" customHeight="1" x14ac:dyDescent="0.25"/>
    <row r="46" s="2" customFormat="1" ht="15" customHeight="1" x14ac:dyDescent="0.25"/>
    <row r="47" s="2" customFormat="1" ht="15" customHeight="1" x14ac:dyDescent="0.25"/>
    <row r="48" s="2" customFormat="1" ht="15" customHeight="1" x14ac:dyDescent="0.25"/>
    <row r="49" s="2" customFormat="1" ht="15" customHeight="1" x14ac:dyDescent="0.25"/>
    <row r="50" s="2" customFormat="1" ht="15" customHeight="1" x14ac:dyDescent="0.25"/>
  </sheetData>
  <mergeCells count="28">
    <mergeCell ref="A1:C1"/>
    <mergeCell ref="D1:I1"/>
    <mergeCell ref="A3:I3"/>
    <mergeCell ref="A4:I4"/>
    <mergeCell ref="A6:D6"/>
    <mergeCell ref="E6:I6"/>
    <mergeCell ref="A8:D8"/>
    <mergeCell ref="E8:I8"/>
    <mergeCell ref="A10:D10"/>
    <mergeCell ref="E10:I10"/>
    <mergeCell ref="A12:A13"/>
    <mergeCell ref="B12:D13"/>
    <mergeCell ref="E12:F12"/>
    <mergeCell ref="G12:G13"/>
    <mergeCell ref="H12:H13"/>
    <mergeCell ref="I12:I13"/>
    <mergeCell ref="B14:D14"/>
    <mergeCell ref="A15:A20"/>
    <mergeCell ref="B15:D20"/>
    <mergeCell ref="I15:I20"/>
    <mergeCell ref="B21:D21"/>
    <mergeCell ref="B31:H31"/>
    <mergeCell ref="B32:H32"/>
    <mergeCell ref="A24:I24"/>
    <mergeCell ref="B27:H27"/>
    <mergeCell ref="B28:H28"/>
    <mergeCell ref="B29:H29"/>
    <mergeCell ref="B30:H30"/>
  </mergeCells>
  <pageMargins left="0.40000000000000008" right="0.40000000000000008" top="0.75" bottom="0.75" header="0.3" footer="0.3"/>
  <pageSetup paperSize="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H61"/>
  <sheetViews>
    <sheetView topLeftCell="A33" zoomScale="85" zoomScaleNormal="85" workbookViewId="0">
      <selection activeCell="G248" sqref="G248"/>
    </sheetView>
  </sheetViews>
  <sheetFormatPr defaultColWidth="11.5703125" defaultRowHeight="12.75" x14ac:dyDescent="0.2"/>
  <cols>
    <col min="1" max="1" width="5.5703125" style="245" customWidth="1"/>
    <col min="2" max="2" width="35.28515625" style="246" customWidth="1"/>
    <col min="3" max="3" width="12.28515625" style="246" customWidth="1"/>
    <col min="4" max="4" width="22" style="246" customWidth="1"/>
    <col min="5" max="5" width="14.28515625" style="246" customWidth="1"/>
    <col min="6" max="6" width="15.28515625" style="244" customWidth="1"/>
    <col min="7" max="7" width="16.28515625" style="244" customWidth="1"/>
    <col min="8" max="8" width="16.140625" style="244" customWidth="1"/>
    <col min="9" max="227" width="11.5703125" style="244"/>
    <col min="228" max="228" width="4.7109375" style="244" customWidth="1"/>
    <col min="229" max="229" width="35.28515625" style="244" customWidth="1"/>
    <col min="230" max="230" width="13.140625" style="244" customWidth="1"/>
    <col min="231" max="231" width="12.85546875" style="244" customWidth="1"/>
    <col min="232" max="232" width="14.28515625" style="244" customWidth="1"/>
    <col min="233" max="233" width="15.28515625" style="244" customWidth="1"/>
    <col min="234" max="234" width="16.28515625" style="244" customWidth="1"/>
    <col min="235" max="235" width="11.5703125" style="244"/>
    <col min="236" max="237" width="0" style="244" hidden="1" customWidth="1"/>
    <col min="238" max="483" width="11.5703125" style="244"/>
    <col min="484" max="484" width="4.7109375" style="244" customWidth="1"/>
    <col min="485" max="485" width="35.28515625" style="244" customWidth="1"/>
    <col min="486" max="486" width="13.140625" style="244" customWidth="1"/>
    <col min="487" max="487" width="12.85546875" style="244" customWidth="1"/>
    <col min="488" max="488" width="14.28515625" style="244" customWidth="1"/>
    <col min="489" max="489" width="15.28515625" style="244" customWidth="1"/>
    <col min="490" max="490" width="16.28515625" style="244" customWidth="1"/>
    <col min="491" max="491" width="11.5703125" style="244"/>
    <col min="492" max="493" width="0" style="244" hidden="1" customWidth="1"/>
    <col min="494" max="739" width="11.5703125" style="244"/>
    <col min="740" max="740" width="4.7109375" style="244" customWidth="1"/>
    <col min="741" max="741" width="35.28515625" style="244" customWidth="1"/>
    <col min="742" max="742" width="13.140625" style="244" customWidth="1"/>
    <col min="743" max="743" width="12.85546875" style="244" customWidth="1"/>
    <col min="744" max="744" width="14.28515625" style="244" customWidth="1"/>
    <col min="745" max="745" width="15.28515625" style="244" customWidth="1"/>
    <col min="746" max="746" width="16.28515625" style="244" customWidth="1"/>
    <col min="747" max="747" width="11.5703125" style="244"/>
    <col min="748" max="749" width="0" style="244" hidden="1" customWidth="1"/>
    <col min="750" max="995" width="11.5703125" style="244"/>
    <col min="996" max="996" width="4.7109375" style="244" customWidth="1"/>
    <col min="997" max="997" width="35.28515625" style="244" customWidth="1"/>
    <col min="998" max="998" width="13.140625" style="244" customWidth="1"/>
    <col min="999" max="999" width="12.85546875" style="244" customWidth="1"/>
    <col min="1000" max="1000" width="14.28515625" style="244" customWidth="1"/>
    <col min="1001" max="1001" width="15.28515625" style="244" customWidth="1"/>
    <col min="1002" max="1002" width="16.28515625" style="244" customWidth="1"/>
    <col min="1003" max="1003" width="11.5703125" style="244"/>
    <col min="1004" max="1005" width="0" style="244" hidden="1" customWidth="1"/>
    <col min="1006" max="1251" width="11.5703125" style="244"/>
    <col min="1252" max="1252" width="4.7109375" style="244" customWidth="1"/>
    <col min="1253" max="1253" width="35.28515625" style="244" customWidth="1"/>
    <col min="1254" max="1254" width="13.140625" style="244" customWidth="1"/>
    <col min="1255" max="1255" width="12.85546875" style="244" customWidth="1"/>
    <col min="1256" max="1256" width="14.28515625" style="244" customWidth="1"/>
    <col min="1257" max="1257" width="15.28515625" style="244" customWidth="1"/>
    <col min="1258" max="1258" width="16.28515625" style="244" customWidth="1"/>
    <col min="1259" max="1259" width="11.5703125" style="244"/>
    <col min="1260" max="1261" width="0" style="244" hidden="1" customWidth="1"/>
    <col min="1262" max="1507" width="11.5703125" style="244"/>
    <col min="1508" max="1508" width="4.7109375" style="244" customWidth="1"/>
    <col min="1509" max="1509" width="35.28515625" style="244" customWidth="1"/>
    <col min="1510" max="1510" width="13.140625" style="244" customWidth="1"/>
    <col min="1511" max="1511" width="12.85546875" style="244" customWidth="1"/>
    <col min="1512" max="1512" width="14.28515625" style="244" customWidth="1"/>
    <col min="1513" max="1513" width="15.28515625" style="244" customWidth="1"/>
    <col min="1514" max="1514" width="16.28515625" style="244" customWidth="1"/>
    <col min="1515" max="1515" width="11.5703125" style="244"/>
    <col min="1516" max="1517" width="0" style="244" hidden="1" customWidth="1"/>
    <col min="1518" max="1763" width="11.5703125" style="244"/>
    <col min="1764" max="1764" width="4.7109375" style="244" customWidth="1"/>
    <col min="1765" max="1765" width="35.28515625" style="244" customWidth="1"/>
    <col min="1766" max="1766" width="13.140625" style="244" customWidth="1"/>
    <col min="1767" max="1767" width="12.85546875" style="244" customWidth="1"/>
    <col min="1768" max="1768" width="14.28515625" style="244" customWidth="1"/>
    <col min="1769" max="1769" width="15.28515625" style="244" customWidth="1"/>
    <col min="1770" max="1770" width="16.28515625" style="244" customWidth="1"/>
    <col min="1771" max="1771" width="11.5703125" style="244"/>
    <col min="1772" max="1773" width="0" style="244" hidden="1" customWidth="1"/>
    <col min="1774" max="2019" width="11.5703125" style="244"/>
    <col min="2020" max="2020" width="4.7109375" style="244" customWidth="1"/>
    <col min="2021" max="2021" width="35.28515625" style="244" customWidth="1"/>
    <col min="2022" max="2022" width="13.140625" style="244" customWidth="1"/>
    <col min="2023" max="2023" width="12.85546875" style="244" customWidth="1"/>
    <col min="2024" max="2024" width="14.28515625" style="244" customWidth="1"/>
    <col min="2025" max="2025" width="15.28515625" style="244" customWidth="1"/>
    <col min="2026" max="2026" width="16.28515625" style="244" customWidth="1"/>
    <col min="2027" max="2027" width="11.5703125" style="244"/>
    <col min="2028" max="2029" width="0" style="244" hidden="1" customWidth="1"/>
    <col min="2030" max="2275" width="11.5703125" style="244"/>
    <col min="2276" max="2276" width="4.7109375" style="244" customWidth="1"/>
    <col min="2277" max="2277" width="35.28515625" style="244" customWidth="1"/>
    <col min="2278" max="2278" width="13.140625" style="244" customWidth="1"/>
    <col min="2279" max="2279" width="12.85546875" style="244" customWidth="1"/>
    <col min="2280" max="2280" width="14.28515625" style="244" customWidth="1"/>
    <col min="2281" max="2281" width="15.28515625" style="244" customWidth="1"/>
    <col min="2282" max="2282" width="16.28515625" style="244" customWidth="1"/>
    <col min="2283" max="2283" width="11.5703125" style="244"/>
    <col min="2284" max="2285" width="0" style="244" hidden="1" customWidth="1"/>
    <col min="2286" max="2531" width="11.5703125" style="244"/>
    <col min="2532" max="2532" width="4.7109375" style="244" customWidth="1"/>
    <col min="2533" max="2533" width="35.28515625" style="244" customWidth="1"/>
    <col min="2534" max="2534" width="13.140625" style="244" customWidth="1"/>
    <col min="2535" max="2535" width="12.85546875" style="244" customWidth="1"/>
    <col min="2536" max="2536" width="14.28515625" style="244" customWidth="1"/>
    <col min="2537" max="2537" width="15.28515625" style="244" customWidth="1"/>
    <col min="2538" max="2538" width="16.28515625" style="244" customWidth="1"/>
    <col min="2539" max="2539" width="11.5703125" style="244"/>
    <col min="2540" max="2541" width="0" style="244" hidden="1" customWidth="1"/>
    <col min="2542" max="2787" width="11.5703125" style="244"/>
    <col min="2788" max="2788" width="4.7109375" style="244" customWidth="1"/>
    <col min="2789" max="2789" width="35.28515625" style="244" customWidth="1"/>
    <col min="2790" max="2790" width="13.140625" style="244" customWidth="1"/>
    <col min="2791" max="2791" width="12.85546875" style="244" customWidth="1"/>
    <col min="2792" max="2792" width="14.28515625" style="244" customWidth="1"/>
    <col min="2793" max="2793" width="15.28515625" style="244" customWidth="1"/>
    <col min="2794" max="2794" width="16.28515625" style="244" customWidth="1"/>
    <col min="2795" max="2795" width="11.5703125" style="244"/>
    <col min="2796" max="2797" width="0" style="244" hidden="1" customWidth="1"/>
    <col min="2798" max="3043" width="11.5703125" style="244"/>
    <col min="3044" max="3044" width="4.7109375" style="244" customWidth="1"/>
    <col min="3045" max="3045" width="35.28515625" style="244" customWidth="1"/>
    <col min="3046" max="3046" width="13.140625" style="244" customWidth="1"/>
    <col min="3047" max="3047" width="12.85546875" style="244" customWidth="1"/>
    <col min="3048" max="3048" width="14.28515625" style="244" customWidth="1"/>
    <col min="3049" max="3049" width="15.28515625" style="244" customWidth="1"/>
    <col min="3050" max="3050" width="16.28515625" style="244" customWidth="1"/>
    <col min="3051" max="3051" width="11.5703125" style="244"/>
    <col min="3052" max="3053" width="0" style="244" hidden="1" customWidth="1"/>
    <col min="3054" max="3299" width="11.5703125" style="244"/>
    <col min="3300" max="3300" width="4.7109375" style="244" customWidth="1"/>
    <col min="3301" max="3301" width="35.28515625" style="244" customWidth="1"/>
    <col min="3302" max="3302" width="13.140625" style="244" customWidth="1"/>
    <col min="3303" max="3303" width="12.85546875" style="244" customWidth="1"/>
    <col min="3304" max="3304" width="14.28515625" style="244" customWidth="1"/>
    <col min="3305" max="3305" width="15.28515625" style="244" customWidth="1"/>
    <col min="3306" max="3306" width="16.28515625" style="244" customWidth="1"/>
    <col min="3307" max="3307" width="11.5703125" style="244"/>
    <col min="3308" max="3309" width="0" style="244" hidden="1" customWidth="1"/>
    <col min="3310" max="3555" width="11.5703125" style="244"/>
    <col min="3556" max="3556" width="4.7109375" style="244" customWidth="1"/>
    <col min="3557" max="3557" width="35.28515625" style="244" customWidth="1"/>
    <col min="3558" max="3558" width="13.140625" style="244" customWidth="1"/>
    <col min="3559" max="3559" width="12.85546875" style="244" customWidth="1"/>
    <col min="3560" max="3560" width="14.28515625" style="244" customWidth="1"/>
    <col min="3561" max="3561" width="15.28515625" style="244" customWidth="1"/>
    <col min="3562" max="3562" width="16.28515625" style="244" customWidth="1"/>
    <col min="3563" max="3563" width="11.5703125" style="244"/>
    <col min="3564" max="3565" width="0" style="244" hidden="1" customWidth="1"/>
    <col min="3566" max="3811" width="11.5703125" style="244"/>
    <col min="3812" max="3812" width="4.7109375" style="244" customWidth="1"/>
    <col min="3813" max="3813" width="35.28515625" style="244" customWidth="1"/>
    <col min="3814" max="3814" width="13.140625" style="244" customWidth="1"/>
    <col min="3815" max="3815" width="12.85546875" style="244" customWidth="1"/>
    <col min="3816" max="3816" width="14.28515625" style="244" customWidth="1"/>
    <col min="3817" max="3817" width="15.28515625" style="244" customWidth="1"/>
    <col min="3818" max="3818" width="16.28515625" style="244" customWidth="1"/>
    <col min="3819" max="3819" width="11.5703125" style="244"/>
    <col min="3820" max="3821" width="0" style="244" hidden="1" customWidth="1"/>
    <col min="3822" max="4067" width="11.5703125" style="244"/>
    <col min="4068" max="4068" width="4.7109375" style="244" customWidth="1"/>
    <col min="4069" max="4069" width="35.28515625" style="244" customWidth="1"/>
    <col min="4070" max="4070" width="13.140625" style="244" customWidth="1"/>
    <col min="4071" max="4071" width="12.85546875" style="244" customWidth="1"/>
    <col min="4072" max="4072" width="14.28515625" style="244" customWidth="1"/>
    <col min="4073" max="4073" width="15.28515625" style="244" customWidth="1"/>
    <col min="4074" max="4074" width="16.28515625" style="244" customWidth="1"/>
    <col min="4075" max="4075" width="11.5703125" style="244"/>
    <col min="4076" max="4077" width="0" style="244" hidden="1" customWidth="1"/>
    <col min="4078" max="4323" width="11.5703125" style="244"/>
    <col min="4324" max="4324" width="4.7109375" style="244" customWidth="1"/>
    <col min="4325" max="4325" width="35.28515625" style="244" customWidth="1"/>
    <col min="4326" max="4326" width="13.140625" style="244" customWidth="1"/>
    <col min="4327" max="4327" width="12.85546875" style="244" customWidth="1"/>
    <col min="4328" max="4328" width="14.28515625" style="244" customWidth="1"/>
    <col min="4329" max="4329" width="15.28515625" style="244" customWidth="1"/>
    <col min="4330" max="4330" width="16.28515625" style="244" customWidth="1"/>
    <col min="4331" max="4331" width="11.5703125" style="244"/>
    <col min="4332" max="4333" width="0" style="244" hidden="1" customWidth="1"/>
    <col min="4334" max="4579" width="11.5703125" style="244"/>
    <col min="4580" max="4580" width="4.7109375" style="244" customWidth="1"/>
    <col min="4581" max="4581" width="35.28515625" style="244" customWidth="1"/>
    <col min="4582" max="4582" width="13.140625" style="244" customWidth="1"/>
    <col min="4583" max="4583" width="12.85546875" style="244" customWidth="1"/>
    <col min="4584" max="4584" width="14.28515625" style="244" customWidth="1"/>
    <col min="4585" max="4585" width="15.28515625" style="244" customWidth="1"/>
    <col min="4586" max="4586" width="16.28515625" style="244" customWidth="1"/>
    <col min="4587" max="4587" width="11.5703125" style="244"/>
    <col min="4588" max="4589" width="0" style="244" hidden="1" customWidth="1"/>
    <col min="4590" max="4835" width="11.5703125" style="244"/>
    <col min="4836" max="4836" width="4.7109375" style="244" customWidth="1"/>
    <col min="4837" max="4837" width="35.28515625" style="244" customWidth="1"/>
    <col min="4838" max="4838" width="13.140625" style="244" customWidth="1"/>
    <col min="4839" max="4839" width="12.85546875" style="244" customWidth="1"/>
    <col min="4840" max="4840" width="14.28515625" style="244" customWidth="1"/>
    <col min="4841" max="4841" width="15.28515625" style="244" customWidth="1"/>
    <col min="4842" max="4842" width="16.28515625" style="244" customWidth="1"/>
    <col min="4843" max="4843" width="11.5703125" style="244"/>
    <col min="4844" max="4845" width="0" style="244" hidden="1" customWidth="1"/>
    <col min="4846" max="5091" width="11.5703125" style="244"/>
    <col min="5092" max="5092" width="4.7109375" style="244" customWidth="1"/>
    <col min="5093" max="5093" width="35.28515625" style="244" customWidth="1"/>
    <col min="5094" max="5094" width="13.140625" style="244" customWidth="1"/>
    <col min="5095" max="5095" width="12.85546875" style="244" customWidth="1"/>
    <col min="5096" max="5096" width="14.28515625" style="244" customWidth="1"/>
    <col min="5097" max="5097" width="15.28515625" style="244" customWidth="1"/>
    <col min="5098" max="5098" width="16.28515625" style="244" customWidth="1"/>
    <col min="5099" max="5099" width="11.5703125" style="244"/>
    <col min="5100" max="5101" width="0" style="244" hidden="1" customWidth="1"/>
    <col min="5102" max="5347" width="11.5703125" style="244"/>
    <col min="5348" max="5348" width="4.7109375" style="244" customWidth="1"/>
    <col min="5349" max="5349" width="35.28515625" style="244" customWidth="1"/>
    <col min="5350" max="5350" width="13.140625" style="244" customWidth="1"/>
    <col min="5351" max="5351" width="12.85546875" style="244" customWidth="1"/>
    <col min="5352" max="5352" width="14.28515625" style="244" customWidth="1"/>
    <col min="5353" max="5353" width="15.28515625" style="244" customWidth="1"/>
    <col min="5354" max="5354" width="16.28515625" style="244" customWidth="1"/>
    <col min="5355" max="5355" width="11.5703125" style="244"/>
    <col min="5356" max="5357" width="0" style="244" hidden="1" customWidth="1"/>
    <col min="5358" max="5603" width="11.5703125" style="244"/>
    <col min="5604" max="5604" width="4.7109375" style="244" customWidth="1"/>
    <col min="5605" max="5605" width="35.28515625" style="244" customWidth="1"/>
    <col min="5606" max="5606" width="13.140625" style="244" customWidth="1"/>
    <col min="5607" max="5607" width="12.85546875" style="244" customWidth="1"/>
    <col min="5608" max="5608" width="14.28515625" style="244" customWidth="1"/>
    <col min="5609" max="5609" width="15.28515625" style="244" customWidth="1"/>
    <col min="5610" max="5610" width="16.28515625" style="244" customWidth="1"/>
    <col min="5611" max="5611" width="11.5703125" style="244"/>
    <col min="5612" max="5613" width="0" style="244" hidden="1" customWidth="1"/>
    <col min="5614" max="5859" width="11.5703125" style="244"/>
    <col min="5860" max="5860" width="4.7109375" style="244" customWidth="1"/>
    <col min="5861" max="5861" width="35.28515625" style="244" customWidth="1"/>
    <col min="5862" max="5862" width="13.140625" style="244" customWidth="1"/>
    <col min="5863" max="5863" width="12.85546875" style="244" customWidth="1"/>
    <col min="5864" max="5864" width="14.28515625" style="244" customWidth="1"/>
    <col min="5865" max="5865" width="15.28515625" style="244" customWidth="1"/>
    <col min="5866" max="5866" width="16.28515625" style="244" customWidth="1"/>
    <col min="5867" max="5867" width="11.5703125" style="244"/>
    <col min="5868" max="5869" width="0" style="244" hidden="1" customWidth="1"/>
    <col min="5870" max="6115" width="11.5703125" style="244"/>
    <col min="6116" max="6116" width="4.7109375" style="244" customWidth="1"/>
    <col min="6117" max="6117" width="35.28515625" style="244" customWidth="1"/>
    <col min="6118" max="6118" width="13.140625" style="244" customWidth="1"/>
    <col min="6119" max="6119" width="12.85546875" style="244" customWidth="1"/>
    <col min="6120" max="6120" width="14.28515625" style="244" customWidth="1"/>
    <col min="6121" max="6121" width="15.28515625" style="244" customWidth="1"/>
    <col min="6122" max="6122" width="16.28515625" style="244" customWidth="1"/>
    <col min="6123" max="6123" width="11.5703125" style="244"/>
    <col min="6124" max="6125" width="0" style="244" hidden="1" customWidth="1"/>
    <col min="6126" max="6371" width="11.5703125" style="244"/>
    <col min="6372" max="6372" width="4.7109375" style="244" customWidth="1"/>
    <col min="6373" max="6373" width="35.28515625" style="244" customWidth="1"/>
    <col min="6374" max="6374" width="13.140625" style="244" customWidth="1"/>
    <col min="6375" max="6375" width="12.85546875" style="244" customWidth="1"/>
    <col min="6376" max="6376" width="14.28515625" style="244" customWidth="1"/>
    <col min="6377" max="6377" width="15.28515625" style="244" customWidth="1"/>
    <col min="6378" max="6378" width="16.28515625" style="244" customWidth="1"/>
    <col min="6379" max="6379" width="11.5703125" style="244"/>
    <col min="6380" max="6381" width="0" style="244" hidden="1" customWidth="1"/>
    <col min="6382" max="6627" width="11.5703125" style="244"/>
    <col min="6628" max="6628" width="4.7109375" style="244" customWidth="1"/>
    <col min="6629" max="6629" width="35.28515625" style="244" customWidth="1"/>
    <col min="6630" max="6630" width="13.140625" style="244" customWidth="1"/>
    <col min="6631" max="6631" width="12.85546875" style="244" customWidth="1"/>
    <col min="6632" max="6632" width="14.28515625" style="244" customWidth="1"/>
    <col min="6633" max="6633" width="15.28515625" style="244" customWidth="1"/>
    <col min="6634" max="6634" width="16.28515625" style="244" customWidth="1"/>
    <col min="6635" max="6635" width="11.5703125" style="244"/>
    <col min="6636" max="6637" width="0" style="244" hidden="1" customWidth="1"/>
    <col min="6638" max="6883" width="11.5703125" style="244"/>
    <col min="6884" max="6884" width="4.7109375" style="244" customWidth="1"/>
    <col min="6885" max="6885" width="35.28515625" style="244" customWidth="1"/>
    <col min="6886" max="6886" width="13.140625" style="244" customWidth="1"/>
    <col min="6887" max="6887" width="12.85546875" style="244" customWidth="1"/>
    <col min="6888" max="6888" width="14.28515625" style="244" customWidth="1"/>
    <col min="6889" max="6889" width="15.28515625" style="244" customWidth="1"/>
    <col min="6890" max="6890" width="16.28515625" style="244" customWidth="1"/>
    <col min="6891" max="6891" width="11.5703125" style="244"/>
    <col min="6892" max="6893" width="0" style="244" hidden="1" customWidth="1"/>
    <col min="6894" max="7139" width="11.5703125" style="244"/>
    <col min="7140" max="7140" width="4.7109375" style="244" customWidth="1"/>
    <col min="7141" max="7141" width="35.28515625" style="244" customWidth="1"/>
    <col min="7142" max="7142" width="13.140625" style="244" customWidth="1"/>
    <col min="7143" max="7143" width="12.85546875" style="244" customWidth="1"/>
    <col min="7144" max="7144" width="14.28515625" style="244" customWidth="1"/>
    <col min="7145" max="7145" width="15.28515625" style="244" customWidth="1"/>
    <col min="7146" max="7146" width="16.28515625" style="244" customWidth="1"/>
    <col min="7147" max="7147" width="11.5703125" style="244"/>
    <col min="7148" max="7149" width="0" style="244" hidden="1" customWidth="1"/>
    <col min="7150" max="7395" width="11.5703125" style="244"/>
    <col min="7396" max="7396" width="4.7109375" style="244" customWidth="1"/>
    <col min="7397" max="7397" width="35.28515625" style="244" customWidth="1"/>
    <col min="7398" max="7398" width="13.140625" style="244" customWidth="1"/>
    <col min="7399" max="7399" width="12.85546875" style="244" customWidth="1"/>
    <col min="7400" max="7400" width="14.28515625" style="244" customWidth="1"/>
    <col min="7401" max="7401" width="15.28515625" style="244" customWidth="1"/>
    <col min="7402" max="7402" width="16.28515625" style="244" customWidth="1"/>
    <col min="7403" max="7403" width="11.5703125" style="244"/>
    <col min="7404" max="7405" width="0" style="244" hidden="1" customWidth="1"/>
    <col min="7406" max="7651" width="11.5703125" style="244"/>
    <col min="7652" max="7652" width="4.7109375" style="244" customWidth="1"/>
    <col min="7653" max="7653" width="35.28515625" style="244" customWidth="1"/>
    <col min="7654" max="7654" width="13.140625" style="244" customWidth="1"/>
    <col min="7655" max="7655" width="12.85546875" style="244" customWidth="1"/>
    <col min="7656" max="7656" width="14.28515625" style="244" customWidth="1"/>
    <col min="7657" max="7657" width="15.28515625" style="244" customWidth="1"/>
    <col min="7658" max="7658" width="16.28515625" style="244" customWidth="1"/>
    <col min="7659" max="7659" width="11.5703125" style="244"/>
    <col min="7660" max="7661" width="0" style="244" hidden="1" customWidth="1"/>
    <col min="7662" max="7907" width="11.5703125" style="244"/>
    <col min="7908" max="7908" width="4.7109375" style="244" customWidth="1"/>
    <col min="7909" max="7909" width="35.28515625" style="244" customWidth="1"/>
    <col min="7910" max="7910" width="13.140625" style="244" customWidth="1"/>
    <col min="7911" max="7911" width="12.85546875" style="244" customWidth="1"/>
    <col min="7912" max="7912" width="14.28515625" style="244" customWidth="1"/>
    <col min="7913" max="7913" width="15.28515625" style="244" customWidth="1"/>
    <col min="7914" max="7914" width="16.28515625" style="244" customWidth="1"/>
    <col min="7915" max="7915" width="11.5703125" style="244"/>
    <col min="7916" max="7917" width="0" style="244" hidden="1" customWidth="1"/>
    <col min="7918" max="8163" width="11.5703125" style="244"/>
    <col min="8164" max="8164" width="4.7109375" style="244" customWidth="1"/>
    <col min="8165" max="8165" width="35.28515625" style="244" customWidth="1"/>
    <col min="8166" max="8166" width="13.140625" style="244" customWidth="1"/>
    <col min="8167" max="8167" width="12.85546875" style="244" customWidth="1"/>
    <col min="8168" max="8168" width="14.28515625" style="244" customWidth="1"/>
    <col min="8169" max="8169" width="15.28515625" style="244" customWidth="1"/>
    <col min="8170" max="8170" width="16.28515625" style="244" customWidth="1"/>
    <col min="8171" max="8171" width="11.5703125" style="244"/>
    <col min="8172" max="8173" width="0" style="244" hidden="1" customWidth="1"/>
    <col min="8174" max="8419" width="11.5703125" style="244"/>
    <col min="8420" max="8420" width="4.7109375" style="244" customWidth="1"/>
    <col min="8421" max="8421" width="35.28515625" style="244" customWidth="1"/>
    <col min="8422" max="8422" width="13.140625" style="244" customWidth="1"/>
    <col min="8423" max="8423" width="12.85546875" style="244" customWidth="1"/>
    <col min="8424" max="8424" width="14.28515625" style="244" customWidth="1"/>
    <col min="8425" max="8425" width="15.28515625" style="244" customWidth="1"/>
    <col min="8426" max="8426" width="16.28515625" style="244" customWidth="1"/>
    <col min="8427" max="8427" width="11.5703125" style="244"/>
    <col min="8428" max="8429" width="0" style="244" hidden="1" customWidth="1"/>
    <col min="8430" max="8675" width="11.5703125" style="244"/>
    <col min="8676" max="8676" width="4.7109375" style="244" customWidth="1"/>
    <col min="8677" max="8677" width="35.28515625" style="244" customWidth="1"/>
    <col min="8678" max="8678" width="13.140625" style="244" customWidth="1"/>
    <col min="8679" max="8679" width="12.85546875" style="244" customWidth="1"/>
    <col min="8680" max="8680" width="14.28515625" style="244" customWidth="1"/>
    <col min="8681" max="8681" width="15.28515625" style="244" customWidth="1"/>
    <col min="8682" max="8682" width="16.28515625" style="244" customWidth="1"/>
    <col min="8683" max="8683" width="11.5703125" style="244"/>
    <col min="8684" max="8685" width="0" style="244" hidden="1" customWidth="1"/>
    <col min="8686" max="8931" width="11.5703125" style="244"/>
    <col min="8932" max="8932" width="4.7109375" style="244" customWidth="1"/>
    <col min="8933" max="8933" width="35.28515625" style="244" customWidth="1"/>
    <col min="8934" max="8934" width="13.140625" style="244" customWidth="1"/>
    <col min="8935" max="8935" width="12.85546875" style="244" customWidth="1"/>
    <col min="8936" max="8936" width="14.28515625" style="244" customWidth="1"/>
    <col min="8937" max="8937" width="15.28515625" style="244" customWidth="1"/>
    <col min="8938" max="8938" width="16.28515625" style="244" customWidth="1"/>
    <col min="8939" max="8939" width="11.5703125" style="244"/>
    <col min="8940" max="8941" width="0" style="244" hidden="1" customWidth="1"/>
    <col min="8942" max="9187" width="11.5703125" style="244"/>
    <col min="9188" max="9188" width="4.7109375" style="244" customWidth="1"/>
    <col min="9189" max="9189" width="35.28515625" style="244" customWidth="1"/>
    <col min="9190" max="9190" width="13.140625" style="244" customWidth="1"/>
    <col min="9191" max="9191" width="12.85546875" style="244" customWidth="1"/>
    <col min="9192" max="9192" width="14.28515625" style="244" customWidth="1"/>
    <col min="9193" max="9193" width="15.28515625" style="244" customWidth="1"/>
    <col min="9194" max="9194" width="16.28515625" style="244" customWidth="1"/>
    <col min="9195" max="9195" width="11.5703125" style="244"/>
    <col min="9196" max="9197" width="0" style="244" hidden="1" customWidth="1"/>
    <col min="9198" max="9443" width="11.5703125" style="244"/>
    <col min="9444" max="9444" width="4.7109375" style="244" customWidth="1"/>
    <col min="9445" max="9445" width="35.28515625" style="244" customWidth="1"/>
    <col min="9446" max="9446" width="13.140625" style="244" customWidth="1"/>
    <col min="9447" max="9447" width="12.85546875" style="244" customWidth="1"/>
    <col min="9448" max="9448" width="14.28515625" style="244" customWidth="1"/>
    <col min="9449" max="9449" width="15.28515625" style="244" customWidth="1"/>
    <col min="9450" max="9450" width="16.28515625" style="244" customWidth="1"/>
    <col min="9451" max="9451" width="11.5703125" style="244"/>
    <col min="9452" max="9453" width="0" style="244" hidden="1" customWidth="1"/>
    <col min="9454" max="9699" width="11.5703125" style="244"/>
    <col min="9700" max="9700" width="4.7109375" style="244" customWidth="1"/>
    <col min="9701" max="9701" width="35.28515625" style="244" customWidth="1"/>
    <col min="9702" max="9702" width="13.140625" style="244" customWidth="1"/>
    <col min="9703" max="9703" width="12.85546875" style="244" customWidth="1"/>
    <col min="9704" max="9704" width="14.28515625" style="244" customWidth="1"/>
    <col min="9705" max="9705" width="15.28515625" style="244" customWidth="1"/>
    <col min="9706" max="9706" width="16.28515625" style="244" customWidth="1"/>
    <col min="9707" max="9707" width="11.5703125" style="244"/>
    <col min="9708" max="9709" width="0" style="244" hidden="1" customWidth="1"/>
    <col min="9710" max="9955" width="11.5703125" style="244"/>
    <col min="9956" max="9956" width="4.7109375" style="244" customWidth="1"/>
    <col min="9957" max="9957" width="35.28515625" style="244" customWidth="1"/>
    <col min="9958" max="9958" width="13.140625" style="244" customWidth="1"/>
    <col min="9959" max="9959" width="12.85546875" style="244" customWidth="1"/>
    <col min="9960" max="9960" width="14.28515625" style="244" customWidth="1"/>
    <col min="9961" max="9961" width="15.28515625" style="244" customWidth="1"/>
    <col min="9962" max="9962" width="16.28515625" style="244" customWidth="1"/>
    <col min="9963" max="9963" width="11.5703125" style="244"/>
    <col min="9964" max="9965" width="0" style="244" hidden="1" customWidth="1"/>
    <col min="9966" max="10211" width="11.5703125" style="244"/>
    <col min="10212" max="10212" width="4.7109375" style="244" customWidth="1"/>
    <col min="10213" max="10213" width="35.28515625" style="244" customWidth="1"/>
    <col min="10214" max="10214" width="13.140625" style="244" customWidth="1"/>
    <col min="10215" max="10215" width="12.85546875" style="244" customWidth="1"/>
    <col min="10216" max="10216" width="14.28515625" style="244" customWidth="1"/>
    <col min="10217" max="10217" width="15.28515625" style="244" customWidth="1"/>
    <col min="10218" max="10218" width="16.28515625" style="244" customWidth="1"/>
    <col min="10219" max="10219" width="11.5703125" style="244"/>
    <col min="10220" max="10221" width="0" style="244" hidden="1" customWidth="1"/>
    <col min="10222" max="10467" width="11.5703125" style="244"/>
    <col min="10468" max="10468" width="4.7109375" style="244" customWidth="1"/>
    <col min="10469" max="10469" width="35.28515625" style="244" customWidth="1"/>
    <col min="10470" max="10470" width="13.140625" style="244" customWidth="1"/>
    <col min="10471" max="10471" width="12.85546875" style="244" customWidth="1"/>
    <col min="10472" max="10472" width="14.28515625" style="244" customWidth="1"/>
    <col min="10473" max="10473" width="15.28515625" style="244" customWidth="1"/>
    <col min="10474" max="10474" width="16.28515625" style="244" customWidth="1"/>
    <col min="10475" max="10475" width="11.5703125" style="244"/>
    <col min="10476" max="10477" width="0" style="244" hidden="1" customWidth="1"/>
    <col min="10478" max="10723" width="11.5703125" style="244"/>
    <col min="10724" max="10724" width="4.7109375" style="244" customWidth="1"/>
    <col min="10725" max="10725" width="35.28515625" style="244" customWidth="1"/>
    <col min="10726" max="10726" width="13.140625" style="244" customWidth="1"/>
    <col min="10727" max="10727" width="12.85546875" style="244" customWidth="1"/>
    <col min="10728" max="10728" width="14.28515625" style="244" customWidth="1"/>
    <col min="10729" max="10729" width="15.28515625" style="244" customWidth="1"/>
    <col min="10730" max="10730" width="16.28515625" style="244" customWidth="1"/>
    <col min="10731" max="10731" width="11.5703125" style="244"/>
    <col min="10732" max="10733" width="0" style="244" hidden="1" customWidth="1"/>
    <col min="10734" max="10979" width="11.5703125" style="244"/>
    <col min="10980" max="10980" width="4.7109375" style="244" customWidth="1"/>
    <col min="10981" max="10981" width="35.28515625" style="244" customWidth="1"/>
    <col min="10982" max="10982" width="13.140625" style="244" customWidth="1"/>
    <col min="10983" max="10983" width="12.85546875" style="244" customWidth="1"/>
    <col min="10984" max="10984" width="14.28515625" style="244" customWidth="1"/>
    <col min="10985" max="10985" width="15.28515625" style="244" customWidth="1"/>
    <col min="10986" max="10986" width="16.28515625" style="244" customWidth="1"/>
    <col min="10987" max="10987" width="11.5703125" style="244"/>
    <col min="10988" max="10989" width="0" style="244" hidden="1" customWidth="1"/>
    <col min="10990" max="11235" width="11.5703125" style="244"/>
    <col min="11236" max="11236" width="4.7109375" style="244" customWidth="1"/>
    <col min="11237" max="11237" width="35.28515625" style="244" customWidth="1"/>
    <col min="11238" max="11238" width="13.140625" style="244" customWidth="1"/>
    <col min="11239" max="11239" width="12.85546875" style="244" customWidth="1"/>
    <col min="11240" max="11240" width="14.28515625" style="244" customWidth="1"/>
    <col min="11241" max="11241" width="15.28515625" style="244" customWidth="1"/>
    <col min="11242" max="11242" width="16.28515625" style="244" customWidth="1"/>
    <col min="11243" max="11243" width="11.5703125" style="244"/>
    <col min="11244" max="11245" width="0" style="244" hidden="1" customWidth="1"/>
    <col min="11246" max="11491" width="11.5703125" style="244"/>
    <col min="11492" max="11492" width="4.7109375" style="244" customWidth="1"/>
    <col min="11493" max="11493" width="35.28515625" style="244" customWidth="1"/>
    <col min="11494" max="11494" width="13.140625" style="244" customWidth="1"/>
    <col min="11495" max="11495" width="12.85546875" style="244" customWidth="1"/>
    <col min="11496" max="11496" width="14.28515625" style="244" customWidth="1"/>
    <col min="11497" max="11497" width="15.28515625" style="244" customWidth="1"/>
    <col min="11498" max="11498" width="16.28515625" style="244" customWidth="1"/>
    <col min="11499" max="11499" width="11.5703125" style="244"/>
    <col min="11500" max="11501" width="0" style="244" hidden="1" customWidth="1"/>
    <col min="11502" max="11747" width="11.5703125" style="244"/>
    <col min="11748" max="11748" width="4.7109375" style="244" customWidth="1"/>
    <col min="11749" max="11749" width="35.28515625" style="244" customWidth="1"/>
    <col min="11750" max="11750" width="13.140625" style="244" customWidth="1"/>
    <col min="11751" max="11751" width="12.85546875" style="244" customWidth="1"/>
    <col min="11752" max="11752" width="14.28515625" style="244" customWidth="1"/>
    <col min="11753" max="11753" width="15.28515625" style="244" customWidth="1"/>
    <col min="11754" max="11754" width="16.28515625" style="244" customWidth="1"/>
    <col min="11755" max="11755" width="11.5703125" style="244"/>
    <col min="11756" max="11757" width="0" style="244" hidden="1" customWidth="1"/>
    <col min="11758" max="12003" width="11.5703125" style="244"/>
    <col min="12004" max="12004" width="4.7109375" style="244" customWidth="1"/>
    <col min="12005" max="12005" width="35.28515625" style="244" customWidth="1"/>
    <col min="12006" max="12006" width="13.140625" style="244" customWidth="1"/>
    <col min="12007" max="12007" width="12.85546875" style="244" customWidth="1"/>
    <col min="12008" max="12008" width="14.28515625" style="244" customWidth="1"/>
    <col min="12009" max="12009" width="15.28515625" style="244" customWidth="1"/>
    <col min="12010" max="12010" width="16.28515625" style="244" customWidth="1"/>
    <col min="12011" max="12011" width="11.5703125" style="244"/>
    <col min="12012" max="12013" width="0" style="244" hidden="1" customWidth="1"/>
    <col min="12014" max="12259" width="11.5703125" style="244"/>
    <col min="12260" max="12260" width="4.7109375" style="244" customWidth="1"/>
    <col min="12261" max="12261" width="35.28515625" style="244" customWidth="1"/>
    <col min="12262" max="12262" width="13.140625" style="244" customWidth="1"/>
    <col min="12263" max="12263" width="12.85546875" style="244" customWidth="1"/>
    <col min="12264" max="12264" width="14.28515625" style="244" customWidth="1"/>
    <col min="12265" max="12265" width="15.28515625" style="244" customWidth="1"/>
    <col min="12266" max="12266" width="16.28515625" style="244" customWidth="1"/>
    <col min="12267" max="12267" width="11.5703125" style="244"/>
    <col min="12268" max="12269" width="0" style="244" hidden="1" customWidth="1"/>
    <col min="12270" max="12515" width="11.5703125" style="244"/>
    <col min="12516" max="12516" width="4.7109375" style="244" customWidth="1"/>
    <col min="12517" max="12517" width="35.28515625" style="244" customWidth="1"/>
    <col min="12518" max="12518" width="13.140625" style="244" customWidth="1"/>
    <col min="12519" max="12519" width="12.85546875" style="244" customWidth="1"/>
    <col min="12520" max="12520" width="14.28515625" style="244" customWidth="1"/>
    <col min="12521" max="12521" width="15.28515625" style="244" customWidth="1"/>
    <col min="12522" max="12522" width="16.28515625" style="244" customWidth="1"/>
    <col min="12523" max="12523" width="11.5703125" style="244"/>
    <col min="12524" max="12525" width="0" style="244" hidden="1" customWidth="1"/>
    <col min="12526" max="12771" width="11.5703125" style="244"/>
    <col min="12772" max="12772" width="4.7109375" style="244" customWidth="1"/>
    <col min="12773" max="12773" width="35.28515625" style="244" customWidth="1"/>
    <col min="12774" max="12774" width="13.140625" style="244" customWidth="1"/>
    <col min="12775" max="12775" width="12.85546875" style="244" customWidth="1"/>
    <col min="12776" max="12776" width="14.28515625" style="244" customWidth="1"/>
    <col min="12777" max="12777" width="15.28515625" style="244" customWidth="1"/>
    <col min="12778" max="12778" width="16.28515625" style="244" customWidth="1"/>
    <col min="12779" max="12779" width="11.5703125" style="244"/>
    <col min="12780" max="12781" width="0" style="244" hidden="1" customWidth="1"/>
    <col min="12782" max="13027" width="11.5703125" style="244"/>
    <col min="13028" max="13028" width="4.7109375" style="244" customWidth="1"/>
    <col min="13029" max="13029" width="35.28515625" style="244" customWidth="1"/>
    <col min="13030" max="13030" width="13.140625" style="244" customWidth="1"/>
    <col min="13031" max="13031" width="12.85546875" style="244" customWidth="1"/>
    <col min="13032" max="13032" width="14.28515625" style="244" customWidth="1"/>
    <col min="13033" max="13033" width="15.28515625" style="244" customWidth="1"/>
    <col min="13034" max="13034" width="16.28515625" style="244" customWidth="1"/>
    <col min="13035" max="13035" width="11.5703125" style="244"/>
    <col min="13036" max="13037" width="0" style="244" hidden="1" customWidth="1"/>
    <col min="13038" max="13283" width="11.5703125" style="244"/>
    <col min="13284" max="13284" width="4.7109375" style="244" customWidth="1"/>
    <col min="13285" max="13285" width="35.28515625" style="244" customWidth="1"/>
    <col min="13286" max="13286" width="13.140625" style="244" customWidth="1"/>
    <col min="13287" max="13287" width="12.85546875" style="244" customWidth="1"/>
    <col min="13288" max="13288" width="14.28515625" style="244" customWidth="1"/>
    <col min="13289" max="13289" width="15.28515625" style="244" customWidth="1"/>
    <col min="13290" max="13290" width="16.28515625" style="244" customWidth="1"/>
    <col min="13291" max="13291" width="11.5703125" style="244"/>
    <col min="13292" max="13293" width="0" style="244" hidden="1" customWidth="1"/>
    <col min="13294" max="13539" width="11.5703125" style="244"/>
    <col min="13540" max="13540" width="4.7109375" style="244" customWidth="1"/>
    <col min="13541" max="13541" width="35.28515625" style="244" customWidth="1"/>
    <col min="13542" max="13542" width="13.140625" style="244" customWidth="1"/>
    <col min="13543" max="13543" width="12.85546875" style="244" customWidth="1"/>
    <col min="13544" max="13544" width="14.28515625" style="244" customWidth="1"/>
    <col min="13545" max="13545" width="15.28515625" style="244" customWidth="1"/>
    <col min="13546" max="13546" width="16.28515625" style="244" customWidth="1"/>
    <col min="13547" max="13547" width="11.5703125" style="244"/>
    <col min="13548" max="13549" width="0" style="244" hidden="1" customWidth="1"/>
    <col min="13550" max="13795" width="11.5703125" style="244"/>
    <col min="13796" max="13796" width="4.7109375" style="244" customWidth="1"/>
    <col min="13797" max="13797" width="35.28515625" style="244" customWidth="1"/>
    <col min="13798" max="13798" width="13.140625" style="244" customWidth="1"/>
    <col min="13799" max="13799" width="12.85546875" style="244" customWidth="1"/>
    <col min="13800" max="13800" width="14.28515625" style="244" customWidth="1"/>
    <col min="13801" max="13801" width="15.28515625" style="244" customWidth="1"/>
    <col min="13802" max="13802" width="16.28515625" style="244" customWidth="1"/>
    <col min="13803" max="13803" width="11.5703125" style="244"/>
    <col min="13804" max="13805" width="0" style="244" hidden="1" customWidth="1"/>
    <col min="13806" max="14051" width="11.5703125" style="244"/>
    <col min="14052" max="14052" width="4.7109375" style="244" customWidth="1"/>
    <col min="14053" max="14053" width="35.28515625" style="244" customWidth="1"/>
    <col min="14054" max="14054" width="13.140625" style="244" customWidth="1"/>
    <col min="14055" max="14055" width="12.85546875" style="244" customWidth="1"/>
    <col min="14056" max="14056" width="14.28515625" style="244" customWidth="1"/>
    <col min="14057" max="14057" width="15.28515625" style="244" customWidth="1"/>
    <col min="14058" max="14058" width="16.28515625" style="244" customWidth="1"/>
    <col min="14059" max="14059" width="11.5703125" style="244"/>
    <col min="14060" max="14061" width="0" style="244" hidden="1" customWidth="1"/>
    <col min="14062" max="14307" width="11.5703125" style="244"/>
    <col min="14308" max="14308" width="4.7109375" style="244" customWidth="1"/>
    <col min="14309" max="14309" width="35.28515625" style="244" customWidth="1"/>
    <col min="14310" max="14310" width="13.140625" style="244" customWidth="1"/>
    <col min="14311" max="14311" width="12.85546875" style="244" customWidth="1"/>
    <col min="14312" max="14312" width="14.28515625" style="244" customWidth="1"/>
    <col min="14313" max="14313" width="15.28515625" style="244" customWidth="1"/>
    <col min="14314" max="14314" width="16.28515625" style="244" customWidth="1"/>
    <col min="14315" max="14315" width="11.5703125" style="244"/>
    <col min="14316" max="14317" width="0" style="244" hidden="1" customWidth="1"/>
    <col min="14318" max="14563" width="11.5703125" style="244"/>
    <col min="14564" max="14564" width="4.7109375" style="244" customWidth="1"/>
    <col min="14565" max="14565" width="35.28515625" style="244" customWidth="1"/>
    <col min="14566" max="14566" width="13.140625" style="244" customWidth="1"/>
    <col min="14567" max="14567" width="12.85546875" style="244" customWidth="1"/>
    <col min="14568" max="14568" width="14.28515625" style="244" customWidth="1"/>
    <col min="14569" max="14569" width="15.28515625" style="244" customWidth="1"/>
    <col min="14570" max="14570" width="16.28515625" style="244" customWidth="1"/>
    <col min="14571" max="14571" width="11.5703125" style="244"/>
    <col min="14572" max="14573" width="0" style="244" hidden="1" customWidth="1"/>
    <col min="14574" max="14819" width="11.5703125" style="244"/>
    <col min="14820" max="14820" width="4.7109375" style="244" customWidth="1"/>
    <col min="14821" max="14821" width="35.28515625" style="244" customWidth="1"/>
    <col min="14822" max="14822" width="13.140625" style="244" customWidth="1"/>
    <col min="14823" max="14823" width="12.85546875" style="244" customWidth="1"/>
    <col min="14824" max="14824" width="14.28515625" style="244" customWidth="1"/>
    <col min="14825" max="14825" width="15.28515625" style="244" customWidth="1"/>
    <col min="14826" max="14826" width="16.28515625" style="244" customWidth="1"/>
    <col min="14827" max="14827" width="11.5703125" style="244"/>
    <col min="14828" max="14829" width="0" style="244" hidden="1" customWidth="1"/>
    <col min="14830" max="15075" width="11.5703125" style="244"/>
    <col min="15076" max="15076" width="4.7109375" style="244" customWidth="1"/>
    <col min="15077" max="15077" width="35.28515625" style="244" customWidth="1"/>
    <col min="15078" max="15078" width="13.140625" style="244" customWidth="1"/>
    <col min="15079" max="15079" width="12.85546875" style="244" customWidth="1"/>
    <col min="15080" max="15080" width="14.28515625" style="244" customWidth="1"/>
    <col min="15081" max="15081" width="15.28515625" style="244" customWidth="1"/>
    <col min="15082" max="15082" width="16.28515625" style="244" customWidth="1"/>
    <col min="15083" max="15083" width="11.5703125" style="244"/>
    <col min="15084" max="15085" width="0" style="244" hidden="1" customWidth="1"/>
    <col min="15086" max="15331" width="11.5703125" style="244"/>
    <col min="15332" max="15332" width="4.7109375" style="244" customWidth="1"/>
    <col min="15333" max="15333" width="35.28515625" style="244" customWidth="1"/>
    <col min="15334" max="15334" width="13.140625" style="244" customWidth="1"/>
    <col min="15335" max="15335" width="12.85546875" style="244" customWidth="1"/>
    <col min="15336" max="15336" width="14.28515625" style="244" customWidth="1"/>
    <col min="15337" max="15337" width="15.28515625" style="244" customWidth="1"/>
    <col min="15338" max="15338" width="16.28515625" style="244" customWidth="1"/>
    <col min="15339" max="15339" width="11.5703125" style="244"/>
    <col min="15340" max="15341" width="0" style="244" hidden="1" customWidth="1"/>
    <col min="15342" max="15587" width="11.5703125" style="244"/>
    <col min="15588" max="15588" width="4.7109375" style="244" customWidth="1"/>
    <col min="15589" max="15589" width="35.28515625" style="244" customWidth="1"/>
    <col min="15590" max="15590" width="13.140625" style="244" customWidth="1"/>
    <col min="15591" max="15591" width="12.85546875" style="244" customWidth="1"/>
    <col min="15592" max="15592" width="14.28515625" style="244" customWidth="1"/>
    <col min="15593" max="15593" width="15.28515625" style="244" customWidth="1"/>
    <col min="15594" max="15594" width="16.28515625" style="244" customWidth="1"/>
    <col min="15595" max="15595" width="11.5703125" style="244"/>
    <col min="15596" max="15597" width="0" style="244" hidden="1" customWidth="1"/>
    <col min="15598" max="15843" width="11.5703125" style="244"/>
    <col min="15844" max="15844" width="4.7109375" style="244" customWidth="1"/>
    <col min="15845" max="15845" width="35.28515625" style="244" customWidth="1"/>
    <col min="15846" max="15846" width="13.140625" style="244" customWidth="1"/>
    <col min="15847" max="15847" width="12.85546875" style="244" customWidth="1"/>
    <col min="15848" max="15848" width="14.28515625" style="244" customWidth="1"/>
    <col min="15849" max="15849" width="15.28515625" style="244" customWidth="1"/>
    <col min="15850" max="15850" width="16.28515625" style="244" customWidth="1"/>
    <col min="15851" max="15851" width="11.5703125" style="244"/>
    <col min="15852" max="15853" width="0" style="244" hidden="1" customWidth="1"/>
    <col min="15854" max="16099" width="11.5703125" style="244"/>
    <col min="16100" max="16100" width="4.7109375" style="244" customWidth="1"/>
    <col min="16101" max="16101" width="35.28515625" style="244" customWidth="1"/>
    <col min="16102" max="16102" width="13.140625" style="244" customWidth="1"/>
    <col min="16103" max="16103" width="12.85546875" style="244" customWidth="1"/>
    <col min="16104" max="16104" width="14.28515625" style="244" customWidth="1"/>
    <col min="16105" max="16105" width="15.28515625" style="244" customWidth="1"/>
    <col min="16106" max="16106" width="16.28515625" style="244" customWidth="1"/>
    <col min="16107" max="16107" width="11.5703125" style="244"/>
    <col min="16108" max="16109" width="0" style="244" hidden="1" customWidth="1"/>
    <col min="16110" max="16384" width="11.5703125" style="244"/>
  </cols>
  <sheetData>
    <row r="1" spans="1:7" x14ac:dyDescent="0.2">
      <c r="A1" s="671"/>
      <c r="B1" s="667"/>
      <c r="C1" s="672" t="s">
        <v>652</v>
      </c>
      <c r="D1" s="672"/>
      <c r="E1" s="672"/>
      <c r="F1" s="672"/>
      <c r="G1" s="672"/>
    </row>
    <row r="2" spans="1:7" x14ac:dyDescent="0.2">
      <c r="A2" s="247"/>
      <c r="B2" s="248"/>
      <c r="C2" s="249"/>
      <c r="D2" s="249"/>
      <c r="E2" s="249"/>
      <c r="F2" s="249"/>
      <c r="G2" s="249"/>
    </row>
    <row r="3" spans="1:7" x14ac:dyDescent="0.2">
      <c r="A3" s="247"/>
      <c r="B3" s="248"/>
      <c r="C3" s="249"/>
      <c r="D3" s="249"/>
      <c r="E3" s="249"/>
      <c r="F3" s="249"/>
      <c r="G3" s="249"/>
    </row>
    <row r="4" spans="1:7" x14ac:dyDescent="0.2">
      <c r="B4" s="673" t="str">
        <f>СВОД!E30</f>
        <v>Смета №2.3</v>
      </c>
      <c r="C4" s="673"/>
      <c r="D4" s="673"/>
      <c r="E4" s="673"/>
      <c r="F4" s="673"/>
    </row>
    <row r="5" spans="1:7" x14ac:dyDescent="0.2">
      <c r="B5" s="674" t="s">
        <v>559</v>
      </c>
      <c r="C5" s="674" t="s">
        <v>653</v>
      </c>
      <c r="D5" s="674" t="s">
        <v>653</v>
      </c>
      <c r="E5" s="674"/>
      <c r="F5" s="674"/>
    </row>
    <row r="6" spans="1:7" x14ac:dyDescent="0.2">
      <c r="C6" s="251"/>
      <c r="D6" s="251"/>
    </row>
    <row r="7" spans="1:7" ht="30.75" customHeight="1" x14ac:dyDescent="0.2">
      <c r="A7" s="667" t="s">
        <v>3</v>
      </c>
      <c r="B7" s="667"/>
      <c r="C7" s="667"/>
      <c r="D7" s="667"/>
      <c r="E7" s="668" t="str">
        <f>СВОД!B30</f>
        <v>Сбор исходных данных</v>
      </c>
      <c r="F7" s="668"/>
      <c r="G7" s="668"/>
    </row>
    <row r="9" spans="1:7" x14ac:dyDescent="0.2">
      <c r="A9" s="667" t="s">
        <v>6</v>
      </c>
      <c r="B9" s="667"/>
      <c r="C9" s="667"/>
      <c r="D9" s="667"/>
      <c r="E9" s="668" t="str">
        <f>СВОД!D14</f>
        <v>Определяется по итогам конкурентных процедур</v>
      </c>
      <c r="F9" s="668"/>
      <c r="G9" s="668"/>
    </row>
    <row r="11" spans="1:7" x14ac:dyDescent="0.2">
      <c r="A11" s="667" t="s">
        <v>8</v>
      </c>
      <c r="B11" s="667"/>
      <c r="C11" s="667"/>
      <c r="D11" s="667"/>
      <c r="E11" s="668" t="str">
        <f>СВОД!D16</f>
        <v>ООО «Газпром проектирование»</v>
      </c>
      <c r="F11" s="668"/>
      <c r="G11" s="668"/>
    </row>
    <row r="12" spans="1:7" x14ac:dyDescent="0.2">
      <c r="A12" s="252"/>
      <c r="B12" s="253"/>
      <c r="C12" s="254"/>
      <c r="D12" s="253"/>
      <c r="E12" s="253"/>
    </row>
    <row r="13" spans="1:7" s="255" customFormat="1" x14ac:dyDescent="0.2">
      <c r="A13" s="256"/>
      <c r="B13" s="669" t="s">
        <v>654</v>
      </c>
      <c r="C13" s="670"/>
      <c r="D13" s="670"/>
      <c r="E13" s="670"/>
      <c r="F13" s="670"/>
    </row>
    <row r="14" spans="1:7" s="255" customFormat="1" x14ac:dyDescent="0.2">
      <c r="A14" s="256"/>
      <c r="B14" s="256"/>
      <c r="C14" s="257"/>
      <c r="D14" s="257"/>
      <c r="E14" s="257"/>
      <c r="F14" s="257"/>
    </row>
    <row r="15" spans="1:7" ht="31.35" customHeight="1" x14ac:dyDescent="0.2">
      <c r="A15" s="664" t="s">
        <v>655</v>
      </c>
      <c r="B15" s="664" t="s">
        <v>33</v>
      </c>
      <c r="C15" s="664" t="s">
        <v>635</v>
      </c>
      <c r="D15" s="664"/>
      <c r="E15" s="664" t="s">
        <v>636</v>
      </c>
      <c r="F15" s="664" t="s">
        <v>637</v>
      </c>
      <c r="G15" s="664" t="s">
        <v>656</v>
      </c>
    </row>
    <row r="16" spans="1:7" ht="31.7" customHeight="1" x14ac:dyDescent="0.2">
      <c r="A16" s="664"/>
      <c r="B16" s="664"/>
      <c r="C16" s="258" t="s">
        <v>639</v>
      </c>
      <c r="D16" s="258" t="s">
        <v>640</v>
      </c>
      <c r="E16" s="664"/>
      <c r="F16" s="664"/>
      <c r="G16" s="664"/>
    </row>
    <row r="17" spans="1:7" x14ac:dyDescent="0.2">
      <c r="A17" s="259">
        <v>1</v>
      </c>
      <c r="B17" s="259">
        <v>2</v>
      </c>
      <c r="C17" s="259">
        <v>3</v>
      </c>
      <c r="D17" s="259">
        <v>4</v>
      </c>
      <c r="E17" s="259">
        <v>5</v>
      </c>
      <c r="F17" s="260">
        <v>6</v>
      </c>
      <c r="G17" s="260">
        <v>7</v>
      </c>
    </row>
    <row r="18" spans="1:7" ht="17.45" customHeight="1" x14ac:dyDescent="0.2">
      <c r="A18" s="664">
        <v>1</v>
      </c>
      <c r="B18" s="665" t="s">
        <v>657</v>
      </c>
      <c r="C18" s="261">
        <v>1</v>
      </c>
      <c r="D18" s="261" t="s">
        <v>658</v>
      </c>
      <c r="E18" s="261">
        <v>1</v>
      </c>
      <c r="F18" s="262">
        <v>20337</v>
      </c>
      <c r="G18" s="666">
        <f>E18*F18+E19*F19+E21*F21*2+E22*F22+E20*F20</f>
        <v>499694</v>
      </c>
    </row>
    <row r="19" spans="1:7" ht="17.45" customHeight="1" x14ac:dyDescent="0.2">
      <c r="A19" s="664"/>
      <c r="B19" s="665"/>
      <c r="C19" s="261">
        <v>1</v>
      </c>
      <c r="D19" s="261" t="s">
        <v>642</v>
      </c>
      <c r="E19" s="261">
        <v>3</v>
      </c>
      <c r="F19" s="262">
        <v>20337</v>
      </c>
      <c r="G19" s="666"/>
    </row>
    <row r="20" spans="1:7" ht="17.45" customHeight="1" x14ac:dyDescent="0.2">
      <c r="A20" s="664"/>
      <c r="B20" s="665"/>
      <c r="C20" s="261">
        <v>1</v>
      </c>
      <c r="D20" s="261" t="s">
        <v>641</v>
      </c>
      <c r="E20" s="261">
        <v>5</v>
      </c>
      <c r="F20" s="262">
        <v>16222</v>
      </c>
      <c r="G20" s="666"/>
    </row>
    <row r="21" spans="1:7" ht="17.45" customHeight="1" x14ac:dyDescent="0.2">
      <c r="A21" s="664"/>
      <c r="B21" s="665"/>
      <c r="C21" s="261">
        <v>2</v>
      </c>
      <c r="D21" s="261" t="s">
        <v>644</v>
      </c>
      <c r="E21" s="261">
        <v>8</v>
      </c>
      <c r="F21" s="262">
        <v>13116</v>
      </c>
      <c r="G21" s="666"/>
    </row>
    <row r="22" spans="1:7" ht="17.45" customHeight="1" x14ac:dyDescent="0.2">
      <c r="A22" s="664"/>
      <c r="B22" s="665"/>
      <c r="C22" s="261">
        <v>1</v>
      </c>
      <c r="D22" s="261" t="s">
        <v>645</v>
      </c>
      <c r="E22" s="261">
        <v>12</v>
      </c>
      <c r="F22" s="262">
        <v>10615</v>
      </c>
      <c r="G22" s="666"/>
    </row>
    <row r="23" spans="1:7" ht="17.45" customHeight="1" x14ac:dyDescent="0.2">
      <c r="A23" s="664">
        <v>2</v>
      </c>
      <c r="B23" s="665" t="s">
        <v>659</v>
      </c>
      <c r="C23" s="261">
        <v>1</v>
      </c>
      <c r="D23" s="261" t="s">
        <v>658</v>
      </c>
      <c r="E23" s="261">
        <v>2</v>
      </c>
      <c r="F23" s="262">
        <v>20337</v>
      </c>
      <c r="G23" s="666">
        <f>E23*F23+E24*F24+E26*F26+E27*F27+E25*F25*2</f>
        <v>726232</v>
      </c>
    </row>
    <row r="24" spans="1:7" ht="17.45" customHeight="1" x14ac:dyDescent="0.2">
      <c r="A24" s="664"/>
      <c r="B24" s="665"/>
      <c r="C24" s="261">
        <v>1</v>
      </c>
      <c r="D24" s="261" t="s">
        <v>642</v>
      </c>
      <c r="E24" s="261">
        <v>4</v>
      </c>
      <c r="F24" s="262">
        <v>20337</v>
      </c>
      <c r="G24" s="666"/>
    </row>
    <row r="25" spans="1:7" ht="17.45" customHeight="1" x14ac:dyDescent="0.2">
      <c r="A25" s="664"/>
      <c r="B25" s="665"/>
      <c r="C25" s="261">
        <v>2</v>
      </c>
      <c r="D25" s="261" t="s">
        <v>641</v>
      </c>
      <c r="E25" s="261">
        <v>10</v>
      </c>
      <c r="F25" s="262">
        <v>16222</v>
      </c>
      <c r="G25" s="666"/>
    </row>
    <row r="26" spans="1:7" ht="17.45" customHeight="1" x14ac:dyDescent="0.2">
      <c r="A26" s="664"/>
      <c r="B26" s="665"/>
      <c r="C26" s="261">
        <v>1</v>
      </c>
      <c r="D26" s="261" t="s">
        <v>644</v>
      </c>
      <c r="E26" s="261">
        <v>10</v>
      </c>
      <c r="F26" s="262">
        <v>13116</v>
      </c>
      <c r="G26" s="666"/>
    </row>
    <row r="27" spans="1:7" ht="17.45" customHeight="1" x14ac:dyDescent="0.2">
      <c r="A27" s="664"/>
      <c r="B27" s="665"/>
      <c r="C27" s="261">
        <v>1</v>
      </c>
      <c r="D27" s="261" t="s">
        <v>645</v>
      </c>
      <c r="E27" s="261">
        <v>14</v>
      </c>
      <c r="F27" s="262">
        <v>10615</v>
      </c>
      <c r="G27" s="666"/>
    </row>
    <row r="28" spans="1:7" ht="17.45" customHeight="1" x14ac:dyDescent="0.2">
      <c r="A28" s="664">
        <v>3</v>
      </c>
      <c r="B28" s="665" t="s">
        <v>660</v>
      </c>
      <c r="C28" s="261">
        <v>1</v>
      </c>
      <c r="D28" s="261" t="s">
        <v>658</v>
      </c>
      <c r="E28" s="261">
        <v>2</v>
      </c>
      <c r="F28" s="262">
        <v>20337</v>
      </c>
      <c r="G28" s="666">
        <f>E28*F28+E29*F29+E31*F31+E32*F32+E30*F30*2</f>
        <v>714125</v>
      </c>
    </row>
    <row r="29" spans="1:7" ht="17.45" customHeight="1" x14ac:dyDescent="0.2">
      <c r="A29" s="664"/>
      <c r="B29" s="665"/>
      <c r="C29" s="261">
        <v>1</v>
      </c>
      <c r="D29" s="261" t="s">
        <v>642</v>
      </c>
      <c r="E29" s="261">
        <v>5</v>
      </c>
      <c r="F29" s="262">
        <v>20337</v>
      </c>
      <c r="G29" s="666"/>
    </row>
    <row r="30" spans="1:7" ht="17.45" customHeight="1" x14ac:dyDescent="0.2">
      <c r="A30" s="664"/>
      <c r="B30" s="665"/>
      <c r="C30" s="261">
        <v>2</v>
      </c>
      <c r="D30" s="261" t="s">
        <v>641</v>
      </c>
      <c r="E30" s="261">
        <v>9</v>
      </c>
      <c r="F30" s="262">
        <v>16222</v>
      </c>
      <c r="G30" s="666"/>
    </row>
    <row r="31" spans="1:7" ht="17.45" customHeight="1" x14ac:dyDescent="0.2">
      <c r="A31" s="664"/>
      <c r="B31" s="665"/>
      <c r="C31" s="261">
        <v>1</v>
      </c>
      <c r="D31" s="261" t="s">
        <v>644</v>
      </c>
      <c r="E31" s="261">
        <v>10</v>
      </c>
      <c r="F31" s="262">
        <v>13116</v>
      </c>
      <c r="G31" s="666"/>
    </row>
    <row r="32" spans="1:7" ht="17.45" customHeight="1" x14ac:dyDescent="0.2">
      <c r="A32" s="664"/>
      <c r="B32" s="665"/>
      <c r="C32" s="261">
        <v>1</v>
      </c>
      <c r="D32" s="261" t="s">
        <v>645</v>
      </c>
      <c r="E32" s="261">
        <v>14</v>
      </c>
      <c r="F32" s="262">
        <v>10615</v>
      </c>
      <c r="G32" s="666"/>
    </row>
    <row r="33" spans="1:7" ht="17.45" customHeight="1" x14ac:dyDescent="0.2">
      <c r="A33" s="664">
        <v>4</v>
      </c>
      <c r="B33" s="665" t="s">
        <v>661</v>
      </c>
      <c r="C33" s="261">
        <v>1</v>
      </c>
      <c r="D33" s="261" t="s">
        <v>658</v>
      </c>
      <c r="E33" s="261">
        <v>1</v>
      </c>
      <c r="F33" s="262">
        <v>20337</v>
      </c>
      <c r="G33" s="666">
        <f>E33*F33+E34*F34+E36*F36+E37*F37+E35*F35</f>
        <v>159934</v>
      </c>
    </row>
    <row r="34" spans="1:7" ht="17.45" customHeight="1" x14ac:dyDescent="0.2">
      <c r="A34" s="664"/>
      <c r="B34" s="665"/>
      <c r="C34" s="261">
        <v>1</v>
      </c>
      <c r="D34" s="261" t="s">
        <v>642</v>
      </c>
      <c r="E34" s="261">
        <v>1</v>
      </c>
      <c r="F34" s="262">
        <v>20337</v>
      </c>
      <c r="G34" s="666"/>
    </row>
    <row r="35" spans="1:7" ht="17.45" customHeight="1" x14ac:dyDescent="0.2">
      <c r="A35" s="664"/>
      <c r="B35" s="665"/>
      <c r="C35" s="261">
        <v>1</v>
      </c>
      <c r="D35" s="261" t="s">
        <v>641</v>
      </c>
      <c r="E35" s="261">
        <v>1</v>
      </c>
      <c r="F35" s="262">
        <v>16222</v>
      </c>
      <c r="G35" s="666"/>
    </row>
    <row r="36" spans="1:7" ht="17.45" customHeight="1" x14ac:dyDescent="0.2">
      <c r="A36" s="664"/>
      <c r="B36" s="665"/>
      <c r="C36" s="261">
        <v>1</v>
      </c>
      <c r="D36" s="261" t="s">
        <v>644</v>
      </c>
      <c r="E36" s="261">
        <v>3</v>
      </c>
      <c r="F36" s="262">
        <v>13116</v>
      </c>
      <c r="G36" s="666"/>
    </row>
    <row r="37" spans="1:7" ht="17.45" customHeight="1" x14ac:dyDescent="0.2">
      <c r="A37" s="664"/>
      <c r="B37" s="665"/>
      <c r="C37" s="261">
        <v>1</v>
      </c>
      <c r="D37" s="261" t="s">
        <v>645</v>
      </c>
      <c r="E37" s="261">
        <v>6</v>
      </c>
      <c r="F37" s="262">
        <v>10615</v>
      </c>
      <c r="G37" s="666"/>
    </row>
    <row r="38" spans="1:7" ht="17.45" customHeight="1" x14ac:dyDescent="0.2">
      <c r="A38" s="664">
        <v>5</v>
      </c>
      <c r="B38" s="665" t="s">
        <v>662</v>
      </c>
      <c r="C38" s="261">
        <v>1</v>
      </c>
      <c r="D38" s="261" t="s">
        <v>658</v>
      </c>
      <c r="E38" s="261">
        <v>1</v>
      </c>
      <c r="F38" s="262">
        <v>20337</v>
      </c>
      <c r="G38" s="666">
        <f>E38*F38+E39*F39+E41*F41+E42*F42+E40*F40</f>
        <v>186771</v>
      </c>
    </row>
    <row r="39" spans="1:7" ht="17.45" customHeight="1" x14ac:dyDescent="0.2">
      <c r="A39" s="664"/>
      <c r="B39" s="665"/>
      <c r="C39" s="261">
        <v>1</v>
      </c>
      <c r="D39" s="261" t="s">
        <v>642</v>
      </c>
      <c r="E39" s="261">
        <v>1</v>
      </c>
      <c r="F39" s="262">
        <v>20337</v>
      </c>
      <c r="G39" s="666"/>
    </row>
    <row r="40" spans="1:7" ht="17.45" customHeight="1" x14ac:dyDescent="0.2">
      <c r="A40" s="664"/>
      <c r="B40" s="665"/>
      <c r="C40" s="261">
        <v>1</v>
      </c>
      <c r="D40" s="261" t="s">
        <v>641</v>
      </c>
      <c r="E40" s="261">
        <v>2</v>
      </c>
      <c r="F40" s="262">
        <v>16222</v>
      </c>
      <c r="G40" s="666"/>
    </row>
    <row r="41" spans="1:7" ht="17.45" customHeight="1" x14ac:dyDescent="0.2">
      <c r="A41" s="664"/>
      <c r="B41" s="665"/>
      <c r="C41" s="261">
        <v>1</v>
      </c>
      <c r="D41" s="261" t="s">
        <v>644</v>
      </c>
      <c r="E41" s="261">
        <v>3</v>
      </c>
      <c r="F41" s="262">
        <v>13116</v>
      </c>
      <c r="G41" s="666"/>
    </row>
    <row r="42" spans="1:7" ht="17.45" customHeight="1" x14ac:dyDescent="0.2">
      <c r="A42" s="664"/>
      <c r="B42" s="665"/>
      <c r="C42" s="261">
        <v>1</v>
      </c>
      <c r="D42" s="261" t="s">
        <v>645</v>
      </c>
      <c r="E42" s="261">
        <v>7</v>
      </c>
      <c r="F42" s="262">
        <v>10615</v>
      </c>
      <c r="G42" s="666"/>
    </row>
    <row r="43" spans="1:7" ht="17.45" customHeight="1" x14ac:dyDescent="0.2">
      <c r="A43" s="664">
        <v>6</v>
      </c>
      <c r="B43" s="665" t="s">
        <v>663</v>
      </c>
      <c r="C43" s="261">
        <v>1</v>
      </c>
      <c r="D43" s="261" t="s">
        <v>658</v>
      </c>
      <c r="E43" s="261">
        <v>1</v>
      </c>
      <c r="F43" s="262">
        <v>20337</v>
      </c>
      <c r="G43" s="666">
        <f>F43*E43+F44*E44+E45*F45</f>
        <v>145038</v>
      </c>
    </row>
    <row r="44" spans="1:7" ht="17.45" customHeight="1" x14ac:dyDescent="0.2">
      <c r="A44" s="664"/>
      <c r="B44" s="665"/>
      <c r="C44" s="261">
        <v>1</v>
      </c>
      <c r="D44" s="261" t="s">
        <v>642</v>
      </c>
      <c r="E44" s="261">
        <v>3</v>
      </c>
      <c r="F44" s="262">
        <v>20337</v>
      </c>
      <c r="G44" s="666"/>
    </row>
    <row r="45" spans="1:7" ht="17.45" customHeight="1" x14ac:dyDescent="0.2">
      <c r="A45" s="664"/>
      <c r="B45" s="665"/>
      <c r="C45" s="261">
        <v>1</v>
      </c>
      <c r="D45" s="261" t="s">
        <v>645</v>
      </c>
      <c r="E45" s="261">
        <v>6</v>
      </c>
      <c r="F45" s="262">
        <v>10615</v>
      </c>
      <c r="G45" s="666"/>
    </row>
    <row r="46" spans="1:7" ht="27.75" customHeight="1" x14ac:dyDescent="0.2">
      <c r="A46" s="264">
        <v>7</v>
      </c>
      <c r="B46" s="265" t="s">
        <v>604</v>
      </c>
      <c r="C46" s="266"/>
      <c r="D46" s="266"/>
      <c r="E46" s="266"/>
      <c r="F46" s="267"/>
      <c r="G46" s="268">
        <f>SUM(G18:G45)</f>
        <v>2431794</v>
      </c>
    </row>
    <row r="48" spans="1:7" s="255" customFormat="1" x14ac:dyDescent="0.2">
      <c r="A48" s="269"/>
      <c r="B48" s="662" t="s">
        <v>664</v>
      </c>
      <c r="C48" s="662"/>
      <c r="D48" s="662"/>
      <c r="E48" s="662"/>
      <c r="F48" s="662"/>
      <c r="G48" s="270"/>
    </row>
    <row r="50" spans="1:8" s="271" customFormat="1" ht="25.5" x14ac:dyDescent="0.25">
      <c r="A50" s="272" t="s">
        <v>10</v>
      </c>
      <c r="B50" s="663" t="s">
        <v>665</v>
      </c>
      <c r="C50" s="663"/>
      <c r="D50" s="663"/>
      <c r="E50" s="663"/>
      <c r="F50" s="272" t="s">
        <v>92</v>
      </c>
      <c r="G50" s="272" t="s">
        <v>666</v>
      </c>
    </row>
    <row r="51" spans="1:8" s="273" customFormat="1" ht="19.149999999999999" customHeight="1" x14ac:dyDescent="0.25">
      <c r="A51" s="272">
        <v>1</v>
      </c>
      <c r="B51" s="660" t="s">
        <v>667</v>
      </c>
      <c r="C51" s="660"/>
      <c r="D51" s="660"/>
      <c r="E51" s="660"/>
      <c r="F51" s="274" t="s">
        <v>140</v>
      </c>
      <c r="G51" s="275">
        <f>G46</f>
        <v>2431794</v>
      </c>
    </row>
    <row r="52" spans="1:8" s="273" customFormat="1" ht="19.149999999999999" customHeight="1" x14ac:dyDescent="0.25">
      <c r="A52" s="272"/>
      <c r="B52" s="660" t="s">
        <v>668</v>
      </c>
      <c r="C52" s="660"/>
      <c r="D52" s="660"/>
      <c r="E52" s="660"/>
      <c r="F52" s="274"/>
      <c r="G52" s="274">
        <v>0.45</v>
      </c>
    </row>
    <row r="53" spans="1:8" s="273" customFormat="1" ht="30" customHeight="1" x14ac:dyDescent="0.25">
      <c r="A53" s="272">
        <v>2</v>
      </c>
      <c r="B53" s="660" t="s">
        <v>669</v>
      </c>
      <c r="C53" s="660"/>
      <c r="D53" s="660"/>
      <c r="E53" s="660"/>
      <c r="F53" s="274" t="s">
        <v>140</v>
      </c>
      <c r="G53" s="275">
        <f>G51/G52</f>
        <v>5403986.666666667</v>
      </c>
    </row>
    <row r="54" spans="1:8" s="273" customFormat="1" ht="16.899999999999999" customHeight="1" x14ac:dyDescent="0.25">
      <c r="A54" s="272"/>
      <c r="B54" s="660" t="s">
        <v>670</v>
      </c>
      <c r="C54" s="660"/>
      <c r="D54" s="660"/>
      <c r="E54" s="660"/>
      <c r="F54" s="274" t="s">
        <v>671</v>
      </c>
      <c r="G54" s="274">
        <v>8</v>
      </c>
    </row>
    <row r="55" spans="1:8" s="273" customFormat="1" ht="26.45" customHeight="1" x14ac:dyDescent="0.25">
      <c r="A55" s="272">
        <v>3</v>
      </c>
      <c r="B55" s="660" t="s">
        <v>672</v>
      </c>
      <c r="C55" s="660"/>
      <c r="D55" s="660"/>
      <c r="E55" s="660"/>
      <c r="F55" s="274" t="s">
        <v>140</v>
      </c>
      <c r="G55" s="275">
        <f>G53*0.08</f>
        <v>432318.93333333335</v>
      </c>
    </row>
    <row r="56" spans="1:8" s="273" customFormat="1" ht="27" customHeight="1" x14ac:dyDescent="0.25">
      <c r="A56" s="272">
        <v>4</v>
      </c>
      <c r="B56" s="660" t="s">
        <v>673</v>
      </c>
      <c r="C56" s="660"/>
      <c r="D56" s="660"/>
      <c r="E56" s="660"/>
      <c r="F56" s="274" t="s">
        <v>140</v>
      </c>
      <c r="G56" s="275">
        <f>G55+G53</f>
        <v>5836305.6000000006</v>
      </c>
    </row>
    <row r="57" spans="1:8" s="273" customFormat="1" ht="27" customHeight="1" x14ac:dyDescent="0.25">
      <c r="A57" s="272">
        <v>5</v>
      </c>
      <c r="B57" s="660" t="s">
        <v>674</v>
      </c>
      <c r="C57" s="660"/>
      <c r="D57" s="660"/>
      <c r="E57" s="660"/>
      <c r="F57" s="274" t="s">
        <v>140</v>
      </c>
      <c r="G57" s="275">
        <f>ROUND(G56/1.02,2)</f>
        <v>5721868.2400000002</v>
      </c>
    </row>
    <row r="58" spans="1:8" s="273" customFormat="1" ht="18.600000000000001" customHeight="1" x14ac:dyDescent="0.25">
      <c r="A58" s="276">
        <v>6</v>
      </c>
      <c r="B58" s="661" t="s">
        <v>675</v>
      </c>
      <c r="C58" s="661"/>
      <c r="D58" s="661"/>
      <c r="E58" s="661"/>
      <c r="F58" s="277" t="s">
        <v>140</v>
      </c>
      <c r="G58" s="278">
        <f>G57</f>
        <v>5721868.2400000002</v>
      </c>
      <c r="H58" s="279">
        <v>5700396</v>
      </c>
    </row>
    <row r="59" spans="1:8" s="273" customFormat="1" ht="18.600000000000001" customHeight="1" x14ac:dyDescent="0.25">
      <c r="A59" s="256"/>
      <c r="B59" s="280"/>
      <c r="C59" s="280"/>
      <c r="D59" s="280"/>
      <c r="E59" s="280"/>
      <c r="G59" s="281"/>
    </row>
    <row r="60" spans="1:8" x14ac:dyDescent="0.2">
      <c r="A60" s="252"/>
      <c r="B60" s="253"/>
      <c r="C60" s="253"/>
      <c r="D60" s="253"/>
      <c r="E60" s="253"/>
      <c r="F60" s="254"/>
      <c r="G60" s="254"/>
    </row>
    <row r="61" spans="1:8" x14ac:dyDescent="0.2">
      <c r="A61" s="252"/>
      <c r="B61" s="253"/>
      <c r="C61" s="253"/>
      <c r="D61" s="253"/>
      <c r="E61" s="253"/>
      <c r="F61" s="254"/>
      <c r="G61" s="254"/>
    </row>
  </sheetData>
  <mergeCells count="45">
    <mergeCell ref="A1:B1"/>
    <mergeCell ref="C1:G1"/>
    <mergeCell ref="B4:F4"/>
    <mergeCell ref="B5:F5"/>
    <mergeCell ref="A7:D7"/>
    <mergeCell ref="E7:G7"/>
    <mergeCell ref="A9:D9"/>
    <mergeCell ref="E9:G9"/>
    <mergeCell ref="A11:D11"/>
    <mergeCell ref="E11:G11"/>
    <mergeCell ref="B13:F13"/>
    <mergeCell ref="G15:G16"/>
    <mergeCell ref="A18:A22"/>
    <mergeCell ref="B18:B22"/>
    <mergeCell ref="G18:G22"/>
    <mergeCell ref="A23:A27"/>
    <mergeCell ref="B23:B27"/>
    <mergeCell ref="G23:G27"/>
    <mergeCell ref="A15:A16"/>
    <mergeCell ref="B15:B16"/>
    <mergeCell ref="C15:D15"/>
    <mergeCell ref="E15:E16"/>
    <mergeCell ref="F15:F16"/>
    <mergeCell ref="A28:A32"/>
    <mergeCell ref="B28:B32"/>
    <mergeCell ref="G28:G32"/>
    <mergeCell ref="A33:A37"/>
    <mergeCell ref="B33:B37"/>
    <mergeCell ref="G33:G37"/>
    <mergeCell ref="A38:A42"/>
    <mergeCell ref="B38:B42"/>
    <mergeCell ref="G38:G42"/>
    <mergeCell ref="A43:A45"/>
    <mergeCell ref="B43:B45"/>
    <mergeCell ref="G43:G45"/>
    <mergeCell ref="B48:F48"/>
    <mergeCell ref="B50:E50"/>
    <mergeCell ref="B51:E51"/>
    <mergeCell ref="B52:E52"/>
    <mergeCell ref="B53:E53"/>
    <mergeCell ref="B54:E54"/>
    <mergeCell ref="B55:E55"/>
    <mergeCell ref="B56:E56"/>
    <mergeCell ref="B57:E57"/>
    <mergeCell ref="B58:E58"/>
  </mergeCells>
  <pageMargins left="0.70866141732283472" right="0.31" top="0.64" bottom="0.54" header="0.31496062992125984" footer="0.31496062992125984"/>
  <pageSetup paperSize="9" scale="70" fitToHeight="0" orientation="portrait" useFirstPageNumber="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6"/>
  </sheetPr>
  <dimension ref="A1:AX71"/>
  <sheetViews>
    <sheetView zoomScale="85" workbookViewId="0">
      <selection activeCell="O56" sqref="O56:P56"/>
    </sheetView>
  </sheetViews>
  <sheetFormatPr defaultRowHeight="15" x14ac:dyDescent="0.25"/>
  <cols>
    <col min="1" max="1" width="6.42578125" style="228" customWidth="1"/>
    <col min="2" max="17" width="8" style="228" customWidth="1"/>
    <col min="18" max="18" width="12.42578125" style="228" bestFit="1" customWidth="1"/>
    <col min="19" max="50" width="8" style="228" customWidth="1"/>
    <col min="51" max="16384" width="9.140625" style="227"/>
  </cols>
  <sheetData>
    <row r="1" spans="1:50" ht="27.2" customHeight="1" x14ac:dyDescent="0.25">
      <c r="A1" s="652"/>
      <c r="B1" s="652"/>
      <c r="C1" s="652"/>
      <c r="D1" s="652"/>
      <c r="E1" s="653" t="s">
        <v>676</v>
      </c>
      <c r="F1" s="653"/>
      <c r="G1" s="653"/>
      <c r="H1" s="653"/>
      <c r="I1" s="653"/>
      <c r="J1" s="653"/>
      <c r="K1" s="653"/>
      <c r="L1" s="653"/>
      <c r="M1" s="653"/>
      <c r="N1" s="653"/>
      <c r="O1" s="653"/>
      <c r="P1" s="653"/>
    </row>
    <row r="2" spans="1:50" ht="15" customHeight="1" x14ac:dyDescent="0.25"/>
    <row r="3" spans="1:50" ht="15" customHeight="1" x14ac:dyDescent="0.25">
      <c r="A3" s="646" t="str">
        <f>СВОД!E34</f>
        <v>Смета №3.1</v>
      </c>
      <c r="B3" s="646"/>
      <c r="C3" s="646"/>
      <c r="D3" s="646"/>
      <c r="E3" s="646"/>
      <c r="F3" s="646"/>
      <c r="G3" s="646"/>
      <c r="H3" s="646"/>
      <c r="I3" s="646"/>
      <c r="J3" s="646"/>
      <c r="K3" s="646"/>
      <c r="L3" s="646"/>
      <c r="M3" s="646"/>
      <c r="N3" s="646"/>
      <c r="O3" s="646"/>
      <c r="P3" s="646"/>
    </row>
    <row r="4" spans="1:50" ht="15" customHeight="1" x14ac:dyDescent="0.25">
      <c r="A4" s="647" t="s">
        <v>559</v>
      </c>
      <c r="B4" s="647"/>
      <c r="C4" s="647"/>
      <c r="D4" s="647"/>
      <c r="E4" s="647"/>
      <c r="F4" s="647"/>
      <c r="G4" s="647"/>
      <c r="H4" s="647"/>
      <c r="I4" s="647"/>
      <c r="J4" s="647"/>
      <c r="K4" s="647"/>
      <c r="L4" s="647"/>
      <c r="M4" s="647"/>
      <c r="N4" s="647"/>
      <c r="O4" s="647"/>
      <c r="P4" s="647"/>
    </row>
    <row r="5" spans="1:50" ht="15" customHeight="1" x14ac:dyDescent="0.25"/>
    <row r="6" spans="1:50" ht="54.4" customHeight="1" x14ac:dyDescent="0.25">
      <c r="A6" s="648" t="s">
        <v>3</v>
      </c>
      <c r="B6" s="648"/>
      <c r="C6" s="648"/>
      <c r="D6" s="648"/>
      <c r="E6" s="648"/>
      <c r="F6" s="649" t="str">
        <f>СВОД!B34</f>
        <v>Генеральный план</v>
      </c>
      <c r="G6" s="649"/>
      <c r="H6" s="649"/>
      <c r="I6" s="649"/>
      <c r="J6" s="649"/>
      <c r="K6" s="649"/>
      <c r="L6" s="649"/>
      <c r="M6" s="649"/>
      <c r="N6" s="649"/>
      <c r="O6" s="649"/>
      <c r="P6" s="649"/>
    </row>
    <row r="7" spans="1:50" ht="15" customHeight="1" x14ac:dyDescent="0.25"/>
    <row r="8" spans="1:50" ht="27.2" customHeight="1" x14ac:dyDescent="0.25">
      <c r="A8" s="648" t="s">
        <v>6</v>
      </c>
      <c r="B8" s="648"/>
      <c r="C8" s="648"/>
      <c r="D8" s="648"/>
      <c r="E8" s="648"/>
      <c r="F8" s="649" t="str">
        <f>СВОД!D14</f>
        <v>Определяется по итогам конкурентных процедур</v>
      </c>
      <c r="G8" s="649"/>
      <c r="H8" s="649"/>
      <c r="I8" s="649"/>
      <c r="J8" s="649"/>
      <c r="K8" s="649"/>
      <c r="L8" s="649"/>
      <c r="M8" s="649"/>
      <c r="N8" s="649"/>
      <c r="O8" s="649"/>
      <c r="P8" s="649"/>
    </row>
    <row r="9" spans="1:50" ht="15" customHeight="1" x14ac:dyDescent="0.25"/>
    <row r="10" spans="1:50" ht="15" customHeight="1" x14ac:dyDescent="0.25">
      <c r="A10" s="648" t="s">
        <v>8</v>
      </c>
      <c r="B10" s="648"/>
      <c r="C10" s="648"/>
      <c r="D10" s="648"/>
      <c r="E10" s="648"/>
      <c r="F10" s="649" t="str">
        <f>СВОД!D16</f>
        <v>ООО «Газпром проектирование»</v>
      </c>
      <c r="G10" s="649"/>
      <c r="H10" s="649"/>
      <c r="I10" s="649"/>
      <c r="J10" s="649"/>
      <c r="K10" s="649"/>
      <c r="L10" s="649"/>
      <c r="M10" s="649"/>
      <c r="N10" s="649"/>
      <c r="O10" s="649"/>
      <c r="P10" s="649"/>
    </row>
    <row r="11" spans="1:50" ht="15" customHeight="1" x14ac:dyDescent="0.25"/>
    <row r="12" spans="1:50" customFormat="1" ht="40.9" customHeight="1" x14ac:dyDescent="0.25">
      <c r="A12" s="9" t="s">
        <v>90</v>
      </c>
      <c r="B12" s="686" t="s">
        <v>560</v>
      </c>
      <c r="C12" s="686"/>
      <c r="D12" s="686"/>
      <c r="E12" s="686"/>
      <c r="F12" s="686"/>
      <c r="G12" s="686" t="s">
        <v>561</v>
      </c>
      <c r="H12" s="686"/>
      <c r="I12" s="686"/>
      <c r="J12" s="686"/>
      <c r="K12" s="686" t="s">
        <v>225</v>
      </c>
      <c r="L12" s="686"/>
      <c r="M12" s="686"/>
      <c r="N12" s="686"/>
      <c r="O12" s="686" t="s">
        <v>13</v>
      </c>
      <c r="P12" s="686"/>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row>
    <row r="13" spans="1:50" customFormat="1" ht="15" customHeight="1" x14ac:dyDescent="0.25">
      <c r="A13" s="9">
        <v>1</v>
      </c>
      <c r="B13" s="686">
        <v>2</v>
      </c>
      <c r="C13" s="686"/>
      <c r="D13" s="686"/>
      <c r="E13" s="686"/>
      <c r="F13" s="686"/>
      <c r="G13" s="686">
        <v>3</v>
      </c>
      <c r="H13" s="686"/>
      <c r="I13" s="686"/>
      <c r="J13" s="686"/>
      <c r="K13" s="686">
        <v>4</v>
      </c>
      <c r="L13" s="686"/>
      <c r="M13" s="686"/>
      <c r="N13" s="686"/>
      <c r="O13" s="686">
        <v>5</v>
      </c>
      <c r="P13" s="686"/>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row>
    <row r="14" spans="1:50" customFormat="1" ht="27.2" customHeight="1" x14ac:dyDescent="0.25">
      <c r="A14" s="657" t="s">
        <v>677</v>
      </c>
      <c r="B14" s="657"/>
      <c r="C14" s="657"/>
      <c r="D14" s="657"/>
      <c r="E14" s="657"/>
      <c r="F14" s="657"/>
      <c r="G14" s="657"/>
      <c r="H14" s="657"/>
      <c r="I14" s="657"/>
      <c r="J14" s="657"/>
      <c r="K14" s="657"/>
      <c r="L14" s="657"/>
      <c r="M14" s="657"/>
      <c r="N14" s="657"/>
      <c r="O14" s="657"/>
      <c r="P14" s="657"/>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row>
    <row r="15" spans="1:50" customFormat="1" ht="108.75" customHeight="1" x14ac:dyDescent="0.25">
      <c r="A15" s="282" t="s">
        <v>98</v>
      </c>
      <c r="B15" s="682" t="s">
        <v>678</v>
      </c>
      <c r="C15" s="683"/>
      <c r="D15" s="683"/>
      <c r="E15" s="683"/>
      <c r="F15" s="683"/>
      <c r="G15" s="683" t="s">
        <v>679</v>
      </c>
      <c r="H15" s="683"/>
      <c r="I15" s="683"/>
      <c r="J15" s="683"/>
      <c r="K15" s="683" t="s">
        <v>680</v>
      </c>
      <c r="L15" s="683"/>
      <c r="M15" s="683"/>
      <c r="N15" s="683"/>
      <c r="O15" s="684">
        <f>ROUND((31100 + 122993 * 4.9) * 1 * 1.56 * 0.6, 2)</f>
        <v>593204.69999999995</v>
      </c>
      <c r="P15" s="683"/>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row>
    <row r="16" spans="1:50" customFormat="1" ht="15" customHeight="1" x14ac:dyDescent="0.25">
      <c r="A16" s="283"/>
      <c r="B16" s="685" t="s">
        <v>564</v>
      </c>
      <c r="C16" s="685"/>
      <c r="D16" s="685"/>
      <c r="E16" s="685"/>
      <c r="F16" s="685"/>
      <c r="G16" s="685" t="s">
        <v>15</v>
      </c>
      <c r="H16" s="685"/>
      <c r="I16" s="685"/>
      <c r="J16" s="685"/>
      <c r="K16" s="685" t="s">
        <v>15</v>
      </c>
      <c r="L16" s="685"/>
      <c r="M16" s="685"/>
      <c r="N16" s="685"/>
      <c r="O16" s="685"/>
      <c r="P16" s="685"/>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row>
    <row r="17" spans="1:50" customFormat="1" ht="15" customHeight="1" x14ac:dyDescent="0.25">
      <c r="A17" s="284"/>
      <c r="B17" s="679" t="s">
        <v>681</v>
      </c>
      <c r="C17" s="679"/>
      <c r="D17" s="679"/>
      <c r="E17" s="679"/>
      <c r="F17" s="679"/>
      <c r="G17" s="679" t="s">
        <v>682</v>
      </c>
      <c r="H17" s="679"/>
      <c r="I17" s="679"/>
      <c r="J17" s="679"/>
      <c r="K17" s="679" t="s">
        <v>15</v>
      </c>
      <c r="L17" s="679"/>
      <c r="M17" s="679"/>
      <c r="N17" s="679"/>
      <c r="O17" s="679"/>
      <c r="P17" s="679"/>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0" customFormat="1" ht="40.9" customHeight="1" x14ac:dyDescent="0.25">
      <c r="A18" s="284"/>
      <c r="B18" s="679" t="s">
        <v>683</v>
      </c>
      <c r="C18" s="679"/>
      <c r="D18" s="679"/>
      <c r="E18" s="679"/>
      <c r="F18" s="679"/>
      <c r="G18" s="679" t="s">
        <v>684</v>
      </c>
      <c r="H18" s="679"/>
      <c r="I18" s="679"/>
      <c r="J18" s="679"/>
      <c r="K18" s="679" t="s">
        <v>15</v>
      </c>
      <c r="L18" s="679"/>
      <c r="M18" s="679"/>
      <c r="N18" s="679"/>
      <c r="O18" s="679"/>
      <c r="P18" s="679"/>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0" customFormat="1" ht="27.2" customHeight="1" x14ac:dyDescent="0.25">
      <c r="A19" s="657" t="s">
        <v>677</v>
      </c>
      <c r="B19" s="657"/>
      <c r="C19" s="657"/>
      <c r="D19" s="657"/>
      <c r="E19" s="657"/>
      <c r="F19" s="657"/>
      <c r="G19" s="657"/>
      <c r="H19" s="657"/>
      <c r="I19" s="657"/>
      <c r="J19" s="657"/>
      <c r="K19" s="657"/>
      <c r="L19" s="657"/>
      <c r="M19" s="657"/>
      <c r="N19" s="657"/>
      <c r="O19" s="657"/>
      <c r="P19" s="657"/>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row>
    <row r="20" spans="1:50" customFormat="1" ht="149.65" customHeight="1" x14ac:dyDescent="0.25">
      <c r="A20" s="282" t="s">
        <v>104</v>
      </c>
      <c r="B20" s="682" t="s">
        <v>685</v>
      </c>
      <c r="C20" s="683"/>
      <c r="D20" s="683"/>
      <c r="E20" s="683"/>
      <c r="F20" s="683"/>
      <c r="G20" s="683" t="s">
        <v>686</v>
      </c>
      <c r="H20" s="683"/>
      <c r="I20" s="683"/>
      <c r="J20" s="683"/>
      <c r="K20" s="683" t="s">
        <v>687</v>
      </c>
      <c r="L20" s="683"/>
      <c r="M20" s="683"/>
      <c r="N20" s="683"/>
      <c r="O20" s="684">
        <f>ROUND((87100 + 24266 * 45) * 1 * 1.56 * 0.6, 2)</f>
        <v>1103609.52</v>
      </c>
      <c r="P20" s="683"/>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row>
    <row r="21" spans="1:50" customFormat="1" ht="15" customHeight="1" x14ac:dyDescent="0.25">
      <c r="A21" s="283"/>
      <c r="B21" s="685" t="s">
        <v>564</v>
      </c>
      <c r="C21" s="685"/>
      <c r="D21" s="685"/>
      <c r="E21" s="685"/>
      <c r="F21" s="685"/>
      <c r="G21" s="685" t="s">
        <v>15</v>
      </c>
      <c r="H21" s="685"/>
      <c r="I21" s="685"/>
      <c r="J21" s="685"/>
      <c r="K21" s="685" t="s">
        <v>15</v>
      </c>
      <c r="L21" s="685"/>
      <c r="M21" s="685"/>
      <c r="N21" s="685"/>
      <c r="O21" s="685"/>
      <c r="P21" s="685"/>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row>
    <row r="22" spans="1:50" customFormat="1" ht="15" customHeight="1" x14ac:dyDescent="0.25">
      <c r="A22" s="284"/>
      <c r="B22" s="679" t="s">
        <v>681</v>
      </c>
      <c r="C22" s="679"/>
      <c r="D22" s="679"/>
      <c r="E22" s="679"/>
      <c r="F22" s="679"/>
      <c r="G22" s="679" t="s">
        <v>682</v>
      </c>
      <c r="H22" s="679"/>
      <c r="I22" s="679"/>
      <c r="J22" s="679"/>
      <c r="K22" s="679" t="s">
        <v>15</v>
      </c>
      <c r="L22" s="679"/>
      <c r="M22" s="679"/>
      <c r="N22" s="679"/>
      <c r="O22" s="679"/>
      <c r="P22" s="679"/>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row>
    <row r="23" spans="1:50" customFormat="1" ht="40.9" customHeight="1" x14ac:dyDescent="0.25">
      <c r="A23" s="284"/>
      <c r="B23" s="679" t="s">
        <v>683</v>
      </c>
      <c r="C23" s="679"/>
      <c r="D23" s="679"/>
      <c r="E23" s="679"/>
      <c r="F23" s="679"/>
      <c r="G23" s="679" t="s">
        <v>684</v>
      </c>
      <c r="H23" s="679"/>
      <c r="I23" s="679"/>
      <c r="J23" s="679"/>
      <c r="K23" s="679" t="s">
        <v>15</v>
      </c>
      <c r="L23" s="679"/>
      <c r="M23" s="679"/>
      <c r="N23" s="679"/>
      <c r="O23" s="679"/>
      <c r="P23" s="679"/>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row>
    <row r="24" spans="1:50" customFormat="1" ht="27.2" customHeight="1" x14ac:dyDescent="0.25">
      <c r="A24" s="657" t="s">
        <v>688</v>
      </c>
      <c r="B24" s="657"/>
      <c r="C24" s="657"/>
      <c r="D24" s="657"/>
      <c r="E24" s="657"/>
      <c r="F24" s="657"/>
      <c r="G24" s="657"/>
      <c r="H24" s="657"/>
      <c r="I24" s="657"/>
      <c r="J24" s="657"/>
      <c r="K24" s="657"/>
      <c r="L24" s="657"/>
      <c r="M24" s="657"/>
      <c r="N24" s="657"/>
      <c r="O24" s="657"/>
      <c r="P24" s="657"/>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row>
    <row r="25" spans="1:50" customFormat="1" ht="108.75" customHeight="1" x14ac:dyDescent="0.25">
      <c r="A25" s="282" t="s">
        <v>110</v>
      </c>
      <c r="B25" s="682" t="s">
        <v>678</v>
      </c>
      <c r="C25" s="683"/>
      <c r="D25" s="683"/>
      <c r="E25" s="683"/>
      <c r="F25" s="683"/>
      <c r="G25" s="683" t="s">
        <v>689</v>
      </c>
      <c r="H25" s="683"/>
      <c r="I25" s="683"/>
      <c r="J25" s="683"/>
      <c r="K25" s="683" t="s">
        <v>690</v>
      </c>
      <c r="L25" s="683"/>
      <c r="M25" s="683"/>
      <c r="N25" s="683"/>
      <c r="O25" s="684">
        <f>ROUND((31100 + 122993 * 2) * 1 * 1.56 * 0.6, 2)</f>
        <v>259352.5</v>
      </c>
      <c r="P25" s="683"/>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0" customFormat="1" ht="15" customHeight="1" x14ac:dyDescent="0.25">
      <c r="A26" s="283"/>
      <c r="B26" s="685" t="s">
        <v>564</v>
      </c>
      <c r="C26" s="685"/>
      <c r="D26" s="685"/>
      <c r="E26" s="685"/>
      <c r="F26" s="685"/>
      <c r="G26" s="685" t="s">
        <v>15</v>
      </c>
      <c r="H26" s="685"/>
      <c r="I26" s="685"/>
      <c r="J26" s="685"/>
      <c r="K26" s="685" t="s">
        <v>15</v>
      </c>
      <c r="L26" s="685"/>
      <c r="M26" s="685"/>
      <c r="N26" s="685"/>
      <c r="O26" s="685"/>
      <c r="P26" s="685"/>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0" customFormat="1" ht="15" customHeight="1" x14ac:dyDescent="0.25">
      <c r="A27" s="284"/>
      <c r="B27" s="679" t="s">
        <v>681</v>
      </c>
      <c r="C27" s="679"/>
      <c r="D27" s="679"/>
      <c r="E27" s="679"/>
      <c r="F27" s="679"/>
      <c r="G27" s="679" t="s">
        <v>682</v>
      </c>
      <c r="H27" s="679"/>
      <c r="I27" s="679"/>
      <c r="J27" s="679"/>
      <c r="K27" s="679" t="s">
        <v>15</v>
      </c>
      <c r="L27" s="679"/>
      <c r="M27" s="679"/>
      <c r="N27" s="679"/>
      <c r="O27" s="679"/>
      <c r="P27" s="679"/>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row>
    <row r="28" spans="1:50" customFormat="1" ht="40.9" customHeight="1" x14ac:dyDescent="0.25">
      <c r="A28" s="284"/>
      <c r="B28" s="679" t="s">
        <v>683</v>
      </c>
      <c r="C28" s="679"/>
      <c r="D28" s="679"/>
      <c r="E28" s="679"/>
      <c r="F28" s="679"/>
      <c r="G28" s="679" t="s">
        <v>684</v>
      </c>
      <c r="H28" s="679"/>
      <c r="I28" s="679"/>
      <c r="J28" s="679"/>
      <c r="K28" s="679" t="s">
        <v>15</v>
      </c>
      <c r="L28" s="679"/>
      <c r="M28" s="679"/>
      <c r="N28" s="679"/>
      <c r="O28" s="679"/>
      <c r="P28" s="679"/>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row>
    <row r="29" spans="1:50" customFormat="1" ht="27.2" customHeight="1" x14ac:dyDescent="0.25">
      <c r="A29" s="657" t="s">
        <v>688</v>
      </c>
      <c r="B29" s="657"/>
      <c r="C29" s="657"/>
      <c r="D29" s="657"/>
      <c r="E29" s="657"/>
      <c r="F29" s="657"/>
      <c r="G29" s="657"/>
      <c r="H29" s="657"/>
      <c r="I29" s="657"/>
      <c r="J29" s="657"/>
      <c r="K29" s="657"/>
      <c r="L29" s="657"/>
      <c r="M29" s="657"/>
      <c r="N29" s="657"/>
      <c r="O29" s="657"/>
      <c r="P29" s="657"/>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0" customFormat="1" ht="149.65" customHeight="1" x14ac:dyDescent="0.25">
      <c r="A30" s="282" t="s">
        <v>116</v>
      </c>
      <c r="B30" s="682" t="s">
        <v>691</v>
      </c>
      <c r="C30" s="683"/>
      <c r="D30" s="683"/>
      <c r="E30" s="683"/>
      <c r="F30" s="683"/>
      <c r="G30" s="683" t="s">
        <v>692</v>
      </c>
      <c r="H30" s="683"/>
      <c r="I30" s="683"/>
      <c r="J30" s="683"/>
      <c r="K30" s="683" t="s">
        <v>693</v>
      </c>
      <c r="L30" s="683"/>
      <c r="M30" s="683"/>
      <c r="N30" s="683"/>
      <c r="O30" s="684">
        <f>ROUND((85700 + 24336 * 20) * 1 * 1.56 * 0.6, 2)</f>
        <v>535785.12</v>
      </c>
      <c r="P30" s="683"/>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row>
    <row r="31" spans="1:50" customFormat="1" ht="15" customHeight="1" x14ac:dyDescent="0.25">
      <c r="A31" s="283"/>
      <c r="B31" s="685" t="s">
        <v>564</v>
      </c>
      <c r="C31" s="685"/>
      <c r="D31" s="685"/>
      <c r="E31" s="685"/>
      <c r="F31" s="685"/>
      <c r="G31" s="685" t="s">
        <v>15</v>
      </c>
      <c r="H31" s="685"/>
      <c r="I31" s="685"/>
      <c r="J31" s="685"/>
      <c r="K31" s="685" t="s">
        <v>15</v>
      </c>
      <c r="L31" s="685"/>
      <c r="M31" s="685"/>
      <c r="N31" s="685"/>
      <c r="O31" s="685"/>
      <c r="P31" s="685"/>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0" customFormat="1" ht="15" customHeight="1" x14ac:dyDescent="0.25">
      <c r="A32" s="284"/>
      <c r="B32" s="679" t="s">
        <v>681</v>
      </c>
      <c r="C32" s="679"/>
      <c r="D32" s="679"/>
      <c r="E32" s="679"/>
      <c r="F32" s="679"/>
      <c r="G32" s="679" t="s">
        <v>682</v>
      </c>
      <c r="H32" s="679"/>
      <c r="I32" s="679"/>
      <c r="J32" s="679"/>
      <c r="K32" s="679" t="s">
        <v>15</v>
      </c>
      <c r="L32" s="679"/>
      <c r="M32" s="679"/>
      <c r="N32" s="679"/>
      <c r="O32" s="679"/>
      <c r="P32" s="679"/>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row>
    <row r="33" spans="1:50" customFormat="1" ht="40.9" customHeight="1" x14ac:dyDescent="0.25">
      <c r="A33" s="284"/>
      <c r="B33" s="679" t="s">
        <v>683</v>
      </c>
      <c r="C33" s="679"/>
      <c r="D33" s="679"/>
      <c r="E33" s="679"/>
      <c r="F33" s="679"/>
      <c r="G33" s="679" t="s">
        <v>684</v>
      </c>
      <c r="H33" s="679"/>
      <c r="I33" s="679"/>
      <c r="J33" s="679"/>
      <c r="K33" s="679" t="s">
        <v>15</v>
      </c>
      <c r="L33" s="679"/>
      <c r="M33" s="679"/>
      <c r="N33" s="679"/>
      <c r="O33" s="679"/>
      <c r="P33" s="679"/>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customFormat="1" ht="15" customHeight="1" x14ac:dyDescent="0.25">
      <c r="A34" s="657" t="s">
        <v>694</v>
      </c>
      <c r="B34" s="657"/>
      <c r="C34" s="657"/>
      <c r="D34" s="657"/>
      <c r="E34" s="657"/>
      <c r="F34" s="657"/>
      <c r="G34" s="657"/>
      <c r="H34" s="657"/>
      <c r="I34" s="657"/>
      <c r="J34" s="657"/>
      <c r="K34" s="657"/>
      <c r="L34" s="657"/>
      <c r="M34" s="657"/>
      <c r="N34" s="657"/>
      <c r="O34" s="657"/>
      <c r="P34" s="657"/>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row>
    <row r="35" spans="1:50" customFormat="1" ht="108.75" customHeight="1" x14ac:dyDescent="0.25">
      <c r="A35" s="282" t="s">
        <v>122</v>
      </c>
      <c r="B35" s="682" t="s">
        <v>678</v>
      </c>
      <c r="C35" s="683"/>
      <c r="D35" s="683"/>
      <c r="E35" s="683"/>
      <c r="F35" s="683"/>
      <c r="G35" s="683" t="s">
        <v>695</v>
      </c>
      <c r="H35" s="683"/>
      <c r="I35" s="683"/>
      <c r="J35" s="683"/>
      <c r="K35" s="683" t="s">
        <v>696</v>
      </c>
      <c r="L35" s="683"/>
      <c r="M35" s="683"/>
      <c r="N35" s="683"/>
      <c r="O35" s="684">
        <f>ROUND((31100 + 122993 * 1) * 1 * 1.56 * 0.6, 2)</f>
        <v>144231.04999999999</v>
      </c>
      <c r="P35" s="683"/>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row>
    <row r="36" spans="1:50" customFormat="1" ht="15" customHeight="1" x14ac:dyDescent="0.25">
      <c r="A36" s="283"/>
      <c r="B36" s="685" t="s">
        <v>564</v>
      </c>
      <c r="C36" s="685"/>
      <c r="D36" s="685"/>
      <c r="E36" s="685"/>
      <c r="F36" s="685"/>
      <c r="G36" s="685" t="s">
        <v>15</v>
      </c>
      <c r="H36" s="685"/>
      <c r="I36" s="685"/>
      <c r="J36" s="685"/>
      <c r="K36" s="685" t="s">
        <v>15</v>
      </c>
      <c r="L36" s="685"/>
      <c r="M36" s="685"/>
      <c r="N36" s="685"/>
      <c r="O36" s="685"/>
      <c r="P36" s="685"/>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row>
    <row r="37" spans="1:50" customFormat="1" ht="15" customHeight="1" x14ac:dyDescent="0.25">
      <c r="A37" s="284"/>
      <c r="B37" s="679" t="s">
        <v>681</v>
      </c>
      <c r="C37" s="679"/>
      <c r="D37" s="679"/>
      <c r="E37" s="679"/>
      <c r="F37" s="679"/>
      <c r="G37" s="679" t="s">
        <v>682</v>
      </c>
      <c r="H37" s="679"/>
      <c r="I37" s="679"/>
      <c r="J37" s="679"/>
      <c r="K37" s="679" t="s">
        <v>15</v>
      </c>
      <c r="L37" s="679"/>
      <c r="M37" s="679"/>
      <c r="N37" s="679"/>
      <c r="O37" s="679"/>
      <c r="P37" s="679"/>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row>
    <row r="38" spans="1:50" customFormat="1" ht="40.9" customHeight="1" x14ac:dyDescent="0.25">
      <c r="A38" s="284"/>
      <c r="B38" s="679" t="s">
        <v>683</v>
      </c>
      <c r="C38" s="679"/>
      <c r="D38" s="679"/>
      <c r="E38" s="679"/>
      <c r="F38" s="679"/>
      <c r="G38" s="679" t="s">
        <v>684</v>
      </c>
      <c r="H38" s="679"/>
      <c r="I38" s="679"/>
      <c r="J38" s="679"/>
      <c r="K38" s="679" t="s">
        <v>15</v>
      </c>
      <c r="L38" s="679"/>
      <c r="M38" s="679"/>
      <c r="N38" s="679"/>
      <c r="O38" s="679"/>
      <c r="P38" s="679"/>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row>
    <row r="39" spans="1:50" customFormat="1" ht="149.65" customHeight="1" x14ac:dyDescent="0.25">
      <c r="A39" s="282" t="s">
        <v>129</v>
      </c>
      <c r="B39" s="682" t="s">
        <v>691</v>
      </c>
      <c r="C39" s="683"/>
      <c r="D39" s="683"/>
      <c r="E39" s="683"/>
      <c r="F39" s="683"/>
      <c r="G39" s="683" t="s">
        <v>697</v>
      </c>
      <c r="H39" s="683"/>
      <c r="I39" s="683"/>
      <c r="J39" s="683"/>
      <c r="K39" s="683" t="s">
        <v>698</v>
      </c>
      <c r="L39" s="683"/>
      <c r="M39" s="683"/>
      <c r="N39" s="683"/>
      <c r="O39" s="684">
        <f>ROUND((85700 + 24336 * 15) * 1 * 1.56 * 0.6, 2)</f>
        <v>421892.64</v>
      </c>
      <c r="P39" s="683"/>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row>
    <row r="40" spans="1:50" customFormat="1" ht="15" customHeight="1" x14ac:dyDescent="0.25">
      <c r="A40" s="283"/>
      <c r="B40" s="685" t="s">
        <v>564</v>
      </c>
      <c r="C40" s="685"/>
      <c r="D40" s="685"/>
      <c r="E40" s="685"/>
      <c r="F40" s="685"/>
      <c r="G40" s="685" t="s">
        <v>15</v>
      </c>
      <c r="H40" s="685"/>
      <c r="I40" s="685"/>
      <c r="J40" s="685"/>
      <c r="K40" s="685" t="s">
        <v>15</v>
      </c>
      <c r="L40" s="685"/>
      <c r="M40" s="685"/>
      <c r="N40" s="685"/>
      <c r="O40" s="685"/>
      <c r="P40" s="685"/>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row>
    <row r="41" spans="1:50" customFormat="1" ht="15" customHeight="1" x14ac:dyDescent="0.25">
      <c r="A41" s="284"/>
      <c r="B41" s="679" t="s">
        <v>681</v>
      </c>
      <c r="C41" s="679"/>
      <c r="D41" s="679"/>
      <c r="E41" s="679"/>
      <c r="F41" s="679"/>
      <c r="G41" s="679" t="s">
        <v>682</v>
      </c>
      <c r="H41" s="679"/>
      <c r="I41" s="679"/>
      <c r="J41" s="679"/>
      <c r="K41" s="679" t="s">
        <v>15</v>
      </c>
      <c r="L41" s="679"/>
      <c r="M41" s="679"/>
      <c r="N41" s="679"/>
      <c r="O41" s="679"/>
      <c r="P41" s="679"/>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row>
    <row r="42" spans="1:50" customFormat="1" ht="40.9" customHeight="1" x14ac:dyDescent="0.25">
      <c r="A42" s="284"/>
      <c r="B42" s="679" t="s">
        <v>683</v>
      </c>
      <c r="C42" s="679"/>
      <c r="D42" s="679"/>
      <c r="E42" s="679"/>
      <c r="F42" s="679"/>
      <c r="G42" s="679" t="s">
        <v>684</v>
      </c>
      <c r="H42" s="679"/>
      <c r="I42" s="679"/>
      <c r="J42" s="679"/>
      <c r="K42" s="679" t="s">
        <v>15</v>
      </c>
      <c r="L42" s="679"/>
      <c r="M42" s="679"/>
      <c r="N42" s="679"/>
      <c r="O42" s="679"/>
      <c r="P42" s="679"/>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row>
    <row r="43" spans="1:50" customFormat="1" ht="27.2" customHeight="1" x14ac:dyDescent="0.25">
      <c r="A43" s="657" t="s">
        <v>699</v>
      </c>
      <c r="B43" s="657"/>
      <c r="C43" s="657"/>
      <c r="D43" s="657"/>
      <c r="E43" s="657"/>
      <c r="F43" s="657"/>
      <c r="G43" s="657"/>
      <c r="H43" s="657"/>
      <c r="I43" s="657"/>
      <c r="J43" s="657"/>
      <c r="K43" s="657"/>
      <c r="L43" s="657"/>
      <c r="M43" s="657"/>
      <c r="N43" s="657"/>
      <c r="O43" s="657"/>
      <c r="P43" s="657"/>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row>
    <row r="44" spans="1:50" customFormat="1" ht="108.75" customHeight="1" x14ac:dyDescent="0.25">
      <c r="A44" s="282" t="s">
        <v>138</v>
      </c>
      <c r="B44" s="682" t="s">
        <v>700</v>
      </c>
      <c r="C44" s="683"/>
      <c r="D44" s="683"/>
      <c r="E44" s="683"/>
      <c r="F44" s="683"/>
      <c r="G44" s="683" t="s">
        <v>701</v>
      </c>
      <c r="H44" s="683"/>
      <c r="I44" s="683"/>
      <c r="J44" s="683"/>
      <c r="K44" s="683" t="s">
        <v>702</v>
      </c>
      <c r="L44" s="683"/>
      <c r="M44" s="683"/>
      <c r="N44" s="683"/>
      <c r="O44" s="684">
        <f>ROUND((258900 + 100213 * 13) * 1 * 1.56 * 0.6, 2)</f>
        <v>1461722.18</v>
      </c>
      <c r="P44" s="683"/>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row>
    <row r="45" spans="1:50" customFormat="1" ht="15" customHeight="1" x14ac:dyDescent="0.25">
      <c r="A45" s="283"/>
      <c r="B45" s="685" t="s">
        <v>564</v>
      </c>
      <c r="C45" s="685"/>
      <c r="D45" s="685"/>
      <c r="E45" s="685"/>
      <c r="F45" s="685"/>
      <c r="G45" s="685" t="s">
        <v>15</v>
      </c>
      <c r="H45" s="685"/>
      <c r="I45" s="685"/>
      <c r="J45" s="685"/>
      <c r="K45" s="685" t="s">
        <v>15</v>
      </c>
      <c r="L45" s="685"/>
      <c r="M45" s="685"/>
      <c r="N45" s="685"/>
      <c r="O45" s="685"/>
      <c r="P45" s="685"/>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row>
    <row r="46" spans="1:50" customFormat="1" ht="15" customHeight="1" x14ac:dyDescent="0.25">
      <c r="A46" s="284"/>
      <c r="B46" s="679" t="s">
        <v>681</v>
      </c>
      <c r="C46" s="679"/>
      <c r="D46" s="679"/>
      <c r="E46" s="679"/>
      <c r="F46" s="679"/>
      <c r="G46" s="679" t="s">
        <v>682</v>
      </c>
      <c r="H46" s="679"/>
      <c r="I46" s="679"/>
      <c r="J46" s="679"/>
      <c r="K46" s="679" t="s">
        <v>15</v>
      </c>
      <c r="L46" s="679"/>
      <c r="M46" s="679"/>
      <c r="N46" s="679"/>
      <c r="O46" s="679"/>
      <c r="P46" s="679"/>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row>
    <row r="47" spans="1:50" customFormat="1" ht="40.9" customHeight="1" x14ac:dyDescent="0.25">
      <c r="A47" s="284"/>
      <c r="B47" s="679" t="s">
        <v>683</v>
      </c>
      <c r="C47" s="679"/>
      <c r="D47" s="679"/>
      <c r="E47" s="679"/>
      <c r="F47" s="679"/>
      <c r="G47" s="679" t="s">
        <v>684</v>
      </c>
      <c r="H47" s="679"/>
      <c r="I47" s="679"/>
      <c r="J47" s="679"/>
      <c r="K47" s="679" t="s">
        <v>15</v>
      </c>
      <c r="L47" s="679"/>
      <c r="M47" s="679"/>
      <c r="N47" s="679"/>
      <c r="O47" s="679"/>
      <c r="P47" s="679"/>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row>
    <row r="48" spans="1:50" customFormat="1" ht="15" customHeight="1" x14ac:dyDescent="0.25">
      <c r="A48" s="657" t="s">
        <v>703</v>
      </c>
      <c r="B48" s="657"/>
      <c r="C48" s="657"/>
      <c r="D48" s="657"/>
      <c r="E48" s="657"/>
      <c r="F48" s="657"/>
      <c r="G48" s="657"/>
      <c r="H48" s="657"/>
      <c r="I48" s="657"/>
      <c r="J48" s="657"/>
      <c r="K48" s="657"/>
      <c r="L48" s="657"/>
      <c r="M48" s="657"/>
      <c r="N48" s="657"/>
      <c r="O48" s="657"/>
      <c r="P48" s="657"/>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row>
    <row r="49" spans="1:50" customFormat="1" ht="27.2" customHeight="1" x14ac:dyDescent="0.25">
      <c r="A49" s="657" t="s">
        <v>704</v>
      </c>
      <c r="B49" s="657"/>
      <c r="C49" s="657"/>
      <c r="D49" s="657"/>
      <c r="E49" s="657"/>
      <c r="F49" s="657"/>
      <c r="G49" s="657"/>
      <c r="H49" s="657"/>
      <c r="I49" s="657"/>
      <c r="J49" s="657"/>
      <c r="K49" s="657"/>
      <c r="L49" s="657"/>
      <c r="M49" s="657"/>
      <c r="N49" s="657"/>
      <c r="O49" s="657"/>
      <c r="P49" s="657"/>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row>
    <row r="50" spans="1:50" customFormat="1" ht="108.75" customHeight="1" x14ac:dyDescent="0.25">
      <c r="A50" s="282" t="s">
        <v>143</v>
      </c>
      <c r="B50" s="682" t="s">
        <v>678</v>
      </c>
      <c r="C50" s="683"/>
      <c r="D50" s="683"/>
      <c r="E50" s="683"/>
      <c r="F50" s="683"/>
      <c r="G50" s="683" t="s">
        <v>705</v>
      </c>
      <c r="H50" s="683"/>
      <c r="I50" s="683"/>
      <c r="J50" s="683"/>
      <c r="K50" s="683" t="s">
        <v>706</v>
      </c>
      <c r="L50" s="683"/>
      <c r="M50" s="683"/>
      <c r="N50" s="683"/>
      <c r="O50" s="684">
        <f>ROUND((31100+122993*5)*1*1.56*0.6*0.7,2)</f>
        <v>423301.79</v>
      </c>
      <c r="P50" s="683"/>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row>
    <row r="51" spans="1:50" customFormat="1" x14ac:dyDescent="0.25">
      <c r="A51" s="283"/>
      <c r="B51" s="685" t="s">
        <v>564</v>
      </c>
      <c r="C51" s="685"/>
      <c r="D51" s="685"/>
      <c r="E51" s="685"/>
      <c r="F51" s="685"/>
      <c r="G51" s="685" t="s">
        <v>15</v>
      </c>
      <c r="H51" s="685"/>
      <c r="I51" s="685"/>
      <c r="J51" s="685"/>
      <c r="K51" s="685" t="s">
        <v>15</v>
      </c>
      <c r="L51" s="685"/>
      <c r="M51" s="685"/>
      <c r="N51" s="685"/>
      <c r="O51" s="685"/>
      <c r="P51" s="685"/>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row>
    <row r="52" spans="1:50" customFormat="1" x14ac:dyDescent="0.25">
      <c r="A52" s="284"/>
      <c r="B52" s="679" t="s">
        <v>681</v>
      </c>
      <c r="C52" s="679"/>
      <c r="D52" s="679"/>
      <c r="E52" s="679"/>
      <c r="F52" s="679"/>
      <c r="G52" s="679" t="s">
        <v>682</v>
      </c>
      <c r="H52" s="679"/>
      <c r="I52" s="679"/>
      <c r="J52" s="679"/>
      <c r="K52" s="679" t="s">
        <v>15</v>
      </c>
      <c r="L52" s="679"/>
      <c r="M52" s="679"/>
      <c r="N52" s="679"/>
      <c r="O52" s="679"/>
      <c r="P52" s="679"/>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row>
    <row r="53" spans="1:50" customFormat="1" x14ac:dyDescent="0.25">
      <c r="A53" s="284"/>
      <c r="B53" s="680" t="s">
        <v>707</v>
      </c>
      <c r="C53" s="571"/>
      <c r="D53" s="571"/>
      <c r="E53" s="571"/>
      <c r="F53" s="681"/>
      <c r="G53" s="680" t="s">
        <v>708</v>
      </c>
      <c r="H53" s="571"/>
      <c r="I53" s="571"/>
      <c r="J53" s="681"/>
      <c r="K53" s="680" t="s">
        <v>15</v>
      </c>
      <c r="L53" s="571"/>
      <c r="M53" s="571"/>
      <c r="N53" s="681"/>
      <c r="O53" s="680"/>
      <c r="P53" s="681"/>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row>
    <row r="54" spans="1:50" customFormat="1" ht="40.9" customHeight="1" x14ac:dyDescent="0.25">
      <c r="A54" s="284"/>
      <c r="B54" s="679" t="s">
        <v>683</v>
      </c>
      <c r="C54" s="679"/>
      <c r="D54" s="679"/>
      <c r="E54" s="679"/>
      <c r="F54" s="679"/>
      <c r="G54" s="679" t="s">
        <v>684</v>
      </c>
      <c r="H54" s="679"/>
      <c r="I54" s="679"/>
      <c r="J54" s="679"/>
      <c r="K54" s="679" t="s">
        <v>15</v>
      </c>
      <c r="L54" s="679"/>
      <c r="M54" s="679"/>
      <c r="N54" s="679"/>
      <c r="O54" s="679"/>
      <c r="P54" s="679"/>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row>
    <row r="55" spans="1:50" customFormat="1" ht="27.2" customHeight="1" x14ac:dyDescent="0.25">
      <c r="A55" s="657" t="s">
        <v>704</v>
      </c>
      <c r="B55" s="657"/>
      <c r="C55" s="657"/>
      <c r="D55" s="657"/>
      <c r="E55" s="657"/>
      <c r="F55" s="657"/>
      <c r="G55" s="657"/>
      <c r="H55" s="657"/>
      <c r="I55" s="657"/>
      <c r="J55" s="657"/>
      <c r="K55" s="657"/>
      <c r="L55" s="657"/>
      <c r="M55" s="657"/>
      <c r="N55" s="657"/>
      <c r="O55" s="657"/>
      <c r="P55" s="657"/>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row>
    <row r="56" spans="1:50" customFormat="1" ht="149.65" customHeight="1" x14ac:dyDescent="0.25">
      <c r="A56" s="282" t="s">
        <v>147</v>
      </c>
      <c r="B56" s="682" t="s">
        <v>685</v>
      </c>
      <c r="C56" s="683"/>
      <c r="D56" s="683"/>
      <c r="E56" s="683"/>
      <c r="F56" s="683"/>
      <c r="G56" s="683" t="s">
        <v>709</v>
      </c>
      <c r="H56" s="683"/>
      <c r="I56" s="683"/>
      <c r="J56" s="683"/>
      <c r="K56" s="683" t="s">
        <v>710</v>
      </c>
      <c r="L56" s="683"/>
      <c r="M56" s="683"/>
      <c r="N56" s="683"/>
      <c r="O56" s="684">
        <f>ROUND((87100+24266*50)*1*1.56*0.6*0.7,2)</f>
        <v>852022.08</v>
      </c>
      <c r="P56" s="683"/>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row>
    <row r="57" spans="1:50" customFormat="1" x14ac:dyDescent="0.25">
      <c r="A57" s="283"/>
      <c r="B57" s="685" t="s">
        <v>564</v>
      </c>
      <c r="C57" s="685"/>
      <c r="D57" s="685"/>
      <c r="E57" s="685"/>
      <c r="F57" s="685"/>
      <c r="G57" s="685" t="s">
        <v>15</v>
      </c>
      <c r="H57" s="685"/>
      <c r="I57" s="685"/>
      <c r="J57" s="685"/>
      <c r="K57" s="685" t="s">
        <v>15</v>
      </c>
      <c r="L57" s="685"/>
      <c r="M57" s="685"/>
      <c r="N57" s="685"/>
      <c r="O57" s="685"/>
      <c r="P57" s="685"/>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row>
    <row r="58" spans="1:50" customFormat="1" x14ac:dyDescent="0.25">
      <c r="A58" s="284"/>
      <c r="B58" s="679" t="s">
        <v>681</v>
      </c>
      <c r="C58" s="679"/>
      <c r="D58" s="679"/>
      <c r="E58" s="679"/>
      <c r="F58" s="679"/>
      <c r="G58" s="679" t="s">
        <v>682</v>
      </c>
      <c r="H58" s="679"/>
      <c r="I58" s="679"/>
      <c r="J58" s="679"/>
      <c r="K58" s="679" t="s">
        <v>15</v>
      </c>
      <c r="L58" s="679"/>
      <c r="M58" s="679"/>
      <c r="N58" s="679"/>
      <c r="O58" s="679"/>
      <c r="P58" s="679"/>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row>
    <row r="59" spans="1:50" customFormat="1" x14ac:dyDescent="0.25">
      <c r="A59" s="284"/>
      <c r="B59" s="680" t="s">
        <v>707</v>
      </c>
      <c r="C59" s="571"/>
      <c r="D59" s="571"/>
      <c r="E59" s="571"/>
      <c r="F59" s="681"/>
      <c r="G59" s="680" t="s">
        <v>708</v>
      </c>
      <c r="H59" s="571"/>
      <c r="I59" s="571"/>
      <c r="J59" s="681"/>
      <c r="K59" s="680" t="s">
        <v>15</v>
      </c>
      <c r="L59" s="571"/>
      <c r="M59" s="571"/>
      <c r="N59" s="681"/>
      <c r="O59" s="680"/>
      <c r="P59" s="681"/>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row>
    <row r="60" spans="1:50" customFormat="1" ht="40.9" customHeight="1" x14ac:dyDescent="0.25">
      <c r="A60" s="284"/>
      <c r="B60" s="679" t="s">
        <v>683</v>
      </c>
      <c r="C60" s="679"/>
      <c r="D60" s="679"/>
      <c r="E60" s="679"/>
      <c r="F60" s="679"/>
      <c r="G60" s="679" t="s">
        <v>684</v>
      </c>
      <c r="H60" s="679"/>
      <c r="I60" s="679"/>
      <c r="J60" s="679"/>
      <c r="K60" s="679" t="s">
        <v>15</v>
      </c>
      <c r="L60" s="679"/>
      <c r="M60" s="679"/>
      <c r="N60" s="679"/>
      <c r="O60" s="679"/>
      <c r="P60" s="679"/>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row>
    <row r="61" spans="1:50" customFormat="1" x14ac:dyDescent="0.25">
      <c r="A61" s="657" t="s">
        <v>711</v>
      </c>
      <c r="B61" s="657"/>
      <c r="C61" s="657"/>
      <c r="D61" s="657"/>
      <c r="E61" s="657"/>
      <c r="F61" s="657"/>
      <c r="G61" s="657"/>
      <c r="H61" s="657"/>
      <c r="I61" s="657"/>
      <c r="J61" s="657"/>
      <c r="K61" s="657"/>
      <c r="L61" s="657"/>
      <c r="M61" s="657"/>
      <c r="N61" s="657"/>
      <c r="O61" s="657"/>
      <c r="P61" s="657"/>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row>
    <row r="62" spans="1:50" customFormat="1" ht="122.45" customHeight="1" x14ac:dyDescent="0.25">
      <c r="A62" s="282" t="s">
        <v>157</v>
      </c>
      <c r="B62" s="682" t="s">
        <v>678</v>
      </c>
      <c r="C62" s="683"/>
      <c r="D62" s="683"/>
      <c r="E62" s="683"/>
      <c r="F62" s="683"/>
      <c r="G62" s="683" t="s">
        <v>712</v>
      </c>
      <c r="H62" s="683"/>
      <c r="I62" s="683"/>
      <c r="J62" s="683"/>
      <c r="K62" s="683" t="s">
        <v>713</v>
      </c>
      <c r="L62" s="683"/>
      <c r="M62" s="683"/>
      <c r="N62" s="683"/>
      <c r="O62" s="684">
        <f>ROUND((31100+122993*(0.4*0.5+0.6*0.4))*1*1.56*0.6*0.7,2)</f>
        <v>55834.13</v>
      </c>
      <c r="P62" s="683"/>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row>
    <row r="63" spans="1:50" customFormat="1" x14ac:dyDescent="0.25">
      <c r="A63" s="283"/>
      <c r="B63" s="685" t="s">
        <v>564</v>
      </c>
      <c r="C63" s="685"/>
      <c r="D63" s="685"/>
      <c r="E63" s="685"/>
      <c r="F63" s="685"/>
      <c r="G63" s="685" t="s">
        <v>15</v>
      </c>
      <c r="H63" s="685"/>
      <c r="I63" s="685"/>
      <c r="J63" s="685"/>
      <c r="K63" s="685" t="s">
        <v>15</v>
      </c>
      <c r="L63" s="685"/>
      <c r="M63" s="685"/>
      <c r="N63" s="685"/>
      <c r="O63" s="685"/>
      <c r="P63" s="685"/>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row>
    <row r="64" spans="1:50" customFormat="1" x14ac:dyDescent="0.25">
      <c r="A64" s="284"/>
      <c r="B64" s="679" t="s">
        <v>681</v>
      </c>
      <c r="C64" s="679"/>
      <c r="D64" s="679"/>
      <c r="E64" s="679"/>
      <c r="F64" s="679"/>
      <c r="G64" s="679" t="s">
        <v>682</v>
      </c>
      <c r="H64" s="679"/>
      <c r="I64" s="679"/>
      <c r="J64" s="679"/>
      <c r="K64" s="679" t="s">
        <v>15</v>
      </c>
      <c r="L64" s="679"/>
      <c r="M64" s="679"/>
      <c r="N64" s="679"/>
      <c r="O64" s="679"/>
      <c r="P64" s="679"/>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row>
    <row r="65" spans="1:50" customFormat="1" x14ac:dyDescent="0.25">
      <c r="A65" s="284"/>
      <c r="B65" s="680" t="s">
        <v>707</v>
      </c>
      <c r="C65" s="571"/>
      <c r="D65" s="571"/>
      <c r="E65" s="571"/>
      <c r="F65" s="681"/>
      <c r="G65" s="680" t="s">
        <v>708</v>
      </c>
      <c r="H65" s="571"/>
      <c r="I65" s="571"/>
      <c r="J65" s="681"/>
      <c r="K65" s="680" t="s">
        <v>15</v>
      </c>
      <c r="L65" s="571"/>
      <c r="M65" s="571"/>
      <c r="N65" s="681"/>
      <c r="O65" s="680"/>
      <c r="P65" s="681"/>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row>
    <row r="66" spans="1:50" customFormat="1" ht="40.9" customHeight="1" x14ac:dyDescent="0.25">
      <c r="A66" s="284"/>
      <c r="B66" s="679" t="s">
        <v>683</v>
      </c>
      <c r="C66" s="679"/>
      <c r="D66" s="679"/>
      <c r="E66" s="679"/>
      <c r="F66" s="679"/>
      <c r="G66" s="679" t="s">
        <v>684</v>
      </c>
      <c r="H66" s="679"/>
      <c r="I66" s="679"/>
      <c r="J66" s="679"/>
      <c r="K66" s="679" t="s">
        <v>15</v>
      </c>
      <c r="L66" s="679"/>
      <c r="M66" s="679"/>
      <c r="N66" s="679"/>
      <c r="O66" s="679"/>
      <c r="P66" s="679"/>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row>
    <row r="67" spans="1:50" customFormat="1" x14ac:dyDescent="0.25">
      <c r="A67" s="285" t="s">
        <v>161</v>
      </c>
      <c r="B67" s="675" t="s">
        <v>604</v>
      </c>
      <c r="C67" s="675"/>
      <c r="D67" s="675"/>
      <c r="E67" s="675"/>
      <c r="F67" s="675"/>
      <c r="G67" s="675"/>
      <c r="H67" s="675"/>
      <c r="I67" s="675"/>
      <c r="J67" s="675"/>
      <c r="K67" s="675" t="s">
        <v>15</v>
      </c>
      <c r="L67" s="675"/>
      <c r="M67" s="675"/>
      <c r="N67" s="675"/>
      <c r="O67" s="676">
        <f>ROUND(SUM($O$15:$O$62),2)</f>
        <v>5850955.71</v>
      </c>
      <c r="P67" s="675"/>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row>
    <row r="68" spans="1:50" customFormat="1" ht="108.75" customHeight="1" x14ac:dyDescent="0.25">
      <c r="A68" s="285" t="s">
        <v>166</v>
      </c>
      <c r="B68" s="657" t="s">
        <v>606</v>
      </c>
      <c r="C68" s="657"/>
      <c r="D68" s="657"/>
      <c r="E68" s="657"/>
      <c r="F68" s="657"/>
      <c r="G68" s="657" t="s">
        <v>607</v>
      </c>
      <c r="H68" s="657"/>
      <c r="I68" s="657"/>
      <c r="J68" s="657"/>
      <c r="K68" s="657" t="s">
        <v>714</v>
      </c>
      <c r="L68" s="657"/>
      <c r="M68" s="657"/>
      <c r="N68" s="657"/>
      <c r="O68" s="658">
        <f>ROUND(($O$67)*1*0.8,2)</f>
        <v>4680764.57</v>
      </c>
      <c r="P68" s="657"/>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row>
    <row r="69" spans="1:50" s="501" customFormat="1" ht="29.25" customHeight="1" x14ac:dyDescent="0.25">
      <c r="A69" s="285" t="s">
        <v>171</v>
      </c>
      <c r="B69" s="677" t="s">
        <v>606</v>
      </c>
      <c r="C69" s="677"/>
      <c r="D69" s="677"/>
      <c r="E69" s="677"/>
      <c r="F69" s="677"/>
      <c r="G69" s="677" t="s">
        <v>2314</v>
      </c>
      <c r="H69" s="677"/>
      <c r="I69" s="677"/>
      <c r="J69" s="677"/>
      <c r="K69" s="677" t="s">
        <v>2315</v>
      </c>
      <c r="L69" s="677"/>
      <c r="M69" s="677"/>
      <c r="N69" s="677"/>
      <c r="O69" s="678">
        <f>O68*0.7</f>
        <v>3276535.199</v>
      </c>
      <c r="P69" s="677"/>
      <c r="Q69" s="500"/>
      <c r="R69" s="500"/>
      <c r="S69" s="500"/>
      <c r="T69" s="500"/>
      <c r="U69" s="500"/>
      <c r="V69" s="500"/>
      <c r="W69" s="500"/>
      <c r="X69" s="500"/>
      <c r="Y69" s="500"/>
      <c r="Z69" s="500"/>
      <c r="AA69" s="500"/>
      <c r="AB69" s="500"/>
      <c r="AC69" s="500"/>
      <c r="AD69" s="500"/>
      <c r="AE69" s="500"/>
      <c r="AF69" s="500"/>
      <c r="AG69" s="500"/>
      <c r="AH69" s="500"/>
      <c r="AI69" s="500"/>
      <c r="AJ69" s="500"/>
      <c r="AK69" s="500"/>
      <c r="AL69" s="500"/>
      <c r="AM69" s="500"/>
      <c r="AN69" s="500"/>
      <c r="AO69" s="500"/>
      <c r="AP69" s="500"/>
      <c r="AQ69" s="500"/>
      <c r="AR69" s="500"/>
      <c r="AS69" s="500"/>
      <c r="AT69" s="500"/>
      <c r="AU69" s="500"/>
      <c r="AV69" s="500"/>
      <c r="AW69" s="500"/>
      <c r="AX69" s="500"/>
    </row>
    <row r="70" spans="1:50" customFormat="1" x14ac:dyDescent="0.25">
      <c r="A70" s="285" t="s">
        <v>183</v>
      </c>
      <c r="B70" s="675" t="s">
        <v>613</v>
      </c>
      <c r="C70" s="675"/>
      <c r="D70" s="675"/>
      <c r="E70" s="675"/>
      <c r="F70" s="675"/>
      <c r="G70" s="675"/>
      <c r="H70" s="675"/>
      <c r="I70" s="675"/>
      <c r="J70" s="675"/>
      <c r="K70" s="675" t="s">
        <v>15</v>
      </c>
      <c r="L70" s="675"/>
      <c r="M70" s="675"/>
      <c r="N70" s="675"/>
      <c r="O70" s="676">
        <f>O69</f>
        <v>3276535.199</v>
      </c>
      <c r="P70" s="675"/>
      <c r="Q70" s="2"/>
      <c r="R70" s="243">
        <f>O70</f>
        <v>3276535.199</v>
      </c>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row>
    <row r="71" spans="1:50" customForma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row>
  </sheetData>
  <mergeCells count="216">
    <mergeCell ref="A1:D1"/>
    <mergeCell ref="E1:P1"/>
    <mergeCell ref="A3:P3"/>
    <mergeCell ref="A4:P4"/>
    <mergeCell ref="A6:E6"/>
    <mergeCell ref="F6:P6"/>
    <mergeCell ref="A8:E8"/>
    <mergeCell ref="F8:P8"/>
    <mergeCell ref="A10:E10"/>
    <mergeCell ref="F10:P10"/>
    <mergeCell ref="B12:F12"/>
    <mergeCell ref="G12:J12"/>
    <mergeCell ref="K12:N12"/>
    <mergeCell ref="O12:P12"/>
    <mergeCell ref="B13:F13"/>
    <mergeCell ref="G13:J13"/>
    <mergeCell ref="K13:N13"/>
    <mergeCell ref="O13:P13"/>
    <mergeCell ref="A14:P14"/>
    <mergeCell ref="B15:F15"/>
    <mergeCell ref="G15:J15"/>
    <mergeCell ref="K15:N15"/>
    <mergeCell ref="O15:P15"/>
    <mergeCell ref="B16:F16"/>
    <mergeCell ref="G16:J16"/>
    <mergeCell ref="K16:N16"/>
    <mergeCell ref="O16:P16"/>
    <mergeCell ref="B17:F17"/>
    <mergeCell ref="G17:J17"/>
    <mergeCell ref="K17:N17"/>
    <mergeCell ref="O17:P17"/>
    <mergeCell ref="B18:F18"/>
    <mergeCell ref="G18:J18"/>
    <mergeCell ref="K18:N18"/>
    <mergeCell ref="O18:P18"/>
    <mergeCell ref="A19:P19"/>
    <mergeCell ref="B20:F20"/>
    <mergeCell ref="G20:J20"/>
    <mergeCell ref="K20:N20"/>
    <mergeCell ref="O20:P20"/>
    <mergeCell ref="B21:F21"/>
    <mergeCell ref="G21:J21"/>
    <mergeCell ref="K21:N21"/>
    <mergeCell ref="O21:P21"/>
    <mergeCell ref="B22:F22"/>
    <mergeCell ref="G22:J22"/>
    <mergeCell ref="K22:N22"/>
    <mergeCell ref="O22:P22"/>
    <mergeCell ref="B23:F23"/>
    <mergeCell ref="G23:J23"/>
    <mergeCell ref="K23:N23"/>
    <mergeCell ref="O23:P23"/>
    <mergeCell ref="A24:P24"/>
    <mergeCell ref="B25:F25"/>
    <mergeCell ref="G25:J25"/>
    <mergeCell ref="K25:N25"/>
    <mergeCell ref="O25:P25"/>
    <mergeCell ref="B26:F26"/>
    <mergeCell ref="G26:J26"/>
    <mergeCell ref="K26:N26"/>
    <mergeCell ref="O26:P26"/>
    <mergeCell ref="B27:F27"/>
    <mergeCell ref="G27:J27"/>
    <mergeCell ref="K27:N27"/>
    <mergeCell ref="O27:P27"/>
    <mergeCell ref="B28:F28"/>
    <mergeCell ref="G28:J28"/>
    <mergeCell ref="K28:N28"/>
    <mergeCell ref="O28:P28"/>
    <mergeCell ref="A29:P29"/>
    <mergeCell ref="B30:F30"/>
    <mergeCell ref="G30:J30"/>
    <mergeCell ref="K30:N30"/>
    <mergeCell ref="O30:P30"/>
    <mergeCell ref="B31:F31"/>
    <mergeCell ref="G31:J31"/>
    <mergeCell ref="K31:N31"/>
    <mergeCell ref="O31:P31"/>
    <mergeCell ref="B32:F32"/>
    <mergeCell ref="G32:J32"/>
    <mergeCell ref="K32:N32"/>
    <mergeCell ref="O32:P32"/>
    <mergeCell ref="B33:F33"/>
    <mergeCell ref="G33:J33"/>
    <mergeCell ref="K33:N33"/>
    <mergeCell ref="O33:P33"/>
    <mergeCell ref="A34:P34"/>
    <mergeCell ref="B35:F35"/>
    <mergeCell ref="G35:J35"/>
    <mergeCell ref="K35:N35"/>
    <mergeCell ref="O35:P35"/>
    <mergeCell ref="B36:F36"/>
    <mergeCell ref="G36:J36"/>
    <mergeCell ref="K36:N36"/>
    <mergeCell ref="O36:P36"/>
    <mergeCell ref="B37:F37"/>
    <mergeCell ref="G37:J37"/>
    <mergeCell ref="K37:N37"/>
    <mergeCell ref="O37:P37"/>
    <mergeCell ref="B38:F38"/>
    <mergeCell ref="G38:J38"/>
    <mergeCell ref="K38:N38"/>
    <mergeCell ref="O38:P38"/>
    <mergeCell ref="B39:F39"/>
    <mergeCell ref="G39:J39"/>
    <mergeCell ref="K39:N39"/>
    <mergeCell ref="O39:P39"/>
    <mergeCell ref="B40:F40"/>
    <mergeCell ref="G40:J40"/>
    <mergeCell ref="K40:N40"/>
    <mergeCell ref="O40:P40"/>
    <mergeCell ref="B41:F41"/>
    <mergeCell ref="G41:J41"/>
    <mergeCell ref="K41:N41"/>
    <mergeCell ref="O41:P41"/>
    <mergeCell ref="B42:F42"/>
    <mergeCell ref="G42:J42"/>
    <mergeCell ref="K42:N42"/>
    <mergeCell ref="O42:P42"/>
    <mergeCell ref="A43:P43"/>
    <mergeCell ref="B44:F44"/>
    <mergeCell ref="G44:J44"/>
    <mergeCell ref="K44:N44"/>
    <mergeCell ref="O44:P44"/>
    <mergeCell ref="B45:F45"/>
    <mergeCell ref="G45:J45"/>
    <mergeCell ref="K45:N45"/>
    <mergeCell ref="O45:P45"/>
    <mergeCell ref="B46:F46"/>
    <mergeCell ref="G46:J46"/>
    <mergeCell ref="K46:N46"/>
    <mergeCell ref="O46:P46"/>
    <mergeCell ref="B47:F47"/>
    <mergeCell ref="G47:J47"/>
    <mergeCell ref="K47:N47"/>
    <mergeCell ref="O47:P47"/>
    <mergeCell ref="A48:P48"/>
    <mergeCell ref="A49:P49"/>
    <mergeCell ref="B50:F50"/>
    <mergeCell ref="G50:J50"/>
    <mergeCell ref="K50:N50"/>
    <mergeCell ref="O50:P50"/>
    <mergeCell ref="B51:F51"/>
    <mergeCell ref="G51:J51"/>
    <mergeCell ref="K51:N51"/>
    <mergeCell ref="O51:P51"/>
    <mergeCell ref="B52:F52"/>
    <mergeCell ref="G52:J52"/>
    <mergeCell ref="K52:N52"/>
    <mergeCell ref="O52:P52"/>
    <mergeCell ref="B53:F53"/>
    <mergeCell ref="G53:J53"/>
    <mergeCell ref="K53:N53"/>
    <mergeCell ref="O53:P53"/>
    <mergeCell ref="B54:F54"/>
    <mergeCell ref="G54:J54"/>
    <mergeCell ref="K54:N54"/>
    <mergeCell ref="O54:P54"/>
    <mergeCell ref="A55:P55"/>
    <mergeCell ref="B56:F56"/>
    <mergeCell ref="G56:J56"/>
    <mergeCell ref="K56:N56"/>
    <mergeCell ref="O56:P56"/>
    <mergeCell ref="B57:F57"/>
    <mergeCell ref="G57:J57"/>
    <mergeCell ref="K57:N57"/>
    <mergeCell ref="O57:P57"/>
    <mergeCell ref="B58:F58"/>
    <mergeCell ref="G58:J58"/>
    <mergeCell ref="K58:N58"/>
    <mergeCell ref="O58:P58"/>
    <mergeCell ref="B59:F59"/>
    <mergeCell ref="G59:J59"/>
    <mergeCell ref="K59:N59"/>
    <mergeCell ref="O59:P59"/>
    <mergeCell ref="B60:F60"/>
    <mergeCell ref="G60:J60"/>
    <mergeCell ref="K60:N60"/>
    <mergeCell ref="O60:P60"/>
    <mergeCell ref="A61:P61"/>
    <mergeCell ref="B62:F62"/>
    <mergeCell ref="G62:J62"/>
    <mergeCell ref="K62:N62"/>
    <mergeCell ref="O62:P62"/>
    <mergeCell ref="B63:F63"/>
    <mergeCell ref="G63:J63"/>
    <mergeCell ref="K63:N63"/>
    <mergeCell ref="O63:P63"/>
    <mergeCell ref="B64:F64"/>
    <mergeCell ref="G64:J64"/>
    <mergeCell ref="K64:N64"/>
    <mergeCell ref="O64:P64"/>
    <mergeCell ref="B65:F65"/>
    <mergeCell ref="G65:J65"/>
    <mergeCell ref="K65:N65"/>
    <mergeCell ref="O65:P65"/>
    <mergeCell ref="B66:F66"/>
    <mergeCell ref="G66:J66"/>
    <mergeCell ref="K66:N66"/>
    <mergeCell ref="O66:P66"/>
    <mergeCell ref="B70:F70"/>
    <mergeCell ref="G70:J70"/>
    <mergeCell ref="K70:N70"/>
    <mergeCell ref="O70:P70"/>
    <mergeCell ref="B69:F69"/>
    <mergeCell ref="G69:J69"/>
    <mergeCell ref="K69:N69"/>
    <mergeCell ref="O69:P69"/>
    <mergeCell ref="B67:F67"/>
    <mergeCell ref="G67:J67"/>
    <mergeCell ref="K67:N67"/>
    <mergeCell ref="O67:P67"/>
    <mergeCell ref="B68:F68"/>
    <mergeCell ref="G68:J68"/>
    <mergeCell ref="K68:N68"/>
    <mergeCell ref="O68:P68"/>
  </mergeCells>
  <conditionalFormatting sqref="B69:L69">
    <cfRule type="containsText" dxfId="50" priority="1" operator="containsText" text="Этап ">
      <formula>NOT(ISERROR(SEARCH("Этап ",B69)))</formula>
    </cfRule>
  </conditionalFormatting>
  <pageMargins left="0.40000000000000008" right="0.40000000000000008" top="0.75" bottom="0.75" header="0.3" footer="0.3"/>
  <pageSetup paperSize="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6"/>
    <pageSetUpPr fitToPage="1"/>
  </sheetPr>
  <dimension ref="A1:AX97"/>
  <sheetViews>
    <sheetView zoomScale="70" zoomScaleNormal="70" workbookViewId="0">
      <selection activeCell="Q101" sqref="Q101"/>
    </sheetView>
  </sheetViews>
  <sheetFormatPr defaultRowHeight="15" x14ac:dyDescent="0.25"/>
  <cols>
    <col min="1" max="1" width="6.42578125" style="228" customWidth="1"/>
    <col min="2" max="6" width="8" style="228" customWidth="1"/>
    <col min="7" max="10" width="8.5703125" style="228" customWidth="1"/>
    <col min="11" max="17" width="8" style="228" customWidth="1"/>
    <col min="18" max="18" width="12.42578125" style="228" bestFit="1" customWidth="1"/>
    <col min="19" max="50" width="8" style="228" customWidth="1"/>
    <col min="51" max="16384" width="9.140625" style="227"/>
  </cols>
  <sheetData>
    <row r="1" spans="1:50" ht="27.2" customHeight="1" x14ac:dyDescent="0.25">
      <c r="A1" s="652"/>
      <c r="B1" s="652"/>
      <c r="C1" s="652"/>
      <c r="D1" s="652"/>
      <c r="E1" s="653" t="s">
        <v>676</v>
      </c>
      <c r="F1" s="653"/>
      <c r="G1" s="653"/>
      <c r="H1" s="653"/>
      <c r="I1" s="653"/>
      <c r="J1" s="653"/>
      <c r="K1" s="653"/>
      <c r="L1" s="653"/>
      <c r="M1" s="653"/>
      <c r="N1" s="653"/>
      <c r="O1" s="653"/>
      <c r="P1" s="653"/>
    </row>
    <row r="2" spans="1:50" ht="15" customHeight="1" x14ac:dyDescent="0.25"/>
    <row r="3" spans="1:50" ht="15" customHeight="1" x14ac:dyDescent="0.25">
      <c r="A3" s="646" t="str">
        <f>СВОД!E35</f>
        <v>Смета №3.2</v>
      </c>
      <c r="B3" s="646"/>
      <c r="C3" s="646"/>
      <c r="D3" s="646"/>
      <c r="E3" s="646"/>
      <c r="F3" s="646"/>
      <c r="G3" s="646"/>
      <c r="H3" s="646"/>
      <c r="I3" s="646"/>
      <c r="J3" s="646"/>
      <c r="K3" s="646"/>
      <c r="L3" s="646"/>
      <c r="M3" s="646"/>
      <c r="N3" s="646"/>
      <c r="O3" s="646"/>
      <c r="P3" s="646"/>
    </row>
    <row r="4" spans="1:50" ht="15" customHeight="1" x14ac:dyDescent="0.25">
      <c r="A4" s="647" t="s">
        <v>559</v>
      </c>
      <c r="B4" s="647"/>
      <c r="C4" s="647"/>
      <c r="D4" s="647"/>
      <c r="E4" s="647"/>
      <c r="F4" s="647"/>
      <c r="G4" s="647"/>
      <c r="H4" s="647"/>
      <c r="I4" s="647"/>
      <c r="J4" s="647"/>
      <c r="K4" s="647"/>
      <c r="L4" s="647"/>
      <c r="M4" s="647"/>
      <c r="N4" s="647"/>
      <c r="O4" s="647"/>
      <c r="P4" s="647"/>
    </row>
    <row r="5" spans="1:50" ht="15" customHeight="1" x14ac:dyDescent="0.25"/>
    <row r="6" spans="1:50" ht="54.4" customHeight="1" x14ac:dyDescent="0.25">
      <c r="A6" s="648" t="s">
        <v>3</v>
      </c>
      <c r="B6" s="648"/>
      <c r="C6" s="648"/>
      <c r="D6" s="648"/>
      <c r="E6" s="648"/>
      <c r="F6" s="649" t="str">
        <f>СВОД!B35</f>
        <v>Автомобильные дороги</v>
      </c>
      <c r="G6" s="649"/>
      <c r="H6" s="649"/>
      <c r="I6" s="649"/>
      <c r="J6" s="649"/>
      <c r="K6" s="649"/>
      <c r="L6" s="649"/>
      <c r="M6" s="649"/>
      <c r="N6" s="649"/>
      <c r="O6" s="649"/>
      <c r="P6" s="649"/>
    </row>
    <row r="7" spans="1:50" ht="15" customHeight="1" x14ac:dyDescent="0.25"/>
    <row r="8" spans="1:50" ht="27.2" customHeight="1" x14ac:dyDescent="0.25">
      <c r="A8" s="648" t="s">
        <v>6</v>
      </c>
      <c r="B8" s="648"/>
      <c r="C8" s="648"/>
      <c r="D8" s="648"/>
      <c r="E8" s="648"/>
      <c r="F8" s="649" t="str">
        <f>СВОД!D14</f>
        <v>Определяется по итогам конкурентных процедур</v>
      </c>
      <c r="G8" s="649"/>
      <c r="H8" s="649"/>
      <c r="I8" s="649"/>
      <c r="J8" s="649"/>
      <c r="K8" s="649"/>
      <c r="L8" s="649"/>
      <c r="M8" s="649"/>
      <c r="N8" s="649"/>
      <c r="O8" s="649"/>
      <c r="P8" s="649"/>
    </row>
    <row r="9" spans="1:50" ht="15" customHeight="1" x14ac:dyDescent="0.25"/>
    <row r="10" spans="1:50" ht="15" customHeight="1" x14ac:dyDescent="0.25">
      <c r="A10" s="648" t="s">
        <v>8</v>
      </c>
      <c r="B10" s="648"/>
      <c r="C10" s="648"/>
      <c r="D10" s="648"/>
      <c r="E10" s="648"/>
      <c r="F10" s="649" t="str">
        <f>СВОД!D16</f>
        <v>ООО «Газпром проектирование»</v>
      </c>
      <c r="G10" s="649"/>
      <c r="H10" s="649"/>
      <c r="I10" s="649"/>
      <c r="J10" s="649"/>
      <c r="K10" s="649"/>
      <c r="L10" s="649"/>
      <c r="M10" s="649"/>
      <c r="N10" s="649"/>
      <c r="O10" s="649"/>
      <c r="P10" s="649"/>
    </row>
    <row r="11" spans="1:50" ht="15" customHeight="1" x14ac:dyDescent="0.25"/>
    <row r="12" spans="1:50" ht="40.9" customHeight="1" x14ac:dyDescent="0.25">
      <c r="A12" s="229" t="s">
        <v>90</v>
      </c>
      <c r="B12" s="645" t="s">
        <v>560</v>
      </c>
      <c r="C12" s="645"/>
      <c r="D12" s="645"/>
      <c r="E12" s="645"/>
      <c r="F12" s="645"/>
      <c r="G12" s="645" t="s">
        <v>561</v>
      </c>
      <c r="H12" s="645"/>
      <c r="I12" s="645"/>
      <c r="J12" s="645"/>
      <c r="K12" s="645" t="s">
        <v>225</v>
      </c>
      <c r="L12" s="645"/>
      <c r="M12" s="645"/>
      <c r="N12" s="645"/>
      <c r="O12" s="645" t="s">
        <v>13</v>
      </c>
      <c r="P12" s="645"/>
    </row>
    <row r="13" spans="1:50" ht="15" customHeight="1" x14ac:dyDescent="0.25">
      <c r="A13" s="229">
        <v>1</v>
      </c>
      <c r="B13" s="645">
        <v>2</v>
      </c>
      <c r="C13" s="645"/>
      <c r="D13" s="645"/>
      <c r="E13" s="645"/>
      <c r="F13" s="645"/>
      <c r="G13" s="645">
        <v>3</v>
      </c>
      <c r="H13" s="645"/>
      <c r="I13" s="645"/>
      <c r="J13" s="645"/>
      <c r="K13" s="645">
        <v>4</v>
      </c>
      <c r="L13" s="645"/>
      <c r="M13" s="645"/>
      <c r="N13" s="645"/>
      <c r="O13" s="645">
        <v>5</v>
      </c>
      <c r="P13" s="645"/>
    </row>
    <row r="14" spans="1:50" customFormat="1" ht="40.9" customHeight="1" x14ac:dyDescent="0.25">
      <c r="A14" s="657" t="s">
        <v>715</v>
      </c>
      <c r="B14" s="657"/>
      <c r="C14" s="657"/>
      <c r="D14" s="657"/>
      <c r="E14" s="657"/>
      <c r="F14" s="657"/>
      <c r="G14" s="657"/>
      <c r="H14" s="657"/>
      <c r="I14" s="657"/>
      <c r="J14" s="657"/>
      <c r="K14" s="657"/>
      <c r="L14" s="657"/>
      <c r="M14" s="657"/>
      <c r="N14" s="657"/>
      <c r="O14" s="657"/>
      <c r="P14" s="657"/>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row>
    <row r="15" spans="1:50" customFormat="1" ht="163.15" customHeight="1" x14ac:dyDescent="0.25">
      <c r="A15" s="282" t="s">
        <v>98</v>
      </c>
      <c r="B15" s="682" t="s">
        <v>716</v>
      </c>
      <c r="C15" s="683"/>
      <c r="D15" s="683"/>
      <c r="E15" s="683"/>
      <c r="F15" s="683"/>
      <c r="G15" s="683" t="s">
        <v>717</v>
      </c>
      <c r="H15" s="683"/>
      <c r="I15" s="683"/>
      <c r="J15" s="683"/>
      <c r="K15" s="683" t="s">
        <v>718</v>
      </c>
      <c r="L15" s="683"/>
      <c r="M15" s="683"/>
      <c r="N15" s="683"/>
      <c r="O15" s="684">
        <f>ROUND((290100 + 1856633 * 0.23229) * 1 * 1.4 * 0.6, 2)</f>
        <v>605956.91</v>
      </c>
      <c r="P15" s="683"/>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row>
    <row r="16" spans="1:50" customFormat="1" ht="15" customHeight="1" x14ac:dyDescent="0.25">
      <c r="A16" s="283"/>
      <c r="B16" s="685" t="s">
        <v>564</v>
      </c>
      <c r="C16" s="685"/>
      <c r="D16" s="685"/>
      <c r="E16" s="685"/>
      <c r="F16" s="685"/>
      <c r="G16" s="685" t="s">
        <v>15</v>
      </c>
      <c r="H16" s="685"/>
      <c r="I16" s="685"/>
      <c r="J16" s="685"/>
      <c r="K16" s="685" t="s">
        <v>15</v>
      </c>
      <c r="L16" s="685"/>
      <c r="M16" s="685"/>
      <c r="N16" s="685"/>
      <c r="O16" s="685"/>
      <c r="P16" s="685"/>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row>
    <row r="17" spans="1:50" customFormat="1" ht="15" customHeight="1" x14ac:dyDescent="0.25">
      <c r="A17" s="284"/>
      <c r="B17" s="679" t="s">
        <v>681</v>
      </c>
      <c r="C17" s="679"/>
      <c r="D17" s="679"/>
      <c r="E17" s="679"/>
      <c r="F17" s="679"/>
      <c r="G17" s="679" t="s">
        <v>682</v>
      </c>
      <c r="H17" s="679"/>
      <c r="I17" s="679"/>
      <c r="J17" s="679"/>
      <c r="K17" s="679" t="s">
        <v>15</v>
      </c>
      <c r="L17" s="679"/>
      <c r="M17" s="679"/>
      <c r="N17" s="679"/>
      <c r="O17" s="679"/>
      <c r="P17" s="679"/>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0" customFormat="1" ht="40.9" customHeight="1" x14ac:dyDescent="0.25">
      <c r="A18" s="284"/>
      <c r="B18" s="679" t="s">
        <v>719</v>
      </c>
      <c r="C18" s="679"/>
      <c r="D18" s="679"/>
      <c r="E18" s="679"/>
      <c r="F18" s="679"/>
      <c r="G18" s="679" t="s">
        <v>720</v>
      </c>
      <c r="H18" s="679"/>
      <c r="I18" s="679"/>
      <c r="J18" s="679"/>
      <c r="K18" s="679" t="s">
        <v>15</v>
      </c>
      <c r="L18" s="679"/>
      <c r="M18" s="679"/>
      <c r="N18" s="679"/>
      <c r="O18" s="679"/>
      <c r="P18" s="679"/>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0" customFormat="1" ht="40.9" customHeight="1" x14ac:dyDescent="0.25">
      <c r="A19" s="657" t="s">
        <v>715</v>
      </c>
      <c r="B19" s="657"/>
      <c r="C19" s="657"/>
      <c r="D19" s="657"/>
      <c r="E19" s="657"/>
      <c r="F19" s="657"/>
      <c r="G19" s="657"/>
      <c r="H19" s="657"/>
      <c r="I19" s="657"/>
      <c r="J19" s="657"/>
      <c r="K19" s="657"/>
      <c r="L19" s="657"/>
      <c r="M19" s="657"/>
      <c r="N19" s="657"/>
      <c r="O19" s="657"/>
      <c r="P19" s="657"/>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row>
    <row r="20" spans="1:50" customFormat="1" ht="108.75" customHeight="1" x14ac:dyDescent="0.25">
      <c r="A20" s="282" t="s">
        <v>104</v>
      </c>
      <c r="B20" s="682" t="s">
        <v>721</v>
      </c>
      <c r="C20" s="683"/>
      <c r="D20" s="683"/>
      <c r="E20" s="683"/>
      <c r="F20" s="683"/>
      <c r="G20" s="683" t="s">
        <v>722</v>
      </c>
      <c r="H20" s="683"/>
      <c r="I20" s="683"/>
      <c r="J20" s="683"/>
      <c r="K20" s="683" t="s">
        <v>723</v>
      </c>
      <c r="L20" s="683"/>
      <c r="M20" s="683"/>
      <c r="N20" s="683"/>
      <c r="O20" s="684">
        <f>ROUND(1622600 * 1 * 1.4 * 0.6 * 0.47, 2)</f>
        <v>640602.48</v>
      </c>
      <c r="P20" s="683"/>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row>
    <row r="21" spans="1:50" customFormat="1" ht="15" customHeight="1" x14ac:dyDescent="0.25">
      <c r="A21" s="283"/>
      <c r="B21" s="685" t="s">
        <v>564</v>
      </c>
      <c r="C21" s="685"/>
      <c r="D21" s="685"/>
      <c r="E21" s="685"/>
      <c r="F21" s="685"/>
      <c r="G21" s="685" t="s">
        <v>15</v>
      </c>
      <c r="H21" s="685"/>
      <c r="I21" s="685"/>
      <c r="J21" s="685"/>
      <c r="K21" s="685" t="s">
        <v>15</v>
      </c>
      <c r="L21" s="685"/>
      <c r="M21" s="685"/>
      <c r="N21" s="685"/>
      <c r="O21" s="685"/>
      <c r="P21" s="685"/>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row>
    <row r="22" spans="1:50" customFormat="1" ht="15" customHeight="1" x14ac:dyDescent="0.25">
      <c r="A22" s="284"/>
      <c r="B22" s="679" t="s">
        <v>681</v>
      </c>
      <c r="C22" s="679"/>
      <c r="D22" s="679"/>
      <c r="E22" s="679"/>
      <c r="F22" s="679"/>
      <c r="G22" s="679" t="s">
        <v>682</v>
      </c>
      <c r="H22" s="679"/>
      <c r="I22" s="679"/>
      <c r="J22" s="679"/>
      <c r="K22" s="679" t="s">
        <v>15</v>
      </c>
      <c r="L22" s="679"/>
      <c r="M22" s="679"/>
      <c r="N22" s="679"/>
      <c r="O22" s="679"/>
      <c r="P22" s="679"/>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row>
    <row r="23" spans="1:50" customFormat="1" ht="40.9" customHeight="1" x14ac:dyDescent="0.25">
      <c r="A23" s="284"/>
      <c r="B23" s="679" t="s">
        <v>719</v>
      </c>
      <c r="C23" s="679"/>
      <c r="D23" s="679"/>
      <c r="E23" s="679"/>
      <c r="F23" s="679"/>
      <c r="G23" s="679" t="s">
        <v>720</v>
      </c>
      <c r="H23" s="679"/>
      <c r="I23" s="679"/>
      <c r="J23" s="679"/>
      <c r="K23" s="679" t="s">
        <v>15</v>
      </c>
      <c r="L23" s="679"/>
      <c r="M23" s="679"/>
      <c r="N23" s="679"/>
      <c r="O23" s="679"/>
      <c r="P23" s="679"/>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row>
    <row r="24" spans="1:50" customFormat="1" ht="68.099999999999994" customHeight="1" x14ac:dyDescent="0.25">
      <c r="A24" s="284"/>
      <c r="B24" s="679" t="s">
        <v>724</v>
      </c>
      <c r="C24" s="679"/>
      <c r="D24" s="679"/>
      <c r="E24" s="679"/>
      <c r="F24" s="679"/>
      <c r="G24" s="679" t="s">
        <v>725</v>
      </c>
      <c r="H24" s="679"/>
      <c r="I24" s="679"/>
      <c r="J24" s="679"/>
      <c r="K24" s="679" t="s">
        <v>15</v>
      </c>
      <c r="L24" s="679"/>
      <c r="M24" s="679"/>
      <c r="N24" s="679"/>
      <c r="O24" s="679"/>
      <c r="P24" s="679"/>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row>
    <row r="25" spans="1:50" customFormat="1" ht="40.9" customHeight="1" x14ac:dyDescent="0.25">
      <c r="A25" s="657" t="s">
        <v>726</v>
      </c>
      <c r="B25" s="657"/>
      <c r="C25" s="657"/>
      <c r="D25" s="657"/>
      <c r="E25" s="657"/>
      <c r="F25" s="657"/>
      <c r="G25" s="657"/>
      <c r="H25" s="657"/>
      <c r="I25" s="657"/>
      <c r="J25" s="657"/>
      <c r="K25" s="657"/>
      <c r="L25" s="657"/>
      <c r="M25" s="657"/>
      <c r="N25" s="657"/>
      <c r="O25" s="657"/>
      <c r="P25" s="657"/>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0" customFormat="1" ht="163.15" customHeight="1" x14ac:dyDescent="0.25">
      <c r="A26" s="282" t="s">
        <v>110</v>
      </c>
      <c r="B26" s="682" t="s">
        <v>716</v>
      </c>
      <c r="C26" s="683"/>
      <c r="D26" s="683"/>
      <c r="E26" s="683"/>
      <c r="F26" s="683"/>
      <c r="G26" s="683" t="s">
        <v>727</v>
      </c>
      <c r="H26" s="683"/>
      <c r="I26" s="683"/>
      <c r="J26" s="683"/>
      <c r="K26" s="683" t="s">
        <v>728</v>
      </c>
      <c r="L26" s="683"/>
      <c r="M26" s="683"/>
      <c r="N26" s="683"/>
      <c r="O26" s="684">
        <f>ROUND((290100 + 1856633 * 0.29304) * 1 * 1.4 * 0.6, 2)</f>
        <v>700700.9</v>
      </c>
      <c r="P26" s="683"/>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0" customFormat="1" ht="15" customHeight="1" x14ac:dyDescent="0.25">
      <c r="A27" s="283"/>
      <c r="B27" s="685" t="s">
        <v>564</v>
      </c>
      <c r="C27" s="685"/>
      <c r="D27" s="685"/>
      <c r="E27" s="685"/>
      <c r="F27" s="685"/>
      <c r="G27" s="685" t="s">
        <v>15</v>
      </c>
      <c r="H27" s="685"/>
      <c r="I27" s="685"/>
      <c r="J27" s="685"/>
      <c r="K27" s="685" t="s">
        <v>15</v>
      </c>
      <c r="L27" s="685"/>
      <c r="M27" s="685"/>
      <c r="N27" s="685"/>
      <c r="O27" s="685"/>
      <c r="P27" s="685"/>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row>
    <row r="28" spans="1:50" customFormat="1" ht="15" customHeight="1" x14ac:dyDescent="0.25">
      <c r="A28" s="284"/>
      <c r="B28" s="679" t="s">
        <v>681</v>
      </c>
      <c r="C28" s="679"/>
      <c r="D28" s="679"/>
      <c r="E28" s="679"/>
      <c r="F28" s="679"/>
      <c r="G28" s="679" t="s">
        <v>682</v>
      </c>
      <c r="H28" s="679"/>
      <c r="I28" s="679"/>
      <c r="J28" s="679"/>
      <c r="K28" s="679" t="s">
        <v>15</v>
      </c>
      <c r="L28" s="679"/>
      <c r="M28" s="679"/>
      <c r="N28" s="679"/>
      <c r="O28" s="679"/>
      <c r="P28" s="679"/>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row>
    <row r="29" spans="1:50" customFormat="1" ht="40.9" customHeight="1" x14ac:dyDescent="0.25">
      <c r="A29" s="284"/>
      <c r="B29" s="679" t="s">
        <v>719</v>
      </c>
      <c r="C29" s="679"/>
      <c r="D29" s="679"/>
      <c r="E29" s="679"/>
      <c r="F29" s="679"/>
      <c r="G29" s="679" t="s">
        <v>720</v>
      </c>
      <c r="H29" s="679"/>
      <c r="I29" s="679"/>
      <c r="J29" s="679"/>
      <c r="K29" s="679" t="s">
        <v>15</v>
      </c>
      <c r="L29" s="679"/>
      <c r="M29" s="679"/>
      <c r="N29" s="679"/>
      <c r="O29" s="679"/>
      <c r="P29" s="679"/>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0" customFormat="1" ht="40.9" customHeight="1" x14ac:dyDescent="0.25">
      <c r="A30" s="657" t="s">
        <v>726</v>
      </c>
      <c r="B30" s="657"/>
      <c r="C30" s="657"/>
      <c r="D30" s="657"/>
      <c r="E30" s="657"/>
      <c r="F30" s="657"/>
      <c r="G30" s="657"/>
      <c r="H30" s="657"/>
      <c r="I30" s="657"/>
      <c r="J30" s="657"/>
      <c r="K30" s="657"/>
      <c r="L30" s="657"/>
      <c r="M30" s="657"/>
      <c r="N30" s="657"/>
      <c r="O30" s="657"/>
      <c r="P30" s="657"/>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row>
    <row r="31" spans="1:50" customFormat="1" ht="108.75" customHeight="1" x14ac:dyDescent="0.25">
      <c r="A31" s="282" t="s">
        <v>116</v>
      </c>
      <c r="B31" s="682" t="s">
        <v>721</v>
      </c>
      <c r="C31" s="683"/>
      <c r="D31" s="683"/>
      <c r="E31" s="683"/>
      <c r="F31" s="683"/>
      <c r="G31" s="683" t="s">
        <v>722</v>
      </c>
      <c r="H31" s="683"/>
      <c r="I31" s="683"/>
      <c r="J31" s="683"/>
      <c r="K31" s="683" t="s">
        <v>723</v>
      </c>
      <c r="L31" s="683"/>
      <c r="M31" s="683"/>
      <c r="N31" s="683"/>
      <c r="O31" s="684">
        <f>ROUND(1622600 * 1 * 1.4 * 0.6 * 0.47, 2)</f>
        <v>640602.48</v>
      </c>
      <c r="P31" s="683"/>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0" customFormat="1" ht="15" customHeight="1" x14ac:dyDescent="0.25">
      <c r="A32" s="283"/>
      <c r="B32" s="685" t="s">
        <v>564</v>
      </c>
      <c r="C32" s="685"/>
      <c r="D32" s="685"/>
      <c r="E32" s="685"/>
      <c r="F32" s="685"/>
      <c r="G32" s="685" t="s">
        <v>15</v>
      </c>
      <c r="H32" s="685"/>
      <c r="I32" s="685"/>
      <c r="J32" s="685"/>
      <c r="K32" s="685" t="s">
        <v>15</v>
      </c>
      <c r="L32" s="685"/>
      <c r="M32" s="685"/>
      <c r="N32" s="685"/>
      <c r="O32" s="685"/>
      <c r="P32" s="685"/>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row>
    <row r="33" spans="1:50" customFormat="1" ht="15" customHeight="1" x14ac:dyDescent="0.25">
      <c r="A33" s="284"/>
      <c r="B33" s="679" t="s">
        <v>681</v>
      </c>
      <c r="C33" s="679"/>
      <c r="D33" s="679"/>
      <c r="E33" s="679"/>
      <c r="F33" s="679"/>
      <c r="G33" s="679" t="s">
        <v>682</v>
      </c>
      <c r="H33" s="679"/>
      <c r="I33" s="679"/>
      <c r="J33" s="679"/>
      <c r="K33" s="679" t="s">
        <v>15</v>
      </c>
      <c r="L33" s="679"/>
      <c r="M33" s="679"/>
      <c r="N33" s="679"/>
      <c r="O33" s="679"/>
      <c r="P33" s="679"/>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customFormat="1" ht="40.9" customHeight="1" x14ac:dyDescent="0.25">
      <c r="A34" s="284"/>
      <c r="B34" s="679" t="s">
        <v>719</v>
      </c>
      <c r="C34" s="679"/>
      <c r="D34" s="679"/>
      <c r="E34" s="679"/>
      <c r="F34" s="679"/>
      <c r="G34" s="679" t="s">
        <v>720</v>
      </c>
      <c r="H34" s="679"/>
      <c r="I34" s="679"/>
      <c r="J34" s="679"/>
      <c r="K34" s="679" t="s">
        <v>15</v>
      </c>
      <c r="L34" s="679"/>
      <c r="M34" s="679"/>
      <c r="N34" s="679"/>
      <c r="O34" s="679"/>
      <c r="P34" s="679"/>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row>
    <row r="35" spans="1:50" customFormat="1" ht="68.099999999999994" customHeight="1" x14ac:dyDescent="0.25">
      <c r="A35" s="284"/>
      <c r="B35" s="679" t="s">
        <v>724</v>
      </c>
      <c r="C35" s="679"/>
      <c r="D35" s="679"/>
      <c r="E35" s="679"/>
      <c r="F35" s="679"/>
      <c r="G35" s="679" t="s">
        <v>725</v>
      </c>
      <c r="H35" s="679"/>
      <c r="I35" s="679"/>
      <c r="J35" s="679"/>
      <c r="K35" s="679" t="s">
        <v>15</v>
      </c>
      <c r="L35" s="679"/>
      <c r="M35" s="679"/>
      <c r="N35" s="679"/>
      <c r="O35" s="679"/>
      <c r="P35" s="679"/>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row>
    <row r="36" spans="1:50" customFormat="1" ht="40.9" customHeight="1" x14ac:dyDescent="0.25">
      <c r="A36" s="657" t="s">
        <v>726</v>
      </c>
      <c r="B36" s="657"/>
      <c r="C36" s="657"/>
      <c r="D36" s="657"/>
      <c r="E36" s="657"/>
      <c r="F36" s="657"/>
      <c r="G36" s="657"/>
      <c r="H36" s="657"/>
      <c r="I36" s="657"/>
      <c r="J36" s="657"/>
      <c r="K36" s="657"/>
      <c r="L36" s="657"/>
      <c r="M36" s="657"/>
      <c r="N36" s="657"/>
      <c r="O36" s="657"/>
      <c r="P36" s="657"/>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row>
    <row r="37" spans="1:50" customFormat="1" ht="95.25" customHeight="1" x14ac:dyDescent="0.25">
      <c r="A37" s="282" t="s">
        <v>122</v>
      </c>
      <c r="B37" s="682" t="s">
        <v>729</v>
      </c>
      <c r="C37" s="683"/>
      <c r="D37" s="683"/>
      <c r="E37" s="683"/>
      <c r="F37" s="683"/>
      <c r="G37" s="683" t="s">
        <v>730</v>
      </c>
      <c r="H37" s="683"/>
      <c r="I37" s="683"/>
      <c r="J37" s="683"/>
      <c r="K37" s="683" t="s">
        <v>731</v>
      </c>
      <c r="L37" s="683"/>
      <c r="M37" s="683"/>
      <c r="N37" s="683"/>
      <c r="O37" s="684">
        <f>ROUND((5610 + 240 * 13) * 1 * 7.22 * 0.66, 2)</f>
        <v>41600.199999999997</v>
      </c>
      <c r="P37" s="683"/>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row>
    <row r="38" spans="1:50" customFormat="1" ht="15" customHeight="1" x14ac:dyDescent="0.25">
      <c r="A38" s="283"/>
      <c r="B38" s="685" t="s">
        <v>564</v>
      </c>
      <c r="C38" s="685"/>
      <c r="D38" s="685"/>
      <c r="E38" s="685"/>
      <c r="F38" s="685"/>
      <c r="G38" s="685" t="s">
        <v>15</v>
      </c>
      <c r="H38" s="685"/>
      <c r="I38" s="685"/>
      <c r="J38" s="685"/>
      <c r="K38" s="685" t="s">
        <v>15</v>
      </c>
      <c r="L38" s="685"/>
      <c r="M38" s="685"/>
      <c r="N38" s="685"/>
      <c r="O38" s="685"/>
      <c r="P38" s="685"/>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row>
    <row r="39" spans="1:50" customFormat="1" ht="15" customHeight="1" x14ac:dyDescent="0.25">
      <c r="A39" s="284"/>
      <c r="B39" s="679" t="s">
        <v>681</v>
      </c>
      <c r="C39" s="679"/>
      <c r="D39" s="679"/>
      <c r="E39" s="679"/>
      <c r="F39" s="679"/>
      <c r="G39" s="679" t="s">
        <v>732</v>
      </c>
      <c r="H39" s="679"/>
      <c r="I39" s="679"/>
      <c r="J39" s="679"/>
      <c r="K39" s="679" t="s">
        <v>15</v>
      </c>
      <c r="L39" s="679"/>
      <c r="M39" s="679"/>
      <c r="N39" s="679"/>
      <c r="O39" s="679"/>
      <c r="P39" s="679"/>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row>
    <row r="40" spans="1:50" customFormat="1" ht="40.9" customHeight="1" x14ac:dyDescent="0.25">
      <c r="A40" s="284"/>
      <c r="B40" s="679" t="s">
        <v>565</v>
      </c>
      <c r="C40" s="679"/>
      <c r="D40" s="679"/>
      <c r="E40" s="679"/>
      <c r="F40" s="679"/>
      <c r="G40" s="679" t="s">
        <v>733</v>
      </c>
      <c r="H40" s="679"/>
      <c r="I40" s="679"/>
      <c r="J40" s="679"/>
      <c r="K40" s="679" t="s">
        <v>15</v>
      </c>
      <c r="L40" s="679"/>
      <c r="M40" s="679"/>
      <c r="N40" s="679"/>
      <c r="O40" s="679"/>
      <c r="P40" s="679"/>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row>
    <row r="41" spans="1:50" customFormat="1" ht="40.9" customHeight="1" x14ac:dyDescent="0.25">
      <c r="A41" s="657" t="s">
        <v>734</v>
      </c>
      <c r="B41" s="657"/>
      <c r="C41" s="657"/>
      <c r="D41" s="657"/>
      <c r="E41" s="657"/>
      <c r="F41" s="657"/>
      <c r="G41" s="657"/>
      <c r="H41" s="657"/>
      <c r="I41" s="657"/>
      <c r="J41" s="657"/>
      <c r="K41" s="657"/>
      <c r="L41" s="657"/>
      <c r="M41" s="657"/>
      <c r="N41" s="657"/>
      <c r="O41" s="657"/>
      <c r="P41" s="657"/>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row>
    <row r="42" spans="1:50" customFormat="1" ht="163.15" customHeight="1" x14ac:dyDescent="0.25">
      <c r="A42" s="282" t="s">
        <v>129</v>
      </c>
      <c r="B42" s="682" t="s">
        <v>716</v>
      </c>
      <c r="C42" s="683"/>
      <c r="D42" s="683"/>
      <c r="E42" s="683"/>
      <c r="F42" s="683"/>
      <c r="G42" s="683" t="s">
        <v>735</v>
      </c>
      <c r="H42" s="683"/>
      <c r="I42" s="683"/>
      <c r="J42" s="683"/>
      <c r="K42" s="683" t="s">
        <v>736</v>
      </c>
      <c r="L42" s="683"/>
      <c r="M42" s="683"/>
      <c r="N42" s="683"/>
      <c r="O42" s="684">
        <f>ROUND((290100 + 1856633 * 0.28839) * 1 * 1.4 * 0.6, 2)</f>
        <v>693448.89</v>
      </c>
      <c r="P42" s="683"/>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row>
    <row r="43" spans="1:50" customFormat="1" ht="15" customHeight="1" x14ac:dyDescent="0.25">
      <c r="A43" s="283"/>
      <c r="B43" s="685" t="s">
        <v>564</v>
      </c>
      <c r="C43" s="685"/>
      <c r="D43" s="685"/>
      <c r="E43" s="685"/>
      <c r="F43" s="685"/>
      <c r="G43" s="685" t="s">
        <v>15</v>
      </c>
      <c r="H43" s="685"/>
      <c r="I43" s="685"/>
      <c r="J43" s="685"/>
      <c r="K43" s="685" t="s">
        <v>15</v>
      </c>
      <c r="L43" s="685"/>
      <c r="M43" s="685"/>
      <c r="N43" s="685"/>
      <c r="O43" s="685"/>
      <c r="P43" s="685"/>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row>
    <row r="44" spans="1:50" customFormat="1" ht="15" customHeight="1" x14ac:dyDescent="0.25">
      <c r="A44" s="284"/>
      <c r="B44" s="679" t="s">
        <v>681</v>
      </c>
      <c r="C44" s="679"/>
      <c r="D44" s="679"/>
      <c r="E44" s="679"/>
      <c r="F44" s="679"/>
      <c r="G44" s="679" t="s">
        <v>682</v>
      </c>
      <c r="H44" s="679"/>
      <c r="I44" s="679"/>
      <c r="J44" s="679"/>
      <c r="K44" s="679" t="s">
        <v>15</v>
      </c>
      <c r="L44" s="679"/>
      <c r="M44" s="679"/>
      <c r="N44" s="679"/>
      <c r="O44" s="679"/>
      <c r="P44" s="679"/>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row>
    <row r="45" spans="1:50" customFormat="1" ht="40.9" customHeight="1" x14ac:dyDescent="0.25">
      <c r="A45" s="284"/>
      <c r="B45" s="679" t="s">
        <v>719</v>
      </c>
      <c r="C45" s="679"/>
      <c r="D45" s="679"/>
      <c r="E45" s="679"/>
      <c r="F45" s="679"/>
      <c r="G45" s="679" t="s">
        <v>720</v>
      </c>
      <c r="H45" s="679"/>
      <c r="I45" s="679"/>
      <c r="J45" s="679"/>
      <c r="K45" s="679" t="s">
        <v>15</v>
      </c>
      <c r="L45" s="679"/>
      <c r="M45" s="679"/>
      <c r="N45" s="679"/>
      <c r="O45" s="679"/>
      <c r="P45" s="679"/>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row>
    <row r="46" spans="1:50" customFormat="1" ht="40.9" customHeight="1" x14ac:dyDescent="0.25">
      <c r="A46" s="657" t="s">
        <v>734</v>
      </c>
      <c r="B46" s="657"/>
      <c r="C46" s="657"/>
      <c r="D46" s="657"/>
      <c r="E46" s="657"/>
      <c r="F46" s="657"/>
      <c r="G46" s="657"/>
      <c r="H46" s="657"/>
      <c r="I46" s="657"/>
      <c r="J46" s="657"/>
      <c r="K46" s="657"/>
      <c r="L46" s="657"/>
      <c r="M46" s="657"/>
      <c r="N46" s="657"/>
      <c r="O46" s="657"/>
      <c r="P46" s="657"/>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row>
    <row r="47" spans="1:50" customFormat="1" ht="108.75" customHeight="1" x14ac:dyDescent="0.25">
      <c r="A47" s="282" t="s">
        <v>138</v>
      </c>
      <c r="B47" s="682" t="s">
        <v>721</v>
      </c>
      <c r="C47" s="683"/>
      <c r="D47" s="683"/>
      <c r="E47" s="683"/>
      <c r="F47" s="683"/>
      <c r="G47" s="683" t="s">
        <v>722</v>
      </c>
      <c r="H47" s="683"/>
      <c r="I47" s="683"/>
      <c r="J47" s="683"/>
      <c r="K47" s="683" t="s">
        <v>723</v>
      </c>
      <c r="L47" s="683"/>
      <c r="M47" s="683"/>
      <c r="N47" s="683"/>
      <c r="O47" s="684">
        <f>ROUND(1622600 * 1 * 1.4 * 0.6 * 0.47, 2)</f>
        <v>640602.48</v>
      </c>
      <c r="P47" s="683"/>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row>
    <row r="48" spans="1:50" customFormat="1" ht="15" customHeight="1" x14ac:dyDescent="0.25">
      <c r="A48" s="283"/>
      <c r="B48" s="685" t="s">
        <v>564</v>
      </c>
      <c r="C48" s="685"/>
      <c r="D48" s="685"/>
      <c r="E48" s="685"/>
      <c r="F48" s="685"/>
      <c r="G48" s="685" t="s">
        <v>15</v>
      </c>
      <c r="H48" s="685"/>
      <c r="I48" s="685"/>
      <c r="J48" s="685"/>
      <c r="K48" s="685" t="s">
        <v>15</v>
      </c>
      <c r="L48" s="685"/>
      <c r="M48" s="685"/>
      <c r="N48" s="685"/>
      <c r="O48" s="685"/>
      <c r="P48" s="685"/>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row>
    <row r="49" spans="1:50" customFormat="1" ht="15" customHeight="1" x14ac:dyDescent="0.25">
      <c r="A49" s="284"/>
      <c r="B49" s="679" t="s">
        <v>681</v>
      </c>
      <c r="C49" s="679"/>
      <c r="D49" s="679"/>
      <c r="E49" s="679"/>
      <c r="F49" s="679"/>
      <c r="G49" s="679" t="s">
        <v>682</v>
      </c>
      <c r="H49" s="679"/>
      <c r="I49" s="679"/>
      <c r="J49" s="679"/>
      <c r="K49" s="679" t="s">
        <v>15</v>
      </c>
      <c r="L49" s="679"/>
      <c r="M49" s="679"/>
      <c r="N49" s="679"/>
      <c r="O49" s="679"/>
      <c r="P49" s="679"/>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row>
    <row r="50" spans="1:50" customFormat="1" ht="40.9" customHeight="1" x14ac:dyDescent="0.25">
      <c r="A50" s="284"/>
      <c r="B50" s="679" t="s">
        <v>719</v>
      </c>
      <c r="C50" s="679"/>
      <c r="D50" s="679"/>
      <c r="E50" s="679"/>
      <c r="F50" s="679"/>
      <c r="G50" s="679" t="s">
        <v>720</v>
      </c>
      <c r="H50" s="679"/>
      <c r="I50" s="679"/>
      <c r="J50" s="679"/>
      <c r="K50" s="679" t="s">
        <v>15</v>
      </c>
      <c r="L50" s="679"/>
      <c r="M50" s="679"/>
      <c r="N50" s="679"/>
      <c r="O50" s="679"/>
      <c r="P50" s="679"/>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row>
    <row r="51" spans="1:50" customFormat="1" ht="68.099999999999994" customHeight="1" x14ac:dyDescent="0.25">
      <c r="A51" s="284"/>
      <c r="B51" s="679" t="s">
        <v>724</v>
      </c>
      <c r="C51" s="679"/>
      <c r="D51" s="679"/>
      <c r="E51" s="679"/>
      <c r="F51" s="679"/>
      <c r="G51" s="679" t="s">
        <v>725</v>
      </c>
      <c r="H51" s="679"/>
      <c r="I51" s="679"/>
      <c r="J51" s="679"/>
      <c r="K51" s="679" t="s">
        <v>15</v>
      </c>
      <c r="L51" s="679"/>
      <c r="M51" s="679"/>
      <c r="N51" s="679"/>
      <c r="O51" s="679"/>
      <c r="P51" s="679"/>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row>
    <row r="52" spans="1:50" customFormat="1" ht="40.9" customHeight="1" x14ac:dyDescent="0.25">
      <c r="A52" s="657" t="s">
        <v>737</v>
      </c>
      <c r="B52" s="657"/>
      <c r="C52" s="657"/>
      <c r="D52" s="657"/>
      <c r="E52" s="657"/>
      <c r="F52" s="657"/>
      <c r="G52" s="657"/>
      <c r="H52" s="657"/>
      <c r="I52" s="657"/>
      <c r="J52" s="657"/>
      <c r="K52" s="657"/>
      <c r="L52" s="657"/>
      <c r="M52" s="657"/>
      <c r="N52" s="657"/>
      <c r="O52" s="657"/>
      <c r="P52" s="657"/>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row>
    <row r="53" spans="1:50" customFormat="1" ht="163.15" customHeight="1" x14ac:dyDescent="0.25">
      <c r="A53" s="282" t="s">
        <v>143</v>
      </c>
      <c r="B53" s="682" t="s">
        <v>716</v>
      </c>
      <c r="C53" s="683"/>
      <c r="D53" s="683"/>
      <c r="E53" s="683"/>
      <c r="F53" s="683"/>
      <c r="G53" s="683" t="s">
        <v>738</v>
      </c>
      <c r="H53" s="683"/>
      <c r="I53" s="683"/>
      <c r="J53" s="683"/>
      <c r="K53" s="683" t="s">
        <v>739</v>
      </c>
      <c r="L53" s="683"/>
      <c r="M53" s="683"/>
      <c r="N53" s="683"/>
      <c r="O53" s="684">
        <f>ROUND((290100 + 1856633 * 0.4348) * 1 * 1.4 * 0.6, 2)</f>
        <v>921785.78</v>
      </c>
      <c r="P53" s="683"/>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row>
    <row r="54" spans="1:50" customFormat="1" x14ac:dyDescent="0.25">
      <c r="A54" s="283"/>
      <c r="B54" s="685" t="s">
        <v>564</v>
      </c>
      <c r="C54" s="685"/>
      <c r="D54" s="685"/>
      <c r="E54" s="685"/>
      <c r="F54" s="685"/>
      <c r="G54" s="685" t="s">
        <v>15</v>
      </c>
      <c r="H54" s="685"/>
      <c r="I54" s="685"/>
      <c r="J54" s="685"/>
      <c r="K54" s="685" t="s">
        <v>15</v>
      </c>
      <c r="L54" s="685"/>
      <c r="M54" s="685"/>
      <c r="N54" s="685"/>
      <c r="O54" s="685"/>
      <c r="P54" s="685"/>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row>
    <row r="55" spans="1:50" customFormat="1" x14ac:dyDescent="0.25">
      <c r="A55" s="284"/>
      <c r="B55" s="679" t="s">
        <v>681</v>
      </c>
      <c r="C55" s="679"/>
      <c r="D55" s="679"/>
      <c r="E55" s="679"/>
      <c r="F55" s="679"/>
      <c r="G55" s="679" t="s">
        <v>682</v>
      </c>
      <c r="H55" s="679"/>
      <c r="I55" s="679"/>
      <c r="J55" s="679"/>
      <c r="K55" s="679" t="s">
        <v>15</v>
      </c>
      <c r="L55" s="679"/>
      <c r="M55" s="679"/>
      <c r="N55" s="679"/>
      <c r="O55" s="679"/>
      <c r="P55" s="679"/>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row>
    <row r="56" spans="1:50" customFormat="1" ht="40.9" customHeight="1" x14ac:dyDescent="0.25">
      <c r="A56" s="284"/>
      <c r="B56" s="679" t="s">
        <v>719</v>
      </c>
      <c r="C56" s="679"/>
      <c r="D56" s="679"/>
      <c r="E56" s="679"/>
      <c r="F56" s="679"/>
      <c r="G56" s="679" t="s">
        <v>720</v>
      </c>
      <c r="H56" s="679"/>
      <c r="I56" s="679"/>
      <c r="J56" s="679"/>
      <c r="K56" s="679" t="s">
        <v>15</v>
      </c>
      <c r="L56" s="679"/>
      <c r="M56" s="679"/>
      <c r="N56" s="679"/>
      <c r="O56" s="679"/>
      <c r="P56" s="679"/>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row>
    <row r="57" spans="1:50" customFormat="1" ht="40.9" customHeight="1" x14ac:dyDescent="0.25">
      <c r="A57" s="657" t="s">
        <v>737</v>
      </c>
      <c r="B57" s="657"/>
      <c r="C57" s="657"/>
      <c r="D57" s="657"/>
      <c r="E57" s="657"/>
      <c r="F57" s="657"/>
      <c r="G57" s="657"/>
      <c r="H57" s="657"/>
      <c r="I57" s="657"/>
      <c r="J57" s="657"/>
      <c r="K57" s="657"/>
      <c r="L57" s="657"/>
      <c r="M57" s="657"/>
      <c r="N57" s="657"/>
      <c r="O57" s="657"/>
      <c r="P57" s="657"/>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row>
    <row r="58" spans="1:50" customFormat="1" ht="108.75" customHeight="1" x14ac:dyDescent="0.25">
      <c r="A58" s="282" t="s">
        <v>147</v>
      </c>
      <c r="B58" s="682" t="s">
        <v>721</v>
      </c>
      <c r="C58" s="683"/>
      <c r="D58" s="683"/>
      <c r="E58" s="683"/>
      <c r="F58" s="683"/>
      <c r="G58" s="683" t="s">
        <v>722</v>
      </c>
      <c r="H58" s="683"/>
      <c r="I58" s="683"/>
      <c r="J58" s="683"/>
      <c r="K58" s="683" t="s">
        <v>723</v>
      </c>
      <c r="L58" s="683"/>
      <c r="M58" s="683"/>
      <c r="N58" s="683"/>
      <c r="O58" s="684">
        <f>ROUND(1622600 * 1 * 1.4 * 0.6 * 0.47, 2)</f>
        <v>640602.48</v>
      </c>
      <c r="P58" s="683"/>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row>
    <row r="59" spans="1:50" customFormat="1" x14ac:dyDescent="0.25">
      <c r="A59" s="283"/>
      <c r="B59" s="685" t="s">
        <v>564</v>
      </c>
      <c r="C59" s="685"/>
      <c r="D59" s="685"/>
      <c r="E59" s="685"/>
      <c r="F59" s="685"/>
      <c r="G59" s="685" t="s">
        <v>15</v>
      </c>
      <c r="H59" s="685"/>
      <c r="I59" s="685"/>
      <c r="J59" s="685"/>
      <c r="K59" s="685" t="s">
        <v>15</v>
      </c>
      <c r="L59" s="685"/>
      <c r="M59" s="685"/>
      <c r="N59" s="685"/>
      <c r="O59" s="685"/>
      <c r="P59" s="685"/>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row>
    <row r="60" spans="1:50" customFormat="1" x14ac:dyDescent="0.25">
      <c r="A60" s="284"/>
      <c r="B60" s="679" t="s">
        <v>681</v>
      </c>
      <c r="C60" s="679"/>
      <c r="D60" s="679"/>
      <c r="E60" s="679"/>
      <c r="F60" s="679"/>
      <c r="G60" s="679" t="s">
        <v>682</v>
      </c>
      <c r="H60" s="679"/>
      <c r="I60" s="679"/>
      <c r="J60" s="679"/>
      <c r="K60" s="679" t="s">
        <v>15</v>
      </c>
      <c r="L60" s="679"/>
      <c r="M60" s="679"/>
      <c r="N60" s="679"/>
      <c r="O60" s="679"/>
      <c r="P60" s="679"/>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row>
    <row r="61" spans="1:50" customFormat="1" ht="40.9" customHeight="1" x14ac:dyDescent="0.25">
      <c r="A61" s="284"/>
      <c r="B61" s="679" t="s">
        <v>719</v>
      </c>
      <c r="C61" s="679"/>
      <c r="D61" s="679"/>
      <c r="E61" s="679"/>
      <c r="F61" s="679"/>
      <c r="G61" s="679" t="s">
        <v>720</v>
      </c>
      <c r="H61" s="679"/>
      <c r="I61" s="679"/>
      <c r="J61" s="679"/>
      <c r="K61" s="679" t="s">
        <v>15</v>
      </c>
      <c r="L61" s="679"/>
      <c r="M61" s="679"/>
      <c r="N61" s="679"/>
      <c r="O61" s="679"/>
      <c r="P61" s="679"/>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row>
    <row r="62" spans="1:50" customFormat="1" ht="68.099999999999994" customHeight="1" x14ac:dyDescent="0.25">
      <c r="A62" s="284"/>
      <c r="B62" s="679" t="s">
        <v>724</v>
      </c>
      <c r="C62" s="679"/>
      <c r="D62" s="679"/>
      <c r="E62" s="679"/>
      <c r="F62" s="679"/>
      <c r="G62" s="679" t="s">
        <v>725</v>
      </c>
      <c r="H62" s="679"/>
      <c r="I62" s="679"/>
      <c r="J62" s="679"/>
      <c r="K62" s="679" t="s">
        <v>15</v>
      </c>
      <c r="L62" s="679"/>
      <c r="M62" s="679"/>
      <c r="N62" s="679"/>
      <c r="O62" s="679"/>
      <c r="P62" s="679"/>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row>
    <row r="63" spans="1:50" customFormat="1" ht="40.9" customHeight="1" x14ac:dyDescent="0.25">
      <c r="A63" s="657" t="s">
        <v>737</v>
      </c>
      <c r="B63" s="657"/>
      <c r="C63" s="657"/>
      <c r="D63" s="657"/>
      <c r="E63" s="657"/>
      <c r="F63" s="657"/>
      <c r="G63" s="657"/>
      <c r="H63" s="657"/>
      <c r="I63" s="657"/>
      <c r="J63" s="657"/>
      <c r="K63" s="657"/>
      <c r="L63" s="657"/>
      <c r="M63" s="657"/>
      <c r="N63" s="657"/>
      <c r="O63" s="657"/>
      <c r="P63" s="657"/>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row>
    <row r="64" spans="1:50" customFormat="1" ht="95.25" customHeight="1" x14ac:dyDescent="0.25">
      <c r="A64" s="282" t="s">
        <v>157</v>
      </c>
      <c r="B64" s="682" t="s">
        <v>729</v>
      </c>
      <c r="C64" s="683"/>
      <c r="D64" s="683"/>
      <c r="E64" s="683"/>
      <c r="F64" s="683"/>
      <c r="G64" s="683" t="s">
        <v>740</v>
      </c>
      <c r="H64" s="683"/>
      <c r="I64" s="683"/>
      <c r="J64" s="683"/>
      <c r="K64" s="683" t="s">
        <v>741</v>
      </c>
      <c r="L64" s="683"/>
      <c r="M64" s="683"/>
      <c r="N64" s="683"/>
      <c r="O64" s="684">
        <f>ROUND((5610 + 240 * 14) * 1 * 7.22 * 0.66, 2)</f>
        <v>42743.839999999997</v>
      </c>
      <c r="P64" s="683"/>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row>
    <row r="65" spans="1:50" customFormat="1" x14ac:dyDescent="0.25">
      <c r="A65" s="283"/>
      <c r="B65" s="685" t="s">
        <v>564</v>
      </c>
      <c r="C65" s="685"/>
      <c r="D65" s="685"/>
      <c r="E65" s="685"/>
      <c r="F65" s="685"/>
      <c r="G65" s="685" t="s">
        <v>15</v>
      </c>
      <c r="H65" s="685"/>
      <c r="I65" s="685"/>
      <c r="J65" s="685"/>
      <c r="K65" s="685" t="s">
        <v>15</v>
      </c>
      <c r="L65" s="685"/>
      <c r="M65" s="685"/>
      <c r="N65" s="685"/>
      <c r="O65" s="685"/>
      <c r="P65" s="685"/>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row>
    <row r="66" spans="1:50" customFormat="1" x14ac:dyDescent="0.25">
      <c r="A66" s="284"/>
      <c r="B66" s="679" t="s">
        <v>681</v>
      </c>
      <c r="C66" s="679"/>
      <c r="D66" s="679"/>
      <c r="E66" s="679"/>
      <c r="F66" s="679"/>
      <c r="G66" s="679" t="s">
        <v>732</v>
      </c>
      <c r="H66" s="679"/>
      <c r="I66" s="679"/>
      <c r="J66" s="679"/>
      <c r="K66" s="679" t="s">
        <v>15</v>
      </c>
      <c r="L66" s="679"/>
      <c r="M66" s="679"/>
      <c r="N66" s="679"/>
      <c r="O66" s="679"/>
      <c r="P66" s="679"/>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row>
    <row r="67" spans="1:50" customFormat="1" ht="40.9" customHeight="1" x14ac:dyDescent="0.25">
      <c r="A67" s="284"/>
      <c r="B67" s="679" t="s">
        <v>565</v>
      </c>
      <c r="C67" s="679"/>
      <c r="D67" s="679"/>
      <c r="E67" s="679"/>
      <c r="F67" s="679"/>
      <c r="G67" s="679" t="s">
        <v>733</v>
      </c>
      <c r="H67" s="679"/>
      <c r="I67" s="679"/>
      <c r="J67" s="679"/>
      <c r="K67" s="679" t="s">
        <v>15</v>
      </c>
      <c r="L67" s="679"/>
      <c r="M67" s="679"/>
      <c r="N67" s="679"/>
      <c r="O67" s="679"/>
      <c r="P67" s="679"/>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row>
    <row r="68" spans="1:50" customFormat="1" ht="40.9" customHeight="1" x14ac:dyDescent="0.25">
      <c r="A68" s="657" t="s">
        <v>742</v>
      </c>
      <c r="B68" s="657"/>
      <c r="C68" s="657"/>
      <c r="D68" s="657"/>
      <c r="E68" s="657"/>
      <c r="F68" s="657"/>
      <c r="G68" s="657"/>
      <c r="H68" s="657"/>
      <c r="I68" s="657"/>
      <c r="J68" s="657"/>
      <c r="K68" s="657"/>
      <c r="L68" s="657"/>
      <c r="M68" s="657"/>
      <c r="N68" s="657"/>
      <c r="O68" s="657"/>
      <c r="P68" s="657"/>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row>
    <row r="69" spans="1:50" customFormat="1" ht="163.15" customHeight="1" x14ac:dyDescent="0.25">
      <c r="A69" s="282" t="s">
        <v>161</v>
      </c>
      <c r="B69" s="682" t="s">
        <v>743</v>
      </c>
      <c r="C69" s="683"/>
      <c r="D69" s="683"/>
      <c r="E69" s="683"/>
      <c r="F69" s="683"/>
      <c r="G69" s="683" t="s">
        <v>744</v>
      </c>
      <c r="H69" s="683"/>
      <c r="I69" s="683"/>
      <c r="J69" s="683"/>
      <c r="K69" s="683" t="s">
        <v>745</v>
      </c>
      <c r="L69" s="683"/>
      <c r="M69" s="683"/>
      <c r="N69" s="683"/>
      <c r="O69" s="684">
        <f>ROUND((652300 + 1132306 * 0.94891) * 1 * 1.4 * 0.6, 2)</f>
        <v>1450475.45</v>
      </c>
      <c r="P69" s="683"/>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row>
    <row r="70" spans="1:50" customFormat="1" x14ac:dyDescent="0.25">
      <c r="A70" s="283"/>
      <c r="B70" s="685" t="s">
        <v>564</v>
      </c>
      <c r="C70" s="685"/>
      <c r="D70" s="685"/>
      <c r="E70" s="685"/>
      <c r="F70" s="685"/>
      <c r="G70" s="685" t="s">
        <v>15</v>
      </c>
      <c r="H70" s="685"/>
      <c r="I70" s="685"/>
      <c r="J70" s="685"/>
      <c r="K70" s="685" t="s">
        <v>15</v>
      </c>
      <c r="L70" s="685"/>
      <c r="M70" s="685"/>
      <c r="N70" s="685"/>
      <c r="O70" s="685"/>
      <c r="P70" s="685"/>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row>
    <row r="71" spans="1:50" customFormat="1" x14ac:dyDescent="0.25">
      <c r="A71" s="284"/>
      <c r="B71" s="679" t="s">
        <v>681</v>
      </c>
      <c r="C71" s="679"/>
      <c r="D71" s="679"/>
      <c r="E71" s="679"/>
      <c r="F71" s="679"/>
      <c r="G71" s="679" t="s">
        <v>682</v>
      </c>
      <c r="H71" s="679"/>
      <c r="I71" s="679"/>
      <c r="J71" s="679"/>
      <c r="K71" s="679" t="s">
        <v>15</v>
      </c>
      <c r="L71" s="679"/>
      <c r="M71" s="679"/>
      <c r="N71" s="679"/>
      <c r="O71" s="679"/>
      <c r="P71" s="679"/>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row>
    <row r="72" spans="1:50" customFormat="1" ht="40.9" customHeight="1" x14ac:dyDescent="0.25">
      <c r="A72" s="284"/>
      <c r="B72" s="679" t="s">
        <v>719</v>
      </c>
      <c r="C72" s="679"/>
      <c r="D72" s="679"/>
      <c r="E72" s="679"/>
      <c r="F72" s="679"/>
      <c r="G72" s="679" t="s">
        <v>720</v>
      </c>
      <c r="H72" s="679"/>
      <c r="I72" s="679"/>
      <c r="J72" s="679"/>
      <c r="K72" s="679" t="s">
        <v>15</v>
      </c>
      <c r="L72" s="679"/>
      <c r="M72" s="679"/>
      <c r="N72" s="679"/>
      <c r="O72" s="679"/>
      <c r="P72" s="679"/>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row>
    <row r="73" spans="1:50" customFormat="1" ht="40.9" customHeight="1" x14ac:dyDescent="0.25">
      <c r="A73" s="657" t="s">
        <v>742</v>
      </c>
      <c r="B73" s="657"/>
      <c r="C73" s="657"/>
      <c r="D73" s="657"/>
      <c r="E73" s="657"/>
      <c r="F73" s="657"/>
      <c r="G73" s="657"/>
      <c r="H73" s="657"/>
      <c r="I73" s="657"/>
      <c r="J73" s="657"/>
      <c r="K73" s="657"/>
      <c r="L73" s="657"/>
      <c r="M73" s="657"/>
      <c r="N73" s="657"/>
      <c r="O73" s="657"/>
      <c r="P73" s="657"/>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row>
    <row r="74" spans="1:50" customFormat="1" ht="108.75" customHeight="1" x14ac:dyDescent="0.25">
      <c r="A74" s="282" t="s">
        <v>166</v>
      </c>
      <c r="B74" s="682" t="s">
        <v>721</v>
      </c>
      <c r="C74" s="683"/>
      <c r="D74" s="683"/>
      <c r="E74" s="683"/>
      <c r="F74" s="683"/>
      <c r="G74" s="683" t="s">
        <v>722</v>
      </c>
      <c r="H74" s="683"/>
      <c r="I74" s="683"/>
      <c r="J74" s="683"/>
      <c r="K74" s="683" t="s">
        <v>723</v>
      </c>
      <c r="L74" s="683"/>
      <c r="M74" s="683"/>
      <c r="N74" s="683"/>
      <c r="O74" s="684">
        <f>ROUND(1622600 * 1 * 1.4 * 0.6 * 0.47, 2)</f>
        <v>640602.48</v>
      </c>
      <c r="P74" s="683"/>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row>
    <row r="75" spans="1:50" customFormat="1" x14ac:dyDescent="0.25">
      <c r="A75" s="283"/>
      <c r="B75" s="685" t="s">
        <v>564</v>
      </c>
      <c r="C75" s="685"/>
      <c r="D75" s="685"/>
      <c r="E75" s="685"/>
      <c r="F75" s="685"/>
      <c r="G75" s="685" t="s">
        <v>15</v>
      </c>
      <c r="H75" s="685"/>
      <c r="I75" s="685"/>
      <c r="J75" s="685"/>
      <c r="K75" s="685" t="s">
        <v>15</v>
      </c>
      <c r="L75" s="685"/>
      <c r="M75" s="685"/>
      <c r="N75" s="685"/>
      <c r="O75" s="685"/>
      <c r="P75" s="685"/>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row>
    <row r="76" spans="1:50" customFormat="1" x14ac:dyDescent="0.25">
      <c r="A76" s="284"/>
      <c r="B76" s="679" t="s">
        <v>681</v>
      </c>
      <c r="C76" s="679"/>
      <c r="D76" s="679"/>
      <c r="E76" s="679"/>
      <c r="F76" s="679"/>
      <c r="G76" s="679" t="s">
        <v>682</v>
      </c>
      <c r="H76" s="679"/>
      <c r="I76" s="679"/>
      <c r="J76" s="679"/>
      <c r="K76" s="679" t="s">
        <v>15</v>
      </c>
      <c r="L76" s="679"/>
      <c r="M76" s="679"/>
      <c r="N76" s="679"/>
      <c r="O76" s="679"/>
      <c r="P76" s="679"/>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row>
    <row r="77" spans="1:50" customFormat="1" ht="40.9" customHeight="1" x14ac:dyDescent="0.25">
      <c r="A77" s="284"/>
      <c r="B77" s="679" t="s">
        <v>719</v>
      </c>
      <c r="C77" s="679"/>
      <c r="D77" s="679"/>
      <c r="E77" s="679"/>
      <c r="F77" s="679"/>
      <c r="G77" s="679" t="s">
        <v>720</v>
      </c>
      <c r="H77" s="679"/>
      <c r="I77" s="679"/>
      <c r="J77" s="679"/>
      <c r="K77" s="679" t="s">
        <v>15</v>
      </c>
      <c r="L77" s="679"/>
      <c r="M77" s="679"/>
      <c r="N77" s="679"/>
      <c r="O77" s="679"/>
      <c r="P77" s="679"/>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row>
    <row r="78" spans="1:50" customFormat="1" ht="68.099999999999994" customHeight="1" x14ac:dyDescent="0.25">
      <c r="A78" s="284"/>
      <c r="B78" s="679" t="s">
        <v>724</v>
      </c>
      <c r="C78" s="679"/>
      <c r="D78" s="679"/>
      <c r="E78" s="679"/>
      <c r="F78" s="679"/>
      <c r="G78" s="679" t="s">
        <v>725</v>
      </c>
      <c r="H78" s="679"/>
      <c r="I78" s="679"/>
      <c r="J78" s="679"/>
      <c r="K78" s="679" t="s">
        <v>15</v>
      </c>
      <c r="L78" s="679"/>
      <c r="M78" s="679"/>
      <c r="N78" s="679"/>
      <c r="O78" s="679"/>
      <c r="P78" s="679"/>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row>
    <row r="79" spans="1:50" customFormat="1" x14ac:dyDescent="0.25">
      <c r="A79" s="657" t="s">
        <v>703</v>
      </c>
      <c r="B79" s="657"/>
      <c r="C79" s="657"/>
      <c r="D79" s="657"/>
      <c r="E79" s="657"/>
      <c r="F79" s="657"/>
      <c r="G79" s="657"/>
      <c r="H79" s="657"/>
      <c r="I79" s="657"/>
      <c r="J79" s="657"/>
      <c r="K79" s="657"/>
      <c r="L79" s="657"/>
      <c r="M79" s="657"/>
      <c r="N79" s="657"/>
      <c r="O79" s="657"/>
      <c r="P79" s="657"/>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row>
    <row r="80" spans="1:50" customFormat="1" ht="40.9" customHeight="1" x14ac:dyDescent="0.25">
      <c r="A80" s="657" t="s">
        <v>746</v>
      </c>
      <c r="B80" s="657"/>
      <c r="C80" s="657"/>
      <c r="D80" s="657"/>
      <c r="E80" s="657"/>
      <c r="F80" s="657"/>
      <c r="G80" s="657"/>
      <c r="H80" s="657"/>
      <c r="I80" s="657"/>
      <c r="J80" s="657"/>
      <c r="K80" s="657"/>
      <c r="L80" s="657"/>
      <c r="M80" s="657"/>
      <c r="N80" s="657"/>
      <c r="O80" s="657"/>
      <c r="P80" s="657"/>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row>
    <row r="81" spans="1:50" customFormat="1" ht="163.15" customHeight="1" x14ac:dyDescent="0.25">
      <c r="A81" s="282" t="s">
        <v>171</v>
      </c>
      <c r="B81" s="682" t="s">
        <v>716</v>
      </c>
      <c r="C81" s="683"/>
      <c r="D81" s="683"/>
      <c r="E81" s="683"/>
      <c r="F81" s="683"/>
      <c r="G81" s="683" t="s">
        <v>747</v>
      </c>
      <c r="H81" s="683"/>
      <c r="I81" s="683"/>
      <c r="J81" s="683"/>
      <c r="K81" s="683" t="s">
        <v>748</v>
      </c>
      <c r="L81" s="683"/>
      <c r="M81" s="683"/>
      <c r="N81" s="683"/>
      <c r="O81" s="684">
        <f>ROUND((290100+1856633*0.31524)*1*1.4*0.6*0.7,2)</f>
        <v>514726.37</v>
      </c>
      <c r="P81" s="683"/>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row>
    <row r="82" spans="1:50" customFormat="1" x14ac:dyDescent="0.25">
      <c r="A82" s="283"/>
      <c r="B82" s="685" t="s">
        <v>564</v>
      </c>
      <c r="C82" s="685"/>
      <c r="D82" s="685"/>
      <c r="E82" s="685"/>
      <c r="F82" s="685"/>
      <c r="G82" s="685" t="s">
        <v>15</v>
      </c>
      <c r="H82" s="685"/>
      <c r="I82" s="685"/>
      <c r="J82" s="685"/>
      <c r="K82" s="685" t="s">
        <v>15</v>
      </c>
      <c r="L82" s="685"/>
      <c r="M82" s="685"/>
      <c r="N82" s="685"/>
      <c r="O82" s="685"/>
      <c r="P82" s="685"/>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row>
    <row r="83" spans="1:50" customFormat="1" x14ac:dyDescent="0.25">
      <c r="A83" s="284"/>
      <c r="B83" s="679" t="s">
        <v>681</v>
      </c>
      <c r="C83" s="679"/>
      <c r="D83" s="679"/>
      <c r="E83" s="679"/>
      <c r="F83" s="679"/>
      <c r="G83" s="679" t="s">
        <v>682</v>
      </c>
      <c r="H83" s="679"/>
      <c r="I83" s="679"/>
      <c r="J83" s="679"/>
      <c r="K83" s="679" t="s">
        <v>15</v>
      </c>
      <c r="L83" s="679"/>
      <c r="M83" s="679"/>
      <c r="N83" s="679"/>
      <c r="O83" s="679"/>
      <c r="P83" s="679"/>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row>
    <row r="84" spans="1:50" customFormat="1" x14ac:dyDescent="0.25">
      <c r="A84" s="284"/>
      <c r="B84" s="680" t="s">
        <v>707</v>
      </c>
      <c r="C84" s="571"/>
      <c r="D84" s="571"/>
      <c r="E84" s="571"/>
      <c r="F84" s="681"/>
      <c r="G84" s="680" t="s">
        <v>708</v>
      </c>
      <c r="H84" s="571"/>
      <c r="I84" s="571"/>
      <c r="J84" s="681"/>
      <c r="K84" s="680" t="s">
        <v>15</v>
      </c>
      <c r="L84" s="571"/>
      <c r="M84" s="571"/>
      <c r="N84" s="681"/>
      <c r="O84" s="680"/>
      <c r="P84" s="681"/>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row>
    <row r="85" spans="1:50" customFormat="1" ht="40.9" customHeight="1" x14ac:dyDescent="0.25">
      <c r="A85" s="284"/>
      <c r="B85" s="679" t="s">
        <v>719</v>
      </c>
      <c r="C85" s="679"/>
      <c r="D85" s="679"/>
      <c r="E85" s="679"/>
      <c r="F85" s="679"/>
      <c r="G85" s="679" t="s">
        <v>720</v>
      </c>
      <c r="H85" s="679"/>
      <c r="I85" s="679"/>
      <c r="J85" s="679"/>
      <c r="K85" s="679" t="s">
        <v>15</v>
      </c>
      <c r="L85" s="679"/>
      <c r="M85" s="679"/>
      <c r="N85" s="679"/>
      <c r="O85" s="679"/>
      <c r="P85" s="679"/>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row>
    <row r="86" spans="1:50" customFormat="1" ht="40.9" customHeight="1" x14ac:dyDescent="0.25">
      <c r="A86" s="657" t="s">
        <v>746</v>
      </c>
      <c r="B86" s="657"/>
      <c r="C86" s="657"/>
      <c r="D86" s="657"/>
      <c r="E86" s="657"/>
      <c r="F86" s="657"/>
      <c r="G86" s="657"/>
      <c r="H86" s="657"/>
      <c r="I86" s="657"/>
      <c r="J86" s="657"/>
      <c r="K86" s="657"/>
      <c r="L86" s="657"/>
      <c r="M86" s="657"/>
      <c r="N86" s="657"/>
      <c r="O86" s="657"/>
      <c r="P86" s="657"/>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row>
    <row r="87" spans="1:50" customFormat="1" ht="108.75" customHeight="1" x14ac:dyDescent="0.25">
      <c r="A87" s="282" t="s">
        <v>183</v>
      </c>
      <c r="B87" s="682" t="s">
        <v>721</v>
      </c>
      <c r="C87" s="683"/>
      <c r="D87" s="683"/>
      <c r="E87" s="683"/>
      <c r="F87" s="683"/>
      <c r="G87" s="683" t="s">
        <v>722</v>
      </c>
      <c r="H87" s="683"/>
      <c r="I87" s="683"/>
      <c r="J87" s="683"/>
      <c r="K87" s="683" t="s">
        <v>749</v>
      </c>
      <c r="L87" s="683"/>
      <c r="M87" s="683"/>
      <c r="N87" s="683"/>
      <c r="O87" s="684">
        <f>ROUND(1622600*1*1.4*0.6*0.47*0.7,2)</f>
        <v>448421.74</v>
      </c>
      <c r="P87" s="683"/>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row>
    <row r="88" spans="1:50" customFormat="1" x14ac:dyDescent="0.25">
      <c r="A88" s="283"/>
      <c r="B88" s="685" t="s">
        <v>564</v>
      </c>
      <c r="C88" s="685"/>
      <c r="D88" s="685"/>
      <c r="E88" s="685"/>
      <c r="F88" s="685"/>
      <c r="G88" s="685" t="s">
        <v>15</v>
      </c>
      <c r="H88" s="685"/>
      <c r="I88" s="685"/>
      <c r="J88" s="685"/>
      <c r="K88" s="685" t="s">
        <v>15</v>
      </c>
      <c r="L88" s="685"/>
      <c r="M88" s="685"/>
      <c r="N88" s="685"/>
      <c r="O88" s="685"/>
      <c r="P88" s="685"/>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row>
    <row r="89" spans="1:50" customFormat="1" x14ac:dyDescent="0.25">
      <c r="A89" s="284"/>
      <c r="B89" s="679" t="s">
        <v>681</v>
      </c>
      <c r="C89" s="679"/>
      <c r="D89" s="679"/>
      <c r="E89" s="679"/>
      <c r="F89" s="679"/>
      <c r="G89" s="679" t="s">
        <v>682</v>
      </c>
      <c r="H89" s="679"/>
      <c r="I89" s="679"/>
      <c r="J89" s="679"/>
      <c r="K89" s="679" t="s">
        <v>15</v>
      </c>
      <c r="L89" s="679"/>
      <c r="M89" s="679"/>
      <c r="N89" s="679"/>
      <c r="O89" s="679"/>
      <c r="P89" s="679"/>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row>
    <row r="90" spans="1:50" customFormat="1" x14ac:dyDescent="0.25">
      <c r="A90" s="284"/>
      <c r="B90" s="680" t="s">
        <v>707</v>
      </c>
      <c r="C90" s="571"/>
      <c r="D90" s="571"/>
      <c r="E90" s="571"/>
      <c r="F90" s="681"/>
      <c r="G90" s="680" t="s">
        <v>708</v>
      </c>
      <c r="H90" s="571"/>
      <c r="I90" s="571"/>
      <c r="J90" s="681"/>
      <c r="K90" s="680" t="s">
        <v>15</v>
      </c>
      <c r="L90" s="571"/>
      <c r="M90" s="571"/>
      <c r="N90" s="681"/>
      <c r="O90" s="680"/>
      <c r="P90" s="681"/>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row>
    <row r="91" spans="1:50" customFormat="1" ht="40.9" customHeight="1" x14ac:dyDescent="0.25">
      <c r="A91" s="284"/>
      <c r="B91" s="679" t="s">
        <v>719</v>
      </c>
      <c r="C91" s="679"/>
      <c r="D91" s="679"/>
      <c r="E91" s="679"/>
      <c r="F91" s="679"/>
      <c r="G91" s="679" t="s">
        <v>720</v>
      </c>
      <c r="H91" s="679"/>
      <c r="I91" s="679"/>
      <c r="J91" s="679"/>
      <c r="K91" s="679" t="s">
        <v>15</v>
      </c>
      <c r="L91" s="679"/>
      <c r="M91" s="679"/>
      <c r="N91" s="679"/>
      <c r="O91" s="679"/>
      <c r="P91" s="679"/>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row>
    <row r="92" spans="1:50" customFormat="1" ht="68.099999999999994" customHeight="1" x14ac:dyDescent="0.25">
      <c r="A92" s="284"/>
      <c r="B92" s="679" t="s">
        <v>724</v>
      </c>
      <c r="C92" s="679"/>
      <c r="D92" s="679"/>
      <c r="E92" s="679"/>
      <c r="F92" s="679"/>
      <c r="G92" s="679" t="s">
        <v>725</v>
      </c>
      <c r="H92" s="679"/>
      <c r="I92" s="679"/>
      <c r="J92" s="679"/>
      <c r="K92" s="679" t="s">
        <v>15</v>
      </c>
      <c r="L92" s="679"/>
      <c r="M92" s="679"/>
      <c r="N92" s="679"/>
      <c r="O92" s="679"/>
      <c r="P92" s="679"/>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row>
    <row r="93" spans="1:50" customFormat="1" x14ac:dyDescent="0.25">
      <c r="A93" s="285" t="s">
        <v>193</v>
      </c>
      <c r="B93" s="675" t="s">
        <v>604</v>
      </c>
      <c r="C93" s="675"/>
      <c r="D93" s="675"/>
      <c r="E93" s="675"/>
      <c r="F93" s="675"/>
      <c r="G93" s="675"/>
      <c r="H93" s="675"/>
      <c r="I93" s="675"/>
      <c r="J93" s="675"/>
      <c r="K93" s="675" t="s">
        <v>15</v>
      </c>
      <c r="L93" s="675"/>
      <c r="M93" s="675"/>
      <c r="N93" s="675"/>
      <c r="O93" s="676">
        <f>ROUND(SUM($O$15:$O$87),2)</f>
        <v>8622872.4800000004</v>
      </c>
      <c r="P93" s="675"/>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row>
    <row r="94" spans="1:50" customFormat="1" ht="108.75" customHeight="1" x14ac:dyDescent="0.25">
      <c r="A94" s="285" t="s">
        <v>198</v>
      </c>
      <c r="B94" s="657" t="s">
        <v>606</v>
      </c>
      <c r="C94" s="657"/>
      <c r="D94" s="657"/>
      <c r="E94" s="657"/>
      <c r="F94" s="657"/>
      <c r="G94" s="657" t="s">
        <v>607</v>
      </c>
      <c r="H94" s="657"/>
      <c r="I94" s="657"/>
      <c r="J94" s="657"/>
      <c r="K94" s="657" t="s">
        <v>750</v>
      </c>
      <c r="L94" s="657"/>
      <c r="M94" s="657"/>
      <c r="N94" s="657"/>
      <c r="O94" s="658">
        <f>ROUND(($O$93)*1*0.8,2)</f>
        <v>6898297.9800000004</v>
      </c>
      <c r="P94" s="657"/>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row>
    <row r="95" spans="1:50" customFormat="1" ht="31.5" customHeight="1" x14ac:dyDescent="0.25">
      <c r="A95" s="285" t="s">
        <v>356</v>
      </c>
      <c r="B95" s="677" t="s">
        <v>606</v>
      </c>
      <c r="C95" s="677"/>
      <c r="D95" s="677"/>
      <c r="E95" s="677"/>
      <c r="F95" s="677"/>
      <c r="G95" s="677" t="s">
        <v>2314</v>
      </c>
      <c r="H95" s="677"/>
      <c r="I95" s="677"/>
      <c r="J95" s="677"/>
      <c r="K95" s="677" t="s">
        <v>2315</v>
      </c>
      <c r="L95" s="677"/>
      <c r="M95" s="677"/>
      <c r="N95" s="677"/>
      <c r="O95" s="678">
        <f>O94*0.7</f>
        <v>4828808.5860000001</v>
      </c>
      <c r="P95" s="677"/>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row>
    <row r="96" spans="1:50" customFormat="1" ht="15" customHeight="1" x14ac:dyDescent="0.25">
      <c r="A96" s="285" t="s">
        <v>363</v>
      </c>
      <c r="B96" s="675" t="s">
        <v>613</v>
      </c>
      <c r="C96" s="675"/>
      <c r="D96" s="675"/>
      <c r="E96" s="675"/>
      <c r="F96" s="675"/>
      <c r="G96" s="675"/>
      <c r="H96" s="675"/>
      <c r="I96" s="675"/>
      <c r="J96" s="675"/>
      <c r="K96" s="675" t="s">
        <v>15</v>
      </c>
      <c r="L96" s="675"/>
      <c r="M96" s="675"/>
      <c r="N96" s="675"/>
      <c r="O96" s="676">
        <f>O95</f>
        <v>4828808.5860000001</v>
      </c>
      <c r="P96" s="675"/>
      <c r="Q96" s="2"/>
      <c r="R96" s="243">
        <f>O96</f>
        <v>4828808.5860000001</v>
      </c>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row>
    <row r="97" spans="1:50" customForma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row>
  </sheetData>
  <mergeCells count="305">
    <mergeCell ref="A1:D1"/>
    <mergeCell ref="E1:P1"/>
    <mergeCell ref="A3:P3"/>
    <mergeCell ref="A4:P4"/>
    <mergeCell ref="A6:E6"/>
    <mergeCell ref="F6:P6"/>
    <mergeCell ref="A8:E8"/>
    <mergeCell ref="F8:P8"/>
    <mergeCell ref="A10:E10"/>
    <mergeCell ref="F10:P10"/>
    <mergeCell ref="B12:F12"/>
    <mergeCell ref="G12:J12"/>
    <mergeCell ref="K12:N12"/>
    <mergeCell ref="O12:P12"/>
    <mergeCell ref="B13:F13"/>
    <mergeCell ref="G13:J13"/>
    <mergeCell ref="K13:N13"/>
    <mergeCell ref="O13:P13"/>
    <mergeCell ref="A14:P14"/>
    <mergeCell ref="B15:F15"/>
    <mergeCell ref="G15:J15"/>
    <mergeCell ref="K15:N15"/>
    <mergeCell ref="O15:P15"/>
    <mergeCell ref="B16:F16"/>
    <mergeCell ref="G16:J16"/>
    <mergeCell ref="K16:N16"/>
    <mergeCell ref="O16:P16"/>
    <mergeCell ref="B17:F17"/>
    <mergeCell ref="G17:J17"/>
    <mergeCell ref="K17:N17"/>
    <mergeCell ref="O17:P17"/>
    <mergeCell ref="B18:F18"/>
    <mergeCell ref="G18:J18"/>
    <mergeCell ref="K18:N18"/>
    <mergeCell ref="O18:P18"/>
    <mergeCell ref="A19:P19"/>
    <mergeCell ref="B20:F20"/>
    <mergeCell ref="G20:J20"/>
    <mergeCell ref="K20:N20"/>
    <mergeCell ref="O20:P20"/>
    <mergeCell ref="B21:F21"/>
    <mergeCell ref="G21:J21"/>
    <mergeCell ref="K21:N21"/>
    <mergeCell ref="O21:P21"/>
    <mergeCell ref="B22:F22"/>
    <mergeCell ref="G22:J22"/>
    <mergeCell ref="K22:N22"/>
    <mergeCell ref="O22:P22"/>
    <mergeCell ref="B23:F23"/>
    <mergeCell ref="G23:J23"/>
    <mergeCell ref="K23:N23"/>
    <mergeCell ref="O23:P23"/>
    <mergeCell ref="B24:F24"/>
    <mergeCell ref="G24:J24"/>
    <mergeCell ref="K24:N24"/>
    <mergeCell ref="O24:P24"/>
    <mergeCell ref="A25:P25"/>
    <mergeCell ref="B26:F26"/>
    <mergeCell ref="G26:J26"/>
    <mergeCell ref="K26:N26"/>
    <mergeCell ref="O26:P26"/>
    <mergeCell ref="B27:F27"/>
    <mergeCell ref="G27:J27"/>
    <mergeCell ref="K27:N27"/>
    <mergeCell ref="O27:P27"/>
    <mergeCell ref="B28:F28"/>
    <mergeCell ref="G28:J28"/>
    <mergeCell ref="K28:N28"/>
    <mergeCell ref="O28:P28"/>
    <mergeCell ref="B29:F29"/>
    <mergeCell ref="G29:J29"/>
    <mergeCell ref="K29:N29"/>
    <mergeCell ref="O29:P29"/>
    <mergeCell ref="A30:P30"/>
    <mergeCell ref="B31:F31"/>
    <mergeCell ref="G31:J31"/>
    <mergeCell ref="K31:N31"/>
    <mergeCell ref="O31:P31"/>
    <mergeCell ref="B32:F32"/>
    <mergeCell ref="G32:J32"/>
    <mergeCell ref="K32:N32"/>
    <mergeCell ref="O32:P32"/>
    <mergeCell ref="B33:F33"/>
    <mergeCell ref="G33:J33"/>
    <mergeCell ref="K33:N33"/>
    <mergeCell ref="O33:P33"/>
    <mergeCell ref="B34:F34"/>
    <mergeCell ref="G34:J34"/>
    <mergeCell ref="K34:N34"/>
    <mergeCell ref="O34:P34"/>
    <mergeCell ref="B35:F35"/>
    <mergeCell ref="G35:J35"/>
    <mergeCell ref="K35:N35"/>
    <mergeCell ref="O35:P35"/>
    <mergeCell ref="A36:P36"/>
    <mergeCell ref="B37:F37"/>
    <mergeCell ref="G37:J37"/>
    <mergeCell ref="K37:N37"/>
    <mergeCell ref="O37:P37"/>
    <mergeCell ref="B38:F38"/>
    <mergeCell ref="G38:J38"/>
    <mergeCell ref="K38:N38"/>
    <mergeCell ref="O38:P38"/>
    <mergeCell ref="B39:F39"/>
    <mergeCell ref="G39:J39"/>
    <mergeCell ref="K39:N39"/>
    <mergeCell ref="O39:P39"/>
    <mergeCell ref="B40:F40"/>
    <mergeCell ref="G40:J40"/>
    <mergeCell ref="K40:N40"/>
    <mergeCell ref="O40:P40"/>
    <mergeCell ref="A41:P41"/>
    <mergeCell ref="B42:F42"/>
    <mergeCell ref="G42:J42"/>
    <mergeCell ref="K42:N42"/>
    <mergeCell ref="O42:P42"/>
    <mergeCell ref="B43:F43"/>
    <mergeCell ref="G43:J43"/>
    <mergeCell ref="K43:N43"/>
    <mergeCell ref="O43:P43"/>
    <mergeCell ref="B44:F44"/>
    <mergeCell ref="G44:J44"/>
    <mergeCell ref="K44:N44"/>
    <mergeCell ref="O44:P44"/>
    <mergeCell ref="B45:F45"/>
    <mergeCell ref="G45:J45"/>
    <mergeCell ref="K45:N45"/>
    <mergeCell ref="O45:P45"/>
    <mergeCell ref="A46:P46"/>
    <mergeCell ref="B47:F47"/>
    <mergeCell ref="G47:J47"/>
    <mergeCell ref="K47:N47"/>
    <mergeCell ref="O47:P47"/>
    <mergeCell ref="B48:F48"/>
    <mergeCell ref="G48:J48"/>
    <mergeCell ref="K48:N48"/>
    <mergeCell ref="O48:P48"/>
    <mergeCell ref="B49:F49"/>
    <mergeCell ref="G49:J49"/>
    <mergeCell ref="K49:N49"/>
    <mergeCell ref="O49:P49"/>
    <mergeCell ref="B50:F50"/>
    <mergeCell ref="G50:J50"/>
    <mergeCell ref="K50:N50"/>
    <mergeCell ref="O50:P50"/>
    <mergeCell ref="B51:F51"/>
    <mergeCell ref="G51:J51"/>
    <mergeCell ref="K51:N51"/>
    <mergeCell ref="O51:P51"/>
    <mergeCell ref="A52:P52"/>
    <mergeCell ref="B53:F53"/>
    <mergeCell ref="G53:J53"/>
    <mergeCell ref="K53:N53"/>
    <mergeCell ref="O53:P53"/>
    <mergeCell ref="B54:F54"/>
    <mergeCell ref="G54:J54"/>
    <mergeCell ref="K54:N54"/>
    <mergeCell ref="O54:P54"/>
    <mergeCell ref="B55:F55"/>
    <mergeCell ref="G55:J55"/>
    <mergeCell ref="K55:N55"/>
    <mergeCell ref="O55:P55"/>
    <mergeCell ref="B56:F56"/>
    <mergeCell ref="G56:J56"/>
    <mergeCell ref="K56:N56"/>
    <mergeCell ref="O56:P56"/>
    <mergeCell ref="A57:P57"/>
    <mergeCell ref="B58:F58"/>
    <mergeCell ref="G58:J58"/>
    <mergeCell ref="K58:N58"/>
    <mergeCell ref="O58:P58"/>
    <mergeCell ref="B59:F59"/>
    <mergeCell ref="G59:J59"/>
    <mergeCell ref="K59:N59"/>
    <mergeCell ref="O59:P59"/>
    <mergeCell ref="B60:F60"/>
    <mergeCell ref="G60:J60"/>
    <mergeCell ref="K60:N60"/>
    <mergeCell ref="O60:P60"/>
    <mergeCell ref="B61:F61"/>
    <mergeCell ref="G61:J61"/>
    <mergeCell ref="K61:N61"/>
    <mergeCell ref="O61:P61"/>
    <mergeCell ref="B62:F62"/>
    <mergeCell ref="G62:J62"/>
    <mergeCell ref="K62:N62"/>
    <mergeCell ref="O62:P62"/>
    <mergeCell ref="A63:P63"/>
    <mergeCell ref="B64:F64"/>
    <mergeCell ref="G64:J64"/>
    <mergeCell ref="K64:N64"/>
    <mergeCell ref="O64:P64"/>
    <mergeCell ref="B65:F65"/>
    <mergeCell ref="G65:J65"/>
    <mergeCell ref="K65:N65"/>
    <mergeCell ref="O65:P65"/>
    <mergeCell ref="B66:F66"/>
    <mergeCell ref="G66:J66"/>
    <mergeCell ref="K66:N66"/>
    <mergeCell ref="O66:P66"/>
    <mergeCell ref="B67:F67"/>
    <mergeCell ref="G67:J67"/>
    <mergeCell ref="K67:N67"/>
    <mergeCell ref="O67:P67"/>
    <mergeCell ref="A68:P68"/>
    <mergeCell ref="B69:F69"/>
    <mergeCell ref="G69:J69"/>
    <mergeCell ref="K69:N69"/>
    <mergeCell ref="O69:P69"/>
    <mergeCell ref="B70:F70"/>
    <mergeCell ref="G70:J70"/>
    <mergeCell ref="K70:N70"/>
    <mergeCell ref="O70:P70"/>
    <mergeCell ref="B71:F71"/>
    <mergeCell ref="G71:J71"/>
    <mergeCell ref="K71:N71"/>
    <mergeCell ref="O71:P71"/>
    <mergeCell ref="B72:F72"/>
    <mergeCell ref="G72:J72"/>
    <mergeCell ref="K72:N72"/>
    <mergeCell ref="O72:P72"/>
    <mergeCell ref="A73:P73"/>
    <mergeCell ref="B74:F74"/>
    <mergeCell ref="G74:J74"/>
    <mergeCell ref="K74:N74"/>
    <mergeCell ref="O74:P74"/>
    <mergeCell ref="B75:F75"/>
    <mergeCell ref="G75:J75"/>
    <mergeCell ref="K75:N75"/>
    <mergeCell ref="O75:P75"/>
    <mergeCell ref="B76:F76"/>
    <mergeCell ref="G76:J76"/>
    <mergeCell ref="K76:N76"/>
    <mergeCell ref="O76:P76"/>
    <mergeCell ref="B77:F77"/>
    <mergeCell ref="G77:J77"/>
    <mergeCell ref="K77:N77"/>
    <mergeCell ref="O77:P77"/>
    <mergeCell ref="B78:F78"/>
    <mergeCell ref="G78:J78"/>
    <mergeCell ref="K78:N78"/>
    <mergeCell ref="O78:P78"/>
    <mergeCell ref="A79:P79"/>
    <mergeCell ref="A80:P80"/>
    <mergeCell ref="B81:F81"/>
    <mergeCell ref="G81:J81"/>
    <mergeCell ref="K81:N81"/>
    <mergeCell ref="O81:P81"/>
    <mergeCell ref="B82:F82"/>
    <mergeCell ref="G82:J82"/>
    <mergeCell ref="K82:N82"/>
    <mergeCell ref="O82:P82"/>
    <mergeCell ref="B83:F83"/>
    <mergeCell ref="G83:J83"/>
    <mergeCell ref="K83:N83"/>
    <mergeCell ref="O83:P83"/>
    <mergeCell ref="B84:F84"/>
    <mergeCell ref="G84:J84"/>
    <mergeCell ref="K84:N84"/>
    <mergeCell ref="O84:P84"/>
    <mergeCell ref="B85:F85"/>
    <mergeCell ref="G85:J85"/>
    <mergeCell ref="K85:N85"/>
    <mergeCell ref="O85:P85"/>
    <mergeCell ref="A86:P86"/>
    <mergeCell ref="B87:F87"/>
    <mergeCell ref="G87:J87"/>
    <mergeCell ref="K87:N87"/>
    <mergeCell ref="O87:P87"/>
    <mergeCell ref="B88:F88"/>
    <mergeCell ref="G88:J88"/>
    <mergeCell ref="K88:N88"/>
    <mergeCell ref="O88:P88"/>
    <mergeCell ref="B89:F89"/>
    <mergeCell ref="G89:J89"/>
    <mergeCell ref="K89:N89"/>
    <mergeCell ref="O89:P89"/>
    <mergeCell ref="B90:F90"/>
    <mergeCell ref="G90:J90"/>
    <mergeCell ref="K90:N90"/>
    <mergeCell ref="O90:P90"/>
    <mergeCell ref="B91:F91"/>
    <mergeCell ref="G91:J91"/>
    <mergeCell ref="K91:N91"/>
    <mergeCell ref="O91:P91"/>
    <mergeCell ref="B92:F92"/>
    <mergeCell ref="G92:J92"/>
    <mergeCell ref="K92:N92"/>
    <mergeCell ref="O92:P92"/>
    <mergeCell ref="B93:F93"/>
    <mergeCell ref="G93:J93"/>
    <mergeCell ref="K93:N93"/>
    <mergeCell ref="O93:P93"/>
    <mergeCell ref="B94:F94"/>
    <mergeCell ref="G94:J94"/>
    <mergeCell ref="K94:N94"/>
    <mergeCell ref="O94:P94"/>
    <mergeCell ref="B95:F95"/>
    <mergeCell ref="G95:J95"/>
    <mergeCell ref="K95:N95"/>
    <mergeCell ref="O95:P95"/>
    <mergeCell ref="B96:F96"/>
    <mergeCell ref="G96:J96"/>
    <mergeCell ref="K96:N96"/>
    <mergeCell ref="O96:P96"/>
  </mergeCells>
  <conditionalFormatting sqref="B95:L95">
    <cfRule type="containsText" dxfId="49" priority="1" operator="containsText" text="Этап ">
      <formula>NOT(ISERROR(SEARCH("Этап ",B95)))</formula>
    </cfRule>
  </conditionalFormatting>
  <pageMargins left="0.40000000000000008" right="0.40000000000000008" top="0.75" bottom="0.75" header="0.3" footer="0.3"/>
  <pageSetup paperSize="9" scale="66" fitToHeight="0"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6"/>
  </sheetPr>
  <dimension ref="A1:AX479"/>
  <sheetViews>
    <sheetView topLeftCell="A469" zoomScale="70" zoomScaleNormal="70" workbookViewId="0">
      <selection activeCell="K495" sqref="K495"/>
    </sheetView>
  </sheetViews>
  <sheetFormatPr defaultRowHeight="15" x14ac:dyDescent="0.25"/>
  <cols>
    <col min="1" max="1" width="6.42578125" style="228" customWidth="1"/>
    <col min="2" max="6" width="8" style="228" customWidth="1"/>
    <col min="7" max="7" width="11.28515625" style="228" customWidth="1"/>
    <col min="8" max="17" width="8" style="228" customWidth="1"/>
    <col min="18" max="18" width="13.42578125" style="228" bestFit="1" customWidth="1"/>
    <col min="19" max="50" width="8" style="228" customWidth="1"/>
    <col min="51" max="16384" width="9.140625" style="227"/>
  </cols>
  <sheetData>
    <row r="1" spans="1:50" x14ac:dyDescent="0.25">
      <c r="A1" s="652"/>
      <c r="B1" s="652"/>
      <c r="C1" s="652"/>
      <c r="D1" s="652"/>
      <c r="E1" s="653" t="s">
        <v>676</v>
      </c>
      <c r="F1" s="653"/>
      <c r="G1" s="653"/>
      <c r="H1" s="653"/>
      <c r="I1" s="653"/>
      <c r="J1" s="653"/>
      <c r="K1" s="653"/>
      <c r="L1" s="653"/>
      <c r="M1" s="653"/>
      <c r="N1" s="653"/>
      <c r="O1" s="653"/>
      <c r="P1" s="653"/>
    </row>
    <row r="2" spans="1:50" ht="15" customHeight="1" x14ac:dyDescent="0.25"/>
    <row r="3" spans="1:50" ht="15" customHeight="1" x14ac:dyDescent="0.25">
      <c r="A3" s="646" t="str">
        <f>СВОД!E36</f>
        <v>Смета №3.3</v>
      </c>
      <c r="B3" s="646"/>
      <c r="C3" s="646"/>
      <c r="D3" s="646"/>
      <c r="E3" s="646"/>
      <c r="F3" s="646"/>
      <c r="G3" s="646"/>
      <c r="H3" s="646"/>
      <c r="I3" s="646"/>
      <c r="J3" s="646"/>
      <c r="K3" s="646"/>
      <c r="L3" s="646"/>
      <c r="M3" s="646"/>
      <c r="N3" s="646"/>
      <c r="O3" s="646"/>
      <c r="P3" s="646"/>
    </row>
    <row r="4" spans="1:50" ht="15" customHeight="1" x14ac:dyDescent="0.25">
      <c r="A4" s="647" t="s">
        <v>559</v>
      </c>
      <c r="B4" s="647"/>
      <c r="C4" s="647"/>
      <c r="D4" s="647"/>
      <c r="E4" s="647"/>
      <c r="F4" s="647"/>
      <c r="G4" s="647"/>
      <c r="H4" s="647"/>
      <c r="I4" s="647"/>
      <c r="J4" s="647"/>
      <c r="K4" s="647"/>
      <c r="L4" s="647"/>
      <c r="M4" s="647"/>
      <c r="N4" s="647"/>
      <c r="O4" s="647"/>
      <c r="P4" s="647"/>
    </row>
    <row r="5" spans="1:50" ht="15" customHeight="1" x14ac:dyDescent="0.25"/>
    <row r="6" spans="1:50" ht="54.4" customHeight="1" x14ac:dyDescent="0.25">
      <c r="A6" s="648" t="s">
        <v>3</v>
      </c>
      <c r="B6" s="648"/>
      <c r="C6" s="648"/>
      <c r="D6" s="648"/>
      <c r="E6" s="648"/>
      <c r="F6" s="649" t="str">
        <f>СВОД!B36</f>
        <v>Технология производства</v>
      </c>
      <c r="G6" s="649"/>
      <c r="H6" s="649"/>
      <c r="I6" s="649"/>
      <c r="J6" s="649"/>
      <c r="K6" s="649"/>
      <c r="L6" s="649"/>
      <c r="M6" s="649"/>
      <c r="N6" s="649"/>
      <c r="O6" s="649"/>
      <c r="P6" s="649"/>
    </row>
    <row r="7" spans="1:50" ht="15" customHeight="1" x14ac:dyDescent="0.25"/>
    <row r="8" spans="1:50" ht="27.2" customHeight="1" x14ac:dyDescent="0.25">
      <c r="A8" s="648" t="s">
        <v>6</v>
      </c>
      <c r="B8" s="648"/>
      <c r="C8" s="648"/>
      <c r="D8" s="648"/>
      <c r="E8" s="648"/>
      <c r="F8" s="649" t="str">
        <f>СВОД!D14</f>
        <v>Определяется по итогам конкурентных процедур</v>
      </c>
      <c r="G8" s="649"/>
      <c r="H8" s="649"/>
      <c r="I8" s="649"/>
      <c r="J8" s="649"/>
      <c r="K8" s="649"/>
      <c r="L8" s="649"/>
      <c r="M8" s="649"/>
      <c r="N8" s="649"/>
      <c r="O8" s="649"/>
      <c r="P8" s="649"/>
    </row>
    <row r="9" spans="1:50" ht="15" customHeight="1" x14ac:dyDescent="0.25"/>
    <row r="10" spans="1:50" ht="15" customHeight="1" x14ac:dyDescent="0.25">
      <c r="A10" s="648" t="s">
        <v>8</v>
      </c>
      <c r="B10" s="648"/>
      <c r="C10" s="648"/>
      <c r="D10" s="648"/>
      <c r="E10" s="648"/>
      <c r="F10" s="649" t="str">
        <f>СВОД!D16</f>
        <v>ООО «Газпром проектирование»</v>
      </c>
      <c r="G10" s="649"/>
      <c r="H10" s="649"/>
      <c r="I10" s="649"/>
      <c r="J10" s="649"/>
      <c r="K10" s="649"/>
      <c r="L10" s="649"/>
      <c r="M10" s="649"/>
      <c r="N10" s="649"/>
      <c r="O10" s="649"/>
      <c r="P10" s="649"/>
    </row>
    <row r="11" spans="1:50" ht="15" customHeight="1" x14ac:dyDescent="0.25"/>
    <row r="12" spans="1:50" customFormat="1" ht="40.9" customHeight="1" x14ac:dyDescent="0.25">
      <c r="A12" s="493" t="s">
        <v>90</v>
      </c>
      <c r="B12" s="696" t="s">
        <v>560</v>
      </c>
      <c r="C12" s="696"/>
      <c r="D12" s="696"/>
      <c r="E12" s="696"/>
      <c r="F12" s="696"/>
      <c r="G12" s="696" t="s">
        <v>561</v>
      </c>
      <c r="H12" s="696"/>
      <c r="I12" s="696"/>
      <c r="J12" s="696"/>
      <c r="K12" s="696" t="s">
        <v>225</v>
      </c>
      <c r="L12" s="696"/>
      <c r="M12" s="696"/>
      <c r="N12" s="696"/>
      <c r="O12" s="696" t="s">
        <v>13</v>
      </c>
      <c r="P12" s="696"/>
      <c r="Q12" s="494"/>
      <c r="R12" s="494"/>
      <c r="S12" s="494"/>
      <c r="T12" s="494"/>
      <c r="U12" s="494"/>
      <c r="V12" s="494"/>
      <c r="W12" s="494"/>
      <c r="X12" s="494"/>
      <c r="Y12" s="494"/>
      <c r="Z12" s="494"/>
      <c r="AA12" s="494"/>
      <c r="AB12" s="494"/>
      <c r="AC12" s="494"/>
      <c r="AD12" s="494"/>
      <c r="AE12" s="494"/>
      <c r="AF12" s="494"/>
      <c r="AG12" s="494"/>
      <c r="AH12" s="494"/>
      <c r="AI12" s="494"/>
      <c r="AJ12" s="494"/>
      <c r="AK12" s="494"/>
      <c r="AL12" s="494"/>
      <c r="AM12" s="494"/>
      <c r="AN12" s="494"/>
      <c r="AO12" s="494"/>
      <c r="AP12" s="494"/>
      <c r="AQ12" s="494"/>
      <c r="AR12" s="494"/>
      <c r="AS12" s="494"/>
      <c r="AT12" s="494"/>
      <c r="AU12" s="494"/>
      <c r="AV12" s="494"/>
      <c r="AW12" s="494"/>
      <c r="AX12" s="494"/>
    </row>
    <row r="13" spans="1:50" customFormat="1" ht="15" customHeight="1" x14ac:dyDescent="0.25">
      <c r="A13" s="493">
        <v>1</v>
      </c>
      <c r="B13" s="696">
        <v>2</v>
      </c>
      <c r="C13" s="696"/>
      <c r="D13" s="696"/>
      <c r="E13" s="696"/>
      <c r="F13" s="696"/>
      <c r="G13" s="696">
        <v>3</v>
      </c>
      <c r="H13" s="696"/>
      <c r="I13" s="696"/>
      <c r="J13" s="696"/>
      <c r="K13" s="696">
        <v>4</v>
      </c>
      <c r="L13" s="696"/>
      <c r="M13" s="696"/>
      <c r="N13" s="696"/>
      <c r="O13" s="696">
        <v>5</v>
      </c>
      <c r="P13" s="696"/>
      <c r="Q13" s="494"/>
      <c r="R13" s="494"/>
      <c r="S13" s="494"/>
      <c r="T13" s="494"/>
      <c r="U13" s="494"/>
      <c r="V13" s="494"/>
      <c r="W13" s="494"/>
      <c r="X13" s="494"/>
      <c r="Y13" s="494"/>
      <c r="Z13" s="494"/>
      <c r="AA13" s="494"/>
      <c r="AB13" s="494"/>
      <c r="AC13" s="494"/>
      <c r="AD13" s="494"/>
      <c r="AE13" s="494"/>
      <c r="AF13" s="494"/>
      <c r="AG13" s="494"/>
      <c r="AH13" s="494"/>
      <c r="AI13" s="494"/>
      <c r="AJ13" s="494"/>
      <c r="AK13" s="494"/>
      <c r="AL13" s="494"/>
      <c r="AM13" s="494"/>
      <c r="AN13" s="494"/>
      <c r="AO13" s="494"/>
      <c r="AP13" s="494"/>
      <c r="AQ13" s="494"/>
      <c r="AR13" s="494"/>
      <c r="AS13" s="494"/>
      <c r="AT13" s="494"/>
      <c r="AU13" s="494"/>
      <c r="AV13" s="494"/>
      <c r="AW13" s="494"/>
      <c r="AX13" s="494"/>
    </row>
    <row r="14" spans="1:50" customFormat="1" ht="15" customHeight="1" x14ac:dyDescent="0.25">
      <c r="A14" s="690" t="s">
        <v>751</v>
      </c>
      <c r="B14" s="690"/>
      <c r="C14" s="690"/>
      <c r="D14" s="690"/>
      <c r="E14" s="690"/>
      <c r="F14" s="690"/>
      <c r="G14" s="690"/>
      <c r="H14" s="690"/>
      <c r="I14" s="690"/>
      <c r="J14" s="690"/>
      <c r="K14" s="690"/>
      <c r="L14" s="690"/>
      <c r="M14" s="690"/>
      <c r="N14" s="690"/>
      <c r="O14" s="690"/>
      <c r="P14" s="690"/>
      <c r="Q14" s="494"/>
      <c r="R14" s="494"/>
      <c r="S14" s="494"/>
      <c r="T14" s="494"/>
      <c r="U14" s="494"/>
      <c r="V14" s="494"/>
      <c r="W14" s="494"/>
      <c r="X14" s="494"/>
      <c r="Y14" s="494"/>
      <c r="Z14" s="494"/>
      <c r="AA14" s="494"/>
      <c r="AB14" s="494"/>
      <c r="AC14" s="494"/>
      <c r="AD14" s="494"/>
      <c r="AE14" s="494"/>
      <c r="AF14" s="494"/>
      <c r="AG14" s="494"/>
      <c r="AH14" s="494"/>
      <c r="AI14" s="494"/>
      <c r="AJ14" s="494"/>
      <c r="AK14" s="494"/>
      <c r="AL14" s="494"/>
      <c r="AM14" s="494"/>
      <c r="AN14" s="494"/>
      <c r="AO14" s="494"/>
      <c r="AP14" s="494"/>
      <c r="AQ14" s="494"/>
      <c r="AR14" s="494"/>
      <c r="AS14" s="494"/>
      <c r="AT14" s="494"/>
      <c r="AU14" s="494"/>
      <c r="AV14" s="494"/>
      <c r="AW14" s="494"/>
      <c r="AX14" s="494"/>
    </row>
    <row r="15" spans="1:50" customFormat="1" ht="15" customHeight="1" x14ac:dyDescent="0.25">
      <c r="A15" s="690" t="s">
        <v>752</v>
      </c>
      <c r="B15" s="690"/>
      <c r="C15" s="690"/>
      <c r="D15" s="690"/>
      <c r="E15" s="690"/>
      <c r="F15" s="690"/>
      <c r="G15" s="690"/>
      <c r="H15" s="690"/>
      <c r="I15" s="690"/>
      <c r="J15" s="690"/>
      <c r="K15" s="690"/>
      <c r="L15" s="690"/>
      <c r="M15" s="690"/>
      <c r="N15" s="690"/>
      <c r="O15" s="690"/>
      <c r="P15" s="690"/>
      <c r="Q15" s="494"/>
      <c r="R15" s="494"/>
      <c r="S15" s="494"/>
      <c r="T15" s="494"/>
      <c r="U15" s="494"/>
      <c r="V15" s="494"/>
      <c r="W15" s="494"/>
      <c r="X15" s="494"/>
      <c r="Y15" s="494"/>
      <c r="Z15" s="494"/>
      <c r="AA15" s="494"/>
      <c r="AB15" s="494"/>
      <c r="AC15" s="494"/>
      <c r="AD15" s="494"/>
      <c r="AE15" s="494"/>
      <c r="AF15" s="494"/>
      <c r="AG15" s="494"/>
      <c r="AH15" s="494"/>
      <c r="AI15" s="494"/>
      <c r="AJ15" s="494"/>
      <c r="AK15" s="494"/>
      <c r="AL15" s="494"/>
      <c r="AM15" s="494"/>
      <c r="AN15" s="494"/>
      <c r="AO15" s="494"/>
      <c r="AP15" s="494"/>
      <c r="AQ15" s="494"/>
      <c r="AR15" s="494"/>
      <c r="AS15" s="494"/>
      <c r="AT15" s="494"/>
      <c r="AU15" s="494"/>
      <c r="AV15" s="494"/>
      <c r="AW15" s="494"/>
      <c r="AX15" s="494"/>
    </row>
    <row r="16" spans="1:50" customFormat="1" ht="135.94999999999999" customHeight="1" x14ac:dyDescent="0.25">
      <c r="A16" s="495" t="s">
        <v>98</v>
      </c>
      <c r="B16" s="692" t="s">
        <v>753</v>
      </c>
      <c r="C16" s="693"/>
      <c r="D16" s="693"/>
      <c r="E16" s="693"/>
      <c r="F16" s="693"/>
      <c r="G16" s="693" t="s">
        <v>754</v>
      </c>
      <c r="H16" s="693"/>
      <c r="I16" s="693"/>
      <c r="J16" s="693"/>
      <c r="K16" s="693" t="s">
        <v>2250</v>
      </c>
      <c r="L16" s="693"/>
      <c r="M16" s="693"/>
      <c r="N16" s="693"/>
      <c r="O16" s="694">
        <f>ROUND((1202400 + 412925 * (0.4 * 5 + 0.6 * 20)) * 1 * 1.56 * 0.6 * 0.2 * 0.7, 2)</f>
        <v>915098.18</v>
      </c>
      <c r="P16" s="693"/>
      <c r="Q16" s="494"/>
      <c r="R16" s="494"/>
      <c r="S16" s="494"/>
      <c r="T16" s="494"/>
      <c r="U16" s="494"/>
      <c r="V16" s="494"/>
      <c r="W16" s="494"/>
      <c r="X16" s="494"/>
      <c r="Y16" s="494"/>
      <c r="Z16" s="494"/>
      <c r="AA16" s="494"/>
      <c r="AB16" s="494"/>
      <c r="AC16" s="494"/>
      <c r="AD16" s="494"/>
      <c r="AE16" s="494"/>
      <c r="AF16" s="494"/>
      <c r="AG16" s="494"/>
      <c r="AH16" s="494"/>
      <c r="AI16" s="494"/>
      <c r="AJ16" s="494"/>
      <c r="AK16" s="494"/>
      <c r="AL16" s="494"/>
      <c r="AM16" s="494"/>
      <c r="AN16" s="494"/>
      <c r="AO16" s="494"/>
      <c r="AP16" s="494"/>
      <c r="AQ16" s="494"/>
      <c r="AR16" s="494"/>
      <c r="AS16" s="494"/>
      <c r="AT16" s="494"/>
      <c r="AU16" s="494"/>
      <c r="AV16" s="494"/>
      <c r="AW16" s="494"/>
      <c r="AX16" s="494"/>
    </row>
    <row r="17" spans="1:50" customFormat="1" ht="15" customHeight="1" x14ac:dyDescent="0.25">
      <c r="A17" s="496"/>
      <c r="B17" s="695" t="s">
        <v>564</v>
      </c>
      <c r="C17" s="695"/>
      <c r="D17" s="695"/>
      <c r="E17" s="695"/>
      <c r="F17" s="695"/>
      <c r="G17" s="695" t="s">
        <v>15</v>
      </c>
      <c r="H17" s="695"/>
      <c r="I17" s="695"/>
      <c r="J17" s="695"/>
      <c r="K17" s="695" t="s">
        <v>15</v>
      </c>
      <c r="L17" s="695"/>
      <c r="M17" s="695"/>
      <c r="N17" s="695"/>
      <c r="O17" s="695"/>
      <c r="P17" s="695"/>
      <c r="Q17" s="494"/>
      <c r="R17" s="494"/>
      <c r="S17" s="494"/>
      <c r="T17" s="494"/>
      <c r="U17" s="494"/>
      <c r="V17" s="494"/>
      <c r="W17" s="494"/>
      <c r="X17" s="494"/>
      <c r="Y17" s="494"/>
      <c r="Z17" s="494"/>
      <c r="AA17" s="494"/>
      <c r="AB17" s="494"/>
      <c r="AC17" s="494"/>
      <c r="AD17" s="494"/>
      <c r="AE17" s="494"/>
      <c r="AF17" s="494"/>
      <c r="AG17" s="494"/>
      <c r="AH17" s="494"/>
      <c r="AI17" s="494"/>
      <c r="AJ17" s="494"/>
      <c r="AK17" s="494"/>
      <c r="AL17" s="494"/>
      <c r="AM17" s="494"/>
      <c r="AN17" s="494"/>
      <c r="AO17" s="494"/>
      <c r="AP17" s="494"/>
      <c r="AQ17" s="494"/>
      <c r="AR17" s="494"/>
      <c r="AS17" s="494"/>
      <c r="AT17" s="494"/>
      <c r="AU17" s="494"/>
      <c r="AV17" s="494"/>
      <c r="AW17" s="494"/>
      <c r="AX17" s="494"/>
    </row>
    <row r="18" spans="1:50" customFormat="1" ht="15" customHeight="1" x14ac:dyDescent="0.25">
      <c r="A18" s="492"/>
      <c r="B18" s="687" t="s">
        <v>681</v>
      </c>
      <c r="C18" s="687"/>
      <c r="D18" s="687"/>
      <c r="E18" s="687"/>
      <c r="F18" s="687"/>
      <c r="G18" s="687" t="s">
        <v>682</v>
      </c>
      <c r="H18" s="687"/>
      <c r="I18" s="687"/>
      <c r="J18" s="687"/>
      <c r="K18" s="687" t="s">
        <v>15</v>
      </c>
      <c r="L18" s="687"/>
      <c r="M18" s="687"/>
      <c r="N18" s="687"/>
      <c r="O18" s="687"/>
      <c r="P18" s="687"/>
      <c r="Q18" s="494"/>
      <c r="R18" s="494"/>
      <c r="S18" s="494"/>
      <c r="T18" s="494"/>
      <c r="U18" s="494"/>
      <c r="V18" s="494"/>
      <c r="W18" s="494"/>
      <c r="X18" s="494"/>
      <c r="Y18" s="494"/>
      <c r="Z18" s="494"/>
      <c r="AA18" s="494"/>
      <c r="AB18" s="494"/>
      <c r="AC18" s="494"/>
      <c r="AD18" s="494"/>
      <c r="AE18" s="494"/>
      <c r="AF18" s="494"/>
      <c r="AG18" s="494"/>
      <c r="AH18" s="494"/>
      <c r="AI18" s="494"/>
      <c r="AJ18" s="494"/>
      <c r="AK18" s="494"/>
      <c r="AL18" s="494"/>
      <c r="AM18" s="494"/>
      <c r="AN18" s="494"/>
      <c r="AO18" s="494"/>
      <c r="AP18" s="494"/>
      <c r="AQ18" s="494"/>
      <c r="AR18" s="494"/>
      <c r="AS18" s="494"/>
      <c r="AT18" s="494"/>
      <c r="AU18" s="494"/>
      <c r="AV18" s="494"/>
      <c r="AW18" s="494"/>
      <c r="AX18" s="494"/>
    </row>
    <row r="19" spans="1:50" customFormat="1" ht="40.9" customHeight="1" x14ac:dyDescent="0.25">
      <c r="A19" s="492"/>
      <c r="B19" s="687" t="s">
        <v>683</v>
      </c>
      <c r="C19" s="687"/>
      <c r="D19" s="687"/>
      <c r="E19" s="687"/>
      <c r="F19" s="687"/>
      <c r="G19" s="687" t="s">
        <v>684</v>
      </c>
      <c r="H19" s="687"/>
      <c r="I19" s="687"/>
      <c r="J19" s="687"/>
      <c r="K19" s="687" t="s">
        <v>15</v>
      </c>
      <c r="L19" s="687"/>
      <c r="M19" s="687"/>
      <c r="N19" s="687"/>
      <c r="O19" s="687"/>
      <c r="P19" s="687"/>
      <c r="Q19" s="494"/>
      <c r="R19" s="494"/>
      <c r="S19" s="494"/>
      <c r="T19" s="494"/>
      <c r="U19" s="494"/>
      <c r="V19" s="494"/>
      <c r="W19" s="494"/>
      <c r="X19" s="494"/>
      <c r="Y19" s="494"/>
      <c r="Z19" s="494"/>
      <c r="AA19" s="494"/>
      <c r="AB19" s="494"/>
      <c r="AC19" s="494"/>
      <c r="AD19" s="494"/>
      <c r="AE19" s="494"/>
      <c r="AF19" s="494"/>
      <c r="AG19" s="494"/>
      <c r="AH19" s="494"/>
      <c r="AI19" s="494"/>
      <c r="AJ19" s="494"/>
      <c r="AK19" s="494"/>
      <c r="AL19" s="494"/>
      <c r="AM19" s="494"/>
      <c r="AN19" s="494"/>
      <c r="AO19" s="494"/>
      <c r="AP19" s="494"/>
      <c r="AQ19" s="494"/>
      <c r="AR19" s="494"/>
      <c r="AS19" s="494"/>
      <c r="AT19" s="494"/>
      <c r="AU19" s="494"/>
      <c r="AV19" s="494"/>
      <c r="AW19" s="494"/>
      <c r="AX19" s="494"/>
    </row>
    <row r="20" spans="1:50" customFormat="1" ht="81.599999999999994" customHeight="1" x14ac:dyDescent="0.25">
      <c r="A20" s="492"/>
      <c r="B20" s="687" t="s">
        <v>755</v>
      </c>
      <c r="C20" s="687"/>
      <c r="D20" s="687"/>
      <c r="E20" s="687"/>
      <c r="F20" s="687"/>
      <c r="G20" s="687" t="s">
        <v>756</v>
      </c>
      <c r="H20" s="687"/>
      <c r="I20" s="687"/>
      <c r="J20" s="687"/>
      <c r="K20" s="687" t="s">
        <v>15</v>
      </c>
      <c r="L20" s="687"/>
      <c r="M20" s="687"/>
      <c r="N20" s="687"/>
      <c r="O20" s="687"/>
      <c r="P20" s="687"/>
      <c r="Q20" s="494"/>
      <c r="R20" s="494"/>
      <c r="S20" s="494"/>
      <c r="T20" s="494"/>
      <c r="U20" s="494"/>
      <c r="V20" s="494"/>
      <c r="W20" s="494"/>
      <c r="X20" s="494"/>
      <c r="Y20" s="494"/>
      <c r="Z20" s="494"/>
      <c r="AA20" s="494"/>
      <c r="AB20" s="494"/>
      <c r="AC20" s="494"/>
      <c r="AD20" s="494"/>
      <c r="AE20" s="494"/>
      <c r="AF20" s="494"/>
      <c r="AG20" s="494"/>
      <c r="AH20" s="494"/>
      <c r="AI20" s="494"/>
      <c r="AJ20" s="494"/>
      <c r="AK20" s="494"/>
      <c r="AL20" s="494"/>
      <c r="AM20" s="494"/>
      <c r="AN20" s="494"/>
      <c r="AO20" s="494"/>
      <c r="AP20" s="494"/>
      <c r="AQ20" s="494"/>
      <c r="AR20" s="494"/>
      <c r="AS20" s="494"/>
      <c r="AT20" s="494"/>
      <c r="AU20" s="494"/>
      <c r="AV20" s="494"/>
      <c r="AW20" s="494"/>
      <c r="AX20" s="494"/>
    </row>
    <row r="21" spans="1:50" customFormat="1" ht="27.2" customHeight="1" x14ac:dyDescent="0.25">
      <c r="A21" s="492"/>
      <c r="B21" s="687" t="s">
        <v>793</v>
      </c>
      <c r="C21" s="687"/>
      <c r="D21" s="687"/>
      <c r="E21" s="687"/>
      <c r="F21" s="687"/>
      <c r="G21" s="687" t="s">
        <v>2251</v>
      </c>
      <c r="H21" s="687"/>
      <c r="I21" s="687"/>
      <c r="J21" s="687"/>
      <c r="K21" s="687" t="s">
        <v>15</v>
      </c>
      <c r="L21" s="687"/>
      <c r="M21" s="687"/>
      <c r="N21" s="687"/>
      <c r="O21" s="687"/>
      <c r="P21" s="687"/>
      <c r="Q21" s="494"/>
      <c r="R21" s="494"/>
      <c r="S21" s="494"/>
      <c r="T21" s="494"/>
      <c r="U21" s="494"/>
      <c r="V21" s="494"/>
      <c r="W21" s="494"/>
      <c r="X21" s="494"/>
      <c r="Y21" s="494"/>
      <c r="Z21" s="494"/>
      <c r="AA21" s="494"/>
      <c r="AB21" s="494"/>
      <c r="AC21" s="494"/>
      <c r="AD21" s="494"/>
      <c r="AE21" s="494"/>
      <c r="AF21" s="494"/>
      <c r="AG21" s="494"/>
      <c r="AH21" s="494"/>
      <c r="AI21" s="494"/>
      <c r="AJ21" s="494"/>
      <c r="AK21" s="494"/>
      <c r="AL21" s="494"/>
      <c r="AM21" s="494"/>
      <c r="AN21" s="494"/>
      <c r="AO21" s="494"/>
      <c r="AP21" s="494"/>
      <c r="AQ21" s="494"/>
      <c r="AR21" s="494"/>
      <c r="AS21" s="494"/>
      <c r="AT21" s="494"/>
      <c r="AU21" s="494"/>
      <c r="AV21" s="494"/>
      <c r="AW21" s="494"/>
      <c r="AX21" s="494"/>
    </row>
    <row r="22" spans="1:50" customFormat="1" ht="15" customHeight="1" x14ac:dyDescent="0.25">
      <c r="A22" s="690" t="s">
        <v>757</v>
      </c>
      <c r="B22" s="690"/>
      <c r="C22" s="690"/>
      <c r="D22" s="690"/>
      <c r="E22" s="690"/>
      <c r="F22" s="690"/>
      <c r="G22" s="690"/>
      <c r="H22" s="690"/>
      <c r="I22" s="690"/>
      <c r="J22" s="690"/>
      <c r="K22" s="690"/>
      <c r="L22" s="690"/>
      <c r="M22" s="690"/>
      <c r="N22" s="690"/>
      <c r="O22" s="690"/>
      <c r="P22" s="690"/>
      <c r="Q22" s="494"/>
      <c r="R22" s="494"/>
      <c r="S22" s="494"/>
      <c r="T22" s="494"/>
      <c r="U22" s="494"/>
      <c r="V22" s="494"/>
      <c r="W22" s="494"/>
      <c r="X22" s="494"/>
      <c r="Y22" s="494"/>
      <c r="Z22" s="494"/>
      <c r="AA22" s="494"/>
      <c r="AB22" s="494"/>
      <c r="AC22" s="494"/>
      <c r="AD22" s="494"/>
      <c r="AE22" s="494"/>
      <c r="AF22" s="494"/>
      <c r="AG22" s="494"/>
      <c r="AH22" s="494"/>
      <c r="AI22" s="494"/>
      <c r="AJ22" s="494"/>
      <c r="AK22" s="494"/>
      <c r="AL22" s="494"/>
      <c r="AM22" s="494"/>
      <c r="AN22" s="494"/>
      <c r="AO22" s="494"/>
      <c r="AP22" s="494"/>
      <c r="AQ22" s="494"/>
      <c r="AR22" s="494"/>
      <c r="AS22" s="494"/>
      <c r="AT22" s="494"/>
      <c r="AU22" s="494"/>
      <c r="AV22" s="494"/>
      <c r="AW22" s="494"/>
      <c r="AX22" s="494"/>
    </row>
    <row r="23" spans="1:50" customFormat="1" ht="135.94999999999999" customHeight="1" x14ac:dyDescent="0.25">
      <c r="A23" s="495" t="s">
        <v>104</v>
      </c>
      <c r="B23" s="692" t="s">
        <v>753</v>
      </c>
      <c r="C23" s="693"/>
      <c r="D23" s="693"/>
      <c r="E23" s="693"/>
      <c r="F23" s="693"/>
      <c r="G23" s="693" t="s">
        <v>754</v>
      </c>
      <c r="H23" s="693"/>
      <c r="I23" s="693"/>
      <c r="J23" s="693"/>
      <c r="K23" s="693" t="s">
        <v>2250</v>
      </c>
      <c r="L23" s="693"/>
      <c r="M23" s="693"/>
      <c r="N23" s="693"/>
      <c r="O23" s="694">
        <f>ROUND((1202400 + 412925 * (0.4 * 5 + 0.6 * 20)) * 1 * 1.56 * 0.6 * 0.2 * 0.7, 2)</f>
        <v>915098.18</v>
      </c>
      <c r="P23" s="693"/>
      <c r="Q23" s="494"/>
      <c r="R23" s="494"/>
      <c r="S23" s="494"/>
      <c r="T23" s="494"/>
      <c r="U23" s="494"/>
      <c r="V23" s="494"/>
      <c r="W23" s="494"/>
      <c r="X23" s="494"/>
      <c r="Y23" s="494"/>
      <c r="Z23" s="494"/>
      <c r="AA23" s="494"/>
      <c r="AB23" s="494"/>
      <c r="AC23" s="494"/>
      <c r="AD23" s="494"/>
      <c r="AE23" s="494"/>
      <c r="AF23" s="494"/>
      <c r="AG23" s="494"/>
      <c r="AH23" s="494"/>
      <c r="AI23" s="494"/>
      <c r="AJ23" s="494"/>
      <c r="AK23" s="494"/>
      <c r="AL23" s="494"/>
      <c r="AM23" s="494"/>
      <c r="AN23" s="494"/>
      <c r="AO23" s="494"/>
      <c r="AP23" s="494"/>
      <c r="AQ23" s="494"/>
      <c r="AR23" s="494"/>
      <c r="AS23" s="494"/>
      <c r="AT23" s="494"/>
      <c r="AU23" s="494"/>
      <c r="AV23" s="494"/>
      <c r="AW23" s="494"/>
      <c r="AX23" s="494"/>
    </row>
    <row r="24" spans="1:50" customFormat="1" ht="15" customHeight="1" x14ac:dyDescent="0.25">
      <c r="A24" s="496"/>
      <c r="B24" s="695" t="s">
        <v>564</v>
      </c>
      <c r="C24" s="695"/>
      <c r="D24" s="695"/>
      <c r="E24" s="695"/>
      <c r="F24" s="695"/>
      <c r="G24" s="695" t="s">
        <v>15</v>
      </c>
      <c r="H24" s="695"/>
      <c r="I24" s="695"/>
      <c r="J24" s="695"/>
      <c r="K24" s="695" t="s">
        <v>15</v>
      </c>
      <c r="L24" s="695"/>
      <c r="M24" s="695"/>
      <c r="N24" s="695"/>
      <c r="O24" s="695"/>
      <c r="P24" s="695"/>
      <c r="Q24" s="494"/>
      <c r="R24" s="494"/>
      <c r="S24" s="494"/>
      <c r="T24" s="494"/>
      <c r="U24" s="494"/>
      <c r="V24" s="494"/>
      <c r="W24" s="494"/>
      <c r="X24" s="494"/>
      <c r="Y24" s="494"/>
      <c r="Z24" s="494"/>
      <c r="AA24" s="494"/>
      <c r="AB24" s="494"/>
      <c r="AC24" s="494"/>
      <c r="AD24" s="494"/>
      <c r="AE24" s="494"/>
      <c r="AF24" s="494"/>
      <c r="AG24" s="494"/>
      <c r="AH24" s="494"/>
      <c r="AI24" s="494"/>
      <c r="AJ24" s="494"/>
      <c r="AK24" s="494"/>
      <c r="AL24" s="494"/>
      <c r="AM24" s="494"/>
      <c r="AN24" s="494"/>
      <c r="AO24" s="494"/>
      <c r="AP24" s="494"/>
      <c r="AQ24" s="494"/>
      <c r="AR24" s="494"/>
      <c r="AS24" s="494"/>
      <c r="AT24" s="494"/>
      <c r="AU24" s="494"/>
      <c r="AV24" s="494"/>
      <c r="AW24" s="494"/>
      <c r="AX24" s="494"/>
    </row>
    <row r="25" spans="1:50" customFormat="1" ht="15" customHeight="1" x14ac:dyDescent="0.25">
      <c r="A25" s="492"/>
      <c r="B25" s="687" t="s">
        <v>681</v>
      </c>
      <c r="C25" s="687"/>
      <c r="D25" s="687"/>
      <c r="E25" s="687"/>
      <c r="F25" s="687"/>
      <c r="G25" s="687" t="s">
        <v>682</v>
      </c>
      <c r="H25" s="687"/>
      <c r="I25" s="687"/>
      <c r="J25" s="687"/>
      <c r="K25" s="687" t="s">
        <v>15</v>
      </c>
      <c r="L25" s="687"/>
      <c r="M25" s="687"/>
      <c r="N25" s="687"/>
      <c r="O25" s="687"/>
      <c r="P25" s="687"/>
      <c r="Q25" s="494"/>
      <c r="R25" s="494"/>
      <c r="S25" s="494"/>
      <c r="T25" s="494"/>
      <c r="U25" s="494"/>
      <c r="V25" s="494"/>
      <c r="W25" s="494"/>
      <c r="X25" s="494"/>
      <c r="Y25" s="494"/>
      <c r="Z25" s="494"/>
      <c r="AA25" s="494"/>
      <c r="AB25" s="494"/>
      <c r="AC25" s="494"/>
      <c r="AD25" s="494"/>
      <c r="AE25" s="494"/>
      <c r="AF25" s="494"/>
      <c r="AG25" s="494"/>
      <c r="AH25" s="494"/>
      <c r="AI25" s="494"/>
      <c r="AJ25" s="494"/>
      <c r="AK25" s="494"/>
      <c r="AL25" s="494"/>
      <c r="AM25" s="494"/>
      <c r="AN25" s="494"/>
      <c r="AO25" s="494"/>
      <c r="AP25" s="494"/>
      <c r="AQ25" s="494"/>
      <c r="AR25" s="494"/>
      <c r="AS25" s="494"/>
      <c r="AT25" s="494"/>
      <c r="AU25" s="494"/>
      <c r="AV25" s="494"/>
      <c r="AW25" s="494"/>
      <c r="AX25" s="494"/>
    </row>
    <row r="26" spans="1:50" customFormat="1" ht="40.9" customHeight="1" x14ac:dyDescent="0.25">
      <c r="A26" s="492"/>
      <c r="B26" s="687" t="s">
        <v>683</v>
      </c>
      <c r="C26" s="687"/>
      <c r="D26" s="687"/>
      <c r="E26" s="687"/>
      <c r="F26" s="687"/>
      <c r="G26" s="687" t="s">
        <v>684</v>
      </c>
      <c r="H26" s="687"/>
      <c r="I26" s="687"/>
      <c r="J26" s="687"/>
      <c r="K26" s="687" t="s">
        <v>15</v>
      </c>
      <c r="L26" s="687"/>
      <c r="M26" s="687"/>
      <c r="N26" s="687"/>
      <c r="O26" s="687"/>
      <c r="P26" s="687"/>
      <c r="Q26" s="494"/>
      <c r="R26" s="494"/>
      <c r="S26" s="494"/>
      <c r="T26" s="494"/>
      <c r="U26" s="494"/>
      <c r="V26" s="494"/>
      <c r="W26" s="494"/>
      <c r="X26" s="494"/>
      <c r="Y26" s="494"/>
      <c r="Z26" s="494"/>
      <c r="AA26" s="494"/>
      <c r="AB26" s="494"/>
      <c r="AC26" s="494"/>
      <c r="AD26" s="494"/>
      <c r="AE26" s="494"/>
      <c r="AF26" s="494"/>
      <c r="AG26" s="494"/>
      <c r="AH26" s="494"/>
      <c r="AI26" s="494"/>
      <c r="AJ26" s="494"/>
      <c r="AK26" s="494"/>
      <c r="AL26" s="494"/>
      <c r="AM26" s="494"/>
      <c r="AN26" s="494"/>
      <c r="AO26" s="494"/>
      <c r="AP26" s="494"/>
      <c r="AQ26" s="494"/>
      <c r="AR26" s="494"/>
      <c r="AS26" s="494"/>
      <c r="AT26" s="494"/>
      <c r="AU26" s="494"/>
      <c r="AV26" s="494"/>
      <c r="AW26" s="494"/>
      <c r="AX26" s="494"/>
    </row>
    <row r="27" spans="1:50" customFormat="1" ht="81.599999999999994" customHeight="1" x14ac:dyDescent="0.25">
      <c r="A27" s="492"/>
      <c r="B27" s="687" t="s">
        <v>755</v>
      </c>
      <c r="C27" s="687"/>
      <c r="D27" s="687"/>
      <c r="E27" s="687"/>
      <c r="F27" s="687"/>
      <c r="G27" s="687" t="s">
        <v>756</v>
      </c>
      <c r="H27" s="687"/>
      <c r="I27" s="687"/>
      <c r="J27" s="687"/>
      <c r="K27" s="687" t="s">
        <v>15</v>
      </c>
      <c r="L27" s="687"/>
      <c r="M27" s="687"/>
      <c r="N27" s="687"/>
      <c r="O27" s="687"/>
      <c r="P27" s="687"/>
      <c r="Q27" s="494"/>
      <c r="R27" s="494"/>
      <c r="S27" s="494"/>
      <c r="T27" s="494"/>
      <c r="U27" s="494"/>
      <c r="V27" s="494"/>
      <c r="W27" s="494"/>
      <c r="X27" s="494"/>
      <c r="Y27" s="494"/>
      <c r="Z27" s="494"/>
      <c r="AA27" s="494"/>
      <c r="AB27" s="494"/>
      <c r="AC27" s="494"/>
      <c r="AD27" s="494"/>
      <c r="AE27" s="494"/>
      <c r="AF27" s="494"/>
      <c r="AG27" s="494"/>
      <c r="AH27" s="494"/>
      <c r="AI27" s="494"/>
      <c r="AJ27" s="494"/>
      <c r="AK27" s="494"/>
      <c r="AL27" s="494"/>
      <c r="AM27" s="494"/>
      <c r="AN27" s="494"/>
      <c r="AO27" s="494"/>
      <c r="AP27" s="494"/>
      <c r="AQ27" s="494"/>
      <c r="AR27" s="494"/>
      <c r="AS27" s="494"/>
      <c r="AT27" s="494"/>
      <c r="AU27" s="494"/>
      <c r="AV27" s="494"/>
      <c r="AW27" s="494"/>
      <c r="AX27" s="494"/>
    </row>
    <row r="28" spans="1:50" customFormat="1" ht="27.2" customHeight="1" x14ac:dyDescent="0.25">
      <c r="A28" s="492"/>
      <c r="B28" s="687" t="s">
        <v>793</v>
      </c>
      <c r="C28" s="687"/>
      <c r="D28" s="687"/>
      <c r="E28" s="687"/>
      <c r="F28" s="687"/>
      <c r="G28" s="687" t="s">
        <v>2251</v>
      </c>
      <c r="H28" s="687"/>
      <c r="I28" s="687"/>
      <c r="J28" s="687"/>
      <c r="K28" s="687" t="s">
        <v>15</v>
      </c>
      <c r="L28" s="687"/>
      <c r="M28" s="687"/>
      <c r="N28" s="687"/>
      <c r="O28" s="687"/>
      <c r="P28" s="687"/>
      <c r="Q28" s="494"/>
      <c r="R28" s="494"/>
      <c r="S28" s="494"/>
      <c r="T28" s="494"/>
      <c r="U28" s="494"/>
      <c r="V28" s="494"/>
      <c r="W28" s="494"/>
      <c r="X28" s="494"/>
      <c r="Y28" s="494"/>
      <c r="Z28" s="494"/>
      <c r="AA28" s="494"/>
      <c r="AB28" s="494"/>
      <c r="AC28" s="494"/>
      <c r="AD28" s="494"/>
      <c r="AE28" s="494"/>
      <c r="AF28" s="494"/>
      <c r="AG28" s="494"/>
      <c r="AH28" s="494"/>
      <c r="AI28" s="494"/>
      <c r="AJ28" s="494"/>
      <c r="AK28" s="494"/>
      <c r="AL28" s="494"/>
      <c r="AM28" s="494"/>
      <c r="AN28" s="494"/>
      <c r="AO28" s="494"/>
      <c r="AP28" s="494"/>
      <c r="AQ28" s="494"/>
      <c r="AR28" s="494"/>
      <c r="AS28" s="494"/>
      <c r="AT28" s="494"/>
      <c r="AU28" s="494"/>
      <c r="AV28" s="494"/>
      <c r="AW28" s="494"/>
      <c r="AX28" s="494"/>
    </row>
    <row r="29" spans="1:50" customFormat="1" ht="15" customHeight="1" x14ac:dyDescent="0.25">
      <c r="A29" s="690" t="s">
        <v>758</v>
      </c>
      <c r="B29" s="690"/>
      <c r="C29" s="690"/>
      <c r="D29" s="690"/>
      <c r="E29" s="690"/>
      <c r="F29" s="690"/>
      <c r="G29" s="690"/>
      <c r="H29" s="690"/>
      <c r="I29" s="690"/>
      <c r="J29" s="690"/>
      <c r="K29" s="690"/>
      <c r="L29" s="690"/>
      <c r="M29" s="690"/>
      <c r="N29" s="690"/>
      <c r="O29" s="690"/>
      <c r="P29" s="690"/>
      <c r="Q29" s="494"/>
      <c r="R29" s="494"/>
      <c r="S29" s="494"/>
      <c r="T29" s="494"/>
      <c r="U29" s="494"/>
      <c r="V29" s="494"/>
      <c r="W29" s="494"/>
      <c r="X29" s="494"/>
      <c r="Y29" s="494"/>
      <c r="Z29" s="494"/>
      <c r="AA29" s="494"/>
      <c r="AB29" s="494"/>
      <c r="AC29" s="494"/>
      <c r="AD29" s="494"/>
      <c r="AE29" s="494"/>
      <c r="AF29" s="494"/>
      <c r="AG29" s="494"/>
      <c r="AH29" s="494"/>
      <c r="AI29" s="494"/>
      <c r="AJ29" s="494"/>
      <c r="AK29" s="494"/>
      <c r="AL29" s="494"/>
      <c r="AM29" s="494"/>
      <c r="AN29" s="494"/>
      <c r="AO29" s="494"/>
      <c r="AP29" s="494"/>
      <c r="AQ29" s="494"/>
      <c r="AR29" s="494"/>
      <c r="AS29" s="494"/>
      <c r="AT29" s="494"/>
      <c r="AU29" s="494"/>
      <c r="AV29" s="494"/>
      <c r="AW29" s="494"/>
      <c r="AX29" s="494"/>
    </row>
    <row r="30" spans="1:50" customFormat="1" ht="135.94999999999999" customHeight="1" x14ac:dyDescent="0.25">
      <c r="A30" s="495" t="s">
        <v>110</v>
      </c>
      <c r="B30" s="692" t="s">
        <v>759</v>
      </c>
      <c r="C30" s="693"/>
      <c r="D30" s="693"/>
      <c r="E30" s="693"/>
      <c r="F30" s="693"/>
      <c r="G30" s="693" t="s">
        <v>760</v>
      </c>
      <c r="H30" s="693"/>
      <c r="I30" s="693"/>
      <c r="J30" s="693"/>
      <c r="K30" s="693" t="s">
        <v>2252</v>
      </c>
      <c r="L30" s="693"/>
      <c r="M30" s="693"/>
      <c r="N30" s="693"/>
      <c r="O30" s="694">
        <f>ROUND((1087300 + 47464 * (0.4 * 60 + 0.6 * 80)) * 1 * 1.56 * 0.6 * 0.7, 2)</f>
        <v>2951484.68</v>
      </c>
      <c r="P30" s="693"/>
      <c r="Q30" s="494"/>
      <c r="R30" s="494"/>
      <c r="S30" s="494"/>
      <c r="T30" s="494"/>
      <c r="U30" s="494"/>
      <c r="V30" s="494"/>
      <c r="W30" s="494"/>
      <c r="X30" s="494"/>
      <c r="Y30" s="494"/>
      <c r="Z30" s="494"/>
      <c r="AA30" s="494"/>
      <c r="AB30" s="494"/>
      <c r="AC30" s="494"/>
      <c r="AD30" s="494"/>
      <c r="AE30" s="494"/>
      <c r="AF30" s="494"/>
      <c r="AG30" s="494"/>
      <c r="AH30" s="494"/>
      <c r="AI30" s="494"/>
      <c r="AJ30" s="494"/>
      <c r="AK30" s="494"/>
      <c r="AL30" s="494"/>
      <c r="AM30" s="494"/>
      <c r="AN30" s="494"/>
      <c r="AO30" s="494"/>
      <c r="AP30" s="494"/>
      <c r="AQ30" s="494"/>
      <c r="AR30" s="494"/>
      <c r="AS30" s="494"/>
      <c r="AT30" s="494"/>
      <c r="AU30" s="494"/>
      <c r="AV30" s="494"/>
      <c r="AW30" s="494"/>
      <c r="AX30" s="494"/>
    </row>
    <row r="31" spans="1:50" customFormat="1" ht="15" customHeight="1" x14ac:dyDescent="0.25">
      <c r="A31" s="496"/>
      <c r="B31" s="695" t="s">
        <v>564</v>
      </c>
      <c r="C31" s="695"/>
      <c r="D31" s="695"/>
      <c r="E31" s="695"/>
      <c r="F31" s="695"/>
      <c r="G31" s="695" t="s">
        <v>15</v>
      </c>
      <c r="H31" s="695"/>
      <c r="I31" s="695"/>
      <c r="J31" s="695"/>
      <c r="K31" s="695" t="s">
        <v>15</v>
      </c>
      <c r="L31" s="695"/>
      <c r="M31" s="695"/>
      <c r="N31" s="695"/>
      <c r="O31" s="695"/>
      <c r="P31" s="695"/>
      <c r="Q31" s="494"/>
      <c r="R31" s="494"/>
      <c r="S31" s="494"/>
      <c r="T31" s="494"/>
      <c r="U31" s="494"/>
      <c r="V31" s="494"/>
      <c r="W31" s="494"/>
      <c r="X31" s="494"/>
      <c r="Y31" s="494"/>
      <c r="Z31" s="494"/>
      <c r="AA31" s="494"/>
      <c r="AB31" s="494"/>
      <c r="AC31" s="494"/>
      <c r="AD31" s="494"/>
      <c r="AE31" s="494"/>
      <c r="AF31" s="494"/>
      <c r="AG31" s="494"/>
      <c r="AH31" s="494"/>
      <c r="AI31" s="494"/>
      <c r="AJ31" s="494"/>
      <c r="AK31" s="494"/>
      <c r="AL31" s="494"/>
      <c r="AM31" s="494"/>
      <c r="AN31" s="494"/>
      <c r="AO31" s="494"/>
      <c r="AP31" s="494"/>
      <c r="AQ31" s="494"/>
      <c r="AR31" s="494"/>
      <c r="AS31" s="494"/>
      <c r="AT31" s="494"/>
      <c r="AU31" s="494"/>
      <c r="AV31" s="494"/>
      <c r="AW31" s="494"/>
      <c r="AX31" s="494"/>
    </row>
    <row r="32" spans="1:50" customFormat="1" ht="15" customHeight="1" x14ac:dyDescent="0.25">
      <c r="A32" s="492"/>
      <c r="B32" s="687" t="s">
        <v>681</v>
      </c>
      <c r="C32" s="687"/>
      <c r="D32" s="687"/>
      <c r="E32" s="687"/>
      <c r="F32" s="687"/>
      <c r="G32" s="687" t="s">
        <v>682</v>
      </c>
      <c r="H32" s="687"/>
      <c r="I32" s="687"/>
      <c r="J32" s="687"/>
      <c r="K32" s="687" t="s">
        <v>15</v>
      </c>
      <c r="L32" s="687"/>
      <c r="M32" s="687"/>
      <c r="N32" s="687"/>
      <c r="O32" s="687"/>
      <c r="P32" s="687"/>
      <c r="Q32" s="494"/>
      <c r="R32" s="494"/>
      <c r="S32" s="494"/>
      <c r="T32" s="494"/>
      <c r="U32" s="494"/>
      <c r="V32" s="494"/>
      <c r="W32" s="494"/>
      <c r="X32" s="494"/>
      <c r="Y32" s="494"/>
      <c r="Z32" s="494"/>
      <c r="AA32" s="494"/>
      <c r="AB32" s="494"/>
      <c r="AC32" s="494"/>
      <c r="AD32" s="494"/>
      <c r="AE32" s="494"/>
      <c r="AF32" s="494"/>
      <c r="AG32" s="494"/>
      <c r="AH32" s="494"/>
      <c r="AI32" s="494"/>
      <c r="AJ32" s="494"/>
      <c r="AK32" s="494"/>
      <c r="AL32" s="494"/>
      <c r="AM32" s="494"/>
      <c r="AN32" s="494"/>
      <c r="AO32" s="494"/>
      <c r="AP32" s="494"/>
      <c r="AQ32" s="494"/>
      <c r="AR32" s="494"/>
      <c r="AS32" s="494"/>
      <c r="AT32" s="494"/>
      <c r="AU32" s="494"/>
      <c r="AV32" s="494"/>
      <c r="AW32" s="494"/>
      <c r="AX32" s="494"/>
    </row>
    <row r="33" spans="1:50" customFormat="1" ht="40.9" customHeight="1" x14ac:dyDescent="0.25">
      <c r="A33" s="492"/>
      <c r="B33" s="687" t="s">
        <v>683</v>
      </c>
      <c r="C33" s="687"/>
      <c r="D33" s="687"/>
      <c r="E33" s="687"/>
      <c r="F33" s="687"/>
      <c r="G33" s="687" t="s">
        <v>684</v>
      </c>
      <c r="H33" s="687"/>
      <c r="I33" s="687"/>
      <c r="J33" s="687"/>
      <c r="K33" s="687" t="s">
        <v>15</v>
      </c>
      <c r="L33" s="687"/>
      <c r="M33" s="687"/>
      <c r="N33" s="687"/>
      <c r="O33" s="687"/>
      <c r="P33" s="687"/>
      <c r="Q33" s="494"/>
      <c r="R33" s="494"/>
      <c r="S33" s="494"/>
      <c r="T33" s="494"/>
      <c r="U33" s="494"/>
      <c r="V33" s="494"/>
      <c r="W33" s="494"/>
      <c r="X33" s="494"/>
      <c r="Y33" s="494"/>
      <c r="Z33" s="494"/>
      <c r="AA33" s="494"/>
      <c r="AB33" s="494"/>
      <c r="AC33" s="494"/>
      <c r="AD33" s="494"/>
      <c r="AE33" s="494"/>
      <c r="AF33" s="494"/>
      <c r="AG33" s="494"/>
      <c r="AH33" s="494"/>
      <c r="AI33" s="494"/>
      <c r="AJ33" s="494"/>
      <c r="AK33" s="494"/>
      <c r="AL33" s="494"/>
      <c r="AM33" s="494"/>
      <c r="AN33" s="494"/>
      <c r="AO33" s="494"/>
      <c r="AP33" s="494"/>
      <c r="AQ33" s="494"/>
      <c r="AR33" s="494"/>
      <c r="AS33" s="494"/>
      <c r="AT33" s="494"/>
      <c r="AU33" s="494"/>
      <c r="AV33" s="494"/>
      <c r="AW33" s="494"/>
      <c r="AX33" s="494"/>
    </row>
    <row r="34" spans="1:50" customFormat="1" ht="27.2" customHeight="1" x14ac:dyDescent="0.25">
      <c r="A34" s="492"/>
      <c r="B34" s="687" t="s">
        <v>793</v>
      </c>
      <c r="C34" s="687"/>
      <c r="D34" s="687"/>
      <c r="E34" s="687"/>
      <c r="F34" s="687"/>
      <c r="G34" s="687" t="s">
        <v>2253</v>
      </c>
      <c r="H34" s="687"/>
      <c r="I34" s="687"/>
      <c r="J34" s="687"/>
      <c r="K34" s="687" t="s">
        <v>15</v>
      </c>
      <c r="L34" s="687"/>
      <c r="M34" s="687"/>
      <c r="N34" s="687"/>
      <c r="O34" s="687"/>
      <c r="P34" s="687"/>
      <c r="Q34" s="494"/>
      <c r="R34" s="494"/>
      <c r="S34" s="494"/>
      <c r="T34" s="494"/>
      <c r="U34" s="494"/>
      <c r="V34" s="494"/>
      <c r="W34" s="494"/>
      <c r="X34" s="494"/>
      <c r="Y34" s="494"/>
      <c r="Z34" s="494"/>
      <c r="AA34" s="494"/>
      <c r="AB34" s="494"/>
      <c r="AC34" s="494"/>
      <c r="AD34" s="494"/>
      <c r="AE34" s="494"/>
      <c r="AF34" s="494"/>
      <c r="AG34" s="494"/>
      <c r="AH34" s="494"/>
      <c r="AI34" s="494"/>
      <c r="AJ34" s="494"/>
      <c r="AK34" s="494"/>
      <c r="AL34" s="494"/>
      <c r="AM34" s="494"/>
      <c r="AN34" s="494"/>
      <c r="AO34" s="494"/>
      <c r="AP34" s="494"/>
      <c r="AQ34" s="494"/>
      <c r="AR34" s="494"/>
      <c r="AS34" s="494"/>
      <c r="AT34" s="494"/>
      <c r="AU34" s="494"/>
      <c r="AV34" s="494"/>
      <c r="AW34" s="494"/>
      <c r="AX34" s="494"/>
    </row>
    <row r="35" spans="1:50" customFormat="1" ht="15" customHeight="1" x14ac:dyDescent="0.25">
      <c r="A35" s="690" t="s">
        <v>761</v>
      </c>
      <c r="B35" s="690"/>
      <c r="C35" s="690"/>
      <c r="D35" s="690"/>
      <c r="E35" s="690"/>
      <c r="F35" s="690"/>
      <c r="G35" s="690"/>
      <c r="H35" s="690"/>
      <c r="I35" s="690"/>
      <c r="J35" s="690"/>
      <c r="K35" s="690"/>
      <c r="L35" s="690"/>
      <c r="M35" s="690"/>
      <c r="N35" s="690"/>
      <c r="O35" s="690"/>
      <c r="P35" s="690"/>
      <c r="Q35" s="494"/>
      <c r="R35" s="494"/>
      <c r="S35" s="494"/>
      <c r="T35" s="494"/>
      <c r="U35" s="494"/>
      <c r="V35" s="494"/>
      <c r="W35" s="494"/>
      <c r="X35" s="494"/>
      <c r="Y35" s="494"/>
      <c r="Z35" s="494"/>
      <c r="AA35" s="494"/>
      <c r="AB35" s="494"/>
      <c r="AC35" s="494"/>
      <c r="AD35" s="494"/>
      <c r="AE35" s="494"/>
      <c r="AF35" s="494"/>
      <c r="AG35" s="494"/>
      <c r="AH35" s="494"/>
      <c r="AI35" s="494"/>
      <c r="AJ35" s="494"/>
      <c r="AK35" s="494"/>
      <c r="AL35" s="494"/>
      <c r="AM35" s="494"/>
      <c r="AN35" s="494"/>
      <c r="AO35" s="494"/>
      <c r="AP35" s="494"/>
      <c r="AQ35" s="494"/>
      <c r="AR35" s="494"/>
      <c r="AS35" s="494"/>
      <c r="AT35" s="494"/>
      <c r="AU35" s="494"/>
      <c r="AV35" s="494"/>
      <c r="AW35" s="494"/>
      <c r="AX35" s="494"/>
    </row>
    <row r="36" spans="1:50" customFormat="1" ht="15" customHeight="1" x14ac:dyDescent="0.25">
      <c r="A36" s="690" t="s">
        <v>762</v>
      </c>
      <c r="B36" s="690"/>
      <c r="C36" s="690"/>
      <c r="D36" s="690"/>
      <c r="E36" s="690"/>
      <c r="F36" s="690"/>
      <c r="G36" s="690"/>
      <c r="H36" s="690"/>
      <c r="I36" s="690"/>
      <c r="J36" s="690"/>
      <c r="K36" s="690"/>
      <c r="L36" s="690"/>
      <c r="M36" s="690"/>
      <c r="N36" s="690"/>
      <c r="O36" s="690"/>
      <c r="P36" s="690"/>
      <c r="Q36" s="494"/>
      <c r="R36" s="494"/>
      <c r="S36" s="494"/>
      <c r="T36" s="494"/>
      <c r="U36" s="494"/>
      <c r="V36" s="494"/>
      <c r="W36" s="494"/>
      <c r="X36" s="494"/>
      <c r="Y36" s="494"/>
      <c r="Z36" s="494"/>
      <c r="AA36" s="494"/>
      <c r="AB36" s="494"/>
      <c r="AC36" s="494"/>
      <c r="AD36" s="494"/>
      <c r="AE36" s="494"/>
      <c r="AF36" s="494"/>
      <c r="AG36" s="494"/>
      <c r="AH36" s="494"/>
      <c r="AI36" s="494"/>
      <c r="AJ36" s="494"/>
      <c r="AK36" s="494"/>
      <c r="AL36" s="494"/>
      <c r="AM36" s="494"/>
      <c r="AN36" s="494"/>
      <c r="AO36" s="494"/>
      <c r="AP36" s="494"/>
      <c r="AQ36" s="494"/>
      <c r="AR36" s="494"/>
      <c r="AS36" s="494"/>
      <c r="AT36" s="494"/>
      <c r="AU36" s="494"/>
      <c r="AV36" s="494"/>
      <c r="AW36" s="494"/>
      <c r="AX36" s="494"/>
    </row>
    <row r="37" spans="1:50" customFormat="1" ht="122.45" customHeight="1" x14ac:dyDescent="0.25">
      <c r="A37" s="495" t="s">
        <v>116</v>
      </c>
      <c r="B37" s="692" t="s">
        <v>763</v>
      </c>
      <c r="C37" s="693"/>
      <c r="D37" s="693"/>
      <c r="E37" s="693"/>
      <c r="F37" s="693"/>
      <c r="G37" s="693" t="s">
        <v>764</v>
      </c>
      <c r="H37" s="693"/>
      <c r="I37" s="693"/>
      <c r="J37" s="693"/>
      <c r="K37" s="693" t="s">
        <v>2254</v>
      </c>
      <c r="L37" s="693"/>
      <c r="M37" s="693"/>
      <c r="N37" s="693"/>
      <c r="O37" s="694">
        <f>ROUND((532000 + 618795 * 1.4) * 1 * 1.56 * 0.6 * 0.7, 2)</f>
        <v>916174.68</v>
      </c>
      <c r="P37" s="693"/>
      <c r="Q37" s="494"/>
      <c r="R37" s="494"/>
      <c r="S37" s="494"/>
      <c r="T37" s="494"/>
      <c r="U37" s="494"/>
      <c r="V37" s="494"/>
      <c r="W37" s="494"/>
      <c r="X37" s="494"/>
      <c r="Y37" s="494"/>
      <c r="Z37" s="494"/>
      <c r="AA37" s="494"/>
      <c r="AB37" s="494"/>
      <c r="AC37" s="494"/>
      <c r="AD37" s="494"/>
      <c r="AE37" s="494"/>
      <c r="AF37" s="494"/>
      <c r="AG37" s="494"/>
      <c r="AH37" s="494"/>
      <c r="AI37" s="494"/>
      <c r="AJ37" s="494"/>
      <c r="AK37" s="494"/>
      <c r="AL37" s="494"/>
      <c r="AM37" s="494"/>
      <c r="AN37" s="494"/>
      <c r="AO37" s="494"/>
      <c r="AP37" s="494"/>
      <c r="AQ37" s="494"/>
      <c r="AR37" s="494"/>
      <c r="AS37" s="494"/>
      <c r="AT37" s="494"/>
      <c r="AU37" s="494"/>
      <c r="AV37" s="494"/>
      <c r="AW37" s="494"/>
      <c r="AX37" s="494"/>
    </row>
    <row r="38" spans="1:50" customFormat="1" ht="15" customHeight="1" x14ac:dyDescent="0.25">
      <c r="A38" s="496"/>
      <c r="B38" s="695" t="s">
        <v>564</v>
      </c>
      <c r="C38" s="695"/>
      <c r="D38" s="695"/>
      <c r="E38" s="695"/>
      <c r="F38" s="695"/>
      <c r="G38" s="695" t="s">
        <v>15</v>
      </c>
      <c r="H38" s="695"/>
      <c r="I38" s="695"/>
      <c r="J38" s="695"/>
      <c r="K38" s="695" t="s">
        <v>15</v>
      </c>
      <c r="L38" s="695"/>
      <c r="M38" s="695"/>
      <c r="N38" s="695"/>
      <c r="O38" s="695"/>
      <c r="P38" s="695"/>
      <c r="Q38" s="494"/>
      <c r="R38" s="494"/>
      <c r="S38" s="494"/>
      <c r="T38" s="494"/>
      <c r="U38" s="494"/>
      <c r="V38" s="494"/>
      <c r="W38" s="494"/>
      <c r="X38" s="494"/>
      <c r="Y38" s="494"/>
      <c r="Z38" s="494"/>
      <c r="AA38" s="494"/>
      <c r="AB38" s="494"/>
      <c r="AC38" s="494"/>
      <c r="AD38" s="494"/>
      <c r="AE38" s="494"/>
      <c r="AF38" s="494"/>
      <c r="AG38" s="494"/>
      <c r="AH38" s="494"/>
      <c r="AI38" s="494"/>
      <c r="AJ38" s="494"/>
      <c r="AK38" s="494"/>
      <c r="AL38" s="494"/>
      <c r="AM38" s="494"/>
      <c r="AN38" s="494"/>
      <c r="AO38" s="494"/>
      <c r="AP38" s="494"/>
      <c r="AQ38" s="494"/>
      <c r="AR38" s="494"/>
      <c r="AS38" s="494"/>
      <c r="AT38" s="494"/>
      <c r="AU38" s="494"/>
      <c r="AV38" s="494"/>
      <c r="AW38" s="494"/>
      <c r="AX38" s="494"/>
    </row>
    <row r="39" spans="1:50" customFormat="1" ht="15" customHeight="1" x14ac:dyDescent="0.25">
      <c r="A39" s="492"/>
      <c r="B39" s="687" t="s">
        <v>681</v>
      </c>
      <c r="C39" s="687"/>
      <c r="D39" s="687"/>
      <c r="E39" s="687"/>
      <c r="F39" s="687"/>
      <c r="G39" s="687" t="s">
        <v>682</v>
      </c>
      <c r="H39" s="687"/>
      <c r="I39" s="687"/>
      <c r="J39" s="687"/>
      <c r="K39" s="687" t="s">
        <v>15</v>
      </c>
      <c r="L39" s="687"/>
      <c r="M39" s="687"/>
      <c r="N39" s="687"/>
      <c r="O39" s="687"/>
      <c r="P39" s="687"/>
      <c r="Q39" s="494"/>
      <c r="R39" s="494"/>
      <c r="S39" s="494"/>
      <c r="T39" s="494"/>
      <c r="U39" s="494"/>
      <c r="V39" s="494"/>
      <c r="W39" s="494"/>
      <c r="X39" s="494"/>
      <c r="Y39" s="494"/>
      <c r="Z39" s="494"/>
      <c r="AA39" s="494"/>
      <c r="AB39" s="494"/>
      <c r="AC39" s="494"/>
      <c r="AD39" s="494"/>
      <c r="AE39" s="494"/>
      <c r="AF39" s="494"/>
      <c r="AG39" s="494"/>
      <c r="AH39" s="494"/>
      <c r="AI39" s="494"/>
      <c r="AJ39" s="494"/>
      <c r="AK39" s="494"/>
      <c r="AL39" s="494"/>
      <c r="AM39" s="494"/>
      <c r="AN39" s="494"/>
      <c r="AO39" s="494"/>
      <c r="AP39" s="494"/>
      <c r="AQ39" s="494"/>
      <c r="AR39" s="494"/>
      <c r="AS39" s="494"/>
      <c r="AT39" s="494"/>
      <c r="AU39" s="494"/>
      <c r="AV39" s="494"/>
      <c r="AW39" s="494"/>
      <c r="AX39" s="494"/>
    </row>
    <row r="40" spans="1:50" customFormat="1" ht="40.9" customHeight="1" x14ac:dyDescent="0.25">
      <c r="A40" s="492"/>
      <c r="B40" s="687" t="s">
        <v>683</v>
      </c>
      <c r="C40" s="687"/>
      <c r="D40" s="687"/>
      <c r="E40" s="687"/>
      <c r="F40" s="687"/>
      <c r="G40" s="687" t="s">
        <v>684</v>
      </c>
      <c r="H40" s="687"/>
      <c r="I40" s="687"/>
      <c r="J40" s="687"/>
      <c r="K40" s="687" t="s">
        <v>15</v>
      </c>
      <c r="L40" s="687"/>
      <c r="M40" s="687"/>
      <c r="N40" s="687"/>
      <c r="O40" s="687"/>
      <c r="P40" s="687"/>
      <c r="Q40" s="494"/>
      <c r="R40" s="494"/>
      <c r="S40" s="494"/>
      <c r="T40" s="494"/>
      <c r="U40" s="494"/>
      <c r="V40" s="494"/>
      <c r="W40" s="494"/>
      <c r="X40" s="494"/>
      <c r="Y40" s="494"/>
      <c r="Z40" s="494"/>
      <c r="AA40" s="494"/>
      <c r="AB40" s="494"/>
      <c r="AC40" s="494"/>
      <c r="AD40" s="494"/>
      <c r="AE40" s="494"/>
      <c r="AF40" s="494"/>
      <c r="AG40" s="494"/>
      <c r="AH40" s="494"/>
      <c r="AI40" s="494"/>
      <c r="AJ40" s="494"/>
      <c r="AK40" s="494"/>
      <c r="AL40" s="494"/>
      <c r="AM40" s="494"/>
      <c r="AN40" s="494"/>
      <c r="AO40" s="494"/>
      <c r="AP40" s="494"/>
      <c r="AQ40" s="494"/>
      <c r="AR40" s="494"/>
      <c r="AS40" s="494"/>
      <c r="AT40" s="494"/>
      <c r="AU40" s="494"/>
      <c r="AV40" s="494"/>
      <c r="AW40" s="494"/>
      <c r="AX40" s="494"/>
    </row>
    <row r="41" spans="1:50" customFormat="1" ht="27.2" customHeight="1" x14ac:dyDescent="0.25">
      <c r="A41" s="492"/>
      <c r="B41" s="687" t="s">
        <v>793</v>
      </c>
      <c r="C41" s="687"/>
      <c r="D41" s="687"/>
      <c r="E41" s="687"/>
      <c r="F41" s="687"/>
      <c r="G41" s="687" t="s">
        <v>2253</v>
      </c>
      <c r="H41" s="687"/>
      <c r="I41" s="687"/>
      <c r="J41" s="687"/>
      <c r="K41" s="687" t="s">
        <v>15</v>
      </c>
      <c r="L41" s="687"/>
      <c r="M41" s="687"/>
      <c r="N41" s="687"/>
      <c r="O41" s="687"/>
      <c r="P41" s="687"/>
      <c r="Q41" s="494"/>
      <c r="R41" s="494"/>
      <c r="S41" s="494"/>
      <c r="T41" s="494"/>
      <c r="U41" s="494"/>
      <c r="V41" s="494"/>
      <c r="W41" s="494"/>
      <c r="X41" s="494"/>
      <c r="Y41" s="494"/>
      <c r="Z41" s="494"/>
      <c r="AA41" s="494"/>
      <c r="AB41" s="494"/>
      <c r="AC41" s="494"/>
      <c r="AD41" s="494"/>
      <c r="AE41" s="494"/>
      <c r="AF41" s="494"/>
      <c r="AG41" s="494"/>
      <c r="AH41" s="494"/>
      <c r="AI41" s="494"/>
      <c r="AJ41" s="494"/>
      <c r="AK41" s="494"/>
      <c r="AL41" s="494"/>
      <c r="AM41" s="494"/>
      <c r="AN41" s="494"/>
      <c r="AO41" s="494"/>
      <c r="AP41" s="494"/>
      <c r="AQ41" s="494"/>
      <c r="AR41" s="494"/>
      <c r="AS41" s="494"/>
      <c r="AT41" s="494"/>
      <c r="AU41" s="494"/>
      <c r="AV41" s="494"/>
      <c r="AW41" s="494"/>
      <c r="AX41" s="494"/>
    </row>
    <row r="42" spans="1:50" customFormat="1" ht="15" customHeight="1" x14ac:dyDescent="0.25">
      <c r="A42" s="690" t="s">
        <v>765</v>
      </c>
      <c r="B42" s="690"/>
      <c r="C42" s="690"/>
      <c r="D42" s="690"/>
      <c r="E42" s="690"/>
      <c r="F42" s="690"/>
      <c r="G42" s="690"/>
      <c r="H42" s="690"/>
      <c r="I42" s="690"/>
      <c r="J42" s="690"/>
      <c r="K42" s="690"/>
      <c r="L42" s="690"/>
      <c r="M42" s="690"/>
      <c r="N42" s="690"/>
      <c r="O42" s="690"/>
      <c r="P42" s="690"/>
      <c r="Q42" s="494"/>
      <c r="R42" s="494"/>
      <c r="S42" s="494"/>
      <c r="T42" s="494"/>
      <c r="U42" s="494"/>
      <c r="V42" s="494"/>
      <c r="W42" s="494"/>
      <c r="X42" s="494"/>
      <c r="Y42" s="494"/>
      <c r="Z42" s="494"/>
      <c r="AA42" s="494"/>
      <c r="AB42" s="494"/>
      <c r="AC42" s="494"/>
      <c r="AD42" s="494"/>
      <c r="AE42" s="494"/>
      <c r="AF42" s="494"/>
      <c r="AG42" s="494"/>
      <c r="AH42" s="494"/>
      <c r="AI42" s="494"/>
      <c r="AJ42" s="494"/>
      <c r="AK42" s="494"/>
      <c r="AL42" s="494"/>
      <c r="AM42" s="494"/>
      <c r="AN42" s="494"/>
      <c r="AO42" s="494"/>
      <c r="AP42" s="494"/>
      <c r="AQ42" s="494"/>
      <c r="AR42" s="494"/>
      <c r="AS42" s="494"/>
      <c r="AT42" s="494"/>
      <c r="AU42" s="494"/>
      <c r="AV42" s="494"/>
      <c r="AW42" s="494"/>
      <c r="AX42" s="494"/>
    </row>
    <row r="43" spans="1:50" customFormat="1" ht="135.94999999999999" customHeight="1" x14ac:dyDescent="0.25">
      <c r="A43" s="495" t="s">
        <v>122</v>
      </c>
      <c r="B43" s="692" t="s">
        <v>766</v>
      </c>
      <c r="C43" s="693"/>
      <c r="D43" s="693"/>
      <c r="E43" s="693"/>
      <c r="F43" s="693"/>
      <c r="G43" s="693" t="s">
        <v>767</v>
      </c>
      <c r="H43" s="693"/>
      <c r="I43" s="693"/>
      <c r="J43" s="693"/>
      <c r="K43" s="693" t="s">
        <v>2255</v>
      </c>
      <c r="L43" s="693"/>
      <c r="M43" s="693"/>
      <c r="N43" s="693"/>
      <c r="O43" s="694">
        <f>ROUND((471800 + 10314 * (0.4 * 150 + 0.6 * 306)) * 1 * 1.56 * 0.6 * 0.7, 2)</f>
        <v>1955307.07</v>
      </c>
      <c r="P43" s="693"/>
      <c r="Q43" s="494"/>
      <c r="R43" s="494"/>
      <c r="S43" s="494"/>
      <c r="T43" s="494"/>
      <c r="U43" s="494"/>
      <c r="V43" s="494"/>
      <c r="W43" s="494"/>
      <c r="X43" s="494"/>
      <c r="Y43" s="494"/>
      <c r="Z43" s="494"/>
      <c r="AA43" s="494"/>
      <c r="AB43" s="494"/>
      <c r="AC43" s="494"/>
      <c r="AD43" s="494"/>
      <c r="AE43" s="494"/>
      <c r="AF43" s="494"/>
      <c r="AG43" s="494"/>
      <c r="AH43" s="494"/>
      <c r="AI43" s="494"/>
      <c r="AJ43" s="494"/>
      <c r="AK43" s="494"/>
      <c r="AL43" s="494"/>
      <c r="AM43" s="494"/>
      <c r="AN43" s="494"/>
      <c r="AO43" s="494"/>
      <c r="AP43" s="494"/>
      <c r="AQ43" s="494"/>
      <c r="AR43" s="494"/>
      <c r="AS43" s="494"/>
      <c r="AT43" s="494"/>
      <c r="AU43" s="494"/>
      <c r="AV43" s="494"/>
      <c r="AW43" s="494"/>
      <c r="AX43" s="494"/>
    </row>
    <row r="44" spans="1:50" customFormat="1" ht="15" customHeight="1" x14ac:dyDescent="0.25">
      <c r="A44" s="496"/>
      <c r="B44" s="695" t="s">
        <v>564</v>
      </c>
      <c r="C44" s="695"/>
      <c r="D44" s="695"/>
      <c r="E44" s="695"/>
      <c r="F44" s="695"/>
      <c r="G44" s="695" t="s">
        <v>15</v>
      </c>
      <c r="H44" s="695"/>
      <c r="I44" s="695"/>
      <c r="J44" s="695"/>
      <c r="K44" s="695" t="s">
        <v>15</v>
      </c>
      <c r="L44" s="695"/>
      <c r="M44" s="695"/>
      <c r="N44" s="695"/>
      <c r="O44" s="695"/>
      <c r="P44" s="695"/>
      <c r="Q44" s="494"/>
      <c r="R44" s="494"/>
      <c r="S44" s="494"/>
      <c r="T44" s="494"/>
      <c r="U44" s="494"/>
      <c r="V44" s="494"/>
      <c r="W44" s="494"/>
      <c r="X44" s="494"/>
      <c r="Y44" s="494"/>
      <c r="Z44" s="494"/>
      <c r="AA44" s="494"/>
      <c r="AB44" s="494"/>
      <c r="AC44" s="494"/>
      <c r="AD44" s="494"/>
      <c r="AE44" s="494"/>
      <c r="AF44" s="494"/>
      <c r="AG44" s="494"/>
      <c r="AH44" s="494"/>
      <c r="AI44" s="494"/>
      <c r="AJ44" s="494"/>
      <c r="AK44" s="494"/>
      <c r="AL44" s="494"/>
      <c r="AM44" s="494"/>
      <c r="AN44" s="494"/>
      <c r="AO44" s="494"/>
      <c r="AP44" s="494"/>
      <c r="AQ44" s="494"/>
      <c r="AR44" s="494"/>
      <c r="AS44" s="494"/>
      <c r="AT44" s="494"/>
      <c r="AU44" s="494"/>
      <c r="AV44" s="494"/>
      <c r="AW44" s="494"/>
      <c r="AX44" s="494"/>
    </row>
    <row r="45" spans="1:50" customFormat="1" ht="15" customHeight="1" x14ac:dyDescent="0.25">
      <c r="A45" s="492"/>
      <c r="B45" s="687" t="s">
        <v>681</v>
      </c>
      <c r="C45" s="687"/>
      <c r="D45" s="687"/>
      <c r="E45" s="687"/>
      <c r="F45" s="687"/>
      <c r="G45" s="687" t="s">
        <v>682</v>
      </c>
      <c r="H45" s="687"/>
      <c r="I45" s="687"/>
      <c r="J45" s="687"/>
      <c r="K45" s="687" t="s">
        <v>15</v>
      </c>
      <c r="L45" s="687"/>
      <c r="M45" s="687"/>
      <c r="N45" s="687"/>
      <c r="O45" s="687"/>
      <c r="P45" s="687"/>
      <c r="Q45" s="494"/>
      <c r="R45" s="494"/>
      <c r="S45" s="494"/>
      <c r="T45" s="494"/>
      <c r="U45" s="494"/>
      <c r="V45" s="494"/>
      <c r="W45" s="494"/>
      <c r="X45" s="494"/>
      <c r="Y45" s="494"/>
      <c r="Z45" s="494"/>
      <c r="AA45" s="494"/>
      <c r="AB45" s="494"/>
      <c r="AC45" s="494"/>
      <c r="AD45" s="494"/>
      <c r="AE45" s="494"/>
      <c r="AF45" s="494"/>
      <c r="AG45" s="494"/>
      <c r="AH45" s="494"/>
      <c r="AI45" s="494"/>
      <c r="AJ45" s="494"/>
      <c r="AK45" s="494"/>
      <c r="AL45" s="494"/>
      <c r="AM45" s="494"/>
      <c r="AN45" s="494"/>
      <c r="AO45" s="494"/>
      <c r="AP45" s="494"/>
      <c r="AQ45" s="494"/>
      <c r="AR45" s="494"/>
      <c r="AS45" s="494"/>
      <c r="AT45" s="494"/>
      <c r="AU45" s="494"/>
      <c r="AV45" s="494"/>
      <c r="AW45" s="494"/>
      <c r="AX45" s="494"/>
    </row>
    <row r="46" spans="1:50" customFormat="1" ht="40.9" customHeight="1" x14ac:dyDescent="0.25">
      <c r="A46" s="492"/>
      <c r="B46" s="687" t="s">
        <v>683</v>
      </c>
      <c r="C46" s="687"/>
      <c r="D46" s="687"/>
      <c r="E46" s="687"/>
      <c r="F46" s="687"/>
      <c r="G46" s="687" t="s">
        <v>684</v>
      </c>
      <c r="H46" s="687"/>
      <c r="I46" s="687"/>
      <c r="J46" s="687"/>
      <c r="K46" s="687" t="s">
        <v>15</v>
      </c>
      <c r="L46" s="687"/>
      <c r="M46" s="687"/>
      <c r="N46" s="687"/>
      <c r="O46" s="687"/>
      <c r="P46" s="687"/>
      <c r="Q46" s="494"/>
      <c r="R46" s="494"/>
      <c r="S46" s="494"/>
      <c r="T46" s="494"/>
      <c r="U46" s="494"/>
      <c r="V46" s="494"/>
      <c r="W46" s="494"/>
      <c r="X46" s="494"/>
      <c r="Y46" s="494"/>
      <c r="Z46" s="494"/>
      <c r="AA46" s="494"/>
      <c r="AB46" s="494"/>
      <c r="AC46" s="494"/>
      <c r="AD46" s="494"/>
      <c r="AE46" s="494"/>
      <c r="AF46" s="494"/>
      <c r="AG46" s="494"/>
      <c r="AH46" s="494"/>
      <c r="AI46" s="494"/>
      <c r="AJ46" s="494"/>
      <c r="AK46" s="494"/>
      <c r="AL46" s="494"/>
      <c r="AM46" s="494"/>
      <c r="AN46" s="494"/>
      <c r="AO46" s="494"/>
      <c r="AP46" s="494"/>
      <c r="AQ46" s="494"/>
      <c r="AR46" s="494"/>
      <c r="AS46" s="494"/>
      <c r="AT46" s="494"/>
      <c r="AU46" s="494"/>
      <c r="AV46" s="494"/>
      <c r="AW46" s="494"/>
      <c r="AX46" s="494"/>
    </row>
    <row r="47" spans="1:50" customFormat="1" ht="27.2" customHeight="1" x14ac:dyDescent="0.25">
      <c r="A47" s="492"/>
      <c r="B47" s="687" t="s">
        <v>793</v>
      </c>
      <c r="C47" s="687"/>
      <c r="D47" s="687"/>
      <c r="E47" s="687"/>
      <c r="F47" s="687"/>
      <c r="G47" s="687" t="s">
        <v>2253</v>
      </c>
      <c r="H47" s="687"/>
      <c r="I47" s="687"/>
      <c r="J47" s="687"/>
      <c r="K47" s="687" t="s">
        <v>15</v>
      </c>
      <c r="L47" s="687"/>
      <c r="M47" s="687"/>
      <c r="N47" s="687"/>
      <c r="O47" s="687"/>
      <c r="P47" s="687"/>
      <c r="Q47" s="494"/>
      <c r="R47" s="494"/>
      <c r="S47" s="494"/>
      <c r="T47" s="494"/>
      <c r="U47" s="494"/>
      <c r="V47" s="494"/>
      <c r="W47" s="494"/>
      <c r="X47" s="494"/>
      <c r="Y47" s="494"/>
      <c r="Z47" s="494"/>
      <c r="AA47" s="494"/>
      <c r="AB47" s="494"/>
      <c r="AC47" s="494"/>
      <c r="AD47" s="494"/>
      <c r="AE47" s="494"/>
      <c r="AF47" s="494"/>
      <c r="AG47" s="494"/>
      <c r="AH47" s="494"/>
      <c r="AI47" s="494"/>
      <c r="AJ47" s="494"/>
      <c r="AK47" s="494"/>
      <c r="AL47" s="494"/>
      <c r="AM47" s="494"/>
      <c r="AN47" s="494"/>
      <c r="AO47" s="494"/>
      <c r="AP47" s="494"/>
      <c r="AQ47" s="494"/>
      <c r="AR47" s="494"/>
      <c r="AS47" s="494"/>
      <c r="AT47" s="494"/>
      <c r="AU47" s="494"/>
      <c r="AV47" s="494"/>
      <c r="AW47" s="494"/>
      <c r="AX47" s="494"/>
    </row>
    <row r="48" spans="1:50" customFormat="1" ht="15" customHeight="1" x14ac:dyDescent="0.25">
      <c r="A48" s="690" t="s">
        <v>768</v>
      </c>
      <c r="B48" s="690"/>
      <c r="C48" s="690"/>
      <c r="D48" s="690"/>
      <c r="E48" s="690"/>
      <c r="F48" s="690"/>
      <c r="G48" s="690"/>
      <c r="H48" s="690"/>
      <c r="I48" s="690"/>
      <c r="J48" s="690"/>
      <c r="K48" s="690"/>
      <c r="L48" s="690"/>
      <c r="M48" s="690"/>
      <c r="N48" s="690"/>
      <c r="O48" s="690"/>
      <c r="P48" s="690"/>
      <c r="Q48" s="494"/>
      <c r="R48" s="494"/>
      <c r="S48" s="494"/>
      <c r="T48" s="494"/>
      <c r="U48" s="494"/>
      <c r="V48" s="494"/>
      <c r="W48" s="494"/>
      <c r="X48" s="494"/>
      <c r="Y48" s="494"/>
      <c r="Z48" s="494"/>
      <c r="AA48" s="494"/>
      <c r="AB48" s="494"/>
      <c r="AC48" s="494"/>
      <c r="AD48" s="494"/>
      <c r="AE48" s="494"/>
      <c r="AF48" s="494"/>
      <c r="AG48" s="494"/>
      <c r="AH48" s="494"/>
      <c r="AI48" s="494"/>
      <c r="AJ48" s="494"/>
      <c r="AK48" s="494"/>
      <c r="AL48" s="494"/>
      <c r="AM48" s="494"/>
      <c r="AN48" s="494"/>
      <c r="AO48" s="494"/>
      <c r="AP48" s="494"/>
      <c r="AQ48" s="494"/>
      <c r="AR48" s="494"/>
      <c r="AS48" s="494"/>
      <c r="AT48" s="494"/>
      <c r="AU48" s="494"/>
      <c r="AV48" s="494"/>
      <c r="AW48" s="494"/>
      <c r="AX48" s="494"/>
    </row>
    <row r="49" spans="1:50" customFormat="1" ht="95.25" customHeight="1" x14ac:dyDescent="0.25">
      <c r="A49" s="495" t="s">
        <v>129</v>
      </c>
      <c r="B49" s="692" t="s">
        <v>769</v>
      </c>
      <c r="C49" s="693"/>
      <c r="D49" s="693"/>
      <c r="E49" s="693"/>
      <c r="F49" s="693"/>
      <c r="G49" s="693" t="s">
        <v>770</v>
      </c>
      <c r="H49" s="693"/>
      <c r="I49" s="693"/>
      <c r="J49" s="693"/>
      <c r="K49" s="693" t="s">
        <v>2256</v>
      </c>
      <c r="L49" s="693"/>
      <c r="M49" s="693"/>
      <c r="N49" s="693"/>
      <c r="O49" s="694">
        <f>ROUND(990600 * 1 * 1.56 * 0.6 * 0.7, 2)</f>
        <v>649041.12</v>
      </c>
      <c r="P49" s="693"/>
      <c r="Q49" s="494"/>
      <c r="R49" s="494"/>
      <c r="S49" s="494"/>
      <c r="T49" s="494"/>
      <c r="U49" s="494"/>
      <c r="V49" s="494"/>
      <c r="W49" s="494"/>
      <c r="X49" s="494"/>
      <c r="Y49" s="494"/>
      <c r="Z49" s="494"/>
      <c r="AA49" s="494"/>
      <c r="AB49" s="494"/>
      <c r="AC49" s="494"/>
      <c r="AD49" s="494"/>
      <c r="AE49" s="494"/>
      <c r="AF49" s="494"/>
      <c r="AG49" s="494"/>
      <c r="AH49" s="494"/>
      <c r="AI49" s="494"/>
      <c r="AJ49" s="494"/>
      <c r="AK49" s="494"/>
      <c r="AL49" s="494"/>
      <c r="AM49" s="494"/>
      <c r="AN49" s="494"/>
      <c r="AO49" s="494"/>
      <c r="AP49" s="494"/>
      <c r="AQ49" s="494"/>
      <c r="AR49" s="494"/>
      <c r="AS49" s="494"/>
      <c r="AT49" s="494"/>
      <c r="AU49" s="494"/>
      <c r="AV49" s="494"/>
      <c r="AW49" s="494"/>
      <c r="AX49" s="494"/>
    </row>
    <row r="50" spans="1:50" customFormat="1" ht="15" customHeight="1" x14ac:dyDescent="0.25">
      <c r="A50" s="496"/>
      <c r="B50" s="695" t="s">
        <v>564</v>
      </c>
      <c r="C50" s="695"/>
      <c r="D50" s="695"/>
      <c r="E50" s="695"/>
      <c r="F50" s="695"/>
      <c r="G50" s="695" t="s">
        <v>15</v>
      </c>
      <c r="H50" s="695"/>
      <c r="I50" s="695"/>
      <c r="J50" s="695"/>
      <c r="K50" s="695" t="s">
        <v>15</v>
      </c>
      <c r="L50" s="695"/>
      <c r="M50" s="695"/>
      <c r="N50" s="695"/>
      <c r="O50" s="695"/>
      <c r="P50" s="695"/>
      <c r="Q50" s="494"/>
      <c r="R50" s="494"/>
      <c r="S50" s="494"/>
      <c r="T50" s="494"/>
      <c r="U50" s="494"/>
      <c r="V50" s="494"/>
      <c r="W50" s="494"/>
      <c r="X50" s="494"/>
      <c r="Y50" s="494"/>
      <c r="Z50" s="494"/>
      <c r="AA50" s="494"/>
      <c r="AB50" s="494"/>
      <c r="AC50" s="494"/>
      <c r="AD50" s="494"/>
      <c r="AE50" s="494"/>
      <c r="AF50" s="494"/>
      <c r="AG50" s="494"/>
      <c r="AH50" s="494"/>
      <c r="AI50" s="494"/>
      <c r="AJ50" s="494"/>
      <c r="AK50" s="494"/>
      <c r="AL50" s="494"/>
      <c r="AM50" s="494"/>
      <c r="AN50" s="494"/>
      <c r="AO50" s="494"/>
      <c r="AP50" s="494"/>
      <c r="AQ50" s="494"/>
      <c r="AR50" s="494"/>
      <c r="AS50" s="494"/>
      <c r="AT50" s="494"/>
      <c r="AU50" s="494"/>
      <c r="AV50" s="494"/>
      <c r="AW50" s="494"/>
      <c r="AX50" s="494"/>
    </row>
    <row r="51" spans="1:50" customFormat="1" x14ac:dyDescent="0.25">
      <c r="A51" s="492"/>
      <c r="B51" s="687" t="s">
        <v>681</v>
      </c>
      <c r="C51" s="687"/>
      <c r="D51" s="687"/>
      <c r="E51" s="687"/>
      <c r="F51" s="687"/>
      <c r="G51" s="687" t="s">
        <v>682</v>
      </c>
      <c r="H51" s="687"/>
      <c r="I51" s="687"/>
      <c r="J51" s="687"/>
      <c r="K51" s="687" t="s">
        <v>15</v>
      </c>
      <c r="L51" s="687"/>
      <c r="M51" s="687"/>
      <c r="N51" s="687"/>
      <c r="O51" s="687"/>
      <c r="P51" s="687"/>
      <c r="Q51" s="494"/>
      <c r="R51" s="494"/>
      <c r="S51" s="494"/>
      <c r="T51" s="494"/>
      <c r="U51" s="494"/>
      <c r="V51" s="494"/>
      <c r="W51" s="494"/>
      <c r="X51" s="494"/>
      <c r="Y51" s="494"/>
      <c r="Z51" s="494"/>
      <c r="AA51" s="494"/>
      <c r="AB51" s="494"/>
      <c r="AC51" s="494"/>
      <c r="AD51" s="494"/>
      <c r="AE51" s="494"/>
      <c r="AF51" s="494"/>
      <c r="AG51" s="494"/>
      <c r="AH51" s="494"/>
      <c r="AI51" s="494"/>
      <c r="AJ51" s="494"/>
      <c r="AK51" s="494"/>
      <c r="AL51" s="494"/>
      <c r="AM51" s="494"/>
      <c r="AN51" s="494"/>
      <c r="AO51" s="494"/>
      <c r="AP51" s="494"/>
      <c r="AQ51" s="494"/>
      <c r="AR51" s="494"/>
      <c r="AS51" s="494"/>
      <c r="AT51" s="494"/>
      <c r="AU51" s="494"/>
      <c r="AV51" s="494"/>
      <c r="AW51" s="494"/>
      <c r="AX51" s="494"/>
    </row>
    <row r="52" spans="1:50" customFormat="1" ht="40.9" customHeight="1" x14ac:dyDescent="0.25">
      <c r="A52" s="492"/>
      <c r="B52" s="687" t="s">
        <v>683</v>
      </c>
      <c r="C52" s="687"/>
      <c r="D52" s="687"/>
      <c r="E52" s="687"/>
      <c r="F52" s="687"/>
      <c r="G52" s="687" t="s">
        <v>684</v>
      </c>
      <c r="H52" s="687"/>
      <c r="I52" s="687"/>
      <c r="J52" s="687"/>
      <c r="K52" s="687" t="s">
        <v>15</v>
      </c>
      <c r="L52" s="687"/>
      <c r="M52" s="687"/>
      <c r="N52" s="687"/>
      <c r="O52" s="687"/>
      <c r="P52" s="687"/>
      <c r="Q52" s="494"/>
      <c r="R52" s="494"/>
      <c r="S52" s="494"/>
      <c r="T52" s="494"/>
      <c r="U52" s="494"/>
      <c r="V52" s="494"/>
      <c r="W52" s="494"/>
      <c r="X52" s="494"/>
      <c r="Y52" s="494"/>
      <c r="Z52" s="494"/>
      <c r="AA52" s="494"/>
      <c r="AB52" s="494"/>
      <c r="AC52" s="494"/>
      <c r="AD52" s="494"/>
      <c r="AE52" s="494"/>
      <c r="AF52" s="494"/>
      <c r="AG52" s="494"/>
      <c r="AH52" s="494"/>
      <c r="AI52" s="494"/>
      <c r="AJ52" s="494"/>
      <c r="AK52" s="494"/>
      <c r="AL52" s="494"/>
      <c r="AM52" s="494"/>
      <c r="AN52" s="494"/>
      <c r="AO52" s="494"/>
      <c r="AP52" s="494"/>
      <c r="AQ52" s="494"/>
      <c r="AR52" s="494"/>
      <c r="AS52" s="494"/>
      <c r="AT52" s="494"/>
      <c r="AU52" s="494"/>
      <c r="AV52" s="494"/>
      <c r="AW52" s="494"/>
      <c r="AX52" s="494"/>
    </row>
    <row r="53" spans="1:50" customFormat="1" ht="27.2" customHeight="1" x14ac:dyDescent="0.25">
      <c r="A53" s="492"/>
      <c r="B53" s="687" t="s">
        <v>793</v>
      </c>
      <c r="C53" s="687"/>
      <c r="D53" s="687"/>
      <c r="E53" s="687"/>
      <c r="F53" s="687"/>
      <c r="G53" s="687" t="s">
        <v>2253</v>
      </c>
      <c r="H53" s="687"/>
      <c r="I53" s="687"/>
      <c r="J53" s="687"/>
      <c r="K53" s="687" t="s">
        <v>15</v>
      </c>
      <c r="L53" s="687"/>
      <c r="M53" s="687"/>
      <c r="N53" s="687"/>
      <c r="O53" s="687"/>
      <c r="P53" s="687"/>
      <c r="Q53" s="494"/>
      <c r="R53" s="494"/>
      <c r="S53" s="494"/>
      <c r="T53" s="494"/>
      <c r="U53" s="494"/>
      <c r="V53" s="494"/>
      <c r="W53" s="494"/>
      <c r="X53" s="494"/>
      <c r="Y53" s="494"/>
      <c r="Z53" s="494"/>
      <c r="AA53" s="494"/>
      <c r="AB53" s="494"/>
      <c r="AC53" s="494"/>
      <c r="AD53" s="494"/>
      <c r="AE53" s="494"/>
      <c r="AF53" s="494"/>
      <c r="AG53" s="494"/>
      <c r="AH53" s="494"/>
      <c r="AI53" s="494"/>
      <c r="AJ53" s="494"/>
      <c r="AK53" s="494"/>
      <c r="AL53" s="494"/>
      <c r="AM53" s="494"/>
      <c r="AN53" s="494"/>
      <c r="AO53" s="494"/>
      <c r="AP53" s="494"/>
      <c r="AQ53" s="494"/>
      <c r="AR53" s="494"/>
      <c r="AS53" s="494"/>
      <c r="AT53" s="494"/>
      <c r="AU53" s="494"/>
      <c r="AV53" s="494"/>
      <c r="AW53" s="494"/>
      <c r="AX53" s="494"/>
    </row>
    <row r="54" spans="1:50" customFormat="1" x14ac:dyDescent="0.25">
      <c r="A54" s="690" t="s">
        <v>771</v>
      </c>
      <c r="B54" s="690"/>
      <c r="C54" s="690"/>
      <c r="D54" s="690"/>
      <c r="E54" s="690"/>
      <c r="F54" s="690"/>
      <c r="G54" s="690"/>
      <c r="H54" s="690"/>
      <c r="I54" s="690"/>
      <c r="J54" s="690"/>
      <c r="K54" s="690"/>
      <c r="L54" s="690"/>
      <c r="M54" s="690"/>
      <c r="N54" s="690"/>
      <c r="O54" s="690"/>
      <c r="P54" s="690"/>
      <c r="Q54" s="494"/>
      <c r="R54" s="494"/>
      <c r="S54" s="494"/>
      <c r="T54" s="494"/>
      <c r="U54" s="494"/>
      <c r="V54" s="494"/>
      <c r="W54" s="494"/>
      <c r="X54" s="494"/>
      <c r="Y54" s="494"/>
      <c r="Z54" s="494"/>
      <c r="AA54" s="494"/>
      <c r="AB54" s="494"/>
      <c r="AC54" s="494"/>
      <c r="AD54" s="494"/>
      <c r="AE54" s="494"/>
      <c r="AF54" s="494"/>
      <c r="AG54" s="494"/>
      <c r="AH54" s="494"/>
      <c r="AI54" s="494"/>
      <c r="AJ54" s="494"/>
      <c r="AK54" s="494"/>
      <c r="AL54" s="494"/>
      <c r="AM54" s="494"/>
      <c r="AN54" s="494"/>
      <c r="AO54" s="494"/>
      <c r="AP54" s="494"/>
      <c r="AQ54" s="494"/>
      <c r="AR54" s="494"/>
      <c r="AS54" s="494"/>
      <c r="AT54" s="494"/>
      <c r="AU54" s="494"/>
      <c r="AV54" s="494"/>
      <c r="AW54" s="494"/>
      <c r="AX54" s="494"/>
    </row>
    <row r="55" spans="1:50" customFormat="1" ht="122.45" customHeight="1" x14ac:dyDescent="0.25">
      <c r="A55" s="495" t="s">
        <v>138</v>
      </c>
      <c r="B55" s="692" t="s">
        <v>763</v>
      </c>
      <c r="C55" s="693"/>
      <c r="D55" s="693"/>
      <c r="E55" s="693"/>
      <c r="F55" s="693"/>
      <c r="G55" s="693" t="s">
        <v>764</v>
      </c>
      <c r="H55" s="693"/>
      <c r="I55" s="693"/>
      <c r="J55" s="693"/>
      <c r="K55" s="693" t="s">
        <v>2254</v>
      </c>
      <c r="L55" s="693"/>
      <c r="M55" s="693"/>
      <c r="N55" s="693"/>
      <c r="O55" s="694">
        <f>ROUND((532000 + 618795 * 1.4) * 1 * 1.56 * 0.6 * 0.7, 2)</f>
        <v>916174.68</v>
      </c>
      <c r="P55" s="693"/>
      <c r="Q55" s="494"/>
      <c r="R55" s="494"/>
      <c r="S55" s="494"/>
      <c r="T55" s="494"/>
      <c r="U55" s="494"/>
      <c r="V55" s="494"/>
      <c r="W55" s="494"/>
      <c r="X55" s="494"/>
      <c r="Y55" s="494"/>
      <c r="Z55" s="494"/>
      <c r="AA55" s="494"/>
      <c r="AB55" s="494"/>
      <c r="AC55" s="494"/>
      <c r="AD55" s="494"/>
      <c r="AE55" s="494"/>
      <c r="AF55" s="494"/>
      <c r="AG55" s="494"/>
      <c r="AH55" s="494"/>
      <c r="AI55" s="494"/>
      <c r="AJ55" s="494"/>
      <c r="AK55" s="494"/>
      <c r="AL55" s="494"/>
      <c r="AM55" s="494"/>
      <c r="AN55" s="494"/>
      <c r="AO55" s="494"/>
      <c r="AP55" s="494"/>
      <c r="AQ55" s="494"/>
      <c r="AR55" s="494"/>
      <c r="AS55" s="494"/>
      <c r="AT55" s="494"/>
      <c r="AU55" s="494"/>
      <c r="AV55" s="494"/>
      <c r="AW55" s="494"/>
      <c r="AX55" s="494"/>
    </row>
    <row r="56" spans="1:50" customFormat="1" x14ac:dyDescent="0.25">
      <c r="A56" s="496"/>
      <c r="B56" s="695" t="s">
        <v>564</v>
      </c>
      <c r="C56" s="695"/>
      <c r="D56" s="695"/>
      <c r="E56" s="695"/>
      <c r="F56" s="695"/>
      <c r="G56" s="695" t="s">
        <v>15</v>
      </c>
      <c r="H56" s="695"/>
      <c r="I56" s="695"/>
      <c r="J56" s="695"/>
      <c r="K56" s="695" t="s">
        <v>15</v>
      </c>
      <c r="L56" s="695"/>
      <c r="M56" s="695"/>
      <c r="N56" s="695"/>
      <c r="O56" s="695"/>
      <c r="P56" s="695"/>
      <c r="Q56" s="494"/>
      <c r="R56" s="494"/>
      <c r="S56" s="494"/>
      <c r="T56" s="494"/>
      <c r="U56" s="494"/>
      <c r="V56" s="494"/>
      <c r="W56" s="494"/>
      <c r="X56" s="494"/>
      <c r="Y56" s="494"/>
      <c r="Z56" s="494"/>
      <c r="AA56" s="494"/>
      <c r="AB56" s="494"/>
      <c r="AC56" s="494"/>
      <c r="AD56" s="494"/>
      <c r="AE56" s="494"/>
      <c r="AF56" s="494"/>
      <c r="AG56" s="494"/>
      <c r="AH56" s="494"/>
      <c r="AI56" s="494"/>
      <c r="AJ56" s="494"/>
      <c r="AK56" s="494"/>
      <c r="AL56" s="494"/>
      <c r="AM56" s="494"/>
      <c r="AN56" s="494"/>
      <c r="AO56" s="494"/>
      <c r="AP56" s="494"/>
      <c r="AQ56" s="494"/>
      <c r="AR56" s="494"/>
      <c r="AS56" s="494"/>
      <c r="AT56" s="494"/>
      <c r="AU56" s="494"/>
      <c r="AV56" s="494"/>
      <c r="AW56" s="494"/>
      <c r="AX56" s="494"/>
    </row>
    <row r="57" spans="1:50" customFormat="1" x14ac:dyDescent="0.25">
      <c r="A57" s="492"/>
      <c r="B57" s="687" t="s">
        <v>681</v>
      </c>
      <c r="C57" s="687"/>
      <c r="D57" s="687"/>
      <c r="E57" s="687"/>
      <c r="F57" s="687"/>
      <c r="G57" s="687" t="s">
        <v>682</v>
      </c>
      <c r="H57" s="687"/>
      <c r="I57" s="687"/>
      <c r="J57" s="687"/>
      <c r="K57" s="687" t="s">
        <v>15</v>
      </c>
      <c r="L57" s="687"/>
      <c r="M57" s="687"/>
      <c r="N57" s="687"/>
      <c r="O57" s="687"/>
      <c r="P57" s="687"/>
      <c r="Q57" s="494"/>
      <c r="R57" s="494"/>
      <c r="S57" s="494"/>
      <c r="T57" s="494"/>
      <c r="U57" s="494"/>
      <c r="V57" s="494"/>
      <c r="W57" s="494"/>
      <c r="X57" s="494"/>
      <c r="Y57" s="494"/>
      <c r="Z57" s="494"/>
      <c r="AA57" s="494"/>
      <c r="AB57" s="494"/>
      <c r="AC57" s="494"/>
      <c r="AD57" s="494"/>
      <c r="AE57" s="494"/>
      <c r="AF57" s="494"/>
      <c r="AG57" s="494"/>
      <c r="AH57" s="494"/>
      <c r="AI57" s="494"/>
      <c r="AJ57" s="494"/>
      <c r="AK57" s="494"/>
      <c r="AL57" s="494"/>
      <c r="AM57" s="494"/>
      <c r="AN57" s="494"/>
      <c r="AO57" s="494"/>
      <c r="AP57" s="494"/>
      <c r="AQ57" s="494"/>
      <c r="AR57" s="494"/>
      <c r="AS57" s="494"/>
      <c r="AT57" s="494"/>
      <c r="AU57" s="494"/>
      <c r="AV57" s="494"/>
      <c r="AW57" s="494"/>
      <c r="AX57" s="494"/>
    </row>
    <row r="58" spans="1:50" customFormat="1" ht="40.9" customHeight="1" x14ac:dyDescent="0.25">
      <c r="A58" s="492"/>
      <c r="B58" s="687" t="s">
        <v>683</v>
      </c>
      <c r="C58" s="687"/>
      <c r="D58" s="687"/>
      <c r="E58" s="687"/>
      <c r="F58" s="687"/>
      <c r="G58" s="687" t="s">
        <v>684</v>
      </c>
      <c r="H58" s="687"/>
      <c r="I58" s="687"/>
      <c r="J58" s="687"/>
      <c r="K58" s="687" t="s">
        <v>15</v>
      </c>
      <c r="L58" s="687"/>
      <c r="M58" s="687"/>
      <c r="N58" s="687"/>
      <c r="O58" s="687"/>
      <c r="P58" s="687"/>
      <c r="Q58" s="494"/>
      <c r="R58" s="494"/>
      <c r="S58" s="494"/>
      <c r="T58" s="494"/>
      <c r="U58" s="494"/>
      <c r="V58" s="494"/>
      <c r="W58" s="494"/>
      <c r="X58" s="494"/>
      <c r="Y58" s="494"/>
      <c r="Z58" s="494"/>
      <c r="AA58" s="494"/>
      <c r="AB58" s="494"/>
      <c r="AC58" s="494"/>
      <c r="AD58" s="494"/>
      <c r="AE58" s="494"/>
      <c r="AF58" s="494"/>
      <c r="AG58" s="494"/>
      <c r="AH58" s="494"/>
      <c r="AI58" s="494"/>
      <c r="AJ58" s="494"/>
      <c r="AK58" s="494"/>
      <c r="AL58" s="494"/>
      <c r="AM58" s="494"/>
      <c r="AN58" s="494"/>
      <c r="AO58" s="494"/>
      <c r="AP58" s="494"/>
      <c r="AQ58" s="494"/>
      <c r="AR58" s="494"/>
      <c r="AS58" s="494"/>
      <c r="AT58" s="494"/>
      <c r="AU58" s="494"/>
      <c r="AV58" s="494"/>
      <c r="AW58" s="494"/>
      <c r="AX58" s="494"/>
    </row>
    <row r="59" spans="1:50" customFormat="1" ht="27.2" customHeight="1" x14ac:dyDescent="0.25">
      <c r="A59" s="492"/>
      <c r="B59" s="687" t="s">
        <v>793</v>
      </c>
      <c r="C59" s="687"/>
      <c r="D59" s="687"/>
      <c r="E59" s="687"/>
      <c r="F59" s="687"/>
      <c r="G59" s="687" t="s">
        <v>2253</v>
      </c>
      <c r="H59" s="687"/>
      <c r="I59" s="687"/>
      <c r="J59" s="687"/>
      <c r="K59" s="687" t="s">
        <v>15</v>
      </c>
      <c r="L59" s="687"/>
      <c r="M59" s="687"/>
      <c r="N59" s="687"/>
      <c r="O59" s="687"/>
      <c r="P59" s="687"/>
      <c r="Q59" s="494"/>
      <c r="R59" s="494"/>
      <c r="S59" s="494"/>
      <c r="T59" s="494"/>
      <c r="U59" s="494"/>
      <c r="V59" s="494"/>
      <c r="W59" s="494"/>
      <c r="X59" s="494"/>
      <c r="Y59" s="494"/>
      <c r="Z59" s="494"/>
      <c r="AA59" s="494"/>
      <c r="AB59" s="494"/>
      <c r="AC59" s="494"/>
      <c r="AD59" s="494"/>
      <c r="AE59" s="494"/>
      <c r="AF59" s="494"/>
      <c r="AG59" s="494"/>
      <c r="AH59" s="494"/>
      <c r="AI59" s="494"/>
      <c r="AJ59" s="494"/>
      <c r="AK59" s="494"/>
      <c r="AL59" s="494"/>
      <c r="AM59" s="494"/>
      <c r="AN59" s="494"/>
      <c r="AO59" s="494"/>
      <c r="AP59" s="494"/>
      <c r="AQ59" s="494"/>
      <c r="AR59" s="494"/>
      <c r="AS59" s="494"/>
      <c r="AT59" s="494"/>
      <c r="AU59" s="494"/>
      <c r="AV59" s="494"/>
      <c r="AW59" s="494"/>
      <c r="AX59" s="494"/>
    </row>
    <row r="60" spans="1:50" customFormat="1" x14ac:dyDescent="0.25">
      <c r="A60" s="690" t="s">
        <v>772</v>
      </c>
      <c r="B60" s="690"/>
      <c r="C60" s="690"/>
      <c r="D60" s="690"/>
      <c r="E60" s="690"/>
      <c r="F60" s="690"/>
      <c r="G60" s="690"/>
      <c r="H60" s="690"/>
      <c r="I60" s="690"/>
      <c r="J60" s="690"/>
      <c r="K60" s="690"/>
      <c r="L60" s="690"/>
      <c r="M60" s="690"/>
      <c r="N60" s="690"/>
      <c r="O60" s="690"/>
      <c r="P60" s="690"/>
      <c r="Q60" s="494"/>
      <c r="R60" s="494"/>
      <c r="S60" s="494"/>
      <c r="T60" s="494"/>
      <c r="U60" s="494"/>
      <c r="V60" s="494"/>
      <c r="W60" s="494"/>
      <c r="X60" s="494"/>
      <c r="Y60" s="494"/>
      <c r="Z60" s="494"/>
      <c r="AA60" s="494"/>
      <c r="AB60" s="494"/>
      <c r="AC60" s="494"/>
      <c r="AD60" s="494"/>
      <c r="AE60" s="494"/>
      <c r="AF60" s="494"/>
      <c r="AG60" s="494"/>
      <c r="AH60" s="494"/>
      <c r="AI60" s="494"/>
      <c r="AJ60" s="494"/>
      <c r="AK60" s="494"/>
      <c r="AL60" s="494"/>
      <c r="AM60" s="494"/>
      <c r="AN60" s="494"/>
      <c r="AO60" s="494"/>
      <c r="AP60" s="494"/>
      <c r="AQ60" s="494"/>
      <c r="AR60" s="494"/>
      <c r="AS60" s="494"/>
      <c r="AT60" s="494"/>
      <c r="AU60" s="494"/>
      <c r="AV60" s="494"/>
      <c r="AW60" s="494"/>
      <c r="AX60" s="494"/>
    </row>
    <row r="61" spans="1:50" customFormat="1" ht="95.25" customHeight="1" x14ac:dyDescent="0.25">
      <c r="A61" s="495" t="s">
        <v>143</v>
      </c>
      <c r="B61" s="692" t="s">
        <v>769</v>
      </c>
      <c r="C61" s="693"/>
      <c r="D61" s="693"/>
      <c r="E61" s="693"/>
      <c r="F61" s="693"/>
      <c r="G61" s="693" t="s">
        <v>770</v>
      </c>
      <c r="H61" s="693"/>
      <c r="I61" s="693"/>
      <c r="J61" s="693"/>
      <c r="K61" s="693" t="s">
        <v>2256</v>
      </c>
      <c r="L61" s="693"/>
      <c r="M61" s="693"/>
      <c r="N61" s="693"/>
      <c r="O61" s="694">
        <f>ROUND(990600 * 1 * 1.56 * 0.6 * 0.7, 2)</f>
        <v>649041.12</v>
      </c>
      <c r="P61" s="693"/>
      <c r="Q61" s="494"/>
      <c r="R61" s="494"/>
      <c r="S61" s="494"/>
      <c r="T61" s="494"/>
      <c r="U61" s="494"/>
      <c r="V61" s="494"/>
      <c r="W61" s="494"/>
      <c r="X61" s="494"/>
      <c r="Y61" s="494"/>
      <c r="Z61" s="494"/>
      <c r="AA61" s="494"/>
      <c r="AB61" s="494"/>
      <c r="AC61" s="494"/>
      <c r="AD61" s="494"/>
      <c r="AE61" s="494"/>
      <c r="AF61" s="494"/>
      <c r="AG61" s="494"/>
      <c r="AH61" s="494"/>
      <c r="AI61" s="494"/>
      <c r="AJ61" s="494"/>
      <c r="AK61" s="494"/>
      <c r="AL61" s="494"/>
      <c r="AM61" s="494"/>
      <c r="AN61" s="494"/>
      <c r="AO61" s="494"/>
      <c r="AP61" s="494"/>
      <c r="AQ61" s="494"/>
      <c r="AR61" s="494"/>
      <c r="AS61" s="494"/>
      <c r="AT61" s="494"/>
      <c r="AU61" s="494"/>
      <c r="AV61" s="494"/>
      <c r="AW61" s="494"/>
      <c r="AX61" s="494"/>
    </row>
    <row r="62" spans="1:50" customFormat="1" x14ac:dyDescent="0.25">
      <c r="A62" s="496"/>
      <c r="B62" s="695" t="s">
        <v>564</v>
      </c>
      <c r="C62" s="695"/>
      <c r="D62" s="695"/>
      <c r="E62" s="695"/>
      <c r="F62" s="695"/>
      <c r="G62" s="695" t="s">
        <v>15</v>
      </c>
      <c r="H62" s="695"/>
      <c r="I62" s="695"/>
      <c r="J62" s="695"/>
      <c r="K62" s="695" t="s">
        <v>15</v>
      </c>
      <c r="L62" s="695"/>
      <c r="M62" s="695"/>
      <c r="N62" s="695"/>
      <c r="O62" s="695"/>
      <c r="P62" s="695"/>
      <c r="Q62" s="494"/>
      <c r="R62" s="494"/>
      <c r="S62" s="494"/>
      <c r="T62" s="494"/>
      <c r="U62" s="494"/>
      <c r="V62" s="494"/>
      <c r="W62" s="494"/>
      <c r="X62" s="494"/>
      <c r="Y62" s="494"/>
      <c r="Z62" s="494"/>
      <c r="AA62" s="494"/>
      <c r="AB62" s="494"/>
      <c r="AC62" s="494"/>
      <c r="AD62" s="494"/>
      <c r="AE62" s="494"/>
      <c r="AF62" s="494"/>
      <c r="AG62" s="494"/>
      <c r="AH62" s="494"/>
      <c r="AI62" s="494"/>
      <c r="AJ62" s="494"/>
      <c r="AK62" s="494"/>
      <c r="AL62" s="494"/>
      <c r="AM62" s="494"/>
      <c r="AN62" s="494"/>
      <c r="AO62" s="494"/>
      <c r="AP62" s="494"/>
      <c r="AQ62" s="494"/>
      <c r="AR62" s="494"/>
      <c r="AS62" s="494"/>
      <c r="AT62" s="494"/>
      <c r="AU62" s="494"/>
      <c r="AV62" s="494"/>
      <c r="AW62" s="494"/>
      <c r="AX62" s="494"/>
    </row>
    <row r="63" spans="1:50" customFormat="1" x14ac:dyDescent="0.25">
      <c r="A63" s="492"/>
      <c r="B63" s="687" t="s">
        <v>681</v>
      </c>
      <c r="C63" s="687"/>
      <c r="D63" s="687"/>
      <c r="E63" s="687"/>
      <c r="F63" s="687"/>
      <c r="G63" s="687" t="s">
        <v>682</v>
      </c>
      <c r="H63" s="687"/>
      <c r="I63" s="687"/>
      <c r="J63" s="687"/>
      <c r="K63" s="687" t="s">
        <v>15</v>
      </c>
      <c r="L63" s="687"/>
      <c r="M63" s="687"/>
      <c r="N63" s="687"/>
      <c r="O63" s="687"/>
      <c r="P63" s="687"/>
      <c r="Q63" s="494"/>
      <c r="R63" s="494"/>
      <c r="S63" s="494"/>
      <c r="T63" s="494"/>
      <c r="U63" s="494"/>
      <c r="V63" s="494"/>
      <c r="W63" s="494"/>
      <c r="X63" s="494"/>
      <c r="Y63" s="494"/>
      <c r="Z63" s="494"/>
      <c r="AA63" s="494"/>
      <c r="AB63" s="494"/>
      <c r="AC63" s="494"/>
      <c r="AD63" s="494"/>
      <c r="AE63" s="494"/>
      <c r="AF63" s="494"/>
      <c r="AG63" s="494"/>
      <c r="AH63" s="494"/>
      <c r="AI63" s="494"/>
      <c r="AJ63" s="494"/>
      <c r="AK63" s="494"/>
      <c r="AL63" s="494"/>
      <c r="AM63" s="494"/>
      <c r="AN63" s="494"/>
      <c r="AO63" s="494"/>
      <c r="AP63" s="494"/>
      <c r="AQ63" s="494"/>
      <c r="AR63" s="494"/>
      <c r="AS63" s="494"/>
      <c r="AT63" s="494"/>
      <c r="AU63" s="494"/>
      <c r="AV63" s="494"/>
      <c r="AW63" s="494"/>
      <c r="AX63" s="494"/>
    </row>
    <row r="64" spans="1:50" customFormat="1" ht="40.9" customHeight="1" x14ac:dyDescent="0.25">
      <c r="A64" s="492"/>
      <c r="B64" s="687" t="s">
        <v>683</v>
      </c>
      <c r="C64" s="687"/>
      <c r="D64" s="687"/>
      <c r="E64" s="687"/>
      <c r="F64" s="687"/>
      <c r="G64" s="687" t="s">
        <v>684</v>
      </c>
      <c r="H64" s="687"/>
      <c r="I64" s="687"/>
      <c r="J64" s="687"/>
      <c r="K64" s="687" t="s">
        <v>15</v>
      </c>
      <c r="L64" s="687"/>
      <c r="M64" s="687"/>
      <c r="N64" s="687"/>
      <c r="O64" s="687"/>
      <c r="P64" s="687"/>
      <c r="Q64" s="494"/>
      <c r="R64" s="494"/>
      <c r="S64" s="494"/>
      <c r="T64" s="494"/>
      <c r="U64" s="494"/>
      <c r="V64" s="494"/>
      <c r="W64" s="494"/>
      <c r="X64" s="494"/>
      <c r="Y64" s="494"/>
      <c r="Z64" s="494"/>
      <c r="AA64" s="494"/>
      <c r="AB64" s="494"/>
      <c r="AC64" s="494"/>
      <c r="AD64" s="494"/>
      <c r="AE64" s="494"/>
      <c r="AF64" s="494"/>
      <c r="AG64" s="494"/>
      <c r="AH64" s="494"/>
      <c r="AI64" s="494"/>
      <c r="AJ64" s="494"/>
      <c r="AK64" s="494"/>
      <c r="AL64" s="494"/>
      <c r="AM64" s="494"/>
      <c r="AN64" s="494"/>
      <c r="AO64" s="494"/>
      <c r="AP64" s="494"/>
      <c r="AQ64" s="494"/>
      <c r="AR64" s="494"/>
      <c r="AS64" s="494"/>
      <c r="AT64" s="494"/>
      <c r="AU64" s="494"/>
      <c r="AV64" s="494"/>
      <c r="AW64" s="494"/>
      <c r="AX64" s="494"/>
    </row>
    <row r="65" spans="1:50" customFormat="1" ht="27.2" customHeight="1" x14ac:dyDescent="0.25">
      <c r="A65" s="492"/>
      <c r="B65" s="687" t="s">
        <v>793</v>
      </c>
      <c r="C65" s="687"/>
      <c r="D65" s="687"/>
      <c r="E65" s="687"/>
      <c r="F65" s="687"/>
      <c r="G65" s="687" t="s">
        <v>2253</v>
      </c>
      <c r="H65" s="687"/>
      <c r="I65" s="687"/>
      <c r="J65" s="687"/>
      <c r="K65" s="687" t="s">
        <v>15</v>
      </c>
      <c r="L65" s="687"/>
      <c r="M65" s="687"/>
      <c r="N65" s="687"/>
      <c r="O65" s="687"/>
      <c r="P65" s="687"/>
      <c r="Q65" s="494"/>
      <c r="R65" s="494"/>
      <c r="S65" s="494"/>
      <c r="T65" s="494"/>
      <c r="U65" s="494"/>
      <c r="V65" s="494"/>
      <c r="W65" s="494"/>
      <c r="X65" s="494"/>
      <c r="Y65" s="494"/>
      <c r="Z65" s="494"/>
      <c r="AA65" s="494"/>
      <c r="AB65" s="494"/>
      <c r="AC65" s="494"/>
      <c r="AD65" s="494"/>
      <c r="AE65" s="494"/>
      <c r="AF65" s="494"/>
      <c r="AG65" s="494"/>
      <c r="AH65" s="494"/>
      <c r="AI65" s="494"/>
      <c r="AJ65" s="494"/>
      <c r="AK65" s="494"/>
      <c r="AL65" s="494"/>
      <c r="AM65" s="494"/>
      <c r="AN65" s="494"/>
      <c r="AO65" s="494"/>
      <c r="AP65" s="494"/>
      <c r="AQ65" s="494"/>
      <c r="AR65" s="494"/>
      <c r="AS65" s="494"/>
      <c r="AT65" s="494"/>
      <c r="AU65" s="494"/>
      <c r="AV65" s="494"/>
      <c r="AW65" s="494"/>
      <c r="AX65" s="494"/>
    </row>
    <row r="66" spans="1:50" customFormat="1" x14ac:dyDescent="0.25">
      <c r="A66" s="690" t="s">
        <v>773</v>
      </c>
      <c r="B66" s="690"/>
      <c r="C66" s="690"/>
      <c r="D66" s="690"/>
      <c r="E66" s="690"/>
      <c r="F66" s="690"/>
      <c r="G66" s="690"/>
      <c r="H66" s="690"/>
      <c r="I66" s="690"/>
      <c r="J66" s="690"/>
      <c r="K66" s="690"/>
      <c r="L66" s="690"/>
      <c r="M66" s="690"/>
      <c r="N66" s="690"/>
      <c r="O66" s="690"/>
      <c r="P66" s="690"/>
      <c r="Q66" s="494"/>
      <c r="R66" s="494"/>
      <c r="S66" s="494"/>
      <c r="T66" s="494"/>
      <c r="U66" s="494"/>
      <c r="V66" s="494"/>
      <c r="W66" s="494"/>
      <c r="X66" s="494"/>
      <c r="Y66" s="494"/>
      <c r="Z66" s="494"/>
      <c r="AA66" s="494"/>
      <c r="AB66" s="494"/>
      <c r="AC66" s="494"/>
      <c r="AD66" s="494"/>
      <c r="AE66" s="494"/>
      <c r="AF66" s="494"/>
      <c r="AG66" s="494"/>
      <c r="AH66" s="494"/>
      <c r="AI66" s="494"/>
      <c r="AJ66" s="494"/>
      <c r="AK66" s="494"/>
      <c r="AL66" s="494"/>
      <c r="AM66" s="494"/>
      <c r="AN66" s="494"/>
      <c r="AO66" s="494"/>
      <c r="AP66" s="494"/>
      <c r="AQ66" s="494"/>
      <c r="AR66" s="494"/>
      <c r="AS66" s="494"/>
      <c r="AT66" s="494"/>
      <c r="AU66" s="494"/>
      <c r="AV66" s="494"/>
      <c r="AW66" s="494"/>
      <c r="AX66" s="494"/>
    </row>
    <row r="67" spans="1:50" customFormat="1" ht="122.45" customHeight="1" x14ac:dyDescent="0.25">
      <c r="A67" s="495" t="s">
        <v>147</v>
      </c>
      <c r="B67" s="692" t="s">
        <v>774</v>
      </c>
      <c r="C67" s="693"/>
      <c r="D67" s="693"/>
      <c r="E67" s="693"/>
      <c r="F67" s="693"/>
      <c r="G67" s="693" t="s">
        <v>775</v>
      </c>
      <c r="H67" s="693"/>
      <c r="I67" s="693"/>
      <c r="J67" s="693"/>
      <c r="K67" s="693" t="s">
        <v>2257</v>
      </c>
      <c r="L67" s="693"/>
      <c r="M67" s="693"/>
      <c r="N67" s="693"/>
      <c r="O67" s="694">
        <f>ROUND((952600 + 21230 * 2) * 1 * 1.56 * 0.6 * 0.7, 2)</f>
        <v>651963.31000000006</v>
      </c>
      <c r="P67" s="693"/>
      <c r="Q67" s="494"/>
      <c r="R67" s="494"/>
      <c r="S67" s="494"/>
      <c r="T67" s="494"/>
      <c r="U67" s="494"/>
      <c r="V67" s="494"/>
      <c r="W67" s="494"/>
      <c r="X67" s="494"/>
      <c r="Y67" s="494"/>
      <c r="Z67" s="494"/>
      <c r="AA67" s="494"/>
      <c r="AB67" s="494"/>
      <c r="AC67" s="494"/>
      <c r="AD67" s="494"/>
      <c r="AE67" s="494"/>
      <c r="AF67" s="494"/>
      <c r="AG67" s="494"/>
      <c r="AH67" s="494"/>
      <c r="AI67" s="494"/>
      <c r="AJ67" s="494"/>
      <c r="AK67" s="494"/>
      <c r="AL67" s="494"/>
      <c r="AM67" s="494"/>
      <c r="AN67" s="494"/>
      <c r="AO67" s="494"/>
      <c r="AP67" s="494"/>
      <c r="AQ67" s="494"/>
      <c r="AR67" s="494"/>
      <c r="AS67" s="494"/>
      <c r="AT67" s="494"/>
      <c r="AU67" s="494"/>
      <c r="AV67" s="494"/>
      <c r="AW67" s="494"/>
      <c r="AX67" s="494"/>
    </row>
    <row r="68" spans="1:50" customFormat="1" x14ac:dyDescent="0.25">
      <c r="A68" s="496"/>
      <c r="B68" s="695" t="s">
        <v>564</v>
      </c>
      <c r="C68" s="695"/>
      <c r="D68" s="695"/>
      <c r="E68" s="695"/>
      <c r="F68" s="695"/>
      <c r="G68" s="695" t="s">
        <v>15</v>
      </c>
      <c r="H68" s="695"/>
      <c r="I68" s="695"/>
      <c r="J68" s="695"/>
      <c r="K68" s="695" t="s">
        <v>15</v>
      </c>
      <c r="L68" s="695"/>
      <c r="M68" s="695"/>
      <c r="N68" s="695"/>
      <c r="O68" s="695"/>
      <c r="P68" s="695"/>
      <c r="Q68" s="494"/>
      <c r="R68" s="494"/>
      <c r="S68" s="494"/>
      <c r="T68" s="494"/>
      <c r="U68" s="494"/>
      <c r="V68" s="494"/>
      <c r="W68" s="494"/>
      <c r="X68" s="494"/>
      <c r="Y68" s="494"/>
      <c r="Z68" s="494"/>
      <c r="AA68" s="494"/>
      <c r="AB68" s="494"/>
      <c r="AC68" s="494"/>
      <c r="AD68" s="494"/>
      <c r="AE68" s="494"/>
      <c r="AF68" s="494"/>
      <c r="AG68" s="494"/>
      <c r="AH68" s="494"/>
      <c r="AI68" s="494"/>
      <c r="AJ68" s="494"/>
      <c r="AK68" s="494"/>
      <c r="AL68" s="494"/>
      <c r="AM68" s="494"/>
      <c r="AN68" s="494"/>
      <c r="AO68" s="494"/>
      <c r="AP68" s="494"/>
      <c r="AQ68" s="494"/>
      <c r="AR68" s="494"/>
      <c r="AS68" s="494"/>
      <c r="AT68" s="494"/>
      <c r="AU68" s="494"/>
      <c r="AV68" s="494"/>
      <c r="AW68" s="494"/>
      <c r="AX68" s="494"/>
    </row>
    <row r="69" spans="1:50" customFormat="1" x14ac:dyDescent="0.25">
      <c r="A69" s="492"/>
      <c r="B69" s="687" t="s">
        <v>681</v>
      </c>
      <c r="C69" s="687"/>
      <c r="D69" s="687"/>
      <c r="E69" s="687"/>
      <c r="F69" s="687"/>
      <c r="G69" s="687" t="s">
        <v>682</v>
      </c>
      <c r="H69" s="687"/>
      <c r="I69" s="687"/>
      <c r="J69" s="687"/>
      <c r="K69" s="687" t="s">
        <v>15</v>
      </c>
      <c r="L69" s="687"/>
      <c r="M69" s="687"/>
      <c r="N69" s="687"/>
      <c r="O69" s="687"/>
      <c r="P69" s="687"/>
      <c r="Q69" s="494"/>
      <c r="R69" s="494"/>
      <c r="S69" s="494"/>
      <c r="T69" s="494"/>
      <c r="U69" s="494"/>
      <c r="V69" s="494"/>
      <c r="W69" s="494"/>
      <c r="X69" s="494"/>
      <c r="Y69" s="494"/>
      <c r="Z69" s="494"/>
      <c r="AA69" s="494"/>
      <c r="AB69" s="494"/>
      <c r="AC69" s="494"/>
      <c r="AD69" s="494"/>
      <c r="AE69" s="494"/>
      <c r="AF69" s="494"/>
      <c r="AG69" s="494"/>
      <c r="AH69" s="494"/>
      <c r="AI69" s="494"/>
      <c r="AJ69" s="494"/>
      <c r="AK69" s="494"/>
      <c r="AL69" s="494"/>
      <c r="AM69" s="494"/>
      <c r="AN69" s="494"/>
      <c r="AO69" s="494"/>
      <c r="AP69" s="494"/>
      <c r="AQ69" s="494"/>
      <c r="AR69" s="494"/>
      <c r="AS69" s="494"/>
      <c r="AT69" s="494"/>
      <c r="AU69" s="494"/>
      <c r="AV69" s="494"/>
      <c r="AW69" s="494"/>
      <c r="AX69" s="494"/>
    </row>
    <row r="70" spans="1:50" customFormat="1" ht="40.9" customHeight="1" x14ac:dyDescent="0.25">
      <c r="A70" s="492"/>
      <c r="B70" s="687" t="s">
        <v>683</v>
      </c>
      <c r="C70" s="687"/>
      <c r="D70" s="687"/>
      <c r="E70" s="687"/>
      <c r="F70" s="687"/>
      <c r="G70" s="687" t="s">
        <v>684</v>
      </c>
      <c r="H70" s="687"/>
      <c r="I70" s="687"/>
      <c r="J70" s="687"/>
      <c r="K70" s="687" t="s">
        <v>15</v>
      </c>
      <c r="L70" s="687"/>
      <c r="M70" s="687"/>
      <c r="N70" s="687"/>
      <c r="O70" s="687"/>
      <c r="P70" s="687"/>
      <c r="Q70" s="494"/>
      <c r="R70" s="494"/>
      <c r="S70" s="494"/>
      <c r="T70" s="494"/>
      <c r="U70" s="494"/>
      <c r="V70" s="494"/>
      <c r="W70" s="494"/>
      <c r="X70" s="494"/>
      <c r="Y70" s="494"/>
      <c r="Z70" s="494"/>
      <c r="AA70" s="494"/>
      <c r="AB70" s="494"/>
      <c r="AC70" s="494"/>
      <c r="AD70" s="494"/>
      <c r="AE70" s="494"/>
      <c r="AF70" s="494"/>
      <c r="AG70" s="494"/>
      <c r="AH70" s="494"/>
      <c r="AI70" s="494"/>
      <c r="AJ70" s="494"/>
      <c r="AK70" s="494"/>
      <c r="AL70" s="494"/>
      <c r="AM70" s="494"/>
      <c r="AN70" s="494"/>
      <c r="AO70" s="494"/>
      <c r="AP70" s="494"/>
      <c r="AQ70" s="494"/>
      <c r="AR70" s="494"/>
      <c r="AS70" s="494"/>
      <c r="AT70" s="494"/>
      <c r="AU70" s="494"/>
      <c r="AV70" s="494"/>
      <c r="AW70" s="494"/>
      <c r="AX70" s="494"/>
    </row>
    <row r="71" spans="1:50" customFormat="1" ht="27.2" customHeight="1" x14ac:dyDescent="0.25">
      <c r="A71" s="492"/>
      <c r="B71" s="687" t="s">
        <v>793</v>
      </c>
      <c r="C71" s="687"/>
      <c r="D71" s="687"/>
      <c r="E71" s="687"/>
      <c r="F71" s="687"/>
      <c r="G71" s="687" t="s">
        <v>2253</v>
      </c>
      <c r="H71" s="687"/>
      <c r="I71" s="687"/>
      <c r="J71" s="687"/>
      <c r="K71" s="687" t="s">
        <v>15</v>
      </c>
      <c r="L71" s="687"/>
      <c r="M71" s="687"/>
      <c r="N71" s="687"/>
      <c r="O71" s="687"/>
      <c r="P71" s="687"/>
      <c r="Q71" s="494"/>
      <c r="R71" s="494"/>
      <c r="S71" s="494"/>
      <c r="T71" s="494"/>
      <c r="U71" s="494"/>
      <c r="V71" s="494"/>
      <c r="W71" s="494"/>
      <c r="X71" s="494"/>
      <c r="Y71" s="494"/>
      <c r="Z71" s="494"/>
      <c r="AA71" s="494"/>
      <c r="AB71" s="494"/>
      <c r="AC71" s="494"/>
      <c r="AD71" s="494"/>
      <c r="AE71" s="494"/>
      <c r="AF71" s="494"/>
      <c r="AG71" s="494"/>
      <c r="AH71" s="494"/>
      <c r="AI71" s="494"/>
      <c r="AJ71" s="494"/>
      <c r="AK71" s="494"/>
      <c r="AL71" s="494"/>
      <c r="AM71" s="494"/>
      <c r="AN71" s="494"/>
      <c r="AO71" s="494"/>
      <c r="AP71" s="494"/>
      <c r="AQ71" s="494"/>
      <c r="AR71" s="494"/>
      <c r="AS71" s="494"/>
      <c r="AT71" s="494"/>
      <c r="AU71" s="494"/>
      <c r="AV71" s="494"/>
      <c r="AW71" s="494"/>
      <c r="AX71" s="494"/>
    </row>
    <row r="72" spans="1:50" customFormat="1" x14ac:dyDescent="0.25">
      <c r="A72" s="690" t="s">
        <v>776</v>
      </c>
      <c r="B72" s="690"/>
      <c r="C72" s="690"/>
      <c r="D72" s="690"/>
      <c r="E72" s="690"/>
      <c r="F72" s="690"/>
      <c r="G72" s="690"/>
      <c r="H72" s="690"/>
      <c r="I72" s="690"/>
      <c r="J72" s="690"/>
      <c r="K72" s="690"/>
      <c r="L72" s="690"/>
      <c r="M72" s="690"/>
      <c r="N72" s="690"/>
      <c r="O72" s="690"/>
      <c r="P72" s="690"/>
      <c r="Q72" s="494"/>
      <c r="R72" s="494"/>
      <c r="S72" s="494"/>
      <c r="T72" s="494"/>
      <c r="U72" s="494"/>
      <c r="V72" s="494"/>
      <c r="W72" s="494"/>
      <c r="X72" s="494"/>
      <c r="Y72" s="494"/>
      <c r="Z72" s="494"/>
      <c r="AA72" s="494"/>
      <c r="AB72" s="494"/>
      <c r="AC72" s="494"/>
      <c r="AD72" s="494"/>
      <c r="AE72" s="494"/>
      <c r="AF72" s="494"/>
      <c r="AG72" s="494"/>
      <c r="AH72" s="494"/>
      <c r="AI72" s="494"/>
      <c r="AJ72" s="494"/>
      <c r="AK72" s="494"/>
      <c r="AL72" s="494"/>
      <c r="AM72" s="494"/>
      <c r="AN72" s="494"/>
      <c r="AO72" s="494"/>
      <c r="AP72" s="494"/>
      <c r="AQ72" s="494"/>
      <c r="AR72" s="494"/>
      <c r="AS72" s="494"/>
      <c r="AT72" s="494"/>
      <c r="AU72" s="494"/>
      <c r="AV72" s="494"/>
      <c r="AW72" s="494"/>
      <c r="AX72" s="494"/>
    </row>
    <row r="73" spans="1:50" customFormat="1" ht="135.94999999999999" customHeight="1" x14ac:dyDescent="0.25">
      <c r="A73" s="495" t="s">
        <v>157</v>
      </c>
      <c r="B73" s="692" t="s">
        <v>759</v>
      </c>
      <c r="C73" s="693"/>
      <c r="D73" s="693"/>
      <c r="E73" s="693"/>
      <c r="F73" s="693"/>
      <c r="G73" s="693" t="s">
        <v>777</v>
      </c>
      <c r="H73" s="693"/>
      <c r="I73" s="693"/>
      <c r="J73" s="693"/>
      <c r="K73" s="693" t="s">
        <v>2258</v>
      </c>
      <c r="L73" s="693"/>
      <c r="M73" s="693"/>
      <c r="N73" s="693"/>
      <c r="O73" s="694">
        <f>ROUND((1087300 + 47464 * (0.4 * 10 + 0.6 * (10 / 2))) * 1 * 0.1 * 1.56 * 0.6 * 0.7, 2)</f>
        <v>93008.78</v>
      </c>
      <c r="P73" s="693"/>
      <c r="Q73" s="494"/>
      <c r="R73" s="494"/>
      <c r="S73" s="494"/>
      <c r="T73" s="494"/>
      <c r="U73" s="494"/>
      <c r="V73" s="494"/>
      <c r="W73" s="494"/>
      <c r="X73" s="494"/>
      <c r="Y73" s="494"/>
      <c r="Z73" s="494"/>
      <c r="AA73" s="494"/>
      <c r="AB73" s="494"/>
      <c r="AC73" s="494"/>
      <c r="AD73" s="494"/>
      <c r="AE73" s="494"/>
      <c r="AF73" s="494"/>
      <c r="AG73" s="494"/>
      <c r="AH73" s="494"/>
      <c r="AI73" s="494"/>
      <c r="AJ73" s="494"/>
      <c r="AK73" s="494"/>
      <c r="AL73" s="494"/>
      <c r="AM73" s="494"/>
      <c r="AN73" s="494"/>
      <c r="AO73" s="494"/>
      <c r="AP73" s="494"/>
      <c r="AQ73" s="494"/>
      <c r="AR73" s="494"/>
      <c r="AS73" s="494"/>
      <c r="AT73" s="494"/>
      <c r="AU73" s="494"/>
      <c r="AV73" s="494"/>
      <c r="AW73" s="494"/>
      <c r="AX73" s="494"/>
    </row>
    <row r="74" spans="1:50" customFormat="1" x14ac:dyDescent="0.25">
      <c r="A74" s="496"/>
      <c r="B74" s="695" t="s">
        <v>564</v>
      </c>
      <c r="C74" s="695"/>
      <c r="D74" s="695"/>
      <c r="E74" s="695"/>
      <c r="F74" s="695"/>
      <c r="G74" s="695" t="s">
        <v>15</v>
      </c>
      <c r="H74" s="695"/>
      <c r="I74" s="695"/>
      <c r="J74" s="695"/>
      <c r="K74" s="695" t="s">
        <v>15</v>
      </c>
      <c r="L74" s="695"/>
      <c r="M74" s="695"/>
      <c r="N74" s="695"/>
      <c r="O74" s="695"/>
      <c r="P74" s="695"/>
      <c r="Q74" s="494"/>
      <c r="R74" s="494"/>
      <c r="S74" s="494"/>
      <c r="T74" s="494"/>
      <c r="U74" s="494"/>
      <c r="V74" s="494"/>
      <c r="W74" s="494"/>
      <c r="X74" s="494"/>
      <c r="Y74" s="494"/>
      <c r="Z74" s="494"/>
      <c r="AA74" s="494"/>
      <c r="AB74" s="494"/>
      <c r="AC74" s="494"/>
      <c r="AD74" s="494"/>
      <c r="AE74" s="494"/>
      <c r="AF74" s="494"/>
      <c r="AG74" s="494"/>
      <c r="AH74" s="494"/>
      <c r="AI74" s="494"/>
      <c r="AJ74" s="494"/>
      <c r="AK74" s="494"/>
      <c r="AL74" s="494"/>
      <c r="AM74" s="494"/>
      <c r="AN74" s="494"/>
      <c r="AO74" s="494"/>
      <c r="AP74" s="494"/>
      <c r="AQ74" s="494"/>
      <c r="AR74" s="494"/>
      <c r="AS74" s="494"/>
      <c r="AT74" s="494"/>
      <c r="AU74" s="494"/>
      <c r="AV74" s="494"/>
      <c r="AW74" s="494"/>
      <c r="AX74" s="494"/>
    </row>
    <row r="75" spans="1:50" customFormat="1" x14ac:dyDescent="0.25">
      <c r="A75" s="492"/>
      <c r="B75" s="687" t="s">
        <v>681</v>
      </c>
      <c r="C75" s="687"/>
      <c r="D75" s="687"/>
      <c r="E75" s="687"/>
      <c r="F75" s="687"/>
      <c r="G75" s="687" t="s">
        <v>682</v>
      </c>
      <c r="H75" s="687"/>
      <c r="I75" s="687"/>
      <c r="J75" s="687"/>
      <c r="K75" s="687" t="s">
        <v>15</v>
      </c>
      <c r="L75" s="687"/>
      <c r="M75" s="687"/>
      <c r="N75" s="687"/>
      <c r="O75" s="687"/>
      <c r="P75" s="687"/>
      <c r="Q75" s="494"/>
      <c r="R75" s="494"/>
      <c r="S75" s="494"/>
      <c r="T75" s="494"/>
      <c r="U75" s="494"/>
      <c r="V75" s="494"/>
      <c r="W75" s="494"/>
      <c r="X75" s="494"/>
      <c r="Y75" s="494"/>
      <c r="Z75" s="494"/>
      <c r="AA75" s="494"/>
      <c r="AB75" s="494"/>
      <c r="AC75" s="494"/>
      <c r="AD75" s="494"/>
      <c r="AE75" s="494"/>
      <c r="AF75" s="494"/>
      <c r="AG75" s="494"/>
      <c r="AH75" s="494"/>
      <c r="AI75" s="494"/>
      <c r="AJ75" s="494"/>
      <c r="AK75" s="494"/>
      <c r="AL75" s="494"/>
      <c r="AM75" s="494"/>
      <c r="AN75" s="494"/>
      <c r="AO75" s="494"/>
      <c r="AP75" s="494"/>
      <c r="AQ75" s="494"/>
      <c r="AR75" s="494"/>
      <c r="AS75" s="494"/>
      <c r="AT75" s="494"/>
      <c r="AU75" s="494"/>
      <c r="AV75" s="494"/>
      <c r="AW75" s="494"/>
      <c r="AX75" s="494"/>
    </row>
    <row r="76" spans="1:50" customFormat="1" ht="40.9" customHeight="1" x14ac:dyDescent="0.25">
      <c r="A76" s="492"/>
      <c r="B76" s="687" t="s">
        <v>683</v>
      </c>
      <c r="C76" s="687"/>
      <c r="D76" s="687"/>
      <c r="E76" s="687"/>
      <c r="F76" s="687"/>
      <c r="G76" s="687" t="s">
        <v>684</v>
      </c>
      <c r="H76" s="687"/>
      <c r="I76" s="687"/>
      <c r="J76" s="687"/>
      <c r="K76" s="687" t="s">
        <v>15</v>
      </c>
      <c r="L76" s="687"/>
      <c r="M76" s="687"/>
      <c r="N76" s="687"/>
      <c r="O76" s="687"/>
      <c r="P76" s="687"/>
      <c r="Q76" s="494"/>
      <c r="R76" s="494"/>
      <c r="S76" s="494"/>
      <c r="T76" s="494"/>
      <c r="U76" s="494"/>
      <c r="V76" s="494"/>
      <c r="W76" s="494"/>
      <c r="X76" s="494"/>
      <c r="Y76" s="494"/>
      <c r="Z76" s="494"/>
      <c r="AA76" s="494"/>
      <c r="AB76" s="494"/>
      <c r="AC76" s="494"/>
      <c r="AD76" s="494"/>
      <c r="AE76" s="494"/>
      <c r="AF76" s="494"/>
      <c r="AG76" s="494"/>
      <c r="AH76" s="494"/>
      <c r="AI76" s="494"/>
      <c r="AJ76" s="494"/>
      <c r="AK76" s="494"/>
      <c r="AL76" s="494"/>
      <c r="AM76" s="494"/>
      <c r="AN76" s="494"/>
      <c r="AO76" s="494"/>
      <c r="AP76" s="494"/>
      <c r="AQ76" s="494"/>
      <c r="AR76" s="494"/>
      <c r="AS76" s="494"/>
      <c r="AT76" s="494"/>
      <c r="AU76" s="494"/>
      <c r="AV76" s="494"/>
      <c r="AW76" s="494"/>
      <c r="AX76" s="494"/>
    </row>
    <row r="77" spans="1:50" customFormat="1" ht="95.25" customHeight="1" x14ac:dyDescent="0.25">
      <c r="A77" s="492"/>
      <c r="B77" s="687" t="s">
        <v>778</v>
      </c>
      <c r="C77" s="687"/>
      <c r="D77" s="687"/>
      <c r="E77" s="687"/>
      <c r="F77" s="687"/>
      <c r="G77" s="687" t="s">
        <v>779</v>
      </c>
      <c r="H77" s="687"/>
      <c r="I77" s="687"/>
      <c r="J77" s="687"/>
      <c r="K77" s="687" t="s">
        <v>15</v>
      </c>
      <c r="L77" s="687"/>
      <c r="M77" s="687"/>
      <c r="N77" s="687"/>
      <c r="O77" s="687"/>
      <c r="P77" s="687"/>
      <c r="Q77" s="494"/>
      <c r="R77" s="494"/>
      <c r="S77" s="494"/>
      <c r="T77" s="494"/>
      <c r="U77" s="494"/>
      <c r="V77" s="494"/>
      <c r="W77" s="494"/>
      <c r="X77" s="494"/>
      <c r="Y77" s="494"/>
      <c r="Z77" s="494"/>
      <c r="AA77" s="494"/>
      <c r="AB77" s="494"/>
      <c r="AC77" s="494"/>
      <c r="AD77" s="494"/>
      <c r="AE77" s="494"/>
      <c r="AF77" s="494"/>
      <c r="AG77" s="494"/>
      <c r="AH77" s="494"/>
      <c r="AI77" s="494"/>
      <c r="AJ77" s="494"/>
      <c r="AK77" s="494"/>
      <c r="AL77" s="494"/>
      <c r="AM77" s="494"/>
      <c r="AN77" s="494"/>
      <c r="AO77" s="494"/>
      <c r="AP77" s="494"/>
      <c r="AQ77" s="494"/>
      <c r="AR77" s="494"/>
      <c r="AS77" s="494"/>
      <c r="AT77" s="494"/>
      <c r="AU77" s="494"/>
      <c r="AV77" s="494"/>
      <c r="AW77" s="494"/>
      <c r="AX77" s="494"/>
    </row>
    <row r="78" spans="1:50" customFormat="1" ht="27.2" customHeight="1" x14ac:dyDescent="0.25">
      <c r="A78" s="492"/>
      <c r="B78" s="687" t="s">
        <v>793</v>
      </c>
      <c r="C78" s="687"/>
      <c r="D78" s="687"/>
      <c r="E78" s="687"/>
      <c r="F78" s="687"/>
      <c r="G78" s="687" t="s">
        <v>2253</v>
      </c>
      <c r="H78" s="687"/>
      <c r="I78" s="687"/>
      <c r="J78" s="687"/>
      <c r="K78" s="687" t="s">
        <v>15</v>
      </c>
      <c r="L78" s="687"/>
      <c r="M78" s="687"/>
      <c r="N78" s="687"/>
      <c r="O78" s="687"/>
      <c r="P78" s="687"/>
      <c r="Q78" s="494"/>
      <c r="R78" s="494"/>
      <c r="S78" s="494"/>
      <c r="T78" s="494"/>
      <c r="U78" s="494"/>
      <c r="V78" s="494"/>
      <c r="W78" s="494"/>
      <c r="X78" s="494"/>
      <c r="Y78" s="494"/>
      <c r="Z78" s="494"/>
      <c r="AA78" s="494"/>
      <c r="AB78" s="494"/>
      <c r="AC78" s="494"/>
      <c r="AD78" s="494"/>
      <c r="AE78" s="494"/>
      <c r="AF78" s="494"/>
      <c r="AG78" s="494"/>
      <c r="AH78" s="494"/>
      <c r="AI78" s="494"/>
      <c r="AJ78" s="494"/>
      <c r="AK78" s="494"/>
      <c r="AL78" s="494"/>
      <c r="AM78" s="494"/>
      <c r="AN78" s="494"/>
      <c r="AO78" s="494"/>
      <c r="AP78" s="494"/>
      <c r="AQ78" s="494"/>
      <c r="AR78" s="494"/>
      <c r="AS78" s="494"/>
      <c r="AT78" s="494"/>
      <c r="AU78" s="494"/>
      <c r="AV78" s="494"/>
      <c r="AW78" s="494"/>
      <c r="AX78" s="494"/>
    </row>
    <row r="79" spans="1:50" customFormat="1" x14ac:dyDescent="0.25">
      <c r="A79" s="690" t="s">
        <v>780</v>
      </c>
      <c r="B79" s="690"/>
      <c r="C79" s="690"/>
      <c r="D79" s="690"/>
      <c r="E79" s="690"/>
      <c r="F79" s="690"/>
      <c r="G79" s="690"/>
      <c r="H79" s="690"/>
      <c r="I79" s="690"/>
      <c r="J79" s="690"/>
      <c r="K79" s="690"/>
      <c r="L79" s="690"/>
      <c r="M79" s="690"/>
      <c r="N79" s="690"/>
      <c r="O79" s="690"/>
      <c r="P79" s="690"/>
      <c r="Q79" s="494"/>
      <c r="R79" s="494"/>
      <c r="S79" s="494"/>
      <c r="T79" s="494"/>
      <c r="U79" s="494"/>
      <c r="V79" s="494"/>
      <c r="W79" s="494"/>
      <c r="X79" s="494"/>
      <c r="Y79" s="494"/>
      <c r="Z79" s="494"/>
      <c r="AA79" s="494"/>
      <c r="AB79" s="494"/>
      <c r="AC79" s="494"/>
      <c r="AD79" s="494"/>
      <c r="AE79" s="494"/>
      <c r="AF79" s="494"/>
      <c r="AG79" s="494"/>
      <c r="AH79" s="494"/>
      <c r="AI79" s="494"/>
      <c r="AJ79" s="494"/>
      <c r="AK79" s="494"/>
      <c r="AL79" s="494"/>
      <c r="AM79" s="494"/>
      <c r="AN79" s="494"/>
      <c r="AO79" s="494"/>
      <c r="AP79" s="494"/>
      <c r="AQ79" s="494"/>
      <c r="AR79" s="494"/>
      <c r="AS79" s="494"/>
      <c r="AT79" s="494"/>
      <c r="AU79" s="494"/>
      <c r="AV79" s="494"/>
      <c r="AW79" s="494"/>
      <c r="AX79" s="494"/>
    </row>
    <row r="80" spans="1:50" customFormat="1" ht="95.25" customHeight="1" x14ac:dyDescent="0.25">
      <c r="A80" s="495" t="s">
        <v>161</v>
      </c>
      <c r="B80" s="692" t="s">
        <v>769</v>
      </c>
      <c r="C80" s="693"/>
      <c r="D80" s="693"/>
      <c r="E80" s="693"/>
      <c r="F80" s="693"/>
      <c r="G80" s="693" t="s">
        <v>770</v>
      </c>
      <c r="H80" s="693"/>
      <c r="I80" s="693"/>
      <c r="J80" s="693"/>
      <c r="K80" s="693" t="s">
        <v>2256</v>
      </c>
      <c r="L80" s="693"/>
      <c r="M80" s="693"/>
      <c r="N80" s="693"/>
      <c r="O80" s="694">
        <f>ROUND(990600 * 1 * 1.56 * 0.6 * 0.7, 2)</f>
        <v>649041.12</v>
      </c>
      <c r="P80" s="693"/>
      <c r="Q80" s="494"/>
      <c r="R80" s="494"/>
      <c r="S80" s="494"/>
      <c r="T80" s="494"/>
      <c r="U80" s="494"/>
      <c r="V80" s="494"/>
      <c r="W80" s="494"/>
      <c r="X80" s="494"/>
      <c r="Y80" s="494"/>
      <c r="Z80" s="494"/>
      <c r="AA80" s="494"/>
      <c r="AB80" s="494"/>
      <c r="AC80" s="494"/>
      <c r="AD80" s="494"/>
      <c r="AE80" s="494"/>
      <c r="AF80" s="494"/>
      <c r="AG80" s="494"/>
      <c r="AH80" s="494"/>
      <c r="AI80" s="494"/>
      <c r="AJ80" s="494"/>
      <c r="AK80" s="494"/>
      <c r="AL80" s="494"/>
      <c r="AM80" s="494"/>
      <c r="AN80" s="494"/>
      <c r="AO80" s="494"/>
      <c r="AP80" s="494"/>
      <c r="AQ80" s="494"/>
      <c r="AR80" s="494"/>
      <c r="AS80" s="494"/>
      <c r="AT80" s="494"/>
      <c r="AU80" s="494"/>
      <c r="AV80" s="494"/>
      <c r="AW80" s="494"/>
      <c r="AX80" s="494"/>
    </row>
    <row r="81" spans="1:50" customFormat="1" x14ac:dyDescent="0.25">
      <c r="A81" s="496"/>
      <c r="B81" s="695" t="s">
        <v>564</v>
      </c>
      <c r="C81" s="695"/>
      <c r="D81" s="695"/>
      <c r="E81" s="695"/>
      <c r="F81" s="695"/>
      <c r="G81" s="695" t="s">
        <v>15</v>
      </c>
      <c r="H81" s="695"/>
      <c r="I81" s="695"/>
      <c r="J81" s="695"/>
      <c r="K81" s="695" t="s">
        <v>15</v>
      </c>
      <c r="L81" s="695"/>
      <c r="M81" s="695"/>
      <c r="N81" s="695"/>
      <c r="O81" s="695"/>
      <c r="P81" s="695"/>
      <c r="Q81" s="494"/>
      <c r="R81" s="494"/>
      <c r="S81" s="494"/>
      <c r="T81" s="494"/>
      <c r="U81" s="494"/>
      <c r="V81" s="494"/>
      <c r="W81" s="494"/>
      <c r="X81" s="494"/>
      <c r="Y81" s="494"/>
      <c r="Z81" s="494"/>
      <c r="AA81" s="494"/>
      <c r="AB81" s="494"/>
      <c r="AC81" s="494"/>
      <c r="AD81" s="494"/>
      <c r="AE81" s="494"/>
      <c r="AF81" s="494"/>
      <c r="AG81" s="494"/>
      <c r="AH81" s="494"/>
      <c r="AI81" s="494"/>
      <c r="AJ81" s="494"/>
      <c r="AK81" s="494"/>
      <c r="AL81" s="494"/>
      <c r="AM81" s="494"/>
      <c r="AN81" s="494"/>
      <c r="AO81" s="494"/>
      <c r="AP81" s="494"/>
      <c r="AQ81" s="494"/>
      <c r="AR81" s="494"/>
      <c r="AS81" s="494"/>
      <c r="AT81" s="494"/>
      <c r="AU81" s="494"/>
      <c r="AV81" s="494"/>
      <c r="AW81" s="494"/>
      <c r="AX81" s="494"/>
    </row>
    <row r="82" spans="1:50" customFormat="1" x14ac:dyDescent="0.25">
      <c r="A82" s="492"/>
      <c r="B82" s="687" t="s">
        <v>681</v>
      </c>
      <c r="C82" s="687"/>
      <c r="D82" s="687"/>
      <c r="E82" s="687"/>
      <c r="F82" s="687"/>
      <c r="G82" s="687" t="s">
        <v>682</v>
      </c>
      <c r="H82" s="687"/>
      <c r="I82" s="687"/>
      <c r="J82" s="687"/>
      <c r="K82" s="687" t="s">
        <v>15</v>
      </c>
      <c r="L82" s="687"/>
      <c r="M82" s="687"/>
      <c r="N82" s="687"/>
      <c r="O82" s="687"/>
      <c r="P82" s="687"/>
      <c r="Q82" s="494"/>
      <c r="R82" s="494"/>
      <c r="S82" s="494"/>
      <c r="T82" s="494"/>
      <c r="U82" s="494"/>
      <c r="V82" s="494"/>
      <c r="W82" s="494"/>
      <c r="X82" s="494"/>
      <c r="Y82" s="494"/>
      <c r="Z82" s="494"/>
      <c r="AA82" s="494"/>
      <c r="AB82" s="494"/>
      <c r="AC82" s="494"/>
      <c r="AD82" s="494"/>
      <c r="AE82" s="494"/>
      <c r="AF82" s="494"/>
      <c r="AG82" s="494"/>
      <c r="AH82" s="494"/>
      <c r="AI82" s="494"/>
      <c r="AJ82" s="494"/>
      <c r="AK82" s="494"/>
      <c r="AL82" s="494"/>
      <c r="AM82" s="494"/>
      <c r="AN82" s="494"/>
      <c r="AO82" s="494"/>
      <c r="AP82" s="494"/>
      <c r="AQ82" s="494"/>
      <c r="AR82" s="494"/>
      <c r="AS82" s="494"/>
      <c r="AT82" s="494"/>
      <c r="AU82" s="494"/>
      <c r="AV82" s="494"/>
      <c r="AW82" s="494"/>
      <c r="AX82" s="494"/>
    </row>
    <row r="83" spans="1:50" customFormat="1" ht="40.9" customHeight="1" x14ac:dyDescent="0.25">
      <c r="A83" s="492"/>
      <c r="B83" s="687" t="s">
        <v>683</v>
      </c>
      <c r="C83" s="687"/>
      <c r="D83" s="687"/>
      <c r="E83" s="687"/>
      <c r="F83" s="687"/>
      <c r="G83" s="687" t="s">
        <v>684</v>
      </c>
      <c r="H83" s="687"/>
      <c r="I83" s="687"/>
      <c r="J83" s="687"/>
      <c r="K83" s="687" t="s">
        <v>15</v>
      </c>
      <c r="L83" s="687"/>
      <c r="M83" s="687"/>
      <c r="N83" s="687"/>
      <c r="O83" s="687"/>
      <c r="P83" s="687"/>
      <c r="Q83" s="494"/>
      <c r="R83" s="494"/>
      <c r="S83" s="494"/>
      <c r="T83" s="494"/>
      <c r="U83" s="494"/>
      <c r="V83" s="494"/>
      <c r="W83" s="494"/>
      <c r="X83" s="494"/>
      <c r="Y83" s="494"/>
      <c r="Z83" s="494"/>
      <c r="AA83" s="494"/>
      <c r="AB83" s="494"/>
      <c r="AC83" s="494"/>
      <c r="AD83" s="494"/>
      <c r="AE83" s="494"/>
      <c r="AF83" s="494"/>
      <c r="AG83" s="494"/>
      <c r="AH83" s="494"/>
      <c r="AI83" s="494"/>
      <c r="AJ83" s="494"/>
      <c r="AK83" s="494"/>
      <c r="AL83" s="494"/>
      <c r="AM83" s="494"/>
      <c r="AN83" s="494"/>
      <c r="AO83" s="494"/>
      <c r="AP83" s="494"/>
      <c r="AQ83" s="494"/>
      <c r="AR83" s="494"/>
      <c r="AS83" s="494"/>
      <c r="AT83" s="494"/>
      <c r="AU83" s="494"/>
      <c r="AV83" s="494"/>
      <c r="AW83" s="494"/>
      <c r="AX83" s="494"/>
    </row>
    <row r="84" spans="1:50" customFormat="1" ht="27.2" customHeight="1" x14ac:dyDescent="0.25">
      <c r="A84" s="492"/>
      <c r="B84" s="687" t="s">
        <v>793</v>
      </c>
      <c r="C84" s="687"/>
      <c r="D84" s="687"/>
      <c r="E84" s="687"/>
      <c r="F84" s="687"/>
      <c r="G84" s="687" t="s">
        <v>2253</v>
      </c>
      <c r="H84" s="687"/>
      <c r="I84" s="687"/>
      <c r="J84" s="687"/>
      <c r="K84" s="687" t="s">
        <v>15</v>
      </c>
      <c r="L84" s="687"/>
      <c r="M84" s="687"/>
      <c r="N84" s="687"/>
      <c r="O84" s="687"/>
      <c r="P84" s="687"/>
      <c r="Q84" s="494"/>
      <c r="R84" s="494"/>
      <c r="S84" s="494"/>
      <c r="T84" s="494"/>
      <c r="U84" s="494"/>
      <c r="V84" s="494"/>
      <c r="W84" s="494"/>
      <c r="X84" s="494"/>
      <c r="Y84" s="494"/>
      <c r="Z84" s="494"/>
      <c r="AA84" s="494"/>
      <c r="AB84" s="494"/>
      <c r="AC84" s="494"/>
      <c r="AD84" s="494"/>
      <c r="AE84" s="494"/>
      <c r="AF84" s="494"/>
      <c r="AG84" s="494"/>
      <c r="AH84" s="494"/>
      <c r="AI84" s="494"/>
      <c r="AJ84" s="494"/>
      <c r="AK84" s="494"/>
      <c r="AL84" s="494"/>
      <c r="AM84" s="494"/>
      <c r="AN84" s="494"/>
      <c r="AO84" s="494"/>
      <c r="AP84" s="494"/>
      <c r="AQ84" s="494"/>
      <c r="AR84" s="494"/>
      <c r="AS84" s="494"/>
      <c r="AT84" s="494"/>
      <c r="AU84" s="494"/>
      <c r="AV84" s="494"/>
      <c r="AW84" s="494"/>
      <c r="AX84" s="494"/>
    </row>
    <row r="85" spans="1:50" customFormat="1" x14ac:dyDescent="0.25">
      <c r="A85" s="690" t="s">
        <v>781</v>
      </c>
      <c r="B85" s="690"/>
      <c r="C85" s="690"/>
      <c r="D85" s="690"/>
      <c r="E85" s="690"/>
      <c r="F85" s="690"/>
      <c r="G85" s="690"/>
      <c r="H85" s="690"/>
      <c r="I85" s="690"/>
      <c r="J85" s="690"/>
      <c r="K85" s="690"/>
      <c r="L85" s="690"/>
      <c r="M85" s="690"/>
      <c r="N85" s="690"/>
      <c r="O85" s="690"/>
      <c r="P85" s="690"/>
      <c r="Q85" s="494"/>
      <c r="R85" s="494"/>
      <c r="S85" s="494"/>
      <c r="T85" s="494"/>
      <c r="U85" s="494"/>
      <c r="V85" s="494"/>
      <c r="W85" s="494"/>
      <c r="X85" s="494"/>
      <c r="Y85" s="494"/>
      <c r="Z85" s="494"/>
      <c r="AA85" s="494"/>
      <c r="AB85" s="494"/>
      <c r="AC85" s="494"/>
      <c r="AD85" s="494"/>
      <c r="AE85" s="494"/>
      <c r="AF85" s="494"/>
      <c r="AG85" s="494"/>
      <c r="AH85" s="494"/>
      <c r="AI85" s="494"/>
      <c r="AJ85" s="494"/>
      <c r="AK85" s="494"/>
      <c r="AL85" s="494"/>
      <c r="AM85" s="494"/>
      <c r="AN85" s="494"/>
      <c r="AO85" s="494"/>
      <c r="AP85" s="494"/>
      <c r="AQ85" s="494"/>
      <c r="AR85" s="494"/>
      <c r="AS85" s="494"/>
      <c r="AT85" s="494"/>
      <c r="AU85" s="494"/>
      <c r="AV85" s="494"/>
      <c r="AW85" s="494"/>
      <c r="AX85" s="494"/>
    </row>
    <row r="86" spans="1:50" customFormat="1" ht="135.94999999999999" customHeight="1" x14ac:dyDescent="0.25">
      <c r="A86" s="495" t="s">
        <v>166</v>
      </c>
      <c r="B86" s="692" t="s">
        <v>782</v>
      </c>
      <c r="C86" s="693"/>
      <c r="D86" s="693"/>
      <c r="E86" s="693"/>
      <c r="F86" s="693"/>
      <c r="G86" s="693" t="s">
        <v>783</v>
      </c>
      <c r="H86" s="693"/>
      <c r="I86" s="693"/>
      <c r="J86" s="693"/>
      <c r="K86" s="693" t="s">
        <v>2259</v>
      </c>
      <c r="L86" s="693"/>
      <c r="M86" s="693"/>
      <c r="N86" s="693"/>
      <c r="O86" s="694">
        <f>ROUND((1320800 + 9459 * (0.4 * 7.5 + 0.6 * (7.5 / 2))) * 1 * 0.1 * 1.56 * 0.6 * 0.7, 2)</f>
        <v>89792.52</v>
      </c>
      <c r="P86" s="693"/>
      <c r="Q86" s="494"/>
      <c r="R86" s="494"/>
      <c r="S86" s="494"/>
      <c r="T86" s="494"/>
      <c r="U86" s="494"/>
      <c r="V86" s="494"/>
      <c r="W86" s="494"/>
      <c r="X86" s="494"/>
      <c r="Y86" s="494"/>
      <c r="Z86" s="494"/>
      <c r="AA86" s="494"/>
      <c r="AB86" s="494"/>
      <c r="AC86" s="494"/>
      <c r="AD86" s="494"/>
      <c r="AE86" s="494"/>
      <c r="AF86" s="494"/>
      <c r="AG86" s="494"/>
      <c r="AH86" s="494"/>
      <c r="AI86" s="494"/>
      <c r="AJ86" s="494"/>
      <c r="AK86" s="494"/>
      <c r="AL86" s="494"/>
      <c r="AM86" s="494"/>
      <c r="AN86" s="494"/>
      <c r="AO86" s="494"/>
      <c r="AP86" s="494"/>
      <c r="AQ86" s="494"/>
      <c r="AR86" s="494"/>
      <c r="AS86" s="494"/>
      <c r="AT86" s="494"/>
      <c r="AU86" s="494"/>
      <c r="AV86" s="494"/>
      <c r="AW86" s="494"/>
      <c r="AX86" s="494"/>
    </row>
    <row r="87" spans="1:50" customFormat="1" x14ac:dyDescent="0.25">
      <c r="A87" s="496"/>
      <c r="B87" s="695" t="s">
        <v>564</v>
      </c>
      <c r="C87" s="695"/>
      <c r="D87" s="695"/>
      <c r="E87" s="695"/>
      <c r="F87" s="695"/>
      <c r="G87" s="695" t="s">
        <v>15</v>
      </c>
      <c r="H87" s="695"/>
      <c r="I87" s="695"/>
      <c r="J87" s="695"/>
      <c r="K87" s="695" t="s">
        <v>15</v>
      </c>
      <c r="L87" s="695"/>
      <c r="M87" s="695"/>
      <c r="N87" s="695"/>
      <c r="O87" s="695"/>
      <c r="P87" s="695"/>
      <c r="Q87" s="494"/>
      <c r="R87" s="494"/>
      <c r="S87" s="494"/>
      <c r="T87" s="494"/>
      <c r="U87" s="494"/>
      <c r="V87" s="494"/>
      <c r="W87" s="494"/>
      <c r="X87" s="494"/>
      <c r="Y87" s="494"/>
      <c r="Z87" s="494"/>
      <c r="AA87" s="494"/>
      <c r="AB87" s="494"/>
      <c r="AC87" s="494"/>
      <c r="AD87" s="494"/>
      <c r="AE87" s="494"/>
      <c r="AF87" s="494"/>
      <c r="AG87" s="494"/>
      <c r="AH87" s="494"/>
      <c r="AI87" s="494"/>
      <c r="AJ87" s="494"/>
      <c r="AK87" s="494"/>
      <c r="AL87" s="494"/>
      <c r="AM87" s="494"/>
      <c r="AN87" s="494"/>
      <c r="AO87" s="494"/>
      <c r="AP87" s="494"/>
      <c r="AQ87" s="494"/>
      <c r="AR87" s="494"/>
      <c r="AS87" s="494"/>
      <c r="AT87" s="494"/>
      <c r="AU87" s="494"/>
      <c r="AV87" s="494"/>
      <c r="AW87" s="494"/>
      <c r="AX87" s="494"/>
    </row>
    <row r="88" spans="1:50" customFormat="1" x14ac:dyDescent="0.25">
      <c r="A88" s="492"/>
      <c r="B88" s="687" t="s">
        <v>681</v>
      </c>
      <c r="C88" s="687"/>
      <c r="D88" s="687"/>
      <c r="E88" s="687"/>
      <c r="F88" s="687"/>
      <c r="G88" s="687" t="s">
        <v>682</v>
      </c>
      <c r="H88" s="687"/>
      <c r="I88" s="687"/>
      <c r="J88" s="687"/>
      <c r="K88" s="687" t="s">
        <v>15</v>
      </c>
      <c r="L88" s="687"/>
      <c r="M88" s="687"/>
      <c r="N88" s="687"/>
      <c r="O88" s="687"/>
      <c r="P88" s="687"/>
      <c r="Q88" s="494"/>
      <c r="R88" s="494"/>
      <c r="S88" s="494"/>
      <c r="T88" s="494"/>
      <c r="U88" s="494"/>
      <c r="V88" s="494"/>
      <c r="W88" s="494"/>
      <c r="X88" s="494"/>
      <c r="Y88" s="494"/>
      <c r="Z88" s="494"/>
      <c r="AA88" s="494"/>
      <c r="AB88" s="494"/>
      <c r="AC88" s="494"/>
      <c r="AD88" s="494"/>
      <c r="AE88" s="494"/>
      <c r="AF88" s="494"/>
      <c r="AG88" s="494"/>
      <c r="AH88" s="494"/>
      <c r="AI88" s="494"/>
      <c r="AJ88" s="494"/>
      <c r="AK88" s="494"/>
      <c r="AL88" s="494"/>
      <c r="AM88" s="494"/>
      <c r="AN88" s="494"/>
      <c r="AO88" s="494"/>
      <c r="AP88" s="494"/>
      <c r="AQ88" s="494"/>
      <c r="AR88" s="494"/>
      <c r="AS88" s="494"/>
      <c r="AT88" s="494"/>
      <c r="AU88" s="494"/>
      <c r="AV88" s="494"/>
      <c r="AW88" s="494"/>
      <c r="AX88" s="494"/>
    </row>
    <row r="89" spans="1:50" customFormat="1" ht="40.9" customHeight="1" x14ac:dyDescent="0.25">
      <c r="A89" s="492"/>
      <c r="B89" s="687" t="s">
        <v>683</v>
      </c>
      <c r="C89" s="687"/>
      <c r="D89" s="687"/>
      <c r="E89" s="687"/>
      <c r="F89" s="687"/>
      <c r="G89" s="687" t="s">
        <v>684</v>
      </c>
      <c r="H89" s="687"/>
      <c r="I89" s="687"/>
      <c r="J89" s="687"/>
      <c r="K89" s="687" t="s">
        <v>15</v>
      </c>
      <c r="L89" s="687"/>
      <c r="M89" s="687"/>
      <c r="N89" s="687"/>
      <c r="O89" s="687"/>
      <c r="P89" s="687"/>
      <c r="Q89" s="494"/>
      <c r="R89" s="494"/>
      <c r="S89" s="494"/>
      <c r="T89" s="494"/>
      <c r="U89" s="494"/>
      <c r="V89" s="494"/>
      <c r="W89" s="494"/>
      <c r="X89" s="494"/>
      <c r="Y89" s="494"/>
      <c r="Z89" s="494"/>
      <c r="AA89" s="494"/>
      <c r="AB89" s="494"/>
      <c r="AC89" s="494"/>
      <c r="AD89" s="494"/>
      <c r="AE89" s="494"/>
      <c r="AF89" s="494"/>
      <c r="AG89" s="494"/>
      <c r="AH89" s="494"/>
      <c r="AI89" s="494"/>
      <c r="AJ89" s="494"/>
      <c r="AK89" s="494"/>
      <c r="AL89" s="494"/>
      <c r="AM89" s="494"/>
      <c r="AN89" s="494"/>
      <c r="AO89" s="494"/>
      <c r="AP89" s="494"/>
      <c r="AQ89" s="494"/>
      <c r="AR89" s="494"/>
      <c r="AS89" s="494"/>
      <c r="AT89" s="494"/>
      <c r="AU89" s="494"/>
      <c r="AV89" s="494"/>
      <c r="AW89" s="494"/>
      <c r="AX89" s="494"/>
    </row>
    <row r="90" spans="1:50" customFormat="1" ht="95.25" customHeight="1" x14ac:dyDescent="0.25">
      <c r="A90" s="492"/>
      <c r="B90" s="687" t="s">
        <v>778</v>
      </c>
      <c r="C90" s="687"/>
      <c r="D90" s="687"/>
      <c r="E90" s="687"/>
      <c r="F90" s="687"/>
      <c r="G90" s="687" t="s">
        <v>779</v>
      </c>
      <c r="H90" s="687"/>
      <c r="I90" s="687"/>
      <c r="J90" s="687"/>
      <c r="K90" s="687" t="s">
        <v>15</v>
      </c>
      <c r="L90" s="687"/>
      <c r="M90" s="687"/>
      <c r="N90" s="687"/>
      <c r="O90" s="687"/>
      <c r="P90" s="687"/>
      <c r="Q90" s="494"/>
      <c r="R90" s="494"/>
      <c r="S90" s="494"/>
      <c r="T90" s="494"/>
      <c r="U90" s="494"/>
      <c r="V90" s="494"/>
      <c r="W90" s="494"/>
      <c r="X90" s="494"/>
      <c r="Y90" s="494"/>
      <c r="Z90" s="494"/>
      <c r="AA90" s="494"/>
      <c r="AB90" s="494"/>
      <c r="AC90" s="494"/>
      <c r="AD90" s="494"/>
      <c r="AE90" s="494"/>
      <c r="AF90" s="494"/>
      <c r="AG90" s="494"/>
      <c r="AH90" s="494"/>
      <c r="AI90" s="494"/>
      <c r="AJ90" s="494"/>
      <c r="AK90" s="494"/>
      <c r="AL90" s="494"/>
      <c r="AM90" s="494"/>
      <c r="AN90" s="494"/>
      <c r="AO90" s="494"/>
      <c r="AP90" s="494"/>
      <c r="AQ90" s="494"/>
      <c r="AR90" s="494"/>
      <c r="AS90" s="494"/>
      <c r="AT90" s="494"/>
      <c r="AU90" s="494"/>
      <c r="AV90" s="494"/>
      <c r="AW90" s="494"/>
      <c r="AX90" s="494"/>
    </row>
    <row r="91" spans="1:50" customFormat="1" ht="27.2" customHeight="1" x14ac:dyDescent="0.25">
      <c r="A91" s="492"/>
      <c r="B91" s="687" t="s">
        <v>793</v>
      </c>
      <c r="C91" s="687"/>
      <c r="D91" s="687"/>
      <c r="E91" s="687"/>
      <c r="F91" s="687"/>
      <c r="G91" s="687" t="s">
        <v>2253</v>
      </c>
      <c r="H91" s="687"/>
      <c r="I91" s="687"/>
      <c r="J91" s="687"/>
      <c r="K91" s="687" t="s">
        <v>15</v>
      </c>
      <c r="L91" s="687"/>
      <c r="M91" s="687"/>
      <c r="N91" s="687"/>
      <c r="O91" s="687"/>
      <c r="P91" s="687"/>
      <c r="Q91" s="494"/>
      <c r="R91" s="494"/>
      <c r="S91" s="494"/>
      <c r="T91" s="494"/>
      <c r="U91" s="494"/>
      <c r="V91" s="494"/>
      <c r="W91" s="494"/>
      <c r="X91" s="494"/>
      <c r="Y91" s="494"/>
      <c r="Z91" s="494"/>
      <c r="AA91" s="494"/>
      <c r="AB91" s="494"/>
      <c r="AC91" s="494"/>
      <c r="AD91" s="494"/>
      <c r="AE91" s="494"/>
      <c r="AF91" s="494"/>
      <c r="AG91" s="494"/>
      <c r="AH91" s="494"/>
      <c r="AI91" s="494"/>
      <c r="AJ91" s="494"/>
      <c r="AK91" s="494"/>
      <c r="AL91" s="494"/>
      <c r="AM91" s="494"/>
      <c r="AN91" s="494"/>
      <c r="AO91" s="494"/>
      <c r="AP91" s="494"/>
      <c r="AQ91" s="494"/>
      <c r="AR91" s="494"/>
      <c r="AS91" s="494"/>
      <c r="AT91" s="494"/>
      <c r="AU91" s="494"/>
      <c r="AV91" s="494"/>
      <c r="AW91" s="494"/>
      <c r="AX91" s="494"/>
    </row>
    <row r="92" spans="1:50" customFormat="1" x14ac:dyDescent="0.25">
      <c r="A92" s="690" t="s">
        <v>784</v>
      </c>
      <c r="B92" s="690"/>
      <c r="C92" s="690"/>
      <c r="D92" s="690"/>
      <c r="E92" s="690"/>
      <c r="F92" s="690"/>
      <c r="G92" s="690"/>
      <c r="H92" s="690"/>
      <c r="I92" s="690"/>
      <c r="J92" s="690"/>
      <c r="K92" s="690"/>
      <c r="L92" s="690"/>
      <c r="M92" s="690"/>
      <c r="N92" s="690"/>
      <c r="O92" s="690"/>
      <c r="P92" s="690"/>
      <c r="Q92" s="494"/>
      <c r="R92" s="494"/>
      <c r="S92" s="494"/>
      <c r="T92" s="494"/>
      <c r="U92" s="494"/>
      <c r="V92" s="494"/>
      <c r="W92" s="494"/>
      <c r="X92" s="494"/>
      <c r="Y92" s="494"/>
      <c r="Z92" s="494"/>
      <c r="AA92" s="494"/>
      <c r="AB92" s="494"/>
      <c r="AC92" s="494"/>
      <c r="AD92" s="494"/>
      <c r="AE92" s="494"/>
      <c r="AF92" s="494"/>
      <c r="AG92" s="494"/>
      <c r="AH92" s="494"/>
      <c r="AI92" s="494"/>
      <c r="AJ92" s="494"/>
      <c r="AK92" s="494"/>
      <c r="AL92" s="494"/>
      <c r="AM92" s="494"/>
      <c r="AN92" s="494"/>
      <c r="AO92" s="494"/>
      <c r="AP92" s="494"/>
      <c r="AQ92" s="494"/>
      <c r="AR92" s="494"/>
      <c r="AS92" s="494"/>
      <c r="AT92" s="494"/>
      <c r="AU92" s="494"/>
      <c r="AV92" s="494"/>
      <c r="AW92" s="494"/>
      <c r="AX92" s="494"/>
    </row>
    <row r="93" spans="1:50" customFormat="1" ht="135.94999999999999" customHeight="1" x14ac:dyDescent="0.25">
      <c r="A93" s="495" t="s">
        <v>171</v>
      </c>
      <c r="B93" s="692" t="s">
        <v>785</v>
      </c>
      <c r="C93" s="693"/>
      <c r="D93" s="693"/>
      <c r="E93" s="693"/>
      <c r="F93" s="693"/>
      <c r="G93" s="693" t="s">
        <v>786</v>
      </c>
      <c r="H93" s="693"/>
      <c r="I93" s="693"/>
      <c r="J93" s="693"/>
      <c r="K93" s="693" t="s">
        <v>2260</v>
      </c>
      <c r="L93" s="693"/>
      <c r="M93" s="693"/>
      <c r="N93" s="693"/>
      <c r="O93" s="694">
        <f>ROUND((415600 + 32687 * (0.4 * 7.5 + 0.6 * (7.5 / 2))) * 1 * 0.1 * 1.56 * 0.6 * 0.7, 2)</f>
        <v>38473.79</v>
      </c>
      <c r="P93" s="693"/>
      <c r="Q93" s="494"/>
      <c r="R93" s="494"/>
      <c r="S93" s="494"/>
      <c r="T93" s="494"/>
      <c r="U93" s="494"/>
      <c r="V93" s="494"/>
      <c r="W93" s="494"/>
      <c r="X93" s="494"/>
      <c r="Y93" s="494"/>
      <c r="Z93" s="494"/>
      <c r="AA93" s="494"/>
      <c r="AB93" s="494"/>
      <c r="AC93" s="494"/>
      <c r="AD93" s="494"/>
      <c r="AE93" s="494"/>
      <c r="AF93" s="494"/>
      <c r="AG93" s="494"/>
      <c r="AH93" s="494"/>
      <c r="AI93" s="494"/>
      <c r="AJ93" s="494"/>
      <c r="AK93" s="494"/>
      <c r="AL93" s="494"/>
      <c r="AM93" s="494"/>
      <c r="AN93" s="494"/>
      <c r="AO93" s="494"/>
      <c r="AP93" s="494"/>
      <c r="AQ93" s="494"/>
      <c r="AR93" s="494"/>
      <c r="AS93" s="494"/>
      <c r="AT93" s="494"/>
      <c r="AU93" s="494"/>
      <c r="AV93" s="494"/>
      <c r="AW93" s="494"/>
      <c r="AX93" s="494"/>
    </row>
    <row r="94" spans="1:50" customFormat="1" x14ac:dyDescent="0.25">
      <c r="A94" s="496"/>
      <c r="B94" s="695" t="s">
        <v>564</v>
      </c>
      <c r="C94" s="695"/>
      <c r="D94" s="695"/>
      <c r="E94" s="695"/>
      <c r="F94" s="695"/>
      <c r="G94" s="695" t="s">
        <v>15</v>
      </c>
      <c r="H94" s="695"/>
      <c r="I94" s="695"/>
      <c r="J94" s="695"/>
      <c r="K94" s="695" t="s">
        <v>15</v>
      </c>
      <c r="L94" s="695"/>
      <c r="M94" s="695"/>
      <c r="N94" s="695"/>
      <c r="O94" s="695"/>
      <c r="P94" s="695"/>
      <c r="Q94" s="494"/>
      <c r="R94" s="494"/>
      <c r="S94" s="494"/>
      <c r="T94" s="494"/>
      <c r="U94" s="494"/>
      <c r="V94" s="494"/>
      <c r="W94" s="494"/>
      <c r="X94" s="494"/>
      <c r="Y94" s="494"/>
      <c r="Z94" s="494"/>
      <c r="AA94" s="494"/>
      <c r="AB94" s="494"/>
      <c r="AC94" s="494"/>
      <c r="AD94" s="494"/>
      <c r="AE94" s="494"/>
      <c r="AF94" s="494"/>
      <c r="AG94" s="494"/>
      <c r="AH94" s="494"/>
      <c r="AI94" s="494"/>
      <c r="AJ94" s="494"/>
      <c r="AK94" s="494"/>
      <c r="AL94" s="494"/>
      <c r="AM94" s="494"/>
      <c r="AN94" s="494"/>
      <c r="AO94" s="494"/>
      <c r="AP94" s="494"/>
      <c r="AQ94" s="494"/>
      <c r="AR94" s="494"/>
      <c r="AS94" s="494"/>
      <c r="AT94" s="494"/>
      <c r="AU94" s="494"/>
      <c r="AV94" s="494"/>
      <c r="AW94" s="494"/>
      <c r="AX94" s="494"/>
    </row>
    <row r="95" spans="1:50" customFormat="1" x14ac:dyDescent="0.25">
      <c r="A95" s="492"/>
      <c r="B95" s="687" t="s">
        <v>681</v>
      </c>
      <c r="C95" s="687"/>
      <c r="D95" s="687"/>
      <c r="E95" s="687"/>
      <c r="F95" s="687"/>
      <c r="G95" s="687" t="s">
        <v>682</v>
      </c>
      <c r="H95" s="687"/>
      <c r="I95" s="687"/>
      <c r="J95" s="687"/>
      <c r="K95" s="687" t="s">
        <v>15</v>
      </c>
      <c r="L95" s="687"/>
      <c r="M95" s="687"/>
      <c r="N95" s="687"/>
      <c r="O95" s="687"/>
      <c r="P95" s="687"/>
      <c r="Q95" s="494"/>
      <c r="R95" s="494"/>
      <c r="S95" s="494"/>
      <c r="T95" s="494"/>
      <c r="U95" s="494"/>
      <c r="V95" s="494"/>
      <c r="W95" s="494"/>
      <c r="X95" s="494"/>
      <c r="Y95" s="494"/>
      <c r="Z95" s="494"/>
      <c r="AA95" s="494"/>
      <c r="AB95" s="494"/>
      <c r="AC95" s="494"/>
      <c r="AD95" s="494"/>
      <c r="AE95" s="494"/>
      <c r="AF95" s="494"/>
      <c r="AG95" s="494"/>
      <c r="AH95" s="494"/>
      <c r="AI95" s="494"/>
      <c r="AJ95" s="494"/>
      <c r="AK95" s="494"/>
      <c r="AL95" s="494"/>
      <c r="AM95" s="494"/>
      <c r="AN95" s="494"/>
      <c r="AO95" s="494"/>
      <c r="AP95" s="494"/>
      <c r="AQ95" s="494"/>
      <c r="AR95" s="494"/>
      <c r="AS95" s="494"/>
      <c r="AT95" s="494"/>
      <c r="AU95" s="494"/>
      <c r="AV95" s="494"/>
      <c r="AW95" s="494"/>
      <c r="AX95" s="494"/>
    </row>
    <row r="96" spans="1:50" customFormat="1" ht="40.9" customHeight="1" x14ac:dyDescent="0.25">
      <c r="A96" s="492"/>
      <c r="B96" s="687" t="s">
        <v>683</v>
      </c>
      <c r="C96" s="687"/>
      <c r="D96" s="687"/>
      <c r="E96" s="687"/>
      <c r="F96" s="687"/>
      <c r="G96" s="687" t="s">
        <v>684</v>
      </c>
      <c r="H96" s="687"/>
      <c r="I96" s="687"/>
      <c r="J96" s="687"/>
      <c r="K96" s="687" t="s">
        <v>15</v>
      </c>
      <c r="L96" s="687"/>
      <c r="M96" s="687"/>
      <c r="N96" s="687"/>
      <c r="O96" s="687"/>
      <c r="P96" s="687"/>
      <c r="Q96" s="494"/>
      <c r="R96" s="494"/>
      <c r="S96" s="494"/>
      <c r="T96" s="494"/>
      <c r="U96" s="494"/>
      <c r="V96" s="494"/>
      <c r="W96" s="494"/>
      <c r="X96" s="494"/>
      <c r="Y96" s="494"/>
      <c r="Z96" s="494"/>
      <c r="AA96" s="494"/>
      <c r="AB96" s="494"/>
      <c r="AC96" s="494"/>
      <c r="AD96" s="494"/>
      <c r="AE96" s="494"/>
      <c r="AF96" s="494"/>
      <c r="AG96" s="494"/>
      <c r="AH96" s="494"/>
      <c r="AI96" s="494"/>
      <c r="AJ96" s="494"/>
      <c r="AK96" s="494"/>
      <c r="AL96" s="494"/>
      <c r="AM96" s="494"/>
      <c r="AN96" s="494"/>
      <c r="AO96" s="494"/>
      <c r="AP96" s="494"/>
      <c r="AQ96" s="494"/>
      <c r="AR96" s="494"/>
      <c r="AS96" s="494"/>
      <c r="AT96" s="494"/>
      <c r="AU96" s="494"/>
      <c r="AV96" s="494"/>
      <c r="AW96" s="494"/>
      <c r="AX96" s="494"/>
    </row>
    <row r="97" spans="1:50" customFormat="1" ht="95.25" customHeight="1" x14ac:dyDescent="0.25">
      <c r="A97" s="492"/>
      <c r="B97" s="687" t="s">
        <v>778</v>
      </c>
      <c r="C97" s="687"/>
      <c r="D97" s="687"/>
      <c r="E97" s="687"/>
      <c r="F97" s="687"/>
      <c r="G97" s="687" t="s">
        <v>779</v>
      </c>
      <c r="H97" s="687"/>
      <c r="I97" s="687"/>
      <c r="J97" s="687"/>
      <c r="K97" s="687" t="s">
        <v>15</v>
      </c>
      <c r="L97" s="687"/>
      <c r="M97" s="687"/>
      <c r="N97" s="687"/>
      <c r="O97" s="687"/>
      <c r="P97" s="687"/>
      <c r="Q97" s="494"/>
      <c r="R97" s="494"/>
      <c r="S97" s="494"/>
      <c r="T97" s="494"/>
      <c r="U97" s="494"/>
      <c r="V97" s="494"/>
      <c r="W97" s="494"/>
      <c r="X97" s="494"/>
      <c r="Y97" s="494"/>
      <c r="Z97" s="494"/>
      <c r="AA97" s="494"/>
      <c r="AB97" s="494"/>
      <c r="AC97" s="494"/>
      <c r="AD97" s="494"/>
      <c r="AE97" s="494"/>
      <c r="AF97" s="494"/>
      <c r="AG97" s="494"/>
      <c r="AH97" s="494"/>
      <c r="AI97" s="494"/>
      <c r="AJ97" s="494"/>
      <c r="AK97" s="494"/>
      <c r="AL97" s="494"/>
      <c r="AM97" s="494"/>
      <c r="AN97" s="494"/>
      <c r="AO97" s="494"/>
      <c r="AP97" s="494"/>
      <c r="AQ97" s="494"/>
      <c r="AR97" s="494"/>
      <c r="AS97" s="494"/>
      <c r="AT97" s="494"/>
      <c r="AU97" s="494"/>
      <c r="AV97" s="494"/>
      <c r="AW97" s="494"/>
      <c r="AX97" s="494"/>
    </row>
    <row r="98" spans="1:50" customFormat="1" ht="27.2" customHeight="1" x14ac:dyDescent="0.25">
      <c r="A98" s="492"/>
      <c r="B98" s="687" t="s">
        <v>793</v>
      </c>
      <c r="C98" s="687"/>
      <c r="D98" s="687"/>
      <c r="E98" s="687"/>
      <c r="F98" s="687"/>
      <c r="G98" s="687" t="s">
        <v>2253</v>
      </c>
      <c r="H98" s="687"/>
      <c r="I98" s="687"/>
      <c r="J98" s="687"/>
      <c r="K98" s="687" t="s">
        <v>15</v>
      </c>
      <c r="L98" s="687"/>
      <c r="M98" s="687"/>
      <c r="N98" s="687"/>
      <c r="O98" s="687"/>
      <c r="P98" s="687"/>
      <c r="Q98" s="494"/>
      <c r="R98" s="494"/>
      <c r="S98" s="494"/>
      <c r="T98" s="494"/>
      <c r="U98" s="494"/>
      <c r="V98" s="494"/>
      <c r="W98" s="494"/>
      <c r="X98" s="494"/>
      <c r="Y98" s="494"/>
      <c r="Z98" s="494"/>
      <c r="AA98" s="494"/>
      <c r="AB98" s="494"/>
      <c r="AC98" s="494"/>
      <c r="AD98" s="494"/>
      <c r="AE98" s="494"/>
      <c r="AF98" s="494"/>
      <c r="AG98" s="494"/>
      <c r="AH98" s="494"/>
      <c r="AI98" s="494"/>
      <c r="AJ98" s="494"/>
      <c r="AK98" s="494"/>
      <c r="AL98" s="494"/>
      <c r="AM98" s="494"/>
      <c r="AN98" s="494"/>
      <c r="AO98" s="494"/>
      <c r="AP98" s="494"/>
      <c r="AQ98" s="494"/>
      <c r="AR98" s="494"/>
      <c r="AS98" s="494"/>
      <c r="AT98" s="494"/>
      <c r="AU98" s="494"/>
      <c r="AV98" s="494"/>
      <c r="AW98" s="494"/>
      <c r="AX98" s="494"/>
    </row>
    <row r="99" spans="1:50" customFormat="1" x14ac:dyDescent="0.25">
      <c r="A99" s="690" t="s">
        <v>787</v>
      </c>
      <c r="B99" s="690"/>
      <c r="C99" s="690"/>
      <c r="D99" s="690"/>
      <c r="E99" s="690"/>
      <c r="F99" s="690"/>
      <c r="G99" s="690"/>
      <c r="H99" s="690"/>
      <c r="I99" s="690"/>
      <c r="J99" s="690"/>
      <c r="K99" s="690"/>
      <c r="L99" s="690"/>
      <c r="M99" s="690"/>
      <c r="N99" s="690"/>
      <c r="O99" s="690"/>
      <c r="P99" s="690"/>
      <c r="Q99" s="494"/>
      <c r="R99" s="494"/>
      <c r="S99" s="494"/>
      <c r="T99" s="494"/>
      <c r="U99" s="494"/>
      <c r="V99" s="494"/>
      <c r="W99" s="494"/>
      <c r="X99" s="494"/>
      <c r="Y99" s="494"/>
      <c r="Z99" s="494"/>
      <c r="AA99" s="494"/>
      <c r="AB99" s="494"/>
      <c r="AC99" s="494"/>
      <c r="AD99" s="494"/>
      <c r="AE99" s="494"/>
      <c r="AF99" s="494"/>
      <c r="AG99" s="494"/>
      <c r="AH99" s="494"/>
      <c r="AI99" s="494"/>
      <c r="AJ99" s="494"/>
      <c r="AK99" s="494"/>
      <c r="AL99" s="494"/>
      <c r="AM99" s="494"/>
      <c r="AN99" s="494"/>
      <c r="AO99" s="494"/>
      <c r="AP99" s="494"/>
      <c r="AQ99" s="494"/>
      <c r="AR99" s="494"/>
      <c r="AS99" s="494"/>
      <c r="AT99" s="494"/>
      <c r="AU99" s="494"/>
      <c r="AV99" s="494"/>
      <c r="AW99" s="494"/>
      <c r="AX99" s="494"/>
    </row>
    <row r="100" spans="1:50" customFormat="1" ht="135.94999999999999" customHeight="1" x14ac:dyDescent="0.25">
      <c r="A100" s="495" t="s">
        <v>183</v>
      </c>
      <c r="B100" s="692" t="s">
        <v>788</v>
      </c>
      <c r="C100" s="693"/>
      <c r="D100" s="693"/>
      <c r="E100" s="693"/>
      <c r="F100" s="693"/>
      <c r="G100" s="693" t="s">
        <v>789</v>
      </c>
      <c r="H100" s="693"/>
      <c r="I100" s="693"/>
      <c r="J100" s="693"/>
      <c r="K100" s="693" t="s">
        <v>2261</v>
      </c>
      <c r="L100" s="693"/>
      <c r="M100" s="693"/>
      <c r="N100" s="693"/>
      <c r="O100" s="694">
        <f>ROUND((51600 + 33004 * (0.4 * 100 + 0.6 * 220)) * 1 * 1.56 * 0.6 * 0.7, 2)</f>
        <v>3753174.3</v>
      </c>
      <c r="P100" s="693"/>
      <c r="Q100" s="494"/>
      <c r="R100" s="494"/>
      <c r="S100" s="494"/>
      <c r="T100" s="494"/>
      <c r="U100" s="494"/>
      <c r="V100" s="494"/>
      <c r="W100" s="494"/>
      <c r="X100" s="494"/>
      <c r="Y100" s="494"/>
      <c r="Z100" s="494"/>
      <c r="AA100" s="494"/>
      <c r="AB100" s="494"/>
      <c r="AC100" s="494"/>
      <c r="AD100" s="494"/>
      <c r="AE100" s="494"/>
      <c r="AF100" s="494"/>
      <c r="AG100" s="494"/>
      <c r="AH100" s="494"/>
      <c r="AI100" s="494"/>
      <c r="AJ100" s="494"/>
      <c r="AK100" s="494"/>
      <c r="AL100" s="494"/>
      <c r="AM100" s="494"/>
      <c r="AN100" s="494"/>
      <c r="AO100" s="494"/>
      <c r="AP100" s="494"/>
      <c r="AQ100" s="494"/>
      <c r="AR100" s="494"/>
      <c r="AS100" s="494"/>
      <c r="AT100" s="494"/>
      <c r="AU100" s="494"/>
      <c r="AV100" s="494"/>
      <c r="AW100" s="494"/>
      <c r="AX100" s="494"/>
    </row>
    <row r="101" spans="1:50" customFormat="1" x14ac:dyDescent="0.25">
      <c r="A101" s="496"/>
      <c r="B101" s="695" t="s">
        <v>564</v>
      </c>
      <c r="C101" s="695"/>
      <c r="D101" s="695"/>
      <c r="E101" s="695"/>
      <c r="F101" s="695"/>
      <c r="G101" s="695" t="s">
        <v>15</v>
      </c>
      <c r="H101" s="695"/>
      <c r="I101" s="695"/>
      <c r="J101" s="695"/>
      <c r="K101" s="695" t="s">
        <v>15</v>
      </c>
      <c r="L101" s="695"/>
      <c r="M101" s="695"/>
      <c r="N101" s="695"/>
      <c r="O101" s="695"/>
      <c r="P101" s="695"/>
      <c r="Q101" s="494"/>
      <c r="R101" s="494"/>
      <c r="S101" s="494"/>
      <c r="T101" s="494"/>
      <c r="U101" s="494"/>
      <c r="V101" s="494"/>
      <c r="W101" s="494"/>
      <c r="X101" s="494"/>
      <c r="Y101" s="494"/>
      <c r="Z101" s="494"/>
      <c r="AA101" s="494"/>
      <c r="AB101" s="494"/>
      <c r="AC101" s="494"/>
      <c r="AD101" s="494"/>
      <c r="AE101" s="494"/>
      <c r="AF101" s="494"/>
      <c r="AG101" s="494"/>
      <c r="AH101" s="494"/>
      <c r="AI101" s="494"/>
      <c r="AJ101" s="494"/>
      <c r="AK101" s="494"/>
      <c r="AL101" s="494"/>
      <c r="AM101" s="494"/>
      <c r="AN101" s="494"/>
      <c r="AO101" s="494"/>
      <c r="AP101" s="494"/>
      <c r="AQ101" s="494"/>
      <c r="AR101" s="494"/>
      <c r="AS101" s="494"/>
      <c r="AT101" s="494"/>
      <c r="AU101" s="494"/>
      <c r="AV101" s="494"/>
      <c r="AW101" s="494"/>
      <c r="AX101" s="494"/>
    </row>
    <row r="102" spans="1:50" customFormat="1" x14ac:dyDescent="0.25">
      <c r="A102" s="492"/>
      <c r="B102" s="687" t="s">
        <v>681</v>
      </c>
      <c r="C102" s="687"/>
      <c r="D102" s="687"/>
      <c r="E102" s="687"/>
      <c r="F102" s="687"/>
      <c r="G102" s="687" t="s">
        <v>682</v>
      </c>
      <c r="H102" s="687"/>
      <c r="I102" s="687"/>
      <c r="J102" s="687"/>
      <c r="K102" s="687" t="s">
        <v>15</v>
      </c>
      <c r="L102" s="687"/>
      <c r="M102" s="687"/>
      <c r="N102" s="687"/>
      <c r="O102" s="687"/>
      <c r="P102" s="687"/>
      <c r="Q102" s="494"/>
      <c r="R102" s="494"/>
      <c r="S102" s="494"/>
      <c r="T102" s="494"/>
      <c r="U102" s="494"/>
      <c r="V102" s="494"/>
      <c r="W102" s="494"/>
      <c r="X102" s="494"/>
      <c r="Y102" s="494"/>
      <c r="Z102" s="494"/>
      <c r="AA102" s="494"/>
      <c r="AB102" s="494"/>
      <c r="AC102" s="494"/>
      <c r="AD102" s="494"/>
      <c r="AE102" s="494"/>
      <c r="AF102" s="494"/>
      <c r="AG102" s="494"/>
      <c r="AH102" s="494"/>
      <c r="AI102" s="494"/>
      <c r="AJ102" s="494"/>
      <c r="AK102" s="494"/>
      <c r="AL102" s="494"/>
      <c r="AM102" s="494"/>
      <c r="AN102" s="494"/>
      <c r="AO102" s="494"/>
      <c r="AP102" s="494"/>
      <c r="AQ102" s="494"/>
      <c r="AR102" s="494"/>
      <c r="AS102" s="494"/>
      <c r="AT102" s="494"/>
      <c r="AU102" s="494"/>
      <c r="AV102" s="494"/>
      <c r="AW102" s="494"/>
      <c r="AX102" s="494"/>
    </row>
    <row r="103" spans="1:50" customFormat="1" ht="40.9" customHeight="1" x14ac:dyDescent="0.25">
      <c r="A103" s="492"/>
      <c r="B103" s="687" t="s">
        <v>683</v>
      </c>
      <c r="C103" s="687"/>
      <c r="D103" s="687"/>
      <c r="E103" s="687"/>
      <c r="F103" s="687"/>
      <c r="G103" s="687" t="s">
        <v>684</v>
      </c>
      <c r="H103" s="687"/>
      <c r="I103" s="687"/>
      <c r="J103" s="687"/>
      <c r="K103" s="687" t="s">
        <v>15</v>
      </c>
      <c r="L103" s="687"/>
      <c r="M103" s="687"/>
      <c r="N103" s="687"/>
      <c r="O103" s="687"/>
      <c r="P103" s="687"/>
      <c r="Q103" s="494"/>
      <c r="R103" s="494"/>
      <c r="S103" s="494"/>
      <c r="T103" s="494"/>
      <c r="U103" s="494"/>
      <c r="V103" s="494"/>
      <c r="W103" s="494"/>
      <c r="X103" s="494"/>
      <c r="Y103" s="494"/>
      <c r="Z103" s="494"/>
      <c r="AA103" s="494"/>
      <c r="AB103" s="494"/>
      <c r="AC103" s="494"/>
      <c r="AD103" s="494"/>
      <c r="AE103" s="494"/>
      <c r="AF103" s="494"/>
      <c r="AG103" s="494"/>
      <c r="AH103" s="494"/>
      <c r="AI103" s="494"/>
      <c r="AJ103" s="494"/>
      <c r="AK103" s="494"/>
      <c r="AL103" s="494"/>
      <c r="AM103" s="494"/>
      <c r="AN103" s="494"/>
      <c r="AO103" s="494"/>
      <c r="AP103" s="494"/>
      <c r="AQ103" s="494"/>
      <c r="AR103" s="494"/>
      <c r="AS103" s="494"/>
      <c r="AT103" s="494"/>
      <c r="AU103" s="494"/>
      <c r="AV103" s="494"/>
      <c r="AW103" s="494"/>
      <c r="AX103" s="494"/>
    </row>
    <row r="104" spans="1:50" customFormat="1" ht="27.2" customHeight="1" x14ac:dyDescent="0.25">
      <c r="A104" s="492"/>
      <c r="B104" s="687" t="s">
        <v>793</v>
      </c>
      <c r="C104" s="687"/>
      <c r="D104" s="687"/>
      <c r="E104" s="687"/>
      <c r="F104" s="687"/>
      <c r="G104" s="687" t="s">
        <v>2253</v>
      </c>
      <c r="H104" s="687"/>
      <c r="I104" s="687"/>
      <c r="J104" s="687"/>
      <c r="K104" s="687" t="s">
        <v>15</v>
      </c>
      <c r="L104" s="687"/>
      <c r="M104" s="687"/>
      <c r="N104" s="687"/>
      <c r="O104" s="687"/>
      <c r="P104" s="687"/>
      <c r="Q104" s="494"/>
      <c r="R104" s="494"/>
      <c r="S104" s="494"/>
      <c r="T104" s="494"/>
      <c r="U104" s="494"/>
      <c r="V104" s="494"/>
      <c r="W104" s="494"/>
      <c r="X104" s="494"/>
      <c r="Y104" s="494"/>
      <c r="Z104" s="494"/>
      <c r="AA104" s="494"/>
      <c r="AB104" s="494"/>
      <c r="AC104" s="494"/>
      <c r="AD104" s="494"/>
      <c r="AE104" s="494"/>
      <c r="AF104" s="494"/>
      <c r="AG104" s="494"/>
      <c r="AH104" s="494"/>
      <c r="AI104" s="494"/>
      <c r="AJ104" s="494"/>
      <c r="AK104" s="494"/>
      <c r="AL104" s="494"/>
      <c r="AM104" s="494"/>
      <c r="AN104" s="494"/>
      <c r="AO104" s="494"/>
      <c r="AP104" s="494"/>
      <c r="AQ104" s="494"/>
      <c r="AR104" s="494"/>
      <c r="AS104" s="494"/>
      <c r="AT104" s="494"/>
      <c r="AU104" s="494"/>
      <c r="AV104" s="494"/>
      <c r="AW104" s="494"/>
      <c r="AX104" s="494"/>
    </row>
    <row r="105" spans="1:50" customFormat="1" x14ac:dyDescent="0.25">
      <c r="A105" s="690" t="s">
        <v>790</v>
      </c>
      <c r="B105" s="690"/>
      <c r="C105" s="690"/>
      <c r="D105" s="690"/>
      <c r="E105" s="690"/>
      <c r="F105" s="690"/>
      <c r="G105" s="690"/>
      <c r="H105" s="690"/>
      <c r="I105" s="690"/>
      <c r="J105" s="690"/>
      <c r="K105" s="690"/>
      <c r="L105" s="690"/>
      <c r="M105" s="690"/>
      <c r="N105" s="690"/>
      <c r="O105" s="690"/>
      <c r="P105" s="690"/>
      <c r="Q105" s="494"/>
      <c r="R105" s="494"/>
      <c r="S105" s="494"/>
      <c r="T105" s="494"/>
      <c r="U105" s="494"/>
      <c r="V105" s="494"/>
      <c r="W105" s="494"/>
      <c r="X105" s="494"/>
      <c r="Y105" s="494"/>
      <c r="Z105" s="494"/>
      <c r="AA105" s="494"/>
      <c r="AB105" s="494"/>
      <c r="AC105" s="494"/>
      <c r="AD105" s="494"/>
      <c r="AE105" s="494"/>
      <c r="AF105" s="494"/>
      <c r="AG105" s="494"/>
      <c r="AH105" s="494"/>
      <c r="AI105" s="494"/>
      <c r="AJ105" s="494"/>
      <c r="AK105" s="494"/>
      <c r="AL105" s="494"/>
      <c r="AM105" s="494"/>
      <c r="AN105" s="494"/>
      <c r="AO105" s="494"/>
      <c r="AP105" s="494"/>
      <c r="AQ105" s="494"/>
      <c r="AR105" s="494"/>
      <c r="AS105" s="494"/>
      <c r="AT105" s="494"/>
      <c r="AU105" s="494"/>
      <c r="AV105" s="494"/>
      <c r="AW105" s="494"/>
      <c r="AX105" s="494"/>
    </row>
    <row r="106" spans="1:50" customFormat="1" ht="122.45" customHeight="1" x14ac:dyDescent="0.25">
      <c r="A106" s="495" t="s">
        <v>193</v>
      </c>
      <c r="B106" s="692" t="s">
        <v>791</v>
      </c>
      <c r="C106" s="693"/>
      <c r="D106" s="693"/>
      <c r="E106" s="693"/>
      <c r="F106" s="693"/>
      <c r="G106" s="693" t="s">
        <v>792</v>
      </c>
      <c r="H106" s="693"/>
      <c r="I106" s="693"/>
      <c r="J106" s="693"/>
      <c r="K106" s="693" t="s">
        <v>2262</v>
      </c>
      <c r="L106" s="693"/>
      <c r="M106" s="693"/>
      <c r="N106" s="693"/>
      <c r="O106" s="694">
        <f>ROUND((6131100 + 4907 * 500) * 1 * 1.56 * 0.6 * 0.7, 2)</f>
        <v>5624629.9199999999</v>
      </c>
      <c r="P106" s="693"/>
      <c r="Q106" s="494"/>
      <c r="R106" s="494"/>
      <c r="S106" s="494"/>
      <c r="T106" s="494"/>
      <c r="U106" s="494"/>
      <c r="V106" s="494"/>
      <c r="W106" s="494"/>
      <c r="X106" s="494"/>
      <c r="Y106" s="494"/>
      <c r="Z106" s="494"/>
      <c r="AA106" s="494"/>
      <c r="AB106" s="494"/>
      <c r="AC106" s="494"/>
      <c r="AD106" s="494"/>
      <c r="AE106" s="494"/>
      <c r="AF106" s="494"/>
      <c r="AG106" s="494"/>
      <c r="AH106" s="494"/>
      <c r="AI106" s="494"/>
      <c r="AJ106" s="494"/>
      <c r="AK106" s="494"/>
      <c r="AL106" s="494"/>
      <c r="AM106" s="494"/>
      <c r="AN106" s="494"/>
      <c r="AO106" s="494"/>
      <c r="AP106" s="494"/>
      <c r="AQ106" s="494"/>
      <c r="AR106" s="494"/>
      <c r="AS106" s="494"/>
      <c r="AT106" s="494"/>
      <c r="AU106" s="494"/>
      <c r="AV106" s="494"/>
      <c r="AW106" s="494"/>
      <c r="AX106" s="494"/>
    </row>
    <row r="107" spans="1:50" customFormat="1" x14ac:dyDescent="0.25">
      <c r="A107" s="496"/>
      <c r="B107" s="695" t="s">
        <v>564</v>
      </c>
      <c r="C107" s="695"/>
      <c r="D107" s="695"/>
      <c r="E107" s="695"/>
      <c r="F107" s="695"/>
      <c r="G107" s="695" t="s">
        <v>15</v>
      </c>
      <c r="H107" s="695"/>
      <c r="I107" s="695"/>
      <c r="J107" s="695"/>
      <c r="K107" s="695" t="s">
        <v>15</v>
      </c>
      <c r="L107" s="695"/>
      <c r="M107" s="695"/>
      <c r="N107" s="695"/>
      <c r="O107" s="695"/>
      <c r="P107" s="695"/>
      <c r="Q107" s="494"/>
      <c r="R107" s="494"/>
      <c r="S107" s="494"/>
      <c r="T107" s="494"/>
      <c r="U107" s="494"/>
      <c r="V107" s="494"/>
      <c r="W107" s="494"/>
      <c r="X107" s="494"/>
      <c r="Y107" s="494"/>
      <c r="Z107" s="494"/>
      <c r="AA107" s="494"/>
      <c r="AB107" s="494"/>
      <c r="AC107" s="494"/>
      <c r="AD107" s="494"/>
      <c r="AE107" s="494"/>
      <c r="AF107" s="494"/>
      <c r="AG107" s="494"/>
      <c r="AH107" s="494"/>
      <c r="AI107" s="494"/>
      <c r="AJ107" s="494"/>
      <c r="AK107" s="494"/>
      <c r="AL107" s="494"/>
      <c r="AM107" s="494"/>
      <c r="AN107" s="494"/>
      <c r="AO107" s="494"/>
      <c r="AP107" s="494"/>
      <c r="AQ107" s="494"/>
      <c r="AR107" s="494"/>
      <c r="AS107" s="494"/>
      <c r="AT107" s="494"/>
      <c r="AU107" s="494"/>
      <c r="AV107" s="494"/>
      <c r="AW107" s="494"/>
      <c r="AX107" s="494"/>
    </row>
    <row r="108" spans="1:50" customFormat="1" x14ac:dyDescent="0.25">
      <c r="A108" s="492"/>
      <c r="B108" s="687" t="s">
        <v>681</v>
      </c>
      <c r="C108" s="687"/>
      <c r="D108" s="687"/>
      <c r="E108" s="687"/>
      <c r="F108" s="687"/>
      <c r="G108" s="687" t="s">
        <v>682</v>
      </c>
      <c r="H108" s="687"/>
      <c r="I108" s="687"/>
      <c r="J108" s="687"/>
      <c r="K108" s="687" t="s">
        <v>15</v>
      </c>
      <c r="L108" s="687"/>
      <c r="M108" s="687"/>
      <c r="N108" s="687"/>
      <c r="O108" s="687"/>
      <c r="P108" s="687"/>
      <c r="Q108" s="494"/>
      <c r="R108" s="494"/>
      <c r="S108" s="494"/>
      <c r="T108" s="494"/>
      <c r="U108" s="494"/>
      <c r="V108" s="494"/>
      <c r="W108" s="494"/>
      <c r="X108" s="494"/>
      <c r="Y108" s="494"/>
      <c r="Z108" s="494"/>
      <c r="AA108" s="494"/>
      <c r="AB108" s="494"/>
      <c r="AC108" s="494"/>
      <c r="AD108" s="494"/>
      <c r="AE108" s="494"/>
      <c r="AF108" s="494"/>
      <c r="AG108" s="494"/>
      <c r="AH108" s="494"/>
      <c r="AI108" s="494"/>
      <c r="AJ108" s="494"/>
      <c r="AK108" s="494"/>
      <c r="AL108" s="494"/>
      <c r="AM108" s="494"/>
      <c r="AN108" s="494"/>
      <c r="AO108" s="494"/>
      <c r="AP108" s="494"/>
      <c r="AQ108" s="494"/>
      <c r="AR108" s="494"/>
      <c r="AS108" s="494"/>
      <c r="AT108" s="494"/>
      <c r="AU108" s="494"/>
      <c r="AV108" s="494"/>
      <c r="AW108" s="494"/>
      <c r="AX108" s="494"/>
    </row>
    <row r="109" spans="1:50" customFormat="1" ht="40.9" customHeight="1" x14ac:dyDescent="0.25">
      <c r="A109" s="492"/>
      <c r="B109" s="687" t="s">
        <v>683</v>
      </c>
      <c r="C109" s="687"/>
      <c r="D109" s="687"/>
      <c r="E109" s="687"/>
      <c r="F109" s="687"/>
      <c r="G109" s="687" t="s">
        <v>684</v>
      </c>
      <c r="H109" s="687"/>
      <c r="I109" s="687"/>
      <c r="J109" s="687"/>
      <c r="K109" s="687" t="s">
        <v>15</v>
      </c>
      <c r="L109" s="687"/>
      <c r="M109" s="687"/>
      <c r="N109" s="687"/>
      <c r="O109" s="687"/>
      <c r="P109" s="687"/>
      <c r="Q109" s="494"/>
      <c r="R109" s="494"/>
      <c r="S109" s="494"/>
      <c r="T109" s="494"/>
      <c r="U109" s="494"/>
      <c r="V109" s="494"/>
      <c r="W109" s="494"/>
      <c r="X109" s="494"/>
      <c r="Y109" s="494"/>
      <c r="Z109" s="494"/>
      <c r="AA109" s="494"/>
      <c r="AB109" s="494"/>
      <c r="AC109" s="494"/>
      <c r="AD109" s="494"/>
      <c r="AE109" s="494"/>
      <c r="AF109" s="494"/>
      <c r="AG109" s="494"/>
      <c r="AH109" s="494"/>
      <c r="AI109" s="494"/>
      <c r="AJ109" s="494"/>
      <c r="AK109" s="494"/>
      <c r="AL109" s="494"/>
      <c r="AM109" s="494"/>
      <c r="AN109" s="494"/>
      <c r="AO109" s="494"/>
      <c r="AP109" s="494"/>
      <c r="AQ109" s="494"/>
      <c r="AR109" s="494"/>
      <c r="AS109" s="494"/>
      <c r="AT109" s="494"/>
      <c r="AU109" s="494"/>
      <c r="AV109" s="494"/>
      <c r="AW109" s="494"/>
      <c r="AX109" s="494"/>
    </row>
    <row r="110" spans="1:50" customFormat="1" ht="27.2" customHeight="1" x14ac:dyDescent="0.25">
      <c r="A110" s="492"/>
      <c r="B110" s="687" t="s">
        <v>793</v>
      </c>
      <c r="C110" s="687"/>
      <c r="D110" s="687"/>
      <c r="E110" s="687"/>
      <c r="F110" s="687"/>
      <c r="G110" s="687" t="s">
        <v>2253</v>
      </c>
      <c r="H110" s="687"/>
      <c r="I110" s="687"/>
      <c r="J110" s="687"/>
      <c r="K110" s="687" t="s">
        <v>15</v>
      </c>
      <c r="L110" s="687"/>
      <c r="M110" s="687"/>
      <c r="N110" s="687"/>
      <c r="O110" s="687"/>
      <c r="P110" s="687"/>
      <c r="Q110" s="494"/>
      <c r="R110" s="494"/>
      <c r="S110" s="494"/>
      <c r="T110" s="494"/>
      <c r="U110" s="494"/>
      <c r="V110" s="494"/>
      <c r="W110" s="494"/>
      <c r="X110" s="494"/>
      <c r="Y110" s="494"/>
      <c r="Z110" s="494"/>
      <c r="AA110" s="494"/>
      <c r="AB110" s="494"/>
      <c r="AC110" s="494"/>
      <c r="AD110" s="494"/>
      <c r="AE110" s="494"/>
      <c r="AF110" s="494"/>
      <c r="AG110" s="494"/>
      <c r="AH110" s="494"/>
      <c r="AI110" s="494"/>
      <c r="AJ110" s="494"/>
      <c r="AK110" s="494"/>
      <c r="AL110" s="494"/>
      <c r="AM110" s="494"/>
      <c r="AN110" s="494"/>
      <c r="AO110" s="494"/>
      <c r="AP110" s="494"/>
      <c r="AQ110" s="494"/>
      <c r="AR110" s="494"/>
      <c r="AS110" s="494"/>
      <c r="AT110" s="494"/>
      <c r="AU110" s="494"/>
      <c r="AV110" s="494"/>
      <c r="AW110" s="494"/>
      <c r="AX110" s="494"/>
    </row>
    <row r="111" spans="1:50" customFormat="1" x14ac:dyDescent="0.25">
      <c r="A111" s="690" t="s">
        <v>794</v>
      </c>
      <c r="B111" s="690"/>
      <c r="C111" s="690"/>
      <c r="D111" s="690"/>
      <c r="E111" s="690"/>
      <c r="F111" s="690"/>
      <c r="G111" s="690"/>
      <c r="H111" s="690"/>
      <c r="I111" s="690"/>
      <c r="J111" s="690"/>
      <c r="K111" s="690"/>
      <c r="L111" s="690"/>
      <c r="M111" s="690"/>
      <c r="N111" s="690"/>
      <c r="O111" s="690"/>
      <c r="P111" s="690"/>
      <c r="Q111" s="494"/>
      <c r="R111" s="494"/>
      <c r="S111" s="494"/>
      <c r="T111" s="494"/>
      <c r="U111" s="494"/>
      <c r="V111" s="494"/>
      <c r="W111" s="494"/>
      <c r="X111" s="494"/>
      <c r="Y111" s="494"/>
      <c r="Z111" s="494"/>
      <c r="AA111" s="494"/>
      <c r="AB111" s="494"/>
      <c r="AC111" s="494"/>
      <c r="AD111" s="494"/>
      <c r="AE111" s="494"/>
      <c r="AF111" s="494"/>
      <c r="AG111" s="494"/>
      <c r="AH111" s="494"/>
      <c r="AI111" s="494"/>
      <c r="AJ111" s="494"/>
      <c r="AK111" s="494"/>
      <c r="AL111" s="494"/>
      <c r="AM111" s="494"/>
      <c r="AN111" s="494"/>
      <c r="AO111" s="494"/>
      <c r="AP111" s="494"/>
      <c r="AQ111" s="494"/>
      <c r="AR111" s="494"/>
      <c r="AS111" s="494"/>
      <c r="AT111" s="494"/>
      <c r="AU111" s="494"/>
      <c r="AV111" s="494"/>
      <c r="AW111" s="494"/>
      <c r="AX111" s="494"/>
    </row>
    <row r="112" spans="1:50" customFormat="1" ht="122.45" customHeight="1" x14ac:dyDescent="0.25">
      <c r="A112" s="495" t="s">
        <v>198</v>
      </c>
      <c r="B112" s="692" t="s">
        <v>791</v>
      </c>
      <c r="C112" s="693"/>
      <c r="D112" s="693"/>
      <c r="E112" s="693"/>
      <c r="F112" s="693"/>
      <c r="G112" s="693" t="s">
        <v>792</v>
      </c>
      <c r="H112" s="693"/>
      <c r="I112" s="693"/>
      <c r="J112" s="693"/>
      <c r="K112" s="693" t="s">
        <v>2262</v>
      </c>
      <c r="L112" s="693"/>
      <c r="M112" s="693"/>
      <c r="N112" s="693"/>
      <c r="O112" s="694">
        <f>ROUND((6131100 + 4907 * 500) * 1 * 1.56 * 0.6 * 0.7, 2)</f>
        <v>5624629.9199999999</v>
      </c>
      <c r="P112" s="693"/>
      <c r="Q112" s="494"/>
      <c r="R112" s="494"/>
      <c r="S112" s="494"/>
      <c r="T112" s="494"/>
      <c r="U112" s="494"/>
      <c r="V112" s="494"/>
      <c r="W112" s="494"/>
      <c r="X112" s="494"/>
      <c r="Y112" s="494"/>
      <c r="Z112" s="494"/>
      <c r="AA112" s="494"/>
      <c r="AB112" s="494"/>
      <c r="AC112" s="494"/>
      <c r="AD112" s="494"/>
      <c r="AE112" s="494"/>
      <c r="AF112" s="494"/>
      <c r="AG112" s="494"/>
      <c r="AH112" s="494"/>
      <c r="AI112" s="494"/>
      <c r="AJ112" s="494"/>
      <c r="AK112" s="494"/>
      <c r="AL112" s="494"/>
      <c r="AM112" s="494"/>
      <c r="AN112" s="494"/>
      <c r="AO112" s="494"/>
      <c r="AP112" s="494"/>
      <c r="AQ112" s="494"/>
      <c r="AR112" s="494"/>
      <c r="AS112" s="494"/>
      <c r="AT112" s="494"/>
      <c r="AU112" s="494"/>
      <c r="AV112" s="494"/>
      <c r="AW112" s="494"/>
      <c r="AX112" s="494"/>
    </row>
    <row r="113" spans="1:50" customFormat="1" x14ac:dyDescent="0.25">
      <c r="A113" s="496"/>
      <c r="B113" s="695" t="s">
        <v>564</v>
      </c>
      <c r="C113" s="695"/>
      <c r="D113" s="695"/>
      <c r="E113" s="695"/>
      <c r="F113" s="695"/>
      <c r="G113" s="695" t="s">
        <v>15</v>
      </c>
      <c r="H113" s="695"/>
      <c r="I113" s="695"/>
      <c r="J113" s="695"/>
      <c r="K113" s="695" t="s">
        <v>15</v>
      </c>
      <c r="L113" s="695"/>
      <c r="M113" s="695"/>
      <c r="N113" s="695"/>
      <c r="O113" s="695"/>
      <c r="P113" s="695"/>
      <c r="Q113" s="494"/>
      <c r="R113" s="494"/>
      <c r="S113" s="494"/>
      <c r="T113" s="494"/>
      <c r="U113" s="494"/>
      <c r="V113" s="494"/>
      <c r="W113" s="494"/>
      <c r="X113" s="494"/>
      <c r="Y113" s="494"/>
      <c r="Z113" s="494"/>
      <c r="AA113" s="494"/>
      <c r="AB113" s="494"/>
      <c r="AC113" s="494"/>
      <c r="AD113" s="494"/>
      <c r="AE113" s="494"/>
      <c r="AF113" s="494"/>
      <c r="AG113" s="494"/>
      <c r="AH113" s="494"/>
      <c r="AI113" s="494"/>
      <c r="AJ113" s="494"/>
      <c r="AK113" s="494"/>
      <c r="AL113" s="494"/>
      <c r="AM113" s="494"/>
      <c r="AN113" s="494"/>
      <c r="AO113" s="494"/>
      <c r="AP113" s="494"/>
      <c r="AQ113" s="494"/>
      <c r="AR113" s="494"/>
      <c r="AS113" s="494"/>
      <c r="AT113" s="494"/>
      <c r="AU113" s="494"/>
      <c r="AV113" s="494"/>
      <c r="AW113" s="494"/>
      <c r="AX113" s="494"/>
    </row>
    <row r="114" spans="1:50" customFormat="1" x14ac:dyDescent="0.25">
      <c r="A114" s="492"/>
      <c r="B114" s="687" t="s">
        <v>681</v>
      </c>
      <c r="C114" s="687"/>
      <c r="D114" s="687"/>
      <c r="E114" s="687"/>
      <c r="F114" s="687"/>
      <c r="G114" s="687" t="s">
        <v>682</v>
      </c>
      <c r="H114" s="687"/>
      <c r="I114" s="687"/>
      <c r="J114" s="687"/>
      <c r="K114" s="687" t="s">
        <v>15</v>
      </c>
      <c r="L114" s="687"/>
      <c r="M114" s="687"/>
      <c r="N114" s="687"/>
      <c r="O114" s="687"/>
      <c r="P114" s="687"/>
      <c r="Q114" s="494"/>
      <c r="R114" s="494"/>
      <c r="S114" s="494"/>
      <c r="T114" s="494"/>
      <c r="U114" s="494"/>
      <c r="V114" s="494"/>
      <c r="W114" s="494"/>
      <c r="X114" s="494"/>
      <c r="Y114" s="494"/>
      <c r="Z114" s="494"/>
      <c r="AA114" s="494"/>
      <c r="AB114" s="494"/>
      <c r="AC114" s="494"/>
      <c r="AD114" s="494"/>
      <c r="AE114" s="494"/>
      <c r="AF114" s="494"/>
      <c r="AG114" s="494"/>
      <c r="AH114" s="494"/>
      <c r="AI114" s="494"/>
      <c r="AJ114" s="494"/>
      <c r="AK114" s="494"/>
      <c r="AL114" s="494"/>
      <c r="AM114" s="494"/>
      <c r="AN114" s="494"/>
      <c r="AO114" s="494"/>
      <c r="AP114" s="494"/>
      <c r="AQ114" s="494"/>
      <c r="AR114" s="494"/>
      <c r="AS114" s="494"/>
      <c r="AT114" s="494"/>
      <c r="AU114" s="494"/>
      <c r="AV114" s="494"/>
      <c r="AW114" s="494"/>
      <c r="AX114" s="494"/>
    </row>
    <row r="115" spans="1:50" customFormat="1" ht="40.9" customHeight="1" x14ac:dyDescent="0.25">
      <c r="A115" s="492"/>
      <c r="B115" s="687" t="s">
        <v>683</v>
      </c>
      <c r="C115" s="687"/>
      <c r="D115" s="687"/>
      <c r="E115" s="687"/>
      <c r="F115" s="687"/>
      <c r="G115" s="687" t="s">
        <v>684</v>
      </c>
      <c r="H115" s="687"/>
      <c r="I115" s="687"/>
      <c r="J115" s="687"/>
      <c r="K115" s="687" t="s">
        <v>15</v>
      </c>
      <c r="L115" s="687"/>
      <c r="M115" s="687"/>
      <c r="N115" s="687"/>
      <c r="O115" s="687"/>
      <c r="P115" s="687"/>
      <c r="Q115" s="494"/>
      <c r="R115" s="494"/>
      <c r="S115" s="494"/>
      <c r="T115" s="494"/>
      <c r="U115" s="494"/>
      <c r="V115" s="494"/>
      <c r="W115" s="494"/>
      <c r="X115" s="494"/>
      <c r="Y115" s="494"/>
      <c r="Z115" s="494"/>
      <c r="AA115" s="494"/>
      <c r="AB115" s="494"/>
      <c r="AC115" s="494"/>
      <c r="AD115" s="494"/>
      <c r="AE115" s="494"/>
      <c r="AF115" s="494"/>
      <c r="AG115" s="494"/>
      <c r="AH115" s="494"/>
      <c r="AI115" s="494"/>
      <c r="AJ115" s="494"/>
      <c r="AK115" s="494"/>
      <c r="AL115" s="494"/>
      <c r="AM115" s="494"/>
      <c r="AN115" s="494"/>
      <c r="AO115" s="494"/>
      <c r="AP115" s="494"/>
      <c r="AQ115" s="494"/>
      <c r="AR115" s="494"/>
      <c r="AS115" s="494"/>
      <c r="AT115" s="494"/>
      <c r="AU115" s="494"/>
      <c r="AV115" s="494"/>
      <c r="AW115" s="494"/>
      <c r="AX115" s="494"/>
    </row>
    <row r="116" spans="1:50" customFormat="1" ht="27.2" customHeight="1" x14ac:dyDescent="0.25">
      <c r="A116" s="492"/>
      <c r="B116" s="687" t="s">
        <v>793</v>
      </c>
      <c r="C116" s="687"/>
      <c r="D116" s="687"/>
      <c r="E116" s="687"/>
      <c r="F116" s="687"/>
      <c r="G116" s="687" t="s">
        <v>2253</v>
      </c>
      <c r="H116" s="687"/>
      <c r="I116" s="687"/>
      <c r="J116" s="687"/>
      <c r="K116" s="687" t="s">
        <v>15</v>
      </c>
      <c r="L116" s="687"/>
      <c r="M116" s="687"/>
      <c r="N116" s="687"/>
      <c r="O116" s="687"/>
      <c r="P116" s="687"/>
      <c r="Q116" s="494"/>
      <c r="R116" s="494"/>
      <c r="S116" s="494"/>
      <c r="T116" s="494"/>
      <c r="U116" s="494"/>
      <c r="V116" s="494"/>
      <c r="W116" s="494"/>
      <c r="X116" s="494"/>
      <c r="Y116" s="494"/>
      <c r="Z116" s="494"/>
      <c r="AA116" s="494"/>
      <c r="AB116" s="494"/>
      <c r="AC116" s="494"/>
      <c r="AD116" s="494"/>
      <c r="AE116" s="494"/>
      <c r="AF116" s="494"/>
      <c r="AG116" s="494"/>
      <c r="AH116" s="494"/>
      <c r="AI116" s="494"/>
      <c r="AJ116" s="494"/>
      <c r="AK116" s="494"/>
      <c r="AL116" s="494"/>
      <c r="AM116" s="494"/>
      <c r="AN116" s="494"/>
      <c r="AO116" s="494"/>
      <c r="AP116" s="494"/>
      <c r="AQ116" s="494"/>
      <c r="AR116" s="494"/>
      <c r="AS116" s="494"/>
      <c r="AT116" s="494"/>
      <c r="AU116" s="494"/>
      <c r="AV116" s="494"/>
      <c r="AW116" s="494"/>
      <c r="AX116" s="494"/>
    </row>
    <row r="117" spans="1:50" customFormat="1" x14ac:dyDescent="0.25">
      <c r="A117" s="690" t="s">
        <v>795</v>
      </c>
      <c r="B117" s="690"/>
      <c r="C117" s="690"/>
      <c r="D117" s="690"/>
      <c r="E117" s="690"/>
      <c r="F117" s="690"/>
      <c r="G117" s="690"/>
      <c r="H117" s="690"/>
      <c r="I117" s="690"/>
      <c r="J117" s="690"/>
      <c r="K117" s="690"/>
      <c r="L117" s="690"/>
      <c r="M117" s="690"/>
      <c r="N117" s="690"/>
      <c r="O117" s="690"/>
      <c r="P117" s="690"/>
      <c r="Q117" s="494"/>
      <c r="R117" s="494"/>
      <c r="S117" s="494"/>
      <c r="T117" s="494"/>
      <c r="U117" s="494"/>
      <c r="V117" s="494"/>
      <c r="W117" s="494"/>
      <c r="X117" s="494"/>
      <c r="Y117" s="494"/>
      <c r="Z117" s="494"/>
      <c r="AA117" s="494"/>
      <c r="AB117" s="494"/>
      <c r="AC117" s="494"/>
      <c r="AD117" s="494"/>
      <c r="AE117" s="494"/>
      <c r="AF117" s="494"/>
      <c r="AG117" s="494"/>
      <c r="AH117" s="494"/>
      <c r="AI117" s="494"/>
      <c r="AJ117" s="494"/>
      <c r="AK117" s="494"/>
      <c r="AL117" s="494"/>
      <c r="AM117" s="494"/>
      <c r="AN117" s="494"/>
      <c r="AO117" s="494"/>
      <c r="AP117" s="494"/>
      <c r="AQ117" s="494"/>
      <c r="AR117" s="494"/>
      <c r="AS117" s="494"/>
      <c r="AT117" s="494"/>
      <c r="AU117" s="494"/>
      <c r="AV117" s="494"/>
      <c r="AW117" s="494"/>
      <c r="AX117" s="494"/>
    </row>
    <row r="118" spans="1:50" customFormat="1" ht="135.94999999999999" customHeight="1" x14ac:dyDescent="0.25">
      <c r="A118" s="495" t="s">
        <v>356</v>
      </c>
      <c r="B118" s="692" t="s">
        <v>796</v>
      </c>
      <c r="C118" s="693"/>
      <c r="D118" s="693"/>
      <c r="E118" s="693"/>
      <c r="F118" s="693"/>
      <c r="G118" s="693" t="s">
        <v>797</v>
      </c>
      <c r="H118" s="693"/>
      <c r="I118" s="693"/>
      <c r="J118" s="693"/>
      <c r="K118" s="693" t="s">
        <v>2263</v>
      </c>
      <c r="L118" s="693"/>
      <c r="M118" s="693"/>
      <c r="N118" s="693"/>
      <c r="O118" s="694">
        <f>ROUND((467700 + 398 * (0.4 * 50 + 0.6 * (50 / 2))) * 1 * 0.6 * 1.56 * 0.6 * 0.7, 2)</f>
        <v>189338.39</v>
      </c>
      <c r="P118" s="693"/>
      <c r="Q118" s="494"/>
      <c r="R118" s="494"/>
      <c r="S118" s="494"/>
      <c r="T118" s="494"/>
      <c r="U118" s="494"/>
      <c r="V118" s="494"/>
      <c r="W118" s="494"/>
      <c r="X118" s="494"/>
      <c r="Y118" s="494"/>
      <c r="Z118" s="494"/>
      <c r="AA118" s="494"/>
      <c r="AB118" s="494"/>
      <c r="AC118" s="494"/>
      <c r="AD118" s="494"/>
      <c r="AE118" s="494"/>
      <c r="AF118" s="494"/>
      <c r="AG118" s="494"/>
      <c r="AH118" s="494"/>
      <c r="AI118" s="494"/>
      <c r="AJ118" s="494"/>
      <c r="AK118" s="494"/>
      <c r="AL118" s="494"/>
      <c r="AM118" s="494"/>
      <c r="AN118" s="494"/>
      <c r="AO118" s="494"/>
      <c r="AP118" s="494"/>
      <c r="AQ118" s="494"/>
      <c r="AR118" s="494"/>
      <c r="AS118" s="494"/>
      <c r="AT118" s="494"/>
      <c r="AU118" s="494"/>
      <c r="AV118" s="494"/>
      <c r="AW118" s="494"/>
      <c r="AX118" s="494"/>
    </row>
    <row r="119" spans="1:50" customFormat="1" x14ac:dyDescent="0.25">
      <c r="A119" s="496"/>
      <c r="B119" s="695" t="s">
        <v>564</v>
      </c>
      <c r="C119" s="695"/>
      <c r="D119" s="695"/>
      <c r="E119" s="695"/>
      <c r="F119" s="695"/>
      <c r="G119" s="695" t="s">
        <v>15</v>
      </c>
      <c r="H119" s="695"/>
      <c r="I119" s="695"/>
      <c r="J119" s="695"/>
      <c r="K119" s="695" t="s">
        <v>15</v>
      </c>
      <c r="L119" s="695"/>
      <c r="M119" s="695"/>
      <c r="N119" s="695"/>
      <c r="O119" s="695"/>
      <c r="P119" s="695"/>
      <c r="Q119" s="494"/>
      <c r="R119" s="494"/>
      <c r="S119" s="494"/>
      <c r="T119" s="494"/>
      <c r="U119" s="494"/>
      <c r="V119" s="494"/>
      <c r="W119" s="494"/>
      <c r="X119" s="494"/>
      <c r="Y119" s="494"/>
      <c r="Z119" s="494"/>
      <c r="AA119" s="494"/>
      <c r="AB119" s="494"/>
      <c r="AC119" s="494"/>
      <c r="AD119" s="494"/>
      <c r="AE119" s="494"/>
      <c r="AF119" s="494"/>
      <c r="AG119" s="494"/>
      <c r="AH119" s="494"/>
      <c r="AI119" s="494"/>
      <c r="AJ119" s="494"/>
      <c r="AK119" s="494"/>
      <c r="AL119" s="494"/>
      <c r="AM119" s="494"/>
      <c r="AN119" s="494"/>
      <c r="AO119" s="494"/>
      <c r="AP119" s="494"/>
      <c r="AQ119" s="494"/>
      <c r="AR119" s="494"/>
      <c r="AS119" s="494"/>
      <c r="AT119" s="494"/>
      <c r="AU119" s="494"/>
      <c r="AV119" s="494"/>
      <c r="AW119" s="494"/>
      <c r="AX119" s="494"/>
    </row>
    <row r="120" spans="1:50" customFormat="1" x14ac:dyDescent="0.25">
      <c r="A120" s="492"/>
      <c r="B120" s="687" t="s">
        <v>681</v>
      </c>
      <c r="C120" s="687"/>
      <c r="D120" s="687"/>
      <c r="E120" s="687"/>
      <c r="F120" s="687"/>
      <c r="G120" s="687" t="s">
        <v>682</v>
      </c>
      <c r="H120" s="687"/>
      <c r="I120" s="687"/>
      <c r="J120" s="687"/>
      <c r="K120" s="687" t="s">
        <v>15</v>
      </c>
      <c r="L120" s="687"/>
      <c r="M120" s="687"/>
      <c r="N120" s="687"/>
      <c r="O120" s="687"/>
      <c r="P120" s="687"/>
      <c r="Q120" s="494"/>
      <c r="R120" s="494"/>
      <c r="S120" s="494"/>
      <c r="T120" s="494"/>
      <c r="U120" s="494"/>
      <c r="V120" s="494"/>
      <c r="W120" s="494"/>
      <c r="X120" s="494"/>
      <c r="Y120" s="494"/>
      <c r="Z120" s="494"/>
      <c r="AA120" s="494"/>
      <c r="AB120" s="494"/>
      <c r="AC120" s="494"/>
      <c r="AD120" s="494"/>
      <c r="AE120" s="494"/>
      <c r="AF120" s="494"/>
      <c r="AG120" s="494"/>
      <c r="AH120" s="494"/>
      <c r="AI120" s="494"/>
      <c r="AJ120" s="494"/>
      <c r="AK120" s="494"/>
      <c r="AL120" s="494"/>
      <c r="AM120" s="494"/>
      <c r="AN120" s="494"/>
      <c r="AO120" s="494"/>
      <c r="AP120" s="494"/>
      <c r="AQ120" s="494"/>
      <c r="AR120" s="494"/>
      <c r="AS120" s="494"/>
      <c r="AT120" s="494"/>
      <c r="AU120" s="494"/>
      <c r="AV120" s="494"/>
      <c r="AW120" s="494"/>
      <c r="AX120" s="494"/>
    </row>
    <row r="121" spans="1:50" customFormat="1" ht="40.9" customHeight="1" x14ac:dyDescent="0.25">
      <c r="A121" s="492"/>
      <c r="B121" s="687" t="s">
        <v>683</v>
      </c>
      <c r="C121" s="687"/>
      <c r="D121" s="687"/>
      <c r="E121" s="687"/>
      <c r="F121" s="687"/>
      <c r="G121" s="687" t="s">
        <v>684</v>
      </c>
      <c r="H121" s="687"/>
      <c r="I121" s="687"/>
      <c r="J121" s="687"/>
      <c r="K121" s="687" t="s">
        <v>15</v>
      </c>
      <c r="L121" s="687"/>
      <c r="M121" s="687"/>
      <c r="N121" s="687"/>
      <c r="O121" s="687"/>
      <c r="P121" s="687"/>
      <c r="Q121" s="494"/>
      <c r="R121" s="494"/>
      <c r="S121" s="494"/>
      <c r="T121" s="494"/>
      <c r="U121" s="494"/>
      <c r="V121" s="494"/>
      <c r="W121" s="494"/>
      <c r="X121" s="494"/>
      <c r="Y121" s="494"/>
      <c r="Z121" s="494"/>
      <c r="AA121" s="494"/>
      <c r="AB121" s="494"/>
      <c r="AC121" s="494"/>
      <c r="AD121" s="494"/>
      <c r="AE121" s="494"/>
      <c r="AF121" s="494"/>
      <c r="AG121" s="494"/>
      <c r="AH121" s="494"/>
      <c r="AI121" s="494"/>
      <c r="AJ121" s="494"/>
      <c r="AK121" s="494"/>
      <c r="AL121" s="494"/>
      <c r="AM121" s="494"/>
      <c r="AN121" s="494"/>
      <c r="AO121" s="494"/>
      <c r="AP121" s="494"/>
      <c r="AQ121" s="494"/>
      <c r="AR121" s="494"/>
      <c r="AS121" s="494"/>
      <c r="AT121" s="494"/>
      <c r="AU121" s="494"/>
      <c r="AV121" s="494"/>
      <c r="AW121" s="494"/>
      <c r="AX121" s="494"/>
    </row>
    <row r="122" spans="1:50" customFormat="1" ht="95.25" customHeight="1" x14ac:dyDescent="0.25">
      <c r="A122" s="492"/>
      <c r="B122" s="687" t="s">
        <v>778</v>
      </c>
      <c r="C122" s="687"/>
      <c r="D122" s="687"/>
      <c r="E122" s="687"/>
      <c r="F122" s="687"/>
      <c r="G122" s="687" t="s">
        <v>798</v>
      </c>
      <c r="H122" s="687"/>
      <c r="I122" s="687"/>
      <c r="J122" s="687"/>
      <c r="K122" s="687" t="s">
        <v>15</v>
      </c>
      <c r="L122" s="687"/>
      <c r="M122" s="687"/>
      <c r="N122" s="687"/>
      <c r="O122" s="687"/>
      <c r="P122" s="687"/>
      <c r="Q122" s="494"/>
      <c r="R122" s="494"/>
      <c r="S122" s="494"/>
      <c r="T122" s="494"/>
      <c r="U122" s="494"/>
      <c r="V122" s="494"/>
      <c r="W122" s="494"/>
      <c r="X122" s="494"/>
      <c r="Y122" s="494"/>
      <c r="Z122" s="494"/>
      <c r="AA122" s="494"/>
      <c r="AB122" s="494"/>
      <c r="AC122" s="494"/>
      <c r="AD122" s="494"/>
      <c r="AE122" s="494"/>
      <c r="AF122" s="494"/>
      <c r="AG122" s="494"/>
      <c r="AH122" s="494"/>
      <c r="AI122" s="494"/>
      <c r="AJ122" s="494"/>
      <c r="AK122" s="494"/>
      <c r="AL122" s="494"/>
      <c r="AM122" s="494"/>
      <c r="AN122" s="494"/>
      <c r="AO122" s="494"/>
      <c r="AP122" s="494"/>
      <c r="AQ122" s="494"/>
      <c r="AR122" s="494"/>
      <c r="AS122" s="494"/>
      <c r="AT122" s="494"/>
      <c r="AU122" s="494"/>
      <c r="AV122" s="494"/>
      <c r="AW122" s="494"/>
      <c r="AX122" s="494"/>
    </row>
    <row r="123" spans="1:50" customFormat="1" ht="27.2" customHeight="1" x14ac:dyDescent="0.25">
      <c r="A123" s="492"/>
      <c r="B123" s="687" t="s">
        <v>793</v>
      </c>
      <c r="C123" s="687"/>
      <c r="D123" s="687"/>
      <c r="E123" s="687"/>
      <c r="F123" s="687"/>
      <c r="G123" s="687" t="s">
        <v>2253</v>
      </c>
      <c r="H123" s="687"/>
      <c r="I123" s="687"/>
      <c r="J123" s="687"/>
      <c r="K123" s="687" t="s">
        <v>15</v>
      </c>
      <c r="L123" s="687"/>
      <c r="M123" s="687"/>
      <c r="N123" s="687"/>
      <c r="O123" s="687"/>
      <c r="P123" s="687"/>
      <c r="Q123" s="494"/>
      <c r="R123" s="494"/>
      <c r="S123" s="494"/>
      <c r="T123" s="494"/>
      <c r="U123" s="494"/>
      <c r="V123" s="494"/>
      <c r="W123" s="494"/>
      <c r="X123" s="494"/>
      <c r="Y123" s="494"/>
      <c r="Z123" s="494"/>
      <c r="AA123" s="494"/>
      <c r="AB123" s="494"/>
      <c r="AC123" s="494"/>
      <c r="AD123" s="494"/>
      <c r="AE123" s="494"/>
      <c r="AF123" s="494"/>
      <c r="AG123" s="494"/>
      <c r="AH123" s="494"/>
      <c r="AI123" s="494"/>
      <c r="AJ123" s="494"/>
      <c r="AK123" s="494"/>
      <c r="AL123" s="494"/>
      <c r="AM123" s="494"/>
      <c r="AN123" s="494"/>
      <c r="AO123" s="494"/>
      <c r="AP123" s="494"/>
      <c r="AQ123" s="494"/>
      <c r="AR123" s="494"/>
      <c r="AS123" s="494"/>
      <c r="AT123" s="494"/>
      <c r="AU123" s="494"/>
      <c r="AV123" s="494"/>
      <c r="AW123" s="494"/>
      <c r="AX123" s="494"/>
    </row>
    <row r="124" spans="1:50" customFormat="1" x14ac:dyDescent="0.25">
      <c r="A124" s="690" t="s">
        <v>799</v>
      </c>
      <c r="B124" s="690"/>
      <c r="C124" s="690"/>
      <c r="D124" s="690"/>
      <c r="E124" s="690"/>
      <c r="F124" s="690"/>
      <c r="G124" s="690"/>
      <c r="H124" s="690"/>
      <c r="I124" s="690"/>
      <c r="J124" s="690"/>
      <c r="K124" s="690"/>
      <c r="L124" s="690"/>
      <c r="M124" s="690"/>
      <c r="N124" s="690"/>
      <c r="O124" s="690"/>
      <c r="P124" s="690"/>
      <c r="Q124" s="494"/>
      <c r="R124" s="494"/>
      <c r="S124" s="494"/>
      <c r="T124" s="494"/>
      <c r="U124" s="494"/>
      <c r="V124" s="494"/>
      <c r="W124" s="494"/>
      <c r="X124" s="494"/>
      <c r="Y124" s="494"/>
      <c r="Z124" s="494"/>
      <c r="AA124" s="494"/>
      <c r="AB124" s="494"/>
      <c r="AC124" s="494"/>
      <c r="AD124" s="494"/>
      <c r="AE124" s="494"/>
      <c r="AF124" s="494"/>
      <c r="AG124" s="494"/>
      <c r="AH124" s="494"/>
      <c r="AI124" s="494"/>
      <c r="AJ124" s="494"/>
      <c r="AK124" s="494"/>
      <c r="AL124" s="494"/>
      <c r="AM124" s="494"/>
      <c r="AN124" s="494"/>
      <c r="AO124" s="494"/>
      <c r="AP124" s="494"/>
      <c r="AQ124" s="494"/>
      <c r="AR124" s="494"/>
      <c r="AS124" s="494"/>
      <c r="AT124" s="494"/>
      <c r="AU124" s="494"/>
      <c r="AV124" s="494"/>
      <c r="AW124" s="494"/>
      <c r="AX124" s="494"/>
    </row>
    <row r="125" spans="1:50" customFormat="1" ht="95.25" customHeight="1" x14ac:dyDescent="0.25">
      <c r="A125" s="495" t="s">
        <v>363</v>
      </c>
      <c r="B125" s="692" t="s">
        <v>800</v>
      </c>
      <c r="C125" s="693"/>
      <c r="D125" s="693"/>
      <c r="E125" s="693"/>
      <c r="F125" s="693"/>
      <c r="G125" s="693" t="s">
        <v>801</v>
      </c>
      <c r="H125" s="693"/>
      <c r="I125" s="693"/>
      <c r="J125" s="693"/>
      <c r="K125" s="693" t="s">
        <v>2264</v>
      </c>
      <c r="L125" s="693"/>
      <c r="M125" s="693"/>
      <c r="N125" s="693"/>
      <c r="O125" s="694">
        <f>ROUND(3998800 * 1 * 1.56 * 0.6 * 0.7, 2)</f>
        <v>2620013.7599999998</v>
      </c>
      <c r="P125" s="693"/>
      <c r="Q125" s="494"/>
      <c r="R125" s="494"/>
      <c r="S125" s="494"/>
      <c r="T125" s="494"/>
      <c r="U125" s="494"/>
      <c r="V125" s="494"/>
      <c r="W125" s="494"/>
      <c r="X125" s="494"/>
      <c r="Y125" s="494"/>
      <c r="Z125" s="494"/>
      <c r="AA125" s="494"/>
      <c r="AB125" s="494"/>
      <c r="AC125" s="494"/>
      <c r="AD125" s="494"/>
      <c r="AE125" s="494"/>
      <c r="AF125" s="494"/>
      <c r="AG125" s="494"/>
      <c r="AH125" s="494"/>
      <c r="AI125" s="494"/>
      <c r="AJ125" s="494"/>
      <c r="AK125" s="494"/>
      <c r="AL125" s="494"/>
      <c r="AM125" s="494"/>
      <c r="AN125" s="494"/>
      <c r="AO125" s="494"/>
      <c r="AP125" s="494"/>
      <c r="AQ125" s="494"/>
      <c r="AR125" s="494"/>
      <c r="AS125" s="494"/>
      <c r="AT125" s="494"/>
      <c r="AU125" s="494"/>
      <c r="AV125" s="494"/>
      <c r="AW125" s="494"/>
      <c r="AX125" s="494"/>
    </row>
    <row r="126" spans="1:50" customFormat="1" x14ac:dyDescent="0.25">
      <c r="A126" s="496"/>
      <c r="B126" s="695" t="s">
        <v>564</v>
      </c>
      <c r="C126" s="695"/>
      <c r="D126" s="695"/>
      <c r="E126" s="695"/>
      <c r="F126" s="695"/>
      <c r="G126" s="695" t="s">
        <v>15</v>
      </c>
      <c r="H126" s="695"/>
      <c r="I126" s="695"/>
      <c r="J126" s="695"/>
      <c r="K126" s="695" t="s">
        <v>15</v>
      </c>
      <c r="L126" s="695"/>
      <c r="M126" s="695"/>
      <c r="N126" s="695"/>
      <c r="O126" s="695"/>
      <c r="P126" s="695"/>
      <c r="Q126" s="494"/>
      <c r="R126" s="494"/>
      <c r="S126" s="494"/>
      <c r="T126" s="494"/>
      <c r="U126" s="494"/>
      <c r="V126" s="494"/>
      <c r="W126" s="494"/>
      <c r="X126" s="494"/>
      <c r="Y126" s="494"/>
      <c r="Z126" s="494"/>
      <c r="AA126" s="494"/>
      <c r="AB126" s="494"/>
      <c r="AC126" s="494"/>
      <c r="AD126" s="494"/>
      <c r="AE126" s="494"/>
      <c r="AF126" s="494"/>
      <c r="AG126" s="494"/>
      <c r="AH126" s="494"/>
      <c r="AI126" s="494"/>
      <c r="AJ126" s="494"/>
      <c r="AK126" s="494"/>
      <c r="AL126" s="494"/>
      <c r="AM126" s="494"/>
      <c r="AN126" s="494"/>
      <c r="AO126" s="494"/>
      <c r="AP126" s="494"/>
      <c r="AQ126" s="494"/>
      <c r="AR126" s="494"/>
      <c r="AS126" s="494"/>
      <c r="AT126" s="494"/>
      <c r="AU126" s="494"/>
      <c r="AV126" s="494"/>
      <c r="AW126" s="494"/>
      <c r="AX126" s="494"/>
    </row>
    <row r="127" spans="1:50" customFormat="1" x14ac:dyDescent="0.25">
      <c r="A127" s="492"/>
      <c r="B127" s="687" t="s">
        <v>681</v>
      </c>
      <c r="C127" s="687"/>
      <c r="D127" s="687"/>
      <c r="E127" s="687"/>
      <c r="F127" s="687"/>
      <c r="G127" s="687" t="s">
        <v>682</v>
      </c>
      <c r="H127" s="687"/>
      <c r="I127" s="687"/>
      <c r="J127" s="687"/>
      <c r="K127" s="687" t="s">
        <v>15</v>
      </c>
      <c r="L127" s="687"/>
      <c r="M127" s="687"/>
      <c r="N127" s="687"/>
      <c r="O127" s="687"/>
      <c r="P127" s="687"/>
      <c r="Q127" s="494"/>
      <c r="R127" s="494"/>
      <c r="S127" s="494"/>
      <c r="T127" s="494"/>
      <c r="U127" s="494"/>
      <c r="V127" s="494"/>
      <c r="W127" s="494"/>
      <c r="X127" s="494"/>
      <c r="Y127" s="494"/>
      <c r="Z127" s="494"/>
      <c r="AA127" s="494"/>
      <c r="AB127" s="494"/>
      <c r="AC127" s="494"/>
      <c r="AD127" s="494"/>
      <c r="AE127" s="494"/>
      <c r="AF127" s="494"/>
      <c r="AG127" s="494"/>
      <c r="AH127" s="494"/>
      <c r="AI127" s="494"/>
      <c r="AJ127" s="494"/>
      <c r="AK127" s="494"/>
      <c r="AL127" s="494"/>
      <c r="AM127" s="494"/>
      <c r="AN127" s="494"/>
      <c r="AO127" s="494"/>
      <c r="AP127" s="494"/>
      <c r="AQ127" s="494"/>
      <c r="AR127" s="494"/>
      <c r="AS127" s="494"/>
      <c r="AT127" s="494"/>
      <c r="AU127" s="494"/>
      <c r="AV127" s="494"/>
      <c r="AW127" s="494"/>
      <c r="AX127" s="494"/>
    </row>
    <row r="128" spans="1:50" customFormat="1" ht="40.9" customHeight="1" x14ac:dyDescent="0.25">
      <c r="A128" s="492"/>
      <c r="B128" s="687" t="s">
        <v>683</v>
      </c>
      <c r="C128" s="687"/>
      <c r="D128" s="687"/>
      <c r="E128" s="687"/>
      <c r="F128" s="687"/>
      <c r="G128" s="687" t="s">
        <v>684</v>
      </c>
      <c r="H128" s="687"/>
      <c r="I128" s="687"/>
      <c r="J128" s="687"/>
      <c r="K128" s="687" t="s">
        <v>15</v>
      </c>
      <c r="L128" s="687"/>
      <c r="M128" s="687"/>
      <c r="N128" s="687"/>
      <c r="O128" s="687"/>
      <c r="P128" s="687"/>
      <c r="Q128" s="494"/>
      <c r="R128" s="494"/>
      <c r="S128" s="494"/>
      <c r="T128" s="494"/>
      <c r="U128" s="494"/>
      <c r="V128" s="494"/>
      <c r="W128" s="494"/>
      <c r="X128" s="494"/>
      <c r="Y128" s="494"/>
      <c r="Z128" s="494"/>
      <c r="AA128" s="494"/>
      <c r="AB128" s="494"/>
      <c r="AC128" s="494"/>
      <c r="AD128" s="494"/>
      <c r="AE128" s="494"/>
      <c r="AF128" s="494"/>
      <c r="AG128" s="494"/>
      <c r="AH128" s="494"/>
      <c r="AI128" s="494"/>
      <c r="AJ128" s="494"/>
      <c r="AK128" s="494"/>
      <c r="AL128" s="494"/>
      <c r="AM128" s="494"/>
      <c r="AN128" s="494"/>
      <c r="AO128" s="494"/>
      <c r="AP128" s="494"/>
      <c r="AQ128" s="494"/>
      <c r="AR128" s="494"/>
      <c r="AS128" s="494"/>
      <c r="AT128" s="494"/>
      <c r="AU128" s="494"/>
      <c r="AV128" s="494"/>
      <c r="AW128" s="494"/>
      <c r="AX128" s="494"/>
    </row>
    <row r="129" spans="1:50" customFormat="1" ht="27.2" customHeight="1" x14ac:dyDescent="0.25">
      <c r="A129" s="492"/>
      <c r="B129" s="687" t="s">
        <v>793</v>
      </c>
      <c r="C129" s="687"/>
      <c r="D129" s="687"/>
      <c r="E129" s="687"/>
      <c r="F129" s="687"/>
      <c r="G129" s="687" t="s">
        <v>2253</v>
      </c>
      <c r="H129" s="687"/>
      <c r="I129" s="687"/>
      <c r="J129" s="687"/>
      <c r="K129" s="687" t="s">
        <v>15</v>
      </c>
      <c r="L129" s="687"/>
      <c r="M129" s="687"/>
      <c r="N129" s="687"/>
      <c r="O129" s="687"/>
      <c r="P129" s="687"/>
      <c r="Q129" s="494"/>
      <c r="R129" s="494"/>
      <c r="S129" s="494"/>
      <c r="T129" s="494"/>
      <c r="U129" s="494"/>
      <c r="V129" s="494"/>
      <c r="W129" s="494"/>
      <c r="X129" s="494"/>
      <c r="Y129" s="494"/>
      <c r="Z129" s="494"/>
      <c r="AA129" s="494"/>
      <c r="AB129" s="494"/>
      <c r="AC129" s="494"/>
      <c r="AD129" s="494"/>
      <c r="AE129" s="494"/>
      <c r="AF129" s="494"/>
      <c r="AG129" s="494"/>
      <c r="AH129" s="494"/>
      <c r="AI129" s="494"/>
      <c r="AJ129" s="494"/>
      <c r="AK129" s="494"/>
      <c r="AL129" s="494"/>
      <c r="AM129" s="494"/>
      <c r="AN129" s="494"/>
      <c r="AO129" s="494"/>
      <c r="AP129" s="494"/>
      <c r="AQ129" s="494"/>
      <c r="AR129" s="494"/>
      <c r="AS129" s="494"/>
      <c r="AT129" s="494"/>
      <c r="AU129" s="494"/>
      <c r="AV129" s="494"/>
      <c r="AW129" s="494"/>
      <c r="AX129" s="494"/>
    </row>
    <row r="130" spans="1:50" customFormat="1" x14ac:dyDescent="0.25">
      <c r="A130" s="690" t="s">
        <v>984</v>
      </c>
      <c r="B130" s="690"/>
      <c r="C130" s="690"/>
      <c r="D130" s="690"/>
      <c r="E130" s="690"/>
      <c r="F130" s="690"/>
      <c r="G130" s="690"/>
      <c r="H130" s="690"/>
      <c r="I130" s="690"/>
      <c r="J130" s="690"/>
      <c r="K130" s="690"/>
      <c r="L130" s="690"/>
      <c r="M130" s="690"/>
      <c r="N130" s="690"/>
      <c r="O130" s="690"/>
      <c r="P130" s="690"/>
      <c r="Q130" s="494"/>
      <c r="R130" s="494"/>
      <c r="S130" s="494"/>
      <c r="T130" s="494"/>
      <c r="U130" s="494"/>
      <c r="V130" s="494"/>
      <c r="W130" s="494"/>
      <c r="X130" s="494"/>
      <c r="Y130" s="494"/>
      <c r="Z130" s="494"/>
      <c r="AA130" s="494"/>
      <c r="AB130" s="494"/>
      <c r="AC130" s="494"/>
      <c r="AD130" s="494"/>
      <c r="AE130" s="494"/>
      <c r="AF130" s="494"/>
      <c r="AG130" s="494"/>
      <c r="AH130" s="494"/>
      <c r="AI130" s="494"/>
      <c r="AJ130" s="494"/>
      <c r="AK130" s="494"/>
      <c r="AL130" s="494"/>
      <c r="AM130" s="494"/>
      <c r="AN130" s="494"/>
      <c r="AO130" s="494"/>
      <c r="AP130" s="494"/>
      <c r="AQ130" s="494"/>
      <c r="AR130" s="494"/>
      <c r="AS130" s="494"/>
      <c r="AT130" s="494"/>
      <c r="AU130" s="494"/>
      <c r="AV130" s="494"/>
      <c r="AW130" s="494"/>
      <c r="AX130" s="494"/>
    </row>
    <row r="131" spans="1:50" customFormat="1" x14ac:dyDescent="0.25">
      <c r="A131" s="690" t="s">
        <v>2265</v>
      </c>
      <c r="B131" s="690"/>
      <c r="C131" s="690"/>
      <c r="D131" s="690"/>
      <c r="E131" s="690"/>
      <c r="F131" s="690"/>
      <c r="G131" s="690"/>
      <c r="H131" s="690"/>
      <c r="I131" s="690"/>
      <c r="J131" s="690"/>
      <c r="K131" s="690"/>
      <c r="L131" s="690"/>
      <c r="M131" s="690"/>
      <c r="N131" s="690"/>
      <c r="O131" s="690"/>
      <c r="P131" s="690"/>
      <c r="Q131" s="494"/>
      <c r="R131" s="494"/>
      <c r="S131" s="494"/>
      <c r="T131" s="494"/>
      <c r="U131" s="494"/>
      <c r="V131" s="494"/>
      <c r="W131" s="494"/>
      <c r="X131" s="494"/>
      <c r="Y131" s="494"/>
      <c r="Z131" s="494"/>
      <c r="AA131" s="494"/>
      <c r="AB131" s="494"/>
      <c r="AC131" s="494"/>
      <c r="AD131" s="494"/>
      <c r="AE131" s="494"/>
      <c r="AF131" s="494"/>
      <c r="AG131" s="494"/>
      <c r="AH131" s="494"/>
      <c r="AI131" s="494"/>
      <c r="AJ131" s="494"/>
      <c r="AK131" s="494"/>
      <c r="AL131" s="494"/>
      <c r="AM131" s="494"/>
      <c r="AN131" s="494"/>
      <c r="AO131" s="494"/>
      <c r="AP131" s="494"/>
      <c r="AQ131" s="494"/>
      <c r="AR131" s="494"/>
      <c r="AS131" s="494"/>
      <c r="AT131" s="494"/>
      <c r="AU131" s="494"/>
      <c r="AV131" s="494"/>
      <c r="AW131" s="494"/>
      <c r="AX131" s="494"/>
    </row>
    <row r="132" spans="1:50" customFormat="1" ht="135.94999999999999" customHeight="1" x14ac:dyDescent="0.25">
      <c r="A132" s="495" t="s">
        <v>367</v>
      </c>
      <c r="B132" s="692" t="s">
        <v>2266</v>
      </c>
      <c r="C132" s="693"/>
      <c r="D132" s="693"/>
      <c r="E132" s="693"/>
      <c r="F132" s="693"/>
      <c r="G132" s="693" t="s">
        <v>2267</v>
      </c>
      <c r="H132" s="693"/>
      <c r="I132" s="693"/>
      <c r="J132" s="693"/>
      <c r="K132" s="693" t="s">
        <v>2268</v>
      </c>
      <c r="L132" s="693"/>
      <c r="M132" s="693"/>
      <c r="N132" s="693"/>
      <c r="O132" s="694">
        <f>ROUND((1397900 + 10491 * (0.4 * 40 + 0.6 * 80)) * 1 * 1.56 * 0.6 * 0.7, 2)</f>
        <v>1355821.08</v>
      </c>
      <c r="P132" s="693"/>
      <c r="Q132" s="494"/>
      <c r="R132" s="494"/>
      <c r="S132" s="494"/>
      <c r="T132" s="494"/>
      <c r="U132" s="494"/>
      <c r="V132" s="494"/>
      <c r="W132" s="494"/>
      <c r="X132" s="494"/>
      <c r="Y132" s="494"/>
      <c r="Z132" s="494"/>
      <c r="AA132" s="494"/>
      <c r="AB132" s="494"/>
      <c r="AC132" s="494"/>
      <c r="AD132" s="494"/>
      <c r="AE132" s="494"/>
      <c r="AF132" s="494"/>
      <c r="AG132" s="494"/>
      <c r="AH132" s="494"/>
      <c r="AI132" s="494"/>
      <c r="AJ132" s="494"/>
      <c r="AK132" s="494"/>
      <c r="AL132" s="494"/>
      <c r="AM132" s="494"/>
      <c r="AN132" s="494"/>
      <c r="AO132" s="494"/>
      <c r="AP132" s="494"/>
      <c r="AQ132" s="494"/>
      <c r="AR132" s="494"/>
      <c r="AS132" s="494"/>
      <c r="AT132" s="494"/>
      <c r="AU132" s="494"/>
      <c r="AV132" s="494"/>
      <c r="AW132" s="494"/>
      <c r="AX132" s="494"/>
    </row>
    <row r="133" spans="1:50" customFormat="1" x14ac:dyDescent="0.25">
      <c r="A133" s="496"/>
      <c r="B133" s="695" t="s">
        <v>564</v>
      </c>
      <c r="C133" s="695"/>
      <c r="D133" s="695"/>
      <c r="E133" s="695"/>
      <c r="F133" s="695"/>
      <c r="G133" s="695" t="s">
        <v>15</v>
      </c>
      <c r="H133" s="695"/>
      <c r="I133" s="695"/>
      <c r="J133" s="695"/>
      <c r="K133" s="695" t="s">
        <v>15</v>
      </c>
      <c r="L133" s="695"/>
      <c r="M133" s="695"/>
      <c r="N133" s="695"/>
      <c r="O133" s="695"/>
      <c r="P133" s="695"/>
      <c r="Q133" s="494"/>
      <c r="R133" s="494"/>
      <c r="S133" s="494"/>
      <c r="T133" s="494"/>
      <c r="U133" s="494"/>
      <c r="V133" s="494"/>
      <c r="W133" s="494"/>
      <c r="X133" s="494"/>
      <c r="Y133" s="494"/>
      <c r="Z133" s="494"/>
      <c r="AA133" s="494"/>
      <c r="AB133" s="494"/>
      <c r="AC133" s="494"/>
      <c r="AD133" s="494"/>
      <c r="AE133" s="494"/>
      <c r="AF133" s="494"/>
      <c r="AG133" s="494"/>
      <c r="AH133" s="494"/>
      <c r="AI133" s="494"/>
      <c r="AJ133" s="494"/>
      <c r="AK133" s="494"/>
      <c r="AL133" s="494"/>
      <c r="AM133" s="494"/>
      <c r="AN133" s="494"/>
      <c r="AO133" s="494"/>
      <c r="AP133" s="494"/>
      <c r="AQ133" s="494"/>
      <c r="AR133" s="494"/>
      <c r="AS133" s="494"/>
      <c r="AT133" s="494"/>
      <c r="AU133" s="494"/>
      <c r="AV133" s="494"/>
      <c r="AW133" s="494"/>
      <c r="AX133" s="494"/>
    </row>
    <row r="134" spans="1:50" customFormat="1" x14ac:dyDescent="0.25">
      <c r="A134" s="492"/>
      <c r="B134" s="687" t="s">
        <v>681</v>
      </c>
      <c r="C134" s="687"/>
      <c r="D134" s="687"/>
      <c r="E134" s="687"/>
      <c r="F134" s="687"/>
      <c r="G134" s="687" t="s">
        <v>682</v>
      </c>
      <c r="H134" s="687"/>
      <c r="I134" s="687"/>
      <c r="J134" s="687"/>
      <c r="K134" s="687" t="s">
        <v>15</v>
      </c>
      <c r="L134" s="687"/>
      <c r="M134" s="687"/>
      <c r="N134" s="687"/>
      <c r="O134" s="687"/>
      <c r="P134" s="687"/>
      <c r="Q134" s="494"/>
      <c r="R134" s="494"/>
      <c r="S134" s="494"/>
      <c r="T134" s="494"/>
      <c r="U134" s="494"/>
      <c r="V134" s="494"/>
      <c r="W134" s="494"/>
      <c r="X134" s="494"/>
      <c r="Y134" s="494"/>
      <c r="Z134" s="494"/>
      <c r="AA134" s="494"/>
      <c r="AB134" s="494"/>
      <c r="AC134" s="494"/>
      <c r="AD134" s="494"/>
      <c r="AE134" s="494"/>
      <c r="AF134" s="494"/>
      <c r="AG134" s="494"/>
      <c r="AH134" s="494"/>
      <c r="AI134" s="494"/>
      <c r="AJ134" s="494"/>
      <c r="AK134" s="494"/>
      <c r="AL134" s="494"/>
      <c r="AM134" s="494"/>
      <c r="AN134" s="494"/>
      <c r="AO134" s="494"/>
      <c r="AP134" s="494"/>
      <c r="AQ134" s="494"/>
      <c r="AR134" s="494"/>
      <c r="AS134" s="494"/>
      <c r="AT134" s="494"/>
      <c r="AU134" s="494"/>
      <c r="AV134" s="494"/>
      <c r="AW134" s="494"/>
      <c r="AX134" s="494"/>
    </row>
    <row r="135" spans="1:50" customFormat="1" ht="40.9" customHeight="1" x14ac:dyDescent="0.25">
      <c r="A135" s="492"/>
      <c r="B135" s="687" t="s">
        <v>683</v>
      </c>
      <c r="C135" s="687"/>
      <c r="D135" s="687"/>
      <c r="E135" s="687"/>
      <c r="F135" s="687"/>
      <c r="G135" s="687" t="s">
        <v>684</v>
      </c>
      <c r="H135" s="687"/>
      <c r="I135" s="687"/>
      <c r="J135" s="687"/>
      <c r="K135" s="687" t="s">
        <v>15</v>
      </c>
      <c r="L135" s="687"/>
      <c r="M135" s="687"/>
      <c r="N135" s="687"/>
      <c r="O135" s="687"/>
      <c r="P135" s="687"/>
      <c r="Q135" s="494"/>
      <c r="R135" s="494"/>
      <c r="S135" s="494"/>
      <c r="T135" s="494"/>
      <c r="U135" s="494"/>
      <c r="V135" s="494"/>
      <c r="W135" s="494"/>
      <c r="X135" s="494"/>
      <c r="Y135" s="494"/>
      <c r="Z135" s="494"/>
      <c r="AA135" s="494"/>
      <c r="AB135" s="494"/>
      <c r="AC135" s="494"/>
      <c r="AD135" s="494"/>
      <c r="AE135" s="494"/>
      <c r="AF135" s="494"/>
      <c r="AG135" s="494"/>
      <c r="AH135" s="494"/>
      <c r="AI135" s="494"/>
      <c r="AJ135" s="494"/>
      <c r="AK135" s="494"/>
      <c r="AL135" s="494"/>
      <c r="AM135" s="494"/>
      <c r="AN135" s="494"/>
      <c r="AO135" s="494"/>
      <c r="AP135" s="494"/>
      <c r="AQ135" s="494"/>
      <c r="AR135" s="494"/>
      <c r="AS135" s="494"/>
      <c r="AT135" s="494"/>
      <c r="AU135" s="494"/>
      <c r="AV135" s="494"/>
      <c r="AW135" s="494"/>
      <c r="AX135" s="494"/>
    </row>
    <row r="136" spans="1:50" customFormat="1" ht="27.2" customHeight="1" x14ac:dyDescent="0.25">
      <c r="A136" s="492"/>
      <c r="B136" s="687" t="s">
        <v>793</v>
      </c>
      <c r="C136" s="687"/>
      <c r="D136" s="687"/>
      <c r="E136" s="687"/>
      <c r="F136" s="687"/>
      <c r="G136" s="687" t="s">
        <v>2253</v>
      </c>
      <c r="H136" s="687"/>
      <c r="I136" s="687"/>
      <c r="J136" s="687"/>
      <c r="K136" s="687" t="s">
        <v>15</v>
      </c>
      <c r="L136" s="687"/>
      <c r="M136" s="687"/>
      <c r="N136" s="687"/>
      <c r="O136" s="687"/>
      <c r="P136" s="687"/>
      <c r="Q136" s="494"/>
      <c r="R136" s="494"/>
      <c r="S136" s="494"/>
      <c r="T136" s="494"/>
      <c r="U136" s="494"/>
      <c r="V136" s="494"/>
      <c r="W136" s="494"/>
      <c r="X136" s="494"/>
      <c r="Y136" s="494"/>
      <c r="Z136" s="494"/>
      <c r="AA136" s="494"/>
      <c r="AB136" s="494"/>
      <c r="AC136" s="494"/>
      <c r="AD136" s="494"/>
      <c r="AE136" s="494"/>
      <c r="AF136" s="494"/>
      <c r="AG136" s="494"/>
      <c r="AH136" s="494"/>
      <c r="AI136" s="494"/>
      <c r="AJ136" s="494"/>
      <c r="AK136" s="494"/>
      <c r="AL136" s="494"/>
      <c r="AM136" s="494"/>
      <c r="AN136" s="494"/>
      <c r="AO136" s="494"/>
      <c r="AP136" s="494"/>
      <c r="AQ136" s="494"/>
      <c r="AR136" s="494"/>
      <c r="AS136" s="494"/>
      <c r="AT136" s="494"/>
      <c r="AU136" s="494"/>
      <c r="AV136" s="494"/>
      <c r="AW136" s="494"/>
      <c r="AX136" s="494"/>
    </row>
    <row r="137" spans="1:50" customFormat="1" x14ac:dyDescent="0.25">
      <c r="A137" s="690" t="s">
        <v>1421</v>
      </c>
      <c r="B137" s="690"/>
      <c r="C137" s="690"/>
      <c r="D137" s="690"/>
      <c r="E137" s="690"/>
      <c r="F137" s="690"/>
      <c r="G137" s="690"/>
      <c r="H137" s="690"/>
      <c r="I137" s="690"/>
      <c r="J137" s="690"/>
      <c r="K137" s="690"/>
      <c r="L137" s="690"/>
      <c r="M137" s="690"/>
      <c r="N137" s="690"/>
      <c r="O137" s="690"/>
      <c r="P137" s="690"/>
      <c r="Q137" s="494"/>
      <c r="R137" s="494"/>
      <c r="S137" s="494"/>
      <c r="T137" s="494"/>
      <c r="U137" s="494"/>
      <c r="V137" s="494"/>
      <c r="W137" s="494"/>
      <c r="X137" s="494"/>
      <c r="Y137" s="494"/>
      <c r="Z137" s="494"/>
      <c r="AA137" s="494"/>
      <c r="AB137" s="494"/>
      <c r="AC137" s="494"/>
      <c r="AD137" s="494"/>
      <c r="AE137" s="494"/>
      <c r="AF137" s="494"/>
      <c r="AG137" s="494"/>
      <c r="AH137" s="494"/>
      <c r="AI137" s="494"/>
      <c r="AJ137" s="494"/>
      <c r="AK137" s="494"/>
      <c r="AL137" s="494"/>
      <c r="AM137" s="494"/>
      <c r="AN137" s="494"/>
      <c r="AO137" s="494"/>
      <c r="AP137" s="494"/>
      <c r="AQ137" s="494"/>
      <c r="AR137" s="494"/>
      <c r="AS137" s="494"/>
      <c r="AT137" s="494"/>
      <c r="AU137" s="494"/>
      <c r="AV137" s="494"/>
      <c r="AW137" s="494"/>
      <c r="AX137" s="494"/>
    </row>
    <row r="138" spans="1:50" customFormat="1" ht="135.94999999999999" customHeight="1" x14ac:dyDescent="0.25">
      <c r="A138" s="495" t="s">
        <v>371</v>
      </c>
      <c r="B138" s="692" t="s">
        <v>964</v>
      </c>
      <c r="C138" s="693"/>
      <c r="D138" s="693"/>
      <c r="E138" s="693"/>
      <c r="F138" s="693"/>
      <c r="G138" s="693" t="s">
        <v>2269</v>
      </c>
      <c r="H138" s="693"/>
      <c r="I138" s="693"/>
      <c r="J138" s="693"/>
      <c r="K138" s="693" t="s">
        <v>2270</v>
      </c>
      <c r="L138" s="693"/>
      <c r="M138" s="693"/>
      <c r="N138" s="693"/>
      <c r="O138" s="694">
        <f>ROUND((4367000 + 13577 * (0.4 * 50 + 0.6 * (50 / 2))) * 1 * 0.41 * 1.56 * 0.6 * 0.7, 2)</f>
        <v>1300768.53</v>
      </c>
      <c r="P138" s="693"/>
      <c r="Q138" s="494"/>
      <c r="R138" s="494"/>
      <c r="S138" s="494"/>
      <c r="T138" s="494"/>
      <c r="U138" s="494"/>
      <c r="V138" s="494"/>
      <c r="W138" s="494"/>
      <c r="X138" s="494"/>
      <c r="Y138" s="494"/>
      <c r="Z138" s="494"/>
      <c r="AA138" s="494"/>
      <c r="AB138" s="494"/>
      <c r="AC138" s="494"/>
      <c r="AD138" s="494"/>
      <c r="AE138" s="494"/>
      <c r="AF138" s="494"/>
      <c r="AG138" s="494"/>
      <c r="AH138" s="494"/>
      <c r="AI138" s="494"/>
      <c r="AJ138" s="494"/>
      <c r="AK138" s="494"/>
      <c r="AL138" s="494"/>
      <c r="AM138" s="494"/>
      <c r="AN138" s="494"/>
      <c r="AO138" s="494"/>
      <c r="AP138" s="494"/>
      <c r="AQ138" s="494"/>
      <c r="AR138" s="494"/>
      <c r="AS138" s="494"/>
      <c r="AT138" s="494"/>
      <c r="AU138" s="494"/>
      <c r="AV138" s="494"/>
      <c r="AW138" s="494"/>
      <c r="AX138" s="494"/>
    </row>
    <row r="139" spans="1:50" customFormat="1" x14ac:dyDescent="0.25">
      <c r="A139" s="496"/>
      <c r="B139" s="695" t="s">
        <v>564</v>
      </c>
      <c r="C139" s="695"/>
      <c r="D139" s="695"/>
      <c r="E139" s="695"/>
      <c r="F139" s="695"/>
      <c r="G139" s="695" t="s">
        <v>15</v>
      </c>
      <c r="H139" s="695"/>
      <c r="I139" s="695"/>
      <c r="J139" s="695"/>
      <c r="K139" s="695" t="s">
        <v>15</v>
      </c>
      <c r="L139" s="695"/>
      <c r="M139" s="695"/>
      <c r="N139" s="695"/>
      <c r="O139" s="695"/>
      <c r="P139" s="695"/>
      <c r="Q139" s="494"/>
      <c r="R139" s="494"/>
      <c r="S139" s="494"/>
      <c r="T139" s="494"/>
      <c r="U139" s="494"/>
      <c r="V139" s="494"/>
      <c r="W139" s="494"/>
      <c r="X139" s="494"/>
      <c r="Y139" s="494"/>
      <c r="Z139" s="494"/>
      <c r="AA139" s="494"/>
      <c r="AB139" s="494"/>
      <c r="AC139" s="494"/>
      <c r="AD139" s="494"/>
      <c r="AE139" s="494"/>
      <c r="AF139" s="494"/>
      <c r="AG139" s="494"/>
      <c r="AH139" s="494"/>
      <c r="AI139" s="494"/>
      <c r="AJ139" s="494"/>
      <c r="AK139" s="494"/>
      <c r="AL139" s="494"/>
      <c r="AM139" s="494"/>
      <c r="AN139" s="494"/>
      <c r="AO139" s="494"/>
      <c r="AP139" s="494"/>
      <c r="AQ139" s="494"/>
      <c r="AR139" s="494"/>
      <c r="AS139" s="494"/>
      <c r="AT139" s="494"/>
      <c r="AU139" s="494"/>
      <c r="AV139" s="494"/>
      <c r="AW139" s="494"/>
      <c r="AX139" s="494"/>
    </row>
    <row r="140" spans="1:50" customFormat="1" x14ac:dyDescent="0.25">
      <c r="A140" s="492"/>
      <c r="B140" s="687" t="s">
        <v>681</v>
      </c>
      <c r="C140" s="687"/>
      <c r="D140" s="687"/>
      <c r="E140" s="687"/>
      <c r="F140" s="687"/>
      <c r="G140" s="687" t="s">
        <v>682</v>
      </c>
      <c r="H140" s="687"/>
      <c r="I140" s="687"/>
      <c r="J140" s="687"/>
      <c r="K140" s="687" t="s">
        <v>15</v>
      </c>
      <c r="L140" s="687"/>
      <c r="M140" s="687"/>
      <c r="N140" s="687"/>
      <c r="O140" s="687"/>
      <c r="P140" s="687"/>
      <c r="Q140" s="494"/>
      <c r="R140" s="494"/>
      <c r="S140" s="494"/>
      <c r="T140" s="494"/>
      <c r="U140" s="494"/>
      <c r="V140" s="494"/>
      <c r="W140" s="494"/>
      <c r="X140" s="494"/>
      <c r="Y140" s="494"/>
      <c r="Z140" s="494"/>
      <c r="AA140" s="494"/>
      <c r="AB140" s="494"/>
      <c r="AC140" s="494"/>
      <c r="AD140" s="494"/>
      <c r="AE140" s="494"/>
      <c r="AF140" s="494"/>
      <c r="AG140" s="494"/>
      <c r="AH140" s="494"/>
      <c r="AI140" s="494"/>
      <c r="AJ140" s="494"/>
      <c r="AK140" s="494"/>
      <c r="AL140" s="494"/>
      <c r="AM140" s="494"/>
      <c r="AN140" s="494"/>
      <c r="AO140" s="494"/>
      <c r="AP140" s="494"/>
      <c r="AQ140" s="494"/>
      <c r="AR140" s="494"/>
      <c r="AS140" s="494"/>
      <c r="AT140" s="494"/>
      <c r="AU140" s="494"/>
      <c r="AV140" s="494"/>
      <c r="AW140" s="494"/>
      <c r="AX140" s="494"/>
    </row>
    <row r="141" spans="1:50" customFormat="1" ht="40.9" customHeight="1" x14ac:dyDescent="0.25">
      <c r="A141" s="492"/>
      <c r="B141" s="687" t="s">
        <v>683</v>
      </c>
      <c r="C141" s="687"/>
      <c r="D141" s="687"/>
      <c r="E141" s="687"/>
      <c r="F141" s="687"/>
      <c r="G141" s="687" t="s">
        <v>684</v>
      </c>
      <c r="H141" s="687"/>
      <c r="I141" s="687"/>
      <c r="J141" s="687"/>
      <c r="K141" s="687" t="s">
        <v>15</v>
      </c>
      <c r="L141" s="687"/>
      <c r="M141" s="687"/>
      <c r="N141" s="687"/>
      <c r="O141" s="687"/>
      <c r="P141" s="687"/>
      <c r="Q141" s="494"/>
      <c r="R141" s="494"/>
      <c r="S141" s="494"/>
      <c r="T141" s="494"/>
      <c r="U141" s="494"/>
      <c r="V141" s="494"/>
      <c r="W141" s="494"/>
      <c r="X141" s="494"/>
      <c r="Y141" s="494"/>
      <c r="Z141" s="494"/>
      <c r="AA141" s="494"/>
      <c r="AB141" s="494"/>
      <c r="AC141" s="494"/>
      <c r="AD141" s="494"/>
      <c r="AE141" s="494"/>
      <c r="AF141" s="494"/>
      <c r="AG141" s="494"/>
      <c r="AH141" s="494"/>
      <c r="AI141" s="494"/>
      <c r="AJ141" s="494"/>
      <c r="AK141" s="494"/>
      <c r="AL141" s="494"/>
      <c r="AM141" s="494"/>
      <c r="AN141" s="494"/>
      <c r="AO141" s="494"/>
      <c r="AP141" s="494"/>
      <c r="AQ141" s="494"/>
      <c r="AR141" s="494"/>
      <c r="AS141" s="494"/>
      <c r="AT141" s="494"/>
      <c r="AU141" s="494"/>
      <c r="AV141" s="494"/>
      <c r="AW141" s="494"/>
      <c r="AX141" s="494"/>
    </row>
    <row r="142" spans="1:50" customFormat="1" ht="95.25" customHeight="1" x14ac:dyDescent="0.25">
      <c r="A142" s="492"/>
      <c r="B142" s="687" t="s">
        <v>778</v>
      </c>
      <c r="C142" s="687"/>
      <c r="D142" s="687"/>
      <c r="E142" s="687"/>
      <c r="F142" s="687"/>
      <c r="G142" s="687" t="s">
        <v>2271</v>
      </c>
      <c r="H142" s="687"/>
      <c r="I142" s="687"/>
      <c r="J142" s="687"/>
      <c r="K142" s="687" t="s">
        <v>15</v>
      </c>
      <c r="L142" s="687"/>
      <c r="M142" s="687"/>
      <c r="N142" s="687"/>
      <c r="O142" s="687"/>
      <c r="P142" s="687"/>
      <c r="Q142" s="494"/>
      <c r="R142" s="494"/>
      <c r="S142" s="494"/>
      <c r="T142" s="494"/>
      <c r="U142" s="494"/>
      <c r="V142" s="494"/>
      <c r="W142" s="494"/>
      <c r="X142" s="494"/>
      <c r="Y142" s="494"/>
      <c r="Z142" s="494"/>
      <c r="AA142" s="494"/>
      <c r="AB142" s="494"/>
      <c r="AC142" s="494"/>
      <c r="AD142" s="494"/>
      <c r="AE142" s="494"/>
      <c r="AF142" s="494"/>
      <c r="AG142" s="494"/>
      <c r="AH142" s="494"/>
      <c r="AI142" s="494"/>
      <c r="AJ142" s="494"/>
      <c r="AK142" s="494"/>
      <c r="AL142" s="494"/>
      <c r="AM142" s="494"/>
      <c r="AN142" s="494"/>
      <c r="AO142" s="494"/>
      <c r="AP142" s="494"/>
      <c r="AQ142" s="494"/>
      <c r="AR142" s="494"/>
      <c r="AS142" s="494"/>
      <c r="AT142" s="494"/>
      <c r="AU142" s="494"/>
      <c r="AV142" s="494"/>
      <c r="AW142" s="494"/>
      <c r="AX142" s="494"/>
    </row>
    <row r="143" spans="1:50" customFormat="1" ht="27.2" customHeight="1" x14ac:dyDescent="0.25">
      <c r="A143" s="492"/>
      <c r="B143" s="687" t="s">
        <v>793</v>
      </c>
      <c r="C143" s="687"/>
      <c r="D143" s="687"/>
      <c r="E143" s="687"/>
      <c r="F143" s="687"/>
      <c r="G143" s="687" t="s">
        <v>2253</v>
      </c>
      <c r="H143" s="687"/>
      <c r="I143" s="687"/>
      <c r="J143" s="687"/>
      <c r="K143" s="687" t="s">
        <v>15</v>
      </c>
      <c r="L143" s="687"/>
      <c r="M143" s="687"/>
      <c r="N143" s="687"/>
      <c r="O143" s="687"/>
      <c r="P143" s="687"/>
      <c r="Q143" s="494"/>
      <c r="R143" s="494"/>
      <c r="S143" s="494"/>
      <c r="T143" s="494"/>
      <c r="U143" s="494"/>
      <c r="V143" s="494"/>
      <c r="W143" s="494"/>
      <c r="X143" s="494"/>
      <c r="Y143" s="494"/>
      <c r="Z143" s="494"/>
      <c r="AA143" s="494"/>
      <c r="AB143" s="494"/>
      <c r="AC143" s="494"/>
      <c r="AD143" s="494"/>
      <c r="AE143" s="494"/>
      <c r="AF143" s="494"/>
      <c r="AG143" s="494"/>
      <c r="AH143" s="494"/>
      <c r="AI143" s="494"/>
      <c r="AJ143" s="494"/>
      <c r="AK143" s="494"/>
      <c r="AL143" s="494"/>
      <c r="AM143" s="494"/>
      <c r="AN143" s="494"/>
      <c r="AO143" s="494"/>
      <c r="AP143" s="494"/>
      <c r="AQ143" s="494"/>
      <c r="AR143" s="494"/>
      <c r="AS143" s="494"/>
      <c r="AT143" s="494"/>
      <c r="AU143" s="494"/>
      <c r="AV143" s="494"/>
      <c r="AW143" s="494"/>
      <c r="AX143" s="494"/>
    </row>
    <row r="144" spans="1:50" customFormat="1" x14ac:dyDescent="0.25">
      <c r="A144" s="690" t="s">
        <v>2272</v>
      </c>
      <c r="B144" s="690"/>
      <c r="C144" s="690"/>
      <c r="D144" s="690"/>
      <c r="E144" s="690"/>
      <c r="F144" s="690"/>
      <c r="G144" s="690"/>
      <c r="H144" s="690"/>
      <c r="I144" s="690"/>
      <c r="J144" s="690"/>
      <c r="K144" s="690"/>
      <c r="L144" s="690"/>
      <c r="M144" s="690"/>
      <c r="N144" s="690"/>
      <c r="O144" s="690"/>
      <c r="P144" s="690"/>
      <c r="Q144" s="494"/>
      <c r="R144" s="494"/>
      <c r="S144" s="494"/>
      <c r="T144" s="494"/>
      <c r="U144" s="494"/>
      <c r="V144" s="494"/>
      <c r="W144" s="494"/>
      <c r="X144" s="494"/>
      <c r="Y144" s="494"/>
      <c r="Z144" s="494"/>
      <c r="AA144" s="494"/>
      <c r="AB144" s="494"/>
      <c r="AC144" s="494"/>
      <c r="AD144" s="494"/>
      <c r="AE144" s="494"/>
      <c r="AF144" s="494"/>
      <c r="AG144" s="494"/>
      <c r="AH144" s="494"/>
      <c r="AI144" s="494"/>
      <c r="AJ144" s="494"/>
      <c r="AK144" s="494"/>
      <c r="AL144" s="494"/>
      <c r="AM144" s="494"/>
      <c r="AN144" s="494"/>
      <c r="AO144" s="494"/>
      <c r="AP144" s="494"/>
      <c r="AQ144" s="494"/>
      <c r="AR144" s="494"/>
      <c r="AS144" s="494"/>
      <c r="AT144" s="494"/>
      <c r="AU144" s="494"/>
      <c r="AV144" s="494"/>
      <c r="AW144" s="494"/>
      <c r="AX144" s="494"/>
    </row>
    <row r="145" spans="1:50" customFormat="1" ht="135.94999999999999" customHeight="1" x14ac:dyDescent="0.25">
      <c r="A145" s="495" t="s">
        <v>593</v>
      </c>
      <c r="B145" s="692" t="s">
        <v>964</v>
      </c>
      <c r="C145" s="693"/>
      <c r="D145" s="693"/>
      <c r="E145" s="693"/>
      <c r="F145" s="693"/>
      <c r="G145" s="693" t="s">
        <v>2269</v>
      </c>
      <c r="H145" s="693"/>
      <c r="I145" s="693"/>
      <c r="J145" s="693"/>
      <c r="K145" s="693" t="s">
        <v>2270</v>
      </c>
      <c r="L145" s="693"/>
      <c r="M145" s="693"/>
      <c r="N145" s="693"/>
      <c r="O145" s="694">
        <f>ROUND((4367000 + 13577 * (0.4 * 50 + 0.6 * (50 / 2))) * 1 * 0.41 * 1.56 * 0.6 * 0.7, 2)</f>
        <v>1300768.53</v>
      </c>
      <c r="P145" s="693"/>
      <c r="Q145" s="494"/>
      <c r="R145" s="494"/>
      <c r="S145" s="494"/>
      <c r="T145" s="494"/>
      <c r="U145" s="494"/>
      <c r="V145" s="494"/>
      <c r="W145" s="494"/>
      <c r="X145" s="494"/>
      <c r="Y145" s="494"/>
      <c r="Z145" s="494"/>
      <c r="AA145" s="494"/>
      <c r="AB145" s="494"/>
      <c r="AC145" s="494"/>
      <c r="AD145" s="494"/>
      <c r="AE145" s="494"/>
      <c r="AF145" s="494"/>
      <c r="AG145" s="494"/>
      <c r="AH145" s="494"/>
      <c r="AI145" s="494"/>
      <c r="AJ145" s="494"/>
      <c r="AK145" s="494"/>
      <c r="AL145" s="494"/>
      <c r="AM145" s="494"/>
      <c r="AN145" s="494"/>
      <c r="AO145" s="494"/>
      <c r="AP145" s="494"/>
      <c r="AQ145" s="494"/>
      <c r="AR145" s="494"/>
      <c r="AS145" s="494"/>
      <c r="AT145" s="494"/>
      <c r="AU145" s="494"/>
      <c r="AV145" s="494"/>
      <c r="AW145" s="494"/>
      <c r="AX145" s="494"/>
    </row>
    <row r="146" spans="1:50" customFormat="1" x14ac:dyDescent="0.25">
      <c r="A146" s="496"/>
      <c r="B146" s="695" t="s">
        <v>564</v>
      </c>
      <c r="C146" s="695"/>
      <c r="D146" s="695"/>
      <c r="E146" s="695"/>
      <c r="F146" s="695"/>
      <c r="G146" s="695" t="s">
        <v>15</v>
      </c>
      <c r="H146" s="695"/>
      <c r="I146" s="695"/>
      <c r="J146" s="695"/>
      <c r="K146" s="695" t="s">
        <v>15</v>
      </c>
      <c r="L146" s="695"/>
      <c r="M146" s="695"/>
      <c r="N146" s="695"/>
      <c r="O146" s="695"/>
      <c r="P146" s="695"/>
      <c r="Q146" s="494"/>
      <c r="R146" s="494"/>
      <c r="S146" s="494"/>
      <c r="T146" s="494"/>
      <c r="U146" s="494"/>
      <c r="V146" s="494"/>
      <c r="W146" s="494"/>
      <c r="X146" s="494"/>
      <c r="Y146" s="494"/>
      <c r="Z146" s="494"/>
      <c r="AA146" s="494"/>
      <c r="AB146" s="494"/>
      <c r="AC146" s="494"/>
      <c r="AD146" s="494"/>
      <c r="AE146" s="494"/>
      <c r="AF146" s="494"/>
      <c r="AG146" s="494"/>
      <c r="AH146" s="494"/>
      <c r="AI146" s="494"/>
      <c r="AJ146" s="494"/>
      <c r="AK146" s="494"/>
      <c r="AL146" s="494"/>
      <c r="AM146" s="494"/>
      <c r="AN146" s="494"/>
      <c r="AO146" s="494"/>
      <c r="AP146" s="494"/>
      <c r="AQ146" s="494"/>
      <c r="AR146" s="494"/>
      <c r="AS146" s="494"/>
      <c r="AT146" s="494"/>
      <c r="AU146" s="494"/>
      <c r="AV146" s="494"/>
      <c r="AW146" s="494"/>
      <c r="AX146" s="494"/>
    </row>
    <row r="147" spans="1:50" customFormat="1" x14ac:dyDescent="0.25">
      <c r="A147" s="492"/>
      <c r="B147" s="687" t="s">
        <v>681</v>
      </c>
      <c r="C147" s="687"/>
      <c r="D147" s="687"/>
      <c r="E147" s="687"/>
      <c r="F147" s="687"/>
      <c r="G147" s="687" t="s">
        <v>682</v>
      </c>
      <c r="H147" s="687"/>
      <c r="I147" s="687"/>
      <c r="J147" s="687"/>
      <c r="K147" s="687" t="s">
        <v>15</v>
      </c>
      <c r="L147" s="687"/>
      <c r="M147" s="687"/>
      <c r="N147" s="687"/>
      <c r="O147" s="687"/>
      <c r="P147" s="687"/>
      <c r="Q147" s="494"/>
      <c r="R147" s="494"/>
      <c r="S147" s="494"/>
      <c r="T147" s="494"/>
      <c r="U147" s="494"/>
      <c r="V147" s="494"/>
      <c r="W147" s="494"/>
      <c r="X147" s="494"/>
      <c r="Y147" s="494"/>
      <c r="Z147" s="494"/>
      <c r="AA147" s="494"/>
      <c r="AB147" s="494"/>
      <c r="AC147" s="494"/>
      <c r="AD147" s="494"/>
      <c r="AE147" s="494"/>
      <c r="AF147" s="494"/>
      <c r="AG147" s="494"/>
      <c r="AH147" s="494"/>
      <c r="AI147" s="494"/>
      <c r="AJ147" s="494"/>
      <c r="AK147" s="494"/>
      <c r="AL147" s="494"/>
      <c r="AM147" s="494"/>
      <c r="AN147" s="494"/>
      <c r="AO147" s="494"/>
      <c r="AP147" s="494"/>
      <c r="AQ147" s="494"/>
      <c r="AR147" s="494"/>
      <c r="AS147" s="494"/>
      <c r="AT147" s="494"/>
      <c r="AU147" s="494"/>
      <c r="AV147" s="494"/>
      <c r="AW147" s="494"/>
      <c r="AX147" s="494"/>
    </row>
    <row r="148" spans="1:50" customFormat="1" ht="40.9" customHeight="1" x14ac:dyDescent="0.25">
      <c r="A148" s="492"/>
      <c r="B148" s="687" t="s">
        <v>683</v>
      </c>
      <c r="C148" s="687"/>
      <c r="D148" s="687"/>
      <c r="E148" s="687"/>
      <c r="F148" s="687"/>
      <c r="G148" s="687" t="s">
        <v>684</v>
      </c>
      <c r="H148" s="687"/>
      <c r="I148" s="687"/>
      <c r="J148" s="687"/>
      <c r="K148" s="687" t="s">
        <v>15</v>
      </c>
      <c r="L148" s="687"/>
      <c r="M148" s="687"/>
      <c r="N148" s="687"/>
      <c r="O148" s="687"/>
      <c r="P148" s="687"/>
      <c r="Q148" s="494"/>
      <c r="R148" s="494"/>
      <c r="S148" s="494"/>
      <c r="T148" s="494"/>
      <c r="U148" s="494"/>
      <c r="V148" s="494"/>
      <c r="W148" s="494"/>
      <c r="X148" s="494"/>
      <c r="Y148" s="494"/>
      <c r="Z148" s="494"/>
      <c r="AA148" s="494"/>
      <c r="AB148" s="494"/>
      <c r="AC148" s="494"/>
      <c r="AD148" s="494"/>
      <c r="AE148" s="494"/>
      <c r="AF148" s="494"/>
      <c r="AG148" s="494"/>
      <c r="AH148" s="494"/>
      <c r="AI148" s="494"/>
      <c r="AJ148" s="494"/>
      <c r="AK148" s="494"/>
      <c r="AL148" s="494"/>
      <c r="AM148" s="494"/>
      <c r="AN148" s="494"/>
      <c r="AO148" s="494"/>
      <c r="AP148" s="494"/>
      <c r="AQ148" s="494"/>
      <c r="AR148" s="494"/>
      <c r="AS148" s="494"/>
      <c r="AT148" s="494"/>
      <c r="AU148" s="494"/>
      <c r="AV148" s="494"/>
      <c r="AW148" s="494"/>
      <c r="AX148" s="494"/>
    </row>
    <row r="149" spans="1:50" customFormat="1" ht="95.25" customHeight="1" x14ac:dyDescent="0.25">
      <c r="A149" s="492"/>
      <c r="B149" s="687" t="s">
        <v>778</v>
      </c>
      <c r="C149" s="687"/>
      <c r="D149" s="687"/>
      <c r="E149" s="687"/>
      <c r="F149" s="687"/>
      <c r="G149" s="687" t="s">
        <v>2271</v>
      </c>
      <c r="H149" s="687"/>
      <c r="I149" s="687"/>
      <c r="J149" s="687"/>
      <c r="K149" s="687" t="s">
        <v>15</v>
      </c>
      <c r="L149" s="687"/>
      <c r="M149" s="687"/>
      <c r="N149" s="687"/>
      <c r="O149" s="687"/>
      <c r="P149" s="687"/>
      <c r="Q149" s="494"/>
      <c r="R149" s="494"/>
      <c r="S149" s="494"/>
      <c r="T149" s="494"/>
      <c r="U149" s="494"/>
      <c r="V149" s="494"/>
      <c r="W149" s="494"/>
      <c r="X149" s="494"/>
      <c r="Y149" s="494"/>
      <c r="Z149" s="494"/>
      <c r="AA149" s="494"/>
      <c r="AB149" s="494"/>
      <c r="AC149" s="494"/>
      <c r="AD149" s="494"/>
      <c r="AE149" s="494"/>
      <c r="AF149" s="494"/>
      <c r="AG149" s="494"/>
      <c r="AH149" s="494"/>
      <c r="AI149" s="494"/>
      <c r="AJ149" s="494"/>
      <c r="AK149" s="494"/>
      <c r="AL149" s="494"/>
      <c r="AM149" s="494"/>
      <c r="AN149" s="494"/>
      <c r="AO149" s="494"/>
      <c r="AP149" s="494"/>
      <c r="AQ149" s="494"/>
      <c r="AR149" s="494"/>
      <c r="AS149" s="494"/>
      <c r="AT149" s="494"/>
      <c r="AU149" s="494"/>
      <c r="AV149" s="494"/>
      <c r="AW149" s="494"/>
      <c r="AX149" s="494"/>
    </row>
    <row r="150" spans="1:50" customFormat="1" ht="27.2" customHeight="1" x14ac:dyDescent="0.25">
      <c r="A150" s="492"/>
      <c r="B150" s="687" t="s">
        <v>793</v>
      </c>
      <c r="C150" s="687"/>
      <c r="D150" s="687"/>
      <c r="E150" s="687"/>
      <c r="F150" s="687"/>
      <c r="G150" s="687" t="s">
        <v>2253</v>
      </c>
      <c r="H150" s="687"/>
      <c r="I150" s="687"/>
      <c r="J150" s="687"/>
      <c r="K150" s="687" t="s">
        <v>15</v>
      </c>
      <c r="L150" s="687"/>
      <c r="M150" s="687"/>
      <c r="N150" s="687"/>
      <c r="O150" s="687"/>
      <c r="P150" s="687"/>
      <c r="Q150" s="494"/>
      <c r="R150" s="494"/>
      <c r="S150" s="494"/>
      <c r="T150" s="494"/>
      <c r="U150" s="494"/>
      <c r="V150" s="494"/>
      <c r="W150" s="494"/>
      <c r="X150" s="494"/>
      <c r="Y150" s="494"/>
      <c r="Z150" s="494"/>
      <c r="AA150" s="494"/>
      <c r="AB150" s="494"/>
      <c r="AC150" s="494"/>
      <c r="AD150" s="494"/>
      <c r="AE150" s="494"/>
      <c r="AF150" s="494"/>
      <c r="AG150" s="494"/>
      <c r="AH150" s="494"/>
      <c r="AI150" s="494"/>
      <c r="AJ150" s="494"/>
      <c r="AK150" s="494"/>
      <c r="AL150" s="494"/>
      <c r="AM150" s="494"/>
      <c r="AN150" s="494"/>
      <c r="AO150" s="494"/>
      <c r="AP150" s="494"/>
      <c r="AQ150" s="494"/>
      <c r="AR150" s="494"/>
      <c r="AS150" s="494"/>
      <c r="AT150" s="494"/>
      <c r="AU150" s="494"/>
      <c r="AV150" s="494"/>
      <c r="AW150" s="494"/>
      <c r="AX150" s="494"/>
    </row>
    <row r="151" spans="1:50" customFormat="1" x14ac:dyDescent="0.25">
      <c r="A151" s="690" t="s">
        <v>2273</v>
      </c>
      <c r="B151" s="690"/>
      <c r="C151" s="690"/>
      <c r="D151" s="690"/>
      <c r="E151" s="690"/>
      <c r="F151" s="690"/>
      <c r="G151" s="690"/>
      <c r="H151" s="690"/>
      <c r="I151" s="690"/>
      <c r="J151" s="690"/>
      <c r="K151" s="690"/>
      <c r="L151" s="690"/>
      <c r="M151" s="690"/>
      <c r="N151" s="690"/>
      <c r="O151" s="690"/>
      <c r="P151" s="690"/>
      <c r="Q151" s="494"/>
      <c r="R151" s="494"/>
      <c r="S151" s="494"/>
      <c r="T151" s="494"/>
      <c r="U151" s="494"/>
      <c r="V151" s="494"/>
      <c r="W151" s="494"/>
      <c r="X151" s="494"/>
      <c r="Y151" s="494"/>
      <c r="Z151" s="494"/>
      <c r="AA151" s="494"/>
      <c r="AB151" s="494"/>
      <c r="AC151" s="494"/>
      <c r="AD151" s="494"/>
      <c r="AE151" s="494"/>
      <c r="AF151" s="494"/>
      <c r="AG151" s="494"/>
      <c r="AH151" s="494"/>
      <c r="AI151" s="494"/>
      <c r="AJ151" s="494"/>
      <c r="AK151" s="494"/>
      <c r="AL151" s="494"/>
      <c r="AM151" s="494"/>
      <c r="AN151" s="494"/>
      <c r="AO151" s="494"/>
      <c r="AP151" s="494"/>
      <c r="AQ151" s="494"/>
      <c r="AR151" s="494"/>
      <c r="AS151" s="494"/>
      <c r="AT151" s="494"/>
      <c r="AU151" s="494"/>
      <c r="AV151" s="494"/>
      <c r="AW151" s="494"/>
      <c r="AX151" s="494"/>
    </row>
    <row r="152" spans="1:50" customFormat="1" ht="135.94999999999999" customHeight="1" x14ac:dyDescent="0.25">
      <c r="A152" s="495" t="s">
        <v>595</v>
      </c>
      <c r="B152" s="692" t="s">
        <v>791</v>
      </c>
      <c r="C152" s="693"/>
      <c r="D152" s="693"/>
      <c r="E152" s="693"/>
      <c r="F152" s="693"/>
      <c r="G152" s="693" t="s">
        <v>928</v>
      </c>
      <c r="H152" s="693"/>
      <c r="I152" s="693"/>
      <c r="J152" s="693"/>
      <c r="K152" s="693" t="s">
        <v>2274</v>
      </c>
      <c r="L152" s="693"/>
      <c r="M152" s="693"/>
      <c r="N152" s="693"/>
      <c r="O152" s="694">
        <f>ROUND((6131100 + 4907 * (0.4 * 500 + 0.6 * (500 / 2))) * 1 * 0.6 * 1.56 * 0.6 * 0.7, 2)</f>
        <v>3085421.98</v>
      </c>
      <c r="P152" s="693"/>
      <c r="Q152" s="494"/>
      <c r="R152" s="494"/>
      <c r="S152" s="494"/>
      <c r="T152" s="494"/>
      <c r="U152" s="494"/>
      <c r="V152" s="494"/>
      <c r="W152" s="494"/>
      <c r="X152" s="494"/>
      <c r="Y152" s="494"/>
      <c r="Z152" s="494"/>
      <c r="AA152" s="494"/>
      <c r="AB152" s="494"/>
      <c r="AC152" s="494"/>
      <c r="AD152" s="494"/>
      <c r="AE152" s="494"/>
      <c r="AF152" s="494"/>
      <c r="AG152" s="494"/>
      <c r="AH152" s="494"/>
      <c r="AI152" s="494"/>
      <c r="AJ152" s="494"/>
      <c r="AK152" s="494"/>
      <c r="AL152" s="494"/>
      <c r="AM152" s="494"/>
      <c r="AN152" s="494"/>
      <c r="AO152" s="494"/>
      <c r="AP152" s="494"/>
      <c r="AQ152" s="494"/>
      <c r="AR152" s="494"/>
      <c r="AS152" s="494"/>
      <c r="AT152" s="494"/>
      <c r="AU152" s="494"/>
      <c r="AV152" s="494"/>
      <c r="AW152" s="494"/>
      <c r="AX152" s="494"/>
    </row>
    <row r="153" spans="1:50" customFormat="1" x14ac:dyDescent="0.25">
      <c r="A153" s="496"/>
      <c r="B153" s="695" t="s">
        <v>564</v>
      </c>
      <c r="C153" s="695"/>
      <c r="D153" s="695"/>
      <c r="E153" s="695"/>
      <c r="F153" s="695"/>
      <c r="G153" s="695" t="s">
        <v>15</v>
      </c>
      <c r="H153" s="695"/>
      <c r="I153" s="695"/>
      <c r="J153" s="695"/>
      <c r="K153" s="695" t="s">
        <v>15</v>
      </c>
      <c r="L153" s="695"/>
      <c r="M153" s="695"/>
      <c r="N153" s="695"/>
      <c r="O153" s="695"/>
      <c r="P153" s="695"/>
      <c r="Q153" s="494"/>
      <c r="R153" s="494"/>
      <c r="S153" s="494"/>
      <c r="T153" s="494"/>
      <c r="U153" s="494"/>
      <c r="V153" s="494"/>
      <c r="W153" s="494"/>
      <c r="X153" s="494"/>
      <c r="Y153" s="494"/>
      <c r="Z153" s="494"/>
      <c r="AA153" s="494"/>
      <c r="AB153" s="494"/>
      <c r="AC153" s="494"/>
      <c r="AD153" s="494"/>
      <c r="AE153" s="494"/>
      <c r="AF153" s="494"/>
      <c r="AG153" s="494"/>
      <c r="AH153" s="494"/>
      <c r="AI153" s="494"/>
      <c r="AJ153" s="494"/>
      <c r="AK153" s="494"/>
      <c r="AL153" s="494"/>
      <c r="AM153" s="494"/>
      <c r="AN153" s="494"/>
      <c r="AO153" s="494"/>
      <c r="AP153" s="494"/>
      <c r="AQ153" s="494"/>
      <c r="AR153" s="494"/>
      <c r="AS153" s="494"/>
      <c r="AT153" s="494"/>
      <c r="AU153" s="494"/>
      <c r="AV153" s="494"/>
      <c r="AW153" s="494"/>
      <c r="AX153" s="494"/>
    </row>
    <row r="154" spans="1:50" customFormat="1" x14ac:dyDescent="0.25">
      <c r="A154" s="492"/>
      <c r="B154" s="687" t="s">
        <v>681</v>
      </c>
      <c r="C154" s="687"/>
      <c r="D154" s="687"/>
      <c r="E154" s="687"/>
      <c r="F154" s="687"/>
      <c r="G154" s="687" t="s">
        <v>682</v>
      </c>
      <c r="H154" s="687"/>
      <c r="I154" s="687"/>
      <c r="J154" s="687"/>
      <c r="K154" s="687" t="s">
        <v>15</v>
      </c>
      <c r="L154" s="687"/>
      <c r="M154" s="687"/>
      <c r="N154" s="687"/>
      <c r="O154" s="687"/>
      <c r="P154" s="687"/>
      <c r="Q154" s="494"/>
      <c r="R154" s="494"/>
      <c r="S154" s="494"/>
      <c r="T154" s="494"/>
      <c r="U154" s="494"/>
      <c r="V154" s="494"/>
      <c r="W154" s="494"/>
      <c r="X154" s="494"/>
      <c r="Y154" s="494"/>
      <c r="Z154" s="494"/>
      <c r="AA154" s="494"/>
      <c r="AB154" s="494"/>
      <c r="AC154" s="494"/>
      <c r="AD154" s="494"/>
      <c r="AE154" s="494"/>
      <c r="AF154" s="494"/>
      <c r="AG154" s="494"/>
      <c r="AH154" s="494"/>
      <c r="AI154" s="494"/>
      <c r="AJ154" s="494"/>
      <c r="AK154" s="494"/>
      <c r="AL154" s="494"/>
      <c r="AM154" s="494"/>
      <c r="AN154" s="494"/>
      <c r="AO154" s="494"/>
      <c r="AP154" s="494"/>
      <c r="AQ154" s="494"/>
      <c r="AR154" s="494"/>
      <c r="AS154" s="494"/>
      <c r="AT154" s="494"/>
      <c r="AU154" s="494"/>
      <c r="AV154" s="494"/>
      <c r="AW154" s="494"/>
      <c r="AX154" s="494"/>
    </row>
    <row r="155" spans="1:50" customFormat="1" ht="40.9" customHeight="1" x14ac:dyDescent="0.25">
      <c r="A155" s="492"/>
      <c r="B155" s="687" t="s">
        <v>683</v>
      </c>
      <c r="C155" s="687"/>
      <c r="D155" s="687"/>
      <c r="E155" s="687"/>
      <c r="F155" s="687"/>
      <c r="G155" s="687" t="s">
        <v>684</v>
      </c>
      <c r="H155" s="687"/>
      <c r="I155" s="687"/>
      <c r="J155" s="687"/>
      <c r="K155" s="687" t="s">
        <v>15</v>
      </c>
      <c r="L155" s="687"/>
      <c r="M155" s="687"/>
      <c r="N155" s="687"/>
      <c r="O155" s="687"/>
      <c r="P155" s="687"/>
      <c r="Q155" s="494"/>
      <c r="R155" s="494"/>
      <c r="S155" s="494"/>
      <c r="T155" s="494"/>
      <c r="U155" s="494"/>
      <c r="V155" s="494"/>
      <c r="W155" s="494"/>
      <c r="X155" s="494"/>
      <c r="Y155" s="494"/>
      <c r="Z155" s="494"/>
      <c r="AA155" s="494"/>
      <c r="AB155" s="494"/>
      <c r="AC155" s="494"/>
      <c r="AD155" s="494"/>
      <c r="AE155" s="494"/>
      <c r="AF155" s="494"/>
      <c r="AG155" s="494"/>
      <c r="AH155" s="494"/>
      <c r="AI155" s="494"/>
      <c r="AJ155" s="494"/>
      <c r="AK155" s="494"/>
      <c r="AL155" s="494"/>
      <c r="AM155" s="494"/>
      <c r="AN155" s="494"/>
      <c r="AO155" s="494"/>
      <c r="AP155" s="494"/>
      <c r="AQ155" s="494"/>
      <c r="AR155" s="494"/>
      <c r="AS155" s="494"/>
      <c r="AT155" s="494"/>
      <c r="AU155" s="494"/>
      <c r="AV155" s="494"/>
      <c r="AW155" s="494"/>
      <c r="AX155" s="494"/>
    </row>
    <row r="156" spans="1:50" customFormat="1" ht="95.25" customHeight="1" x14ac:dyDescent="0.25">
      <c r="A156" s="492"/>
      <c r="B156" s="687" t="s">
        <v>778</v>
      </c>
      <c r="C156" s="687"/>
      <c r="D156" s="687"/>
      <c r="E156" s="687"/>
      <c r="F156" s="687"/>
      <c r="G156" s="687" t="s">
        <v>798</v>
      </c>
      <c r="H156" s="687"/>
      <c r="I156" s="687"/>
      <c r="J156" s="687"/>
      <c r="K156" s="687" t="s">
        <v>15</v>
      </c>
      <c r="L156" s="687"/>
      <c r="M156" s="687"/>
      <c r="N156" s="687"/>
      <c r="O156" s="687"/>
      <c r="P156" s="687"/>
      <c r="Q156" s="494"/>
      <c r="R156" s="494"/>
      <c r="S156" s="494"/>
      <c r="T156" s="494"/>
      <c r="U156" s="494"/>
      <c r="V156" s="494"/>
      <c r="W156" s="494"/>
      <c r="X156" s="494"/>
      <c r="Y156" s="494"/>
      <c r="Z156" s="494"/>
      <c r="AA156" s="494"/>
      <c r="AB156" s="494"/>
      <c r="AC156" s="494"/>
      <c r="AD156" s="494"/>
      <c r="AE156" s="494"/>
      <c r="AF156" s="494"/>
      <c r="AG156" s="494"/>
      <c r="AH156" s="494"/>
      <c r="AI156" s="494"/>
      <c r="AJ156" s="494"/>
      <c r="AK156" s="494"/>
      <c r="AL156" s="494"/>
      <c r="AM156" s="494"/>
      <c r="AN156" s="494"/>
      <c r="AO156" s="494"/>
      <c r="AP156" s="494"/>
      <c r="AQ156" s="494"/>
      <c r="AR156" s="494"/>
      <c r="AS156" s="494"/>
      <c r="AT156" s="494"/>
      <c r="AU156" s="494"/>
      <c r="AV156" s="494"/>
      <c r="AW156" s="494"/>
      <c r="AX156" s="494"/>
    </row>
    <row r="157" spans="1:50" customFormat="1" ht="27.2" customHeight="1" x14ac:dyDescent="0.25">
      <c r="A157" s="492"/>
      <c r="B157" s="687" t="s">
        <v>793</v>
      </c>
      <c r="C157" s="687"/>
      <c r="D157" s="687"/>
      <c r="E157" s="687"/>
      <c r="F157" s="687"/>
      <c r="G157" s="687" t="s">
        <v>2253</v>
      </c>
      <c r="H157" s="687"/>
      <c r="I157" s="687"/>
      <c r="J157" s="687"/>
      <c r="K157" s="687" t="s">
        <v>15</v>
      </c>
      <c r="L157" s="687"/>
      <c r="M157" s="687"/>
      <c r="N157" s="687"/>
      <c r="O157" s="687"/>
      <c r="P157" s="687"/>
      <c r="Q157" s="494"/>
      <c r="R157" s="494"/>
      <c r="S157" s="494"/>
      <c r="T157" s="494"/>
      <c r="U157" s="494"/>
      <c r="V157" s="494"/>
      <c r="W157" s="494"/>
      <c r="X157" s="494"/>
      <c r="Y157" s="494"/>
      <c r="Z157" s="494"/>
      <c r="AA157" s="494"/>
      <c r="AB157" s="494"/>
      <c r="AC157" s="494"/>
      <c r="AD157" s="494"/>
      <c r="AE157" s="494"/>
      <c r="AF157" s="494"/>
      <c r="AG157" s="494"/>
      <c r="AH157" s="494"/>
      <c r="AI157" s="494"/>
      <c r="AJ157" s="494"/>
      <c r="AK157" s="494"/>
      <c r="AL157" s="494"/>
      <c r="AM157" s="494"/>
      <c r="AN157" s="494"/>
      <c r="AO157" s="494"/>
      <c r="AP157" s="494"/>
      <c r="AQ157" s="494"/>
      <c r="AR157" s="494"/>
      <c r="AS157" s="494"/>
      <c r="AT157" s="494"/>
      <c r="AU157" s="494"/>
      <c r="AV157" s="494"/>
      <c r="AW157" s="494"/>
      <c r="AX157" s="494"/>
    </row>
    <row r="158" spans="1:50" customFormat="1" x14ac:dyDescent="0.25">
      <c r="A158" s="690" t="s">
        <v>2275</v>
      </c>
      <c r="B158" s="690"/>
      <c r="C158" s="690"/>
      <c r="D158" s="690"/>
      <c r="E158" s="690"/>
      <c r="F158" s="690"/>
      <c r="G158" s="690"/>
      <c r="H158" s="690"/>
      <c r="I158" s="690"/>
      <c r="J158" s="690"/>
      <c r="K158" s="690"/>
      <c r="L158" s="690"/>
      <c r="M158" s="690"/>
      <c r="N158" s="690"/>
      <c r="O158" s="690"/>
      <c r="P158" s="690"/>
      <c r="Q158" s="494"/>
      <c r="R158" s="494"/>
      <c r="S158" s="494"/>
      <c r="T158" s="494"/>
      <c r="U158" s="494"/>
      <c r="V158" s="494"/>
      <c r="W158" s="494"/>
      <c r="X158" s="494"/>
      <c r="Y158" s="494"/>
      <c r="Z158" s="494"/>
      <c r="AA158" s="494"/>
      <c r="AB158" s="494"/>
      <c r="AC158" s="494"/>
      <c r="AD158" s="494"/>
      <c r="AE158" s="494"/>
      <c r="AF158" s="494"/>
      <c r="AG158" s="494"/>
      <c r="AH158" s="494"/>
      <c r="AI158" s="494"/>
      <c r="AJ158" s="494"/>
      <c r="AK158" s="494"/>
      <c r="AL158" s="494"/>
      <c r="AM158" s="494"/>
      <c r="AN158" s="494"/>
      <c r="AO158" s="494"/>
      <c r="AP158" s="494"/>
      <c r="AQ158" s="494"/>
      <c r="AR158" s="494"/>
      <c r="AS158" s="494"/>
      <c r="AT158" s="494"/>
      <c r="AU158" s="494"/>
      <c r="AV158" s="494"/>
      <c r="AW158" s="494"/>
      <c r="AX158" s="494"/>
    </row>
    <row r="159" spans="1:50" customFormat="1" ht="122.45" customHeight="1" x14ac:dyDescent="0.25">
      <c r="A159" s="495" t="s">
        <v>597</v>
      </c>
      <c r="B159" s="692" t="s">
        <v>814</v>
      </c>
      <c r="C159" s="693"/>
      <c r="D159" s="693"/>
      <c r="E159" s="693"/>
      <c r="F159" s="693"/>
      <c r="G159" s="693" t="s">
        <v>2276</v>
      </c>
      <c r="H159" s="693"/>
      <c r="I159" s="693"/>
      <c r="J159" s="693"/>
      <c r="K159" s="693" t="s">
        <v>2277</v>
      </c>
      <c r="L159" s="693"/>
      <c r="M159" s="693"/>
      <c r="N159" s="693"/>
      <c r="O159" s="694">
        <f>ROUND((212100 + 3310 * (0.4 * 30 + 0.6 * (30 / 2))) * 1 * 0.1 * 1.56 * 0.6 * 0.7, 2)</f>
        <v>18451.09</v>
      </c>
      <c r="P159" s="693"/>
      <c r="Q159" s="494"/>
      <c r="R159" s="494"/>
      <c r="S159" s="494"/>
      <c r="T159" s="494"/>
      <c r="U159" s="494"/>
      <c r="V159" s="494"/>
      <c r="W159" s="494"/>
      <c r="X159" s="494"/>
      <c r="Y159" s="494"/>
      <c r="Z159" s="494"/>
      <c r="AA159" s="494"/>
      <c r="AB159" s="494"/>
      <c r="AC159" s="494"/>
      <c r="AD159" s="494"/>
      <c r="AE159" s="494"/>
      <c r="AF159" s="494"/>
      <c r="AG159" s="494"/>
      <c r="AH159" s="494"/>
      <c r="AI159" s="494"/>
      <c r="AJ159" s="494"/>
      <c r="AK159" s="494"/>
      <c r="AL159" s="494"/>
      <c r="AM159" s="494"/>
      <c r="AN159" s="494"/>
      <c r="AO159" s="494"/>
      <c r="AP159" s="494"/>
      <c r="AQ159" s="494"/>
      <c r="AR159" s="494"/>
      <c r="AS159" s="494"/>
      <c r="AT159" s="494"/>
      <c r="AU159" s="494"/>
      <c r="AV159" s="494"/>
      <c r="AW159" s="494"/>
      <c r="AX159" s="494"/>
    </row>
    <row r="160" spans="1:50" customFormat="1" x14ac:dyDescent="0.25">
      <c r="A160" s="496"/>
      <c r="B160" s="695" t="s">
        <v>564</v>
      </c>
      <c r="C160" s="695"/>
      <c r="D160" s="695"/>
      <c r="E160" s="695"/>
      <c r="F160" s="695"/>
      <c r="G160" s="695" t="s">
        <v>15</v>
      </c>
      <c r="H160" s="695"/>
      <c r="I160" s="695"/>
      <c r="J160" s="695"/>
      <c r="K160" s="695" t="s">
        <v>15</v>
      </c>
      <c r="L160" s="695"/>
      <c r="M160" s="695"/>
      <c r="N160" s="695"/>
      <c r="O160" s="695"/>
      <c r="P160" s="695"/>
      <c r="Q160" s="494"/>
      <c r="R160" s="494"/>
      <c r="S160" s="494"/>
      <c r="T160" s="494"/>
      <c r="U160" s="494"/>
      <c r="V160" s="494"/>
      <c r="W160" s="494"/>
      <c r="X160" s="494"/>
      <c r="Y160" s="494"/>
      <c r="Z160" s="494"/>
      <c r="AA160" s="494"/>
      <c r="AB160" s="494"/>
      <c r="AC160" s="494"/>
      <c r="AD160" s="494"/>
      <c r="AE160" s="494"/>
      <c r="AF160" s="494"/>
      <c r="AG160" s="494"/>
      <c r="AH160" s="494"/>
      <c r="AI160" s="494"/>
      <c r="AJ160" s="494"/>
      <c r="AK160" s="494"/>
      <c r="AL160" s="494"/>
      <c r="AM160" s="494"/>
      <c r="AN160" s="494"/>
      <c r="AO160" s="494"/>
      <c r="AP160" s="494"/>
      <c r="AQ160" s="494"/>
      <c r="AR160" s="494"/>
      <c r="AS160" s="494"/>
      <c r="AT160" s="494"/>
      <c r="AU160" s="494"/>
      <c r="AV160" s="494"/>
      <c r="AW160" s="494"/>
      <c r="AX160" s="494"/>
    </row>
    <row r="161" spans="1:50" customFormat="1" x14ac:dyDescent="0.25">
      <c r="A161" s="492"/>
      <c r="B161" s="687" t="s">
        <v>681</v>
      </c>
      <c r="C161" s="687"/>
      <c r="D161" s="687"/>
      <c r="E161" s="687"/>
      <c r="F161" s="687"/>
      <c r="G161" s="687" t="s">
        <v>682</v>
      </c>
      <c r="H161" s="687"/>
      <c r="I161" s="687"/>
      <c r="J161" s="687"/>
      <c r="K161" s="687" t="s">
        <v>15</v>
      </c>
      <c r="L161" s="687"/>
      <c r="M161" s="687"/>
      <c r="N161" s="687"/>
      <c r="O161" s="687"/>
      <c r="P161" s="687"/>
      <c r="Q161" s="494"/>
      <c r="R161" s="494"/>
      <c r="S161" s="494"/>
      <c r="T161" s="494"/>
      <c r="U161" s="494"/>
      <c r="V161" s="494"/>
      <c r="W161" s="494"/>
      <c r="X161" s="494"/>
      <c r="Y161" s="494"/>
      <c r="Z161" s="494"/>
      <c r="AA161" s="494"/>
      <c r="AB161" s="494"/>
      <c r="AC161" s="494"/>
      <c r="AD161" s="494"/>
      <c r="AE161" s="494"/>
      <c r="AF161" s="494"/>
      <c r="AG161" s="494"/>
      <c r="AH161" s="494"/>
      <c r="AI161" s="494"/>
      <c r="AJ161" s="494"/>
      <c r="AK161" s="494"/>
      <c r="AL161" s="494"/>
      <c r="AM161" s="494"/>
      <c r="AN161" s="494"/>
      <c r="AO161" s="494"/>
      <c r="AP161" s="494"/>
      <c r="AQ161" s="494"/>
      <c r="AR161" s="494"/>
      <c r="AS161" s="494"/>
      <c r="AT161" s="494"/>
      <c r="AU161" s="494"/>
      <c r="AV161" s="494"/>
      <c r="AW161" s="494"/>
      <c r="AX161" s="494"/>
    </row>
    <row r="162" spans="1:50" customFormat="1" ht="40.9" customHeight="1" x14ac:dyDescent="0.25">
      <c r="A162" s="492"/>
      <c r="B162" s="687" t="s">
        <v>683</v>
      </c>
      <c r="C162" s="687"/>
      <c r="D162" s="687"/>
      <c r="E162" s="687"/>
      <c r="F162" s="687"/>
      <c r="G162" s="687" t="s">
        <v>684</v>
      </c>
      <c r="H162" s="687"/>
      <c r="I162" s="687"/>
      <c r="J162" s="687"/>
      <c r="K162" s="687" t="s">
        <v>15</v>
      </c>
      <c r="L162" s="687"/>
      <c r="M162" s="687"/>
      <c r="N162" s="687"/>
      <c r="O162" s="687"/>
      <c r="P162" s="687"/>
      <c r="Q162" s="494"/>
      <c r="R162" s="494"/>
      <c r="S162" s="494"/>
      <c r="T162" s="494"/>
      <c r="U162" s="494"/>
      <c r="V162" s="494"/>
      <c r="W162" s="494"/>
      <c r="X162" s="494"/>
      <c r="Y162" s="494"/>
      <c r="Z162" s="494"/>
      <c r="AA162" s="494"/>
      <c r="AB162" s="494"/>
      <c r="AC162" s="494"/>
      <c r="AD162" s="494"/>
      <c r="AE162" s="494"/>
      <c r="AF162" s="494"/>
      <c r="AG162" s="494"/>
      <c r="AH162" s="494"/>
      <c r="AI162" s="494"/>
      <c r="AJ162" s="494"/>
      <c r="AK162" s="494"/>
      <c r="AL162" s="494"/>
      <c r="AM162" s="494"/>
      <c r="AN162" s="494"/>
      <c r="AO162" s="494"/>
      <c r="AP162" s="494"/>
      <c r="AQ162" s="494"/>
      <c r="AR162" s="494"/>
      <c r="AS162" s="494"/>
      <c r="AT162" s="494"/>
      <c r="AU162" s="494"/>
      <c r="AV162" s="494"/>
      <c r="AW162" s="494"/>
      <c r="AX162" s="494"/>
    </row>
    <row r="163" spans="1:50" customFormat="1" ht="95.25" customHeight="1" x14ac:dyDescent="0.25">
      <c r="A163" s="492"/>
      <c r="B163" s="687" t="s">
        <v>778</v>
      </c>
      <c r="C163" s="687"/>
      <c r="D163" s="687"/>
      <c r="E163" s="687"/>
      <c r="F163" s="687"/>
      <c r="G163" s="687" t="s">
        <v>779</v>
      </c>
      <c r="H163" s="687"/>
      <c r="I163" s="687"/>
      <c r="J163" s="687"/>
      <c r="K163" s="687" t="s">
        <v>15</v>
      </c>
      <c r="L163" s="687"/>
      <c r="M163" s="687"/>
      <c r="N163" s="687"/>
      <c r="O163" s="687"/>
      <c r="P163" s="687"/>
      <c r="Q163" s="494"/>
      <c r="R163" s="494"/>
      <c r="S163" s="494"/>
      <c r="T163" s="494"/>
      <c r="U163" s="494"/>
      <c r="V163" s="494"/>
      <c r="W163" s="494"/>
      <c r="X163" s="494"/>
      <c r="Y163" s="494"/>
      <c r="Z163" s="494"/>
      <c r="AA163" s="494"/>
      <c r="AB163" s="494"/>
      <c r="AC163" s="494"/>
      <c r="AD163" s="494"/>
      <c r="AE163" s="494"/>
      <c r="AF163" s="494"/>
      <c r="AG163" s="494"/>
      <c r="AH163" s="494"/>
      <c r="AI163" s="494"/>
      <c r="AJ163" s="494"/>
      <c r="AK163" s="494"/>
      <c r="AL163" s="494"/>
      <c r="AM163" s="494"/>
      <c r="AN163" s="494"/>
      <c r="AO163" s="494"/>
      <c r="AP163" s="494"/>
      <c r="AQ163" s="494"/>
      <c r="AR163" s="494"/>
      <c r="AS163" s="494"/>
      <c r="AT163" s="494"/>
      <c r="AU163" s="494"/>
      <c r="AV163" s="494"/>
      <c r="AW163" s="494"/>
      <c r="AX163" s="494"/>
    </row>
    <row r="164" spans="1:50" customFormat="1" ht="27.2" customHeight="1" x14ac:dyDescent="0.25">
      <c r="A164" s="492"/>
      <c r="B164" s="687" t="s">
        <v>793</v>
      </c>
      <c r="C164" s="687"/>
      <c r="D164" s="687"/>
      <c r="E164" s="687"/>
      <c r="F164" s="687"/>
      <c r="G164" s="687" t="s">
        <v>2253</v>
      </c>
      <c r="H164" s="687"/>
      <c r="I164" s="687"/>
      <c r="J164" s="687"/>
      <c r="K164" s="687" t="s">
        <v>15</v>
      </c>
      <c r="L164" s="687"/>
      <c r="M164" s="687"/>
      <c r="N164" s="687"/>
      <c r="O164" s="687"/>
      <c r="P164" s="687"/>
      <c r="Q164" s="494"/>
      <c r="R164" s="494"/>
      <c r="S164" s="494"/>
      <c r="T164" s="494"/>
      <c r="U164" s="494"/>
      <c r="V164" s="494"/>
      <c r="W164" s="494"/>
      <c r="X164" s="494"/>
      <c r="Y164" s="494"/>
      <c r="Z164" s="494"/>
      <c r="AA164" s="494"/>
      <c r="AB164" s="494"/>
      <c r="AC164" s="494"/>
      <c r="AD164" s="494"/>
      <c r="AE164" s="494"/>
      <c r="AF164" s="494"/>
      <c r="AG164" s="494"/>
      <c r="AH164" s="494"/>
      <c r="AI164" s="494"/>
      <c r="AJ164" s="494"/>
      <c r="AK164" s="494"/>
      <c r="AL164" s="494"/>
      <c r="AM164" s="494"/>
      <c r="AN164" s="494"/>
      <c r="AO164" s="494"/>
      <c r="AP164" s="494"/>
      <c r="AQ164" s="494"/>
      <c r="AR164" s="494"/>
      <c r="AS164" s="494"/>
      <c r="AT164" s="494"/>
      <c r="AU164" s="494"/>
      <c r="AV164" s="494"/>
      <c r="AW164" s="494"/>
      <c r="AX164" s="494"/>
    </row>
    <row r="165" spans="1:50" customFormat="1" x14ac:dyDescent="0.25">
      <c r="A165" s="690" t="s">
        <v>802</v>
      </c>
      <c r="B165" s="690"/>
      <c r="C165" s="690"/>
      <c r="D165" s="690"/>
      <c r="E165" s="690"/>
      <c r="F165" s="690"/>
      <c r="G165" s="690"/>
      <c r="H165" s="690"/>
      <c r="I165" s="690"/>
      <c r="J165" s="690"/>
      <c r="K165" s="690"/>
      <c r="L165" s="690"/>
      <c r="M165" s="690"/>
      <c r="N165" s="690"/>
      <c r="O165" s="690"/>
      <c r="P165" s="690"/>
      <c r="Q165" s="494"/>
      <c r="R165" s="494"/>
      <c r="S165" s="494"/>
      <c r="T165" s="494"/>
      <c r="U165" s="494"/>
      <c r="V165" s="494"/>
      <c r="W165" s="494"/>
      <c r="X165" s="494"/>
      <c r="Y165" s="494"/>
      <c r="Z165" s="494"/>
      <c r="AA165" s="494"/>
      <c r="AB165" s="494"/>
      <c r="AC165" s="494"/>
      <c r="AD165" s="494"/>
      <c r="AE165" s="494"/>
      <c r="AF165" s="494"/>
      <c r="AG165" s="494"/>
      <c r="AH165" s="494"/>
      <c r="AI165" s="494"/>
      <c r="AJ165" s="494"/>
      <c r="AK165" s="494"/>
      <c r="AL165" s="494"/>
      <c r="AM165" s="494"/>
      <c r="AN165" s="494"/>
      <c r="AO165" s="494"/>
      <c r="AP165" s="494"/>
      <c r="AQ165" s="494"/>
      <c r="AR165" s="494"/>
      <c r="AS165" s="494"/>
      <c r="AT165" s="494"/>
      <c r="AU165" s="494"/>
      <c r="AV165" s="494"/>
      <c r="AW165" s="494"/>
      <c r="AX165" s="494"/>
    </row>
    <row r="166" spans="1:50" customFormat="1" x14ac:dyDescent="0.25">
      <c r="A166" s="690" t="s">
        <v>803</v>
      </c>
      <c r="B166" s="690"/>
      <c r="C166" s="690"/>
      <c r="D166" s="690"/>
      <c r="E166" s="690"/>
      <c r="F166" s="690"/>
      <c r="G166" s="690"/>
      <c r="H166" s="690"/>
      <c r="I166" s="690"/>
      <c r="J166" s="690"/>
      <c r="K166" s="690"/>
      <c r="L166" s="690"/>
      <c r="M166" s="690"/>
      <c r="N166" s="690"/>
      <c r="O166" s="690"/>
      <c r="P166" s="690"/>
      <c r="Q166" s="494"/>
      <c r="R166" s="494"/>
      <c r="S166" s="494"/>
      <c r="T166" s="494"/>
      <c r="U166" s="494"/>
      <c r="V166" s="494"/>
      <c r="W166" s="494"/>
      <c r="X166" s="494"/>
      <c r="Y166" s="494"/>
      <c r="Z166" s="494"/>
      <c r="AA166" s="494"/>
      <c r="AB166" s="494"/>
      <c r="AC166" s="494"/>
      <c r="AD166" s="494"/>
      <c r="AE166" s="494"/>
      <c r="AF166" s="494"/>
      <c r="AG166" s="494"/>
      <c r="AH166" s="494"/>
      <c r="AI166" s="494"/>
      <c r="AJ166" s="494"/>
      <c r="AK166" s="494"/>
      <c r="AL166" s="494"/>
      <c r="AM166" s="494"/>
      <c r="AN166" s="494"/>
      <c r="AO166" s="494"/>
      <c r="AP166" s="494"/>
      <c r="AQ166" s="494"/>
      <c r="AR166" s="494"/>
      <c r="AS166" s="494"/>
      <c r="AT166" s="494"/>
      <c r="AU166" s="494"/>
      <c r="AV166" s="494"/>
      <c r="AW166" s="494"/>
      <c r="AX166" s="494"/>
    </row>
    <row r="167" spans="1:50" customFormat="1" ht="95.25" customHeight="1" x14ac:dyDescent="0.25">
      <c r="A167" s="495" t="s">
        <v>599</v>
      </c>
      <c r="B167" s="692" t="s">
        <v>804</v>
      </c>
      <c r="C167" s="693"/>
      <c r="D167" s="693"/>
      <c r="E167" s="693"/>
      <c r="F167" s="693"/>
      <c r="G167" s="693" t="s">
        <v>805</v>
      </c>
      <c r="H167" s="693"/>
      <c r="I167" s="693"/>
      <c r="J167" s="693"/>
      <c r="K167" s="693" t="s">
        <v>2278</v>
      </c>
      <c r="L167" s="693"/>
      <c r="M167" s="693"/>
      <c r="N167" s="693"/>
      <c r="O167" s="694">
        <f>ROUND(439600 * 1 * 1.56 * 0.6 * 0.7, 2)</f>
        <v>288025.92</v>
      </c>
      <c r="P167" s="693"/>
      <c r="Q167" s="494"/>
      <c r="R167" s="494"/>
      <c r="S167" s="494"/>
      <c r="T167" s="494"/>
      <c r="U167" s="494"/>
      <c r="V167" s="494"/>
      <c r="W167" s="494"/>
      <c r="X167" s="494"/>
      <c r="Y167" s="494"/>
      <c r="Z167" s="494"/>
      <c r="AA167" s="494"/>
      <c r="AB167" s="494"/>
      <c r="AC167" s="494"/>
      <c r="AD167" s="494"/>
      <c r="AE167" s="494"/>
      <c r="AF167" s="494"/>
      <c r="AG167" s="494"/>
      <c r="AH167" s="494"/>
      <c r="AI167" s="494"/>
      <c r="AJ167" s="494"/>
      <c r="AK167" s="494"/>
      <c r="AL167" s="494"/>
      <c r="AM167" s="494"/>
      <c r="AN167" s="494"/>
      <c r="AO167" s="494"/>
      <c r="AP167" s="494"/>
      <c r="AQ167" s="494"/>
      <c r="AR167" s="494"/>
      <c r="AS167" s="494"/>
      <c r="AT167" s="494"/>
      <c r="AU167" s="494"/>
      <c r="AV167" s="494"/>
      <c r="AW167" s="494"/>
      <c r="AX167" s="494"/>
    </row>
    <row r="168" spans="1:50" customFormat="1" x14ac:dyDescent="0.25">
      <c r="A168" s="496"/>
      <c r="B168" s="695" t="s">
        <v>564</v>
      </c>
      <c r="C168" s="695"/>
      <c r="D168" s="695"/>
      <c r="E168" s="695"/>
      <c r="F168" s="695"/>
      <c r="G168" s="695" t="s">
        <v>15</v>
      </c>
      <c r="H168" s="695"/>
      <c r="I168" s="695"/>
      <c r="J168" s="695"/>
      <c r="K168" s="695" t="s">
        <v>15</v>
      </c>
      <c r="L168" s="695"/>
      <c r="M168" s="695"/>
      <c r="N168" s="695"/>
      <c r="O168" s="695"/>
      <c r="P168" s="695"/>
      <c r="Q168" s="494"/>
      <c r="R168" s="494"/>
      <c r="S168" s="494"/>
      <c r="T168" s="494"/>
      <c r="U168" s="494"/>
      <c r="V168" s="494"/>
      <c r="W168" s="494"/>
      <c r="X168" s="494"/>
      <c r="Y168" s="494"/>
      <c r="Z168" s="494"/>
      <c r="AA168" s="494"/>
      <c r="AB168" s="494"/>
      <c r="AC168" s="494"/>
      <c r="AD168" s="494"/>
      <c r="AE168" s="494"/>
      <c r="AF168" s="494"/>
      <c r="AG168" s="494"/>
      <c r="AH168" s="494"/>
      <c r="AI168" s="494"/>
      <c r="AJ168" s="494"/>
      <c r="AK168" s="494"/>
      <c r="AL168" s="494"/>
      <c r="AM168" s="494"/>
      <c r="AN168" s="494"/>
      <c r="AO168" s="494"/>
      <c r="AP168" s="494"/>
      <c r="AQ168" s="494"/>
      <c r="AR168" s="494"/>
      <c r="AS168" s="494"/>
      <c r="AT168" s="494"/>
      <c r="AU168" s="494"/>
      <c r="AV168" s="494"/>
      <c r="AW168" s="494"/>
      <c r="AX168" s="494"/>
    </row>
    <row r="169" spans="1:50" customFormat="1" x14ac:dyDescent="0.25">
      <c r="A169" s="492"/>
      <c r="B169" s="687" t="s">
        <v>681</v>
      </c>
      <c r="C169" s="687"/>
      <c r="D169" s="687"/>
      <c r="E169" s="687"/>
      <c r="F169" s="687"/>
      <c r="G169" s="687" t="s">
        <v>682</v>
      </c>
      <c r="H169" s="687"/>
      <c r="I169" s="687"/>
      <c r="J169" s="687"/>
      <c r="K169" s="687" t="s">
        <v>15</v>
      </c>
      <c r="L169" s="687"/>
      <c r="M169" s="687"/>
      <c r="N169" s="687"/>
      <c r="O169" s="687"/>
      <c r="P169" s="687"/>
      <c r="Q169" s="494"/>
      <c r="R169" s="494"/>
      <c r="S169" s="494"/>
      <c r="T169" s="494"/>
      <c r="U169" s="494"/>
      <c r="V169" s="494"/>
      <c r="W169" s="494"/>
      <c r="X169" s="494"/>
      <c r="Y169" s="494"/>
      <c r="Z169" s="494"/>
      <c r="AA169" s="494"/>
      <c r="AB169" s="494"/>
      <c r="AC169" s="494"/>
      <c r="AD169" s="494"/>
      <c r="AE169" s="494"/>
      <c r="AF169" s="494"/>
      <c r="AG169" s="494"/>
      <c r="AH169" s="494"/>
      <c r="AI169" s="494"/>
      <c r="AJ169" s="494"/>
      <c r="AK169" s="494"/>
      <c r="AL169" s="494"/>
      <c r="AM169" s="494"/>
      <c r="AN169" s="494"/>
      <c r="AO169" s="494"/>
      <c r="AP169" s="494"/>
      <c r="AQ169" s="494"/>
      <c r="AR169" s="494"/>
      <c r="AS169" s="494"/>
      <c r="AT169" s="494"/>
      <c r="AU169" s="494"/>
      <c r="AV169" s="494"/>
      <c r="AW169" s="494"/>
      <c r="AX169" s="494"/>
    </row>
    <row r="170" spans="1:50" customFormat="1" ht="40.9" customHeight="1" x14ac:dyDescent="0.25">
      <c r="A170" s="492"/>
      <c r="B170" s="687" t="s">
        <v>683</v>
      </c>
      <c r="C170" s="687"/>
      <c r="D170" s="687"/>
      <c r="E170" s="687"/>
      <c r="F170" s="687"/>
      <c r="G170" s="687" t="s">
        <v>684</v>
      </c>
      <c r="H170" s="687"/>
      <c r="I170" s="687"/>
      <c r="J170" s="687"/>
      <c r="K170" s="687" t="s">
        <v>15</v>
      </c>
      <c r="L170" s="687"/>
      <c r="M170" s="687"/>
      <c r="N170" s="687"/>
      <c r="O170" s="687"/>
      <c r="P170" s="687"/>
      <c r="Q170" s="494"/>
      <c r="R170" s="494"/>
      <c r="S170" s="494"/>
      <c r="T170" s="494"/>
      <c r="U170" s="494"/>
      <c r="V170" s="494"/>
      <c r="W170" s="494"/>
      <c r="X170" s="494"/>
      <c r="Y170" s="494"/>
      <c r="Z170" s="494"/>
      <c r="AA170" s="494"/>
      <c r="AB170" s="494"/>
      <c r="AC170" s="494"/>
      <c r="AD170" s="494"/>
      <c r="AE170" s="494"/>
      <c r="AF170" s="494"/>
      <c r="AG170" s="494"/>
      <c r="AH170" s="494"/>
      <c r="AI170" s="494"/>
      <c r="AJ170" s="494"/>
      <c r="AK170" s="494"/>
      <c r="AL170" s="494"/>
      <c r="AM170" s="494"/>
      <c r="AN170" s="494"/>
      <c r="AO170" s="494"/>
      <c r="AP170" s="494"/>
      <c r="AQ170" s="494"/>
      <c r="AR170" s="494"/>
      <c r="AS170" s="494"/>
      <c r="AT170" s="494"/>
      <c r="AU170" s="494"/>
      <c r="AV170" s="494"/>
      <c r="AW170" s="494"/>
      <c r="AX170" s="494"/>
    </row>
    <row r="171" spans="1:50" customFormat="1" ht="27.2" customHeight="1" x14ac:dyDescent="0.25">
      <c r="A171" s="492"/>
      <c r="B171" s="687" t="s">
        <v>793</v>
      </c>
      <c r="C171" s="687"/>
      <c r="D171" s="687"/>
      <c r="E171" s="687"/>
      <c r="F171" s="687"/>
      <c r="G171" s="687" t="s">
        <v>2253</v>
      </c>
      <c r="H171" s="687"/>
      <c r="I171" s="687"/>
      <c r="J171" s="687"/>
      <c r="K171" s="687" t="s">
        <v>15</v>
      </c>
      <c r="L171" s="687"/>
      <c r="M171" s="687"/>
      <c r="N171" s="687"/>
      <c r="O171" s="687"/>
      <c r="P171" s="687"/>
      <c r="Q171" s="494"/>
      <c r="R171" s="494"/>
      <c r="S171" s="494"/>
      <c r="T171" s="494"/>
      <c r="U171" s="494"/>
      <c r="V171" s="494"/>
      <c r="W171" s="494"/>
      <c r="X171" s="494"/>
      <c r="Y171" s="494"/>
      <c r="Z171" s="494"/>
      <c r="AA171" s="494"/>
      <c r="AB171" s="494"/>
      <c r="AC171" s="494"/>
      <c r="AD171" s="494"/>
      <c r="AE171" s="494"/>
      <c r="AF171" s="494"/>
      <c r="AG171" s="494"/>
      <c r="AH171" s="494"/>
      <c r="AI171" s="494"/>
      <c r="AJ171" s="494"/>
      <c r="AK171" s="494"/>
      <c r="AL171" s="494"/>
      <c r="AM171" s="494"/>
      <c r="AN171" s="494"/>
      <c r="AO171" s="494"/>
      <c r="AP171" s="494"/>
      <c r="AQ171" s="494"/>
      <c r="AR171" s="494"/>
      <c r="AS171" s="494"/>
      <c r="AT171" s="494"/>
      <c r="AU171" s="494"/>
      <c r="AV171" s="494"/>
      <c r="AW171" s="494"/>
      <c r="AX171" s="494"/>
    </row>
    <row r="172" spans="1:50" customFormat="1" x14ac:dyDescent="0.25">
      <c r="A172" s="690" t="s">
        <v>806</v>
      </c>
      <c r="B172" s="690"/>
      <c r="C172" s="690"/>
      <c r="D172" s="690"/>
      <c r="E172" s="690"/>
      <c r="F172" s="690"/>
      <c r="G172" s="690"/>
      <c r="H172" s="690"/>
      <c r="I172" s="690"/>
      <c r="J172" s="690"/>
      <c r="K172" s="690"/>
      <c r="L172" s="690"/>
      <c r="M172" s="690"/>
      <c r="N172" s="690"/>
      <c r="O172" s="690"/>
      <c r="P172" s="690"/>
      <c r="Q172" s="494"/>
      <c r="R172" s="494"/>
      <c r="S172" s="494"/>
      <c r="T172" s="494"/>
      <c r="U172" s="494"/>
      <c r="V172" s="494"/>
      <c r="W172" s="494"/>
      <c r="X172" s="494"/>
      <c r="Y172" s="494"/>
      <c r="Z172" s="494"/>
      <c r="AA172" s="494"/>
      <c r="AB172" s="494"/>
      <c r="AC172" s="494"/>
      <c r="AD172" s="494"/>
      <c r="AE172" s="494"/>
      <c r="AF172" s="494"/>
      <c r="AG172" s="494"/>
      <c r="AH172" s="494"/>
      <c r="AI172" s="494"/>
      <c r="AJ172" s="494"/>
      <c r="AK172" s="494"/>
      <c r="AL172" s="494"/>
      <c r="AM172" s="494"/>
      <c r="AN172" s="494"/>
      <c r="AO172" s="494"/>
      <c r="AP172" s="494"/>
      <c r="AQ172" s="494"/>
      <c r="AR172" s="494"/>
      <c r="AS172" s="494"/>
      <c r="AT172" s="494"/>
      <c r="AU172" s="494"/>
      <c r="AV172" s="494"/>
      <c r="AW172" s="494"/>
      <c r="AX172" s="494"/>
    </row>
    <row r="173" spans="1:50" customFormat="1" ht="95.25" customHeight="1" x14ac:dyDescent="0.25">
      <c r="A173" s="495" t="s">
        <v>601</v>
      </c>
      <c r="B173" s="692" t="s">
        <v>807</v>
      </c>
      <c r="C173" s="693"/>
      <c r="D173" s="693"/>
      <c r="E173" s="693"/>
      <c r="F173" s="693"/>
      <c r="G173" s="693" t="s">
        <v>808</v>
      </c>
      <c r="H173" s="693"/>
      <c r="I173" s="693"/>
      <c r="J173" s="693"/>
      <c r="K173" s="693" t="s">
        <v>2279</v>
      </c>
      <c r="L173" s="693"/>
      <c r="M173" s="693"/>
      <c r="N173" s="693"/>
      <c r="O173" s="694">
        <f>ROUND(647300 * 1 * 1.56 * 0.6 * 0.7, 2)</f>
        <v>424110.96</v>
      </c>
      <c r="P173" s="693"/>
      <c r="Q173" s="494"/>
      <c r="R173" s="494"/>
      <c r="S173" s="494"/>
      <c r="T173" s="494"/>
      <c r="U173" s="494"/>
      <c r="V173" s="494"/>
      <c r="W173" s="494"/>
      <c r="X173" s="494"/>
      <c r="Y173" s="494"/>
      <c r="Z173" s="494"/>
      <c r="AA173" s="494"/>
      <c r="AB173" s="494"/>
      <c r="AC173" s="494"/>
      <c r="AD173" s="494"/>
      <c r="AE173" s="494"/>
      <c r="AF173" s="494"/>
      <c r="AG173" s="494"/>
      <c r="AH173" s="494"/>
      <c r="AI173" s="494"/>
      <c r="AJ173" s="494"/>
      <c r="AK173" s="494"/>
      <c r="AL173" s="494"/>
      <c r="AM173" s="494"/>
      <c r="AN173" s="494"/>
      <c r="AO173" s="494"/>
      <c r="AP173" s="494"/>
      <c r="AQ173" s="494"/>
      <c r="AR173" s="494"/>
      <c r="AS173" s="494"/>
      <c r="AT173" s="494"/>
      <c r="AU173" s="494"/>
      <c r="AV173" s="494"/>
      <c r="AW173" s="494"/>
      <c r="AX173" s="494"/>
    </row>
    <row r="174" spans="1:50" customFormat="1" x14ac:dyDescent="0.25">
      <c r="A174" s="496"/>
      <c r="B174" s="695" t="s">
        <v>564</v>
      </c>
      <c r="C174" s="695"/>
      <c r="D174" s="695"/>
      <c r="E174" s="695"/>
      <c r="F174" s="695"/>
      <c r="G174" s="695" t="s">
        <v>15</v>
      </c>
      <c r="H174" s="695"/>
      <c r="I174" s="695"/>
      <c r="J174" s="695"/>
      <c r="K174" s="695" t="s">
        <v>15</v>
      </c>
      <c r="L174" s="695"/>
      <c r="M174" s="695"/>
      <c r="N174" s="695"/>
      <c r="O174" s="695"/>
      <c r="P174" s="695"/>
      <c r="Q174" s="494"/>
      <c r="R174" s="494"/>
      <c r="S174" s="494"/>
      <c r="T174" s="494"/>
      <c r="U174" s="494"/>
      <c r="V174" s="494"/>
      <c r="W174" s="494"/>
      <c r="X174" s="494"/>
      <c r="Y174" s="494"/>
      <c r="Z174" s="494"/>
      <c r="AA174" s="494"/>
      <c r="AB174" s="494"/>
      <c r="AC174" s="494"/>
      <c r="AD174" s="494"/>
      <c r="AE174" s="494"/>
      <c r="AF174" s="494"/>
      <c r="AG174" s="494"/>
      <c r="AH174" s="494"/>
      <c r="AI174" s="494"/>
      <c r="AJ174" s="494"/>
      <c r="AK174" s="494"/>
      <c r="AL174" s="494"/>
      <c r="AM174" s="494"/>
      <c r="AN174" s="494"/>
      <c r="AO174" s="494"/>
      <c r="AP174" s="494"/>
      <c r="AQ174" s="494"/>
      <c r="AR174" s="494"/>
      <c r="AS174" s="494"/>
      <c r="AT174" s="494"/>
      <c r="AU174" s="494"/>
      <c r="AV174" s="494"/>
      <c r="AW174" s="494"/>
      <c r="AX174" s="494"/>
    </row>
    <row r="175" spans="1:50" customFormat="1" x14ac:dyDescent="0.25">
      <c r="A175" s="492"/>
      <c r="B175" s="687" t="s">
        <v>681</v>
      </c>
      <c r="C175" s="687"/>
      <c r="D175" s="687"/>
      <c r="E175" s="687"/>
      <c r="F175" s="687"/>
      <c r="G175" s="687" t="s">
        <v>682</v>
      </c>
      <c r="H175" s="687"/>
      <c r="I175" s="687"/>
      <c r="J175" s="687"/>
      <c r="K175" s="687" t="s">
        <v>15</v>
      </c>
      <c r="L175" s="687"/>
      <c r="M175" s="687"/>
      <c r="N175" s="687"/>
      <c r="O175" s="687"/>
      <c r="P175" s="687"/>
      <c r="Q175" s="494"/>
      <c r="R175" s="494"/>
      <c r="S175" s="494"/>
      <c r="T175" s="494"/>
      <c r="U175" s="494"/>
      <c r="V175" s="494"/>
      <c r="W175" s="494"/>
      <c r="X175" s="494"/>
      <c r="Y175" s="494"/>
      <c r="Z175" s="494"/>
      <c r="AA175" s="494"/>
      <c r="AB175" s="494"/>
      <c r="AC175" s="494"/>
      <c r="AD175" s="494"/>
      <c r="AE175" s="494"/>
      <c r="AF175" s="494"/>
      <c r="AG175" s="494"/>
      <c r="AH175" s="494"/>
      <c r="AI175" s="494"/>
      <c r="AJ175" s="494"/>
      <c r="AK175" s="494"/>
      <c r="AL175" s="494"/>
      <c r="AM175" s="494"/>
      <c r="AN175" s="494"/>
      <c r="AO175" s="494"/>
      <c r="AP175" s="494"/>
      <c r="AQ175" s="494"/>
      <c r="AR175" s="494"/>
      <c r="AS175" s="494"/>
      <c r="AT175" s="494"/>
      <c r="AU175" s="494"/>
      <c r="AV175" s="494"/>
      <c r="AW175" s="494"/>
      <c r="AX175" s="494"/>
    </row>
    <row r="176" spans="1:50" customFormat="1" ht="40.9" customHeight="1" x14ac:dyDescent="0.25">
      <c r="A176" s="492"/>
      <c r="B176" s="687" t="s">
        <v>683</v>
      </c>
      <c r="C176" s="687"/>
      <c r="D176" s="687"/>
      <c r="E176" s="687"/>
      <c r="F176" s="687"/>
      <c r="G176" s="687" t="s">
        <v>684</v>
      </c>
      <c r="H176" s="687"/>
      <c r="I176" s="687"/>
      <c r="J176" s="687"/>
      <c r="K176" s="687" t="s">
        <v>15</v>
      </c>
      <c r="L176" s="687"/>
      <c r="M176" s="687"/>
      <c r="N176" s="687"/>
      <c r="O176" s="687"/>
      <c r="P176" s="687"/>
      <c r="Q176" s="494"/>
      <c r="R176" s="494"/>
      <c r="S176" s="494"/>
      <c r="T176" s="494"/>
      <c r="U176" s="494"/>
      <c r="V176" s="494"/>
      <c r="W176" s="494"/>
      <c r="X176" s="494"/>
      <c r="Y176" s="494"/>
      <c r="Z176" s="494"/>
      <c r="AA176" s="494"/>
      <c r="AB176" s="494"/>
      <c r="AC176" s="494"/>
      <c r="AD176" s="494"/>
      <c r="AE176" s="494"/>
      <c r="AF176" s="494"/>
      <c r="AG176" s="494"/>
      <c r="AH176" s="494"/>
      <c r="AI176" s="494"/>
      <c r="AJ176" s="494"/>
      <c r="AK176" s="494"/>
      <c r="AL176" s="494"/>
      <c r="AM176" s="494"/>
      <c r="AN176" s="494"/>
      <c r="AO176" s="494"/>
      <c r="AP176" s="494"/>
      <c r="AQ176" s="494"/>
      <c r="AR176" s="494"/>
      <c r="AS176" s="494"/>
      <c r="AT176" s="494"/>
      <c r="AU176" s="494"/>
      <c r="AV176" s="494"/>
      <c r="AW176" s="494"/>
      <c r="AX176" s="494"/>
    </row>
    <row r="177" spans="1:50" customFormat="1" ht="27.2" customHeight="1" x14ac:dyDescent="0.25">
      <c r="A177" s="492"/>
      <c r="B177" s="687" t="s">
        <v>793</v>
      </c>
      <c r="C177" s="687"/>
      <c r="D177" s="687"/>
      <c r="E177" s="687"/>
      <c r="F177" s="687"/>
      <c r="G177" s="687" t="s">
        <v>2280</v>
      </c>
      <c r="H177" s="687"/>
      <c r="I177" s="687"/>
      <c r="J177" s="687"/>
      <c r="K177" s="687" t="s">
        <v>15</v>
      </c>
      <c r="L177" s="687"/>
      <c r="M177" s="687"/>
      <c r="N177" s="687"/>
      <c r="O177" s="687"/>
      <c r="P177" s="687"/>
      <c r="Q177" s="494"/>
      <c r="R177" s="494"/>
      <c r="S177" s="494"/>
      <c r="T177" s="494"/>
      <c r="U177" s="494"/>
      <c r="V177" s="494"/>
      <c r="W177" s="494"/>
      <c r="X177" s="494"/>
      <c r="Y177" s="494"/>
      <c r="Z177" s="494"/>
      <c r="AA177" s="494"/>
      <c r="AB177" s="494"/>
      <c r="AC177" s="494"/>
      <c r="AD177" s="494"/>
      <c r="AE177" s="494"/>
      <c r="AF177" s="494"/>
      <c r="AG177" s="494"/>
      <c r="AH177" s="494"/>
      <c r="AI177" s="494"/>
      <c r="AJ177" s="494"/>
      <c r="AK177" s="494"/>
      <c r="AL177" s="494"/>
      <c r="AM177" s="494"/>
      <c r="AN177" s="494"/>
      <c r="AO177" s="494"/>
      <c r="AP177" s="494"/>
      <c r="AQ177" s="494"/>
      <c r="AR177" s="494"/>
      <c r="AS177" s="494"/>
      <c r="AT177" s="494"/>
      <c r="AU177" s="494"/>
      <c r="AV177" s="494"/>
      <c r="AW177" s="494"/>
      <c r="AX177" s="494"/>
    </row>
    <row r="178" spans="1:50" customFormat="1" x14ac:dyDescent="0.25">
      <c r="A178" s="690" t="s">
        <v>809</v>
      </c>
      <c r="B178" s="690"/>
      <c r="C178" s="690"/>
      <c r="D178" s="690"/>
      <c r="E178" s="690"/>
      <c r="F178" s="690"/>
      <c r="G178" s="690"/>
      <c r="H178" s="690"/>
      <c r="I178" s="690"/>
      <c r="J178" s="690"/>
      <c r="K178" s="690"/>
      <c r="L178" s="690"/>
      <c r="M178" s="690"/>
      <c r="N178" s="690"/>
      <c r="O178" s="690"/>
      <c r="P178" s="690"/>
      <c r="Q178" s="494"/>
      <c r="R178" s="494"/>
      <c r="S178" s="494"/>
      <c r="T178" s="494"/>
      <c r="U178" s="494"/>
      <c r="V178" s="494"/>
      <c r="W178" s="494"/>
      <c r="X178" s="494"/>
      <c r="Y178" s="494"/>
      <c r="Z178" s="494"/>
      <c r="AA178" s="494"/>
      <c r="AB178" s="494"/>
      <c r="AC178" s="494"/>
      <c r="AD178" s="494"/>
      <c r="AE178" s="494"/>
      <c r="AF178" s="494"/>
      <c r="AG178" s="494"/>
      <c r="AH178" s="494"/>
      <c r="AI178" s="494"/>
      <c r="AJ178" s="494"/>
      <c r="AK178" s="494"/>
      <c r="AL178" s="494"/>
      <c r="AM178" s="494"/>
      <c r="AN178" s="494"/>
      <c r="AO178" s="494"/>
      <c r="AP178" s="494"/>
      <c r="AQ178" s="494"/>
      <c r="AR178" s="494"/>
      <c r="AS178" s="494"/>
      <c r="AT178" s="494"/>
      <c r="AU178" s="494"/>
      <c r="AV178" s="494"/>
      <c r="AW178" s="494"/>
      <c r="AX178" s="494"/>
    </row>
    <row r="179" spans="1:50" customFormat="1" ht="95.25" customHeight="1" x14ac:dyDescent="0.25">
      <c r="A179" s="495" t="s">
        <v>603</v>
      </c>
      <c r="B179" s="692" t="s">
        <v>807</v>
      </c>
      <c r="C179" s="693"/>
      <c r="D179" s="693"/>
      <c r="E179" s="693"/>
      <c r="F179" s="693"/>
      <c r="G179" s="693" t="s">
        <v>808</v>
      </c>
      <c r="H179" s="693"/>
      <c r="I179" s="693"/>
      <c r="J179" s="693"/>
      <c r="K179" s="693" t="s">
        <v>2279</v>
      </c>
      <c r="L179" s="693"/>
      <c r="M179" s="693"/>
      <c r="N179" s="693"/>
      <c r="O179" s="694">
        <f>ROUND(647300 * 1 * 1.56 * 0.6 * 0.7, 2)</f>
        <v>424110.96</v>
      </c>
      <c r="P179" s="693"/>
      <c r="Q179" s="494"/>
      <c r="R179" s="494"/>
      <c r="S179" s="494"/>
      <c r="T179" s="494"/>
      <c r="U179" s="494"/>
      <c r="V179" s="494"/>
      <c r="W179" s="494"/>
      <c r="X179" s="494"/>
      <c r="Y179" s="494"/>
      <c r="Z179" s="494"/>
      <c r="AA179" s="494"/>
      <c r="AB179" s="494"/>
      <c r="AC179" s="494"/>
      <c r="AD179" s="494"/>
      <c r="AE179" s="494"/>
      <c r="AF179" s="494"/>
      <c r="AG179" s="494"/>
      <c r="AH179" s="494"/>
      <c r="AI179" s="494"/>
      <c r="AJ179" s="494"/>
      <c r="AK179" s="494"/>
      <c r="AL179" s="494"/>
      <c r="AM179" s="494"/>
      <c r="AN179" s="494"/>
      <c r="AO179" s="494"/>
      <c r="AP179" s="494"/>
      <c r="AQ179" s="494"/>
      <c r="AR179" s="494"/>
      <c r="AS179" s="494"/>
      <c r="AT179" s="494"/>
      <c r="AU179" s="494"/>
      <c r="AV179" s="494"/>
      <c r="AW179" s="494"/>
      <c r="AX179" s="494"/>
    </row>
    <row r="180" spans="1:50" customFormat="1" x14ac:dyDescent="0.25">
      <c r="A180" s="496"/>
      <c r="B180" s="695" t="s">
        <v>564</v>
      </c>
      <c r="C180" s="695"/>
      <c r="D180" s="695"/>
      <c r="E180" s="695"/>
      <c r="F180" s="695"/>
      <c r="G180" s="695" t="s">
        <v>15</v>
      </c>
      <c r="H180" s="695"/>
      <c r="I180" s="695"/>
      <c r="J180" s="695"/>
      <c r="K180" s="695" t="s">
        <v>15</v>
      </c>
      <c r="L180" s="695"/>
      <c r="M180" s="695"/>
      <c r="N180" s="695"/>
      <c r="O180" s="695"/>
      <c r="P180" s="695"/>
      <c r="Q180" s="494"/>
      <c r="R180" s="494"/>
      <c r="S180" s="494"/>
      <c r="T180" s="494"/>
      <c r="U180" s="494"/>
      <c r="V180" s="494"/>
      <c r="W180" s="494"/>
      <c r="X180" s="494"/>
      <c r="Y180" s="494"/>
      <c r="Z180" s="494"/>
      <c r="AA180" s="494"/>
      <c r="AB180" s="494"/>
      <c r="AC180" s="494"/>
      <c r="AD180" s="494"/>
      <c r="AE180" s="494"/>
      <c r="AF180" s="494"/>
      <c r="AG180" s="494"/>
      <c r="AH180" s="494"/>
      <c r="AI180" s="494"/>
      <c r="AJ180" s="494"/>
      <c r="AK180" s="494"/>
      <c r="AL180" s="494"/>
      <c r="AM180" s="494"/>
      <c r="AN180" s="494"/>
      <c r="AO180" s="494"/>
      <c r="AP180" s="494"/>
      <c r="AQ180" s="494"/>
      <c r="AR180" s="494"/>
      <c r="AS180" s="494"/>
      <c r="AT180" s="494"/>
      <c r="AU180" s="494"/>
      <c r="AV180" s="494"/>
      <c r="AW180" s="494"/>
      <c r="AX180" s="494"/>
    </row>
    <row r="181" spans="1:50" customFormat="1" x14ac:dyDescent="0.25">
      <c r="A181" s="492"/>
      <c r="B181" s="687" t="s">
        <v>681</v>
      </c>
      <c r="C181" s="687"/>
      <c r="D181" s="687"/>
      <c r="E181" s="687"/>
      <c r="F181" s="687"/>
      <c r="G181" s="687" t="s">
        <v>682</v>
      </c>
      <c r="H181" s="687"/>
      <c r="I181" s="687"/>
      <c r="J181" s="687"/>
      <c r="K181" s="687" t="s">
        <v>15</v>
      </c>
      <c r="L181" s="687"/>
      <c r="M181" s="687"/>
      <c r="N181" s="687"/>
      <c r="O181" s="687"/>
      <c r="P181" s="687"/>
      <c r="Q181" s="494"/>
      <c r="R181" s="494"/>
      <c r="S181" s="494"/>
      <c r="T181" s="494"/>
      <c r="U181" s="494"/>
      <c r="V181" s="494"/>
      <c r="W181" s="494"/>
      <c r="X181" s="494"/>
      <c r="Y181" s="494"/>
      <c r="Z181" s="494"/>
      <c r="AA181" s="494"/>
      <c r="AB181" s="494"/>
      <c r="AC181" s="494"/>
      <c r="AD181" s="494"/>
      <c r="AE181" s="494"/>
      <c r="AF181" s="494"/>
      <c r="AG181" s="494"/>
      <c r="AH181" s="494"/>
      <c r="AI181" s="494"/>
      <c r="AJ181" s="494"/>
      <c r="AK181" s="494"/>
      <c r="AL181" s="494"/>
      <c r="AM181" s="494"/>
      <c r="AN181" s="494"/>
      <c r="AO181" s="494"/>
      <c r="AP181" s="494"/>
      <c r="AQ181" s="494"/>
      <c r="AR181" s="494"/>
      <c r="AS181" s="494"/>
      <c r="AT181" s="494"/>
      <c r="AU181" s="494"/>
      <c r="AV181" s="494"/>
      <c r="AW181" s="494"/>
      <c r="AX181" s="494"/>
    </row>
    <row r="182" spans="1:50" customFormat="1" ht="40.9" customHeight="1" x14ac:dyDescent="0.25">
      <c r="A182" s="492"/>
      <c r="B182" s="687" t="s">
        <v>683</v>
      </c>
      <c r="C182" s="687"/>
      <c r="D182" s="687"/>
      <c r="E182" s="687"/>
      <c r="F182" s="687"/>
      <c r="G182" s="687" t="s">
        <v>684</v>
      </c>
      <c r="H182" s="687"/>
      <c r="I182" s="687"/>
      <c r="J182" s="687"/>
      <c r="K182" s="687" t="s">
        <v>15</v>
      </c>
      <c r="L182" s="687"/>
      <c r="M182" s="687"/>
      <c r="N182" s="687"/>
      <c r="O182" s="687"/>
      <c r="P182" s="687"/>
      <c r="Q182" s="494"/>
      <c r="R182" s="494"/>
      <c r="S182" s="494"/>
      <c r="T182" s="494"/>
      <c r="U182" s="494"/>
      <c r="V182" s="494"/>
      <c r="W182" s="494"/>
      <c r="X182" s="494"/>
      <c r="Y182" s="494"/>
      <c r="Z182" s="494"/>
      <c r="AA182" s="494"/>
      <c r="AB182" s="494"/>
      <c r="AC182" s="494"/>
      <c r="AD182" s="494"/>
      <c r="AE182" s="494"/>
      <c r="AF182" s="494"/>
      <c r="AG182" s="494"/>
      <c r="AH182" s="494"/>
      <c r="AI182" s="494"/>
      <c r="AJ182" s="494"/>
      <c r="AK182" s="494"/>
      <c r="AL182" s="494"/>
      <c r="AM182" s="494"/>
      <c r="AN182" s="494"/>
      <c r="AO182" s="494"/>
      <c r="AP182" s="494"/>
      <c r="AQ182" s="494"/>
      <c r="AR182" s="494"/>
      <c r="AS182" s="494"/>
      <c r="AT182" s="494"/>
      <c r="AU182" s="494"/>
      <c r="AV182" s="494"/>
      <c r="AW182" s="494"/>
      <c r="AX182" s="494"/>
    </row>
    <row r="183" spans="1:50" customFormat="1" ht="27.2" customHeight="1" x14ac:dyDescent="0.25">
      <c r="A183" s="492"/>
      <c r="B183" s="687" t="s">
        <v>793</v>
      </c>
      <c r="C183" s="687"/>
      <c r="D183" s="687"/>
      <c r="E183" s="687"/>
      <c r="F183" s="687"/>
      <c r="G183" s="687" t="s">
        <v>2280</v>
      </c>
      <c r="H183" s="687"/>
      <c r="I183" s="687"/>
      <c r="J183" s="687"/>
      <c r="K183" s="687" t="s">
        <v>15</v>
      </c>
      <c r="L183" s="687"/>
      <c r="M183" s="687"/>
      <c r="N183" s="687"/>
      <c r="O183" s="687"/>
      <c r="P183" s="687"/>
      <c r="Q183" s="494"/>
      <c r="R183" s="494"/>
      <c r="S183" s="494"/>
      <c r="T183" s="494"/>
      <c r="U183" s="494"/>
      <c r="V183" s="494"/>
      <c r="W183" s="494"/>
      <c r="X183" s="494"/>
      <c r="Y183" s="494"/>
      <c r="Z183" s="494"/>
      <c r="AA183" s="494"/>
      <c r="AB183" s="494"/>
      <c r="AC183" s="494"/>
      <c r="AD183" s="494"/>
      <c r="AE183" s="494"/>
      <c r="AF183" s="494"/>
      <c r="AG183" s="494"/>
      <c r="AH183" s="494"/>
      <c r="AI183" s="494"/>
      <c r="AJ183" s="494"/>
      <c r="AK183" s="494"/>
      <c r="AL183" s="494"/>
      <c r="AM183" s="494"/>
      <c r="AN183" s="494"/>
      <c r="AO183" s="494"/>
      <c r="AP183" s="494"/>
      <c r="AQ183" s="494"/>
      <c r="AR183" s="494"/>
      <c r="AS183" s="494"/>
      <c r="AT183" s="494"/>
      <c r="AU183" s="494"/>
      <c r="AV183" s="494"/>
      <c r="AW183" s="494"/>
      <c r="AX183" s="494"/>
    </row>
    <row r="184" spans="1:50" customFormat="1" x14ac:dyDescent="0.25">
      <c r="A184" s="690" t="s">
        <v>810</v>
      </c>
      <c r="B184" s="690"/>
      <c r="C184" s="690"/>
      <c r="D184" s="690"/>
      <c r="E184" s="690"/>
      <c r="F184" s="690"/>
      <c r="G184" s="690"/>
      <c r="H184" s="690"/>
      <c r="I184" s="690"/>
      <c r="J184" s="690"/>
      <c r="K184" s="690"/>
      <c r="L184" s="690"/>
      <c r="M184" s="690"/>
      <c r="N184" s="690"/>
      <c r="O184" s="690"/>
      <c r="P184" s="690"/>
      <c r="Q184" s="494"/>
      <c r="R184" s="494"/>
      <c r="S184" s="494"/>
      <c r="T184" s="494"/>
      <c r="U184" s="494"/>
      <c r="V184" s="494"/>
      <c r="W184" s="494"/>
      <c r="X184" s="494"/>
      <c r="Y184" s="494"/>
      <c r="Z184" s="494"/>
      <c r="AA184" s="494"/>
      <c r="AB184" s="494"/>
      <c r="AC184" s="494"/>
      <c r="AD184" s="494"/>
      <c r="AE184" s="494"/>
      <c r="AF184" s="494"/>
      <c r="AG184" s="494"/>
      <c r="AH184" s="494"/>
      <c r="AI184" s="494"/>
      <c r="AJ184" s="494"/>
      <c r="AK184" s="494"/>
      <c r="AL184" s="494"/>
      <c r="AM184" s="494"/>
      <c r="AN184" s="494"/>
      <c r="AO184" s="494"/>
      <c r="AP184" s="494"/>
      <c r="AQ184" s="494"/>
      <c r="AR184" s="494"/>
      <c r="AS184" s="494"/>
      <c r="AT184" s="494"/>
      <c r="AU184" s="494"/>
      <c r="AV184" s="494"/>
      <c r="AW184" s="494"/>
      <c r="AX184" s="494"/>
    </row>
    <row r="185" spans="1:50" customFormat="1" ht="135.94999999999999" customHeight="1" x14ac:dyDescent="0.25">
      <c r="A185" s="495" t="s">
        <v>605</v>
      </c>
      <c r="B185" s="692" t="s">
        <v>796</v>
      </c>
      <c r="C185" s="693"/>
      <c r="D185" s="693"/>
      <c r="E185" s="693"/>
      <c r="F185" s="693"/>
      <c r="G185" s="693" t="s">
        <v>811</v>
      </c>
      <c r="H185" s="693"/>
      <c r="I185" s="693"/>
      <c r="J185" s="693"/>
      <c r="K185" s="693" t="s">
        <v>2281</v>
      </c>
      <c r="L185" s="693"/>
      <c r="M185" s="693"/>
      <c r="N185" s="693"/>
      <c r="O185" s="694">
        <f>ROUND((467700 + 398 * (0.4 * 50 + 0.6 * (50 / 2))) * 1 * 0.8 * 1.56 * 0.6 * 0.7, 2)</f>
        <v>252451.18</v>
      </c>
      <c r="P185" s="693"/>
      <c r="Q185" s="494"/>
      <c r="R185" s="494"/>
      <c r="S185" s="494"/>
      <c r="T185" s="494"/>
      <c r="U185" s="494"/>
      <c r="V185" s="494"/>
      <c r="W185" s="494"/>
      <c r="X185" s="494"/>
      <c r="Y185" s="494"/>
      <c r="Z185" s="494"/>
      <c r="AA185" s="494"/>
      <c r="AB185" s="494"/>
      <c r="AC185" s="494"/>
      <c r="AD185" s="494"/>
      <c r="AE185" s="494"/>
      <c r="AF185" s="494"/>
      <c r="AG185" s="494"/>
      <c r="AH185" s="494"/>
      <c r="AI185" s="494"/>
      <c r="AJ185" s="494"/>
      <c r="AK185" s="494"/>
      <c r="AL185" s="494"/>
      <c r="AM185" s="494"/>
      <c r="AN185" s="494"/>
      <c r="AO185" s="494"/>
      <c r="AP185" s="494"/>
      <c r="AQ185" s="494"/>
      <c r="AR185" s="494"/>
      <c r="AS185" s="494"/>
      <c r="AT185" s="494"/>
      <c r="AU185" s="494"/>
      <c r="AV185" s="494"/>
      <c r="AW185" s="494"/>
      <c r="AX185" s="494"/>
    </row>
    <row r="186" spans="1:50" customFormat="1" x14ac:dyDescent="0.25">
      <c r="A186" s="496"/>
      <c r="B186" s="695" t="s">
        <v>564</v>
      </c>
      <c r="C186" s="695"/>
      <c r="D186" s="695"/>
      <c r="E186" s="695"/>
      <c r="F186" s="695"/>
      <c r="G186" s="695" t="s">
        <v>15</v>
      </c>
      <c r="H186" s="695"/>
      <c r="I186" s="695"/>
      <c r="J186" s="695"/>
      <c r="K186" s="695" t="s">
        <v>15</v>
      </c>
      <c r="L186" s="695"/>
      <c r="M186" s="695"/>
      <c r="N186" s="695"/>
      <c r="O186" s="695"/>
      <c r="P186" s="695"/>
      <c r="Q186" s="494"/>
      <c r="R186" s="494"/>
      <c r="S186" s="494"/>
      <c r="T186" s="494"/>
      <c r="U186" s="494"/>
      <c r="V186" s="494"/>
      <c r="W186" s="494"/>
      <c r="X186" s="494"/>
      <c r="Y186" s="494"/>
      <c r="Z186" s="494"/>
      <c r="AA186" s="494"/>
      <c r="AB186" s="494"/>
      <c r="AC186" s="494"/>
      <c r="AD186" s="494"/>
      <c r="AE186" s="494"/>
      <c r="AF186" s="494"/>
      <c r="AG186" s="494"/>
      <c r="AH186" s="494"/>
      <c r="AI186" s="494"/>
      <c r="AJ186" s="494"/>
      <c r="AK186" s="494"/>
      <c r="AL186" s="494"/>
      <c r="AM186" s="494"/>
      <c r="AN186" s="494"/>
      <c r="AO186" s="494"/>
      <c r="AP186" s="494"/>
      <c r="AQ186" s="494"/>
      <c r="AR186" s="494"/>
      <c r="AS186" s="494"/>
      <c r="AT186" s="494"/>
      <c r="AU186" s="494"/>
      <c r="AV186" s="494"/>
      <c r="AW186" s="494"/>
      <c r="AX186" s="494"/>
    </row>
    <row r="187" spans="1:50" customFormat="1" x14ac:dyDescent="0.25">
      <c r="A187" s="492"/>
      <c r="B187" s="687" t="s">
        <v>681</v>
      </c>
      <c r="C187" s="687"/>
      <c r="D187" s="687"/>
      <c r="E187" s="687"/>
      <c r="F187" s="687"/>
      <c r="G187" s="687" t="s">
        <v>682</v>
      </c>
      <c r="H187" s="687"/>
      <c r="I187" s="687"/>
      <c r="J187" s="687"/>
      <c r="K187" s="687" t="s">
        <v>15</v>
      </c>
      <c r="L187" s="687"/>
      <c r="M187" s="687"/>
      <c r="N187" s="687"/>
      <c r="O187" s="687"/>
      <c r="P187" s="687"/>
      <c r="Q187" s="494"/>
      <c r="R187" s="494"/>
      <c r="S187" s="494"/>
      <c r="T187" s="494"/>
      <c r="U187" s="494"/>
      <c r="V187" s="494"/>
      <c r="W187" s="494"/>
      <c r="X187" s="494"/>
      <c r="Y187" s="494"/>
      <c r="Z187" s="494"/>
      <c r="AA187" s="494"/>
      <c r="AB187" s="494"/>
      <c r="AC187" s="494"/>
      <c r="AD187" s="494"/>
      <c r="AE187" s="494"/>
      <c r="AF187" s="494"/>
      <c r="AG187" s="494"/>
      <c r="AH187" s="494"/>
      <c r="AI187" s="494"/>
      <c r="AJ187" s="494"/>
      <c r="AK187" s="494"/>
      <c r="AL187" s="494"/>
      <c r="AM187" s="494"/>
      <c r="AN187" s="494"/>
      <c r="AO187" s="494"/>
      <c r="AP187" s="494"/>
      <c r="AQ187" s="494"/>
      <c r="AR187" s="494"/>
      <c r="AS187" s="494"/>
      <c r="AT187" s="494"/>
      <c r="AU187" s="494"/>
      <c r="AV187" s="494"/>
      <c r="AW187" s="494"/>
      <c r="AX187" s="494"/>
    </row>
    <row r="188" spans="1:50" customFormat="1" ht="40.9" customHeight="1" x14ac:dyDescent="0.25">
      <c r="A188" s="492"/>
      <c r="B188" s="687" t="s">
        <v>683</v>
      </c>
      <c r="C188" s="687"/>
      <c r="D188" s="687"/>
      <c r="E188" s="687"/>
      <c r="F188" s="687"/>
      <c r="G188" s="687" t="s">
        <v>684</v>
      </c>
      <c r="H188" s="687"/>
      <c r="I188" s="687"/>
      <c r="J188" s="687"/>
      <c r="K188" s="687" t="s">
        <v>15</v>
      </c>
      <c r="L188" s="687"/>
      <c r="M188" s="687"/>
      <c r="N188" s="687"/>
      <c r="O188" s="687"/>
      <c r="P188" s="687"/>
      <c r="Q188" s="494"/>
      <c r="R188" s="494"/>
      <c r="S188" s="494"/>
      <c r="T188" s="494"/>
      <c r="U188" s="494"/>
      <c r="V188" s="494"/>
      <c r="W188" s="494"/>
      <c r="X188" s="494"/>
      <c r="Y188" s="494"/>
      <c r="Z188" s="494"/>
      <c r="AA188" s="494"/>
      <c r="AB188" s="494"/>
      <c r="AC188" s="494"/>
      <c r="AD188" s="494"/>
      <c r="AE188" s="494"/>
      <c r="AF188" s="494"/>
      <c r="AG188" s="494"/>
      <c r="AH188" s="494"/>
      <c r="AI188" s="494"/>
      <c r="AJ188" s="494"/>
      <c r="AK188" s="494"/>
      <c r="AL188" s="494"/>
      <c r="AM188" s="494"/>
      <c r="AN188" s="494"/>
      <c r="AO188" s="494"/>
      <c r="AP188" s="494"/>
      <c r="AQ188" s="494"/>
      <c r="AR188" s="494"/>
      <c r="AS188" s="494"/>
      <c r="AT188" s="494"/>
      <c r="AU188" s="494"/>
      <c r="AV188" s="494"/>
      <c r="AW188" s="494"/>
      <c r="AX188" s="494"/>
    </row>
    <row r="189" spans="1:50" customFormat="1" ht="95.25" customHeight="1" x14ac:dyDescent="0.25">
      <c r="A189" s="492"/>
      <c r="B189" s="687" t="s">
        <v>778</v>
      </c>
      <c r="C189" s="687"/>
      <c r="D189" s="687"/>
      <c r="E189" s="687"/>
      <c r="F189" s="687"/>
      <c r="G189" s="687" t="s">
        <v>812</v>
      </c>
      <c r="H189" s="687"/>
      <c r="I189" s="687"/>
      <c r="J189" s="687"/>
      <c r="K189" s="687" t="s">
        <v>15</v>
      </c>
      <c r="L189" s="687"/>
      <c r="M189" s="687"/>
      <c r="N189" s="687"/>
      <c r="O189" s="687"/>
      <c r="P189" s="687"/>
      <c r="Q189" s="494"/>
      <c r="R189" s="494"/>
      <c r="S189" s="494"/>
      <c r="T189" s="494"/>
      <c r="U189" s="494"/>
      <c r="V189" s="494"/>
      <c r="W189" s="494"/>
      <c r="X189" s="494"/>
      <c r="Y189" s="494"/>
      <c r="Z189" s="494"/>
      <c r="AA189" s="494"/>
      <c r="AB189" s="494"/>
      <c r="AC189" s="494"/>
      <c r="AD189" s="494"/>
      <c r="AE189" s="494"/>
      <c r="AF189" s="494"/>
      <c r="AG189" s="494"/>
      <c r="AH189" s="494"/>
      <c r="AI189" s="494"/>
      <c r="AJ189" s="494"/>
      <c r="AK189" s="494"/>
      <c r="AL189" s="494"/>
      <c r="AM189" s="494"/>
      <c r="AN189" s="494"/>
      <c r="AO189" s="494"/>
      <c r="AP189" s="494"/>
      <c r="AQ189" s="494"/>
      <c r="AR189" s="494"/>
      <c r="AS189" s="494"/>
      <c r="AT189" s="494"/>
      <c r="AU189" s="494"/>
      <c r="AV189" s="494"/>
      <c r="AW189" s="494"/>
      <c r="AX189" s="494"/>
    </row>
    <row r="190" spans="1:50" customFormat="1" ht="27.2" customHeight="1" x14ac:dyDescent="0.25">
      <c r="A190" s="492"/>
      <c r="B190" s="687" t="s">
        <v>793</v>
      </c>
      <c r="C190" s="687"/>
      <c r="D190" s="687"/>
      <c r="E190" s="687"/>
      <c r="F190" s="687"/>
      <c r="G190" s="687" t="s">
        <v>2253</v>
      </c>
      <c r="H190" s="687"/>
      <c r="I190" s="687"/>
      <c r="J190" s="687"/>
      <c r="K190" s="687" t="s">
        <v>15</v>
      </c>
      <c r="L190" s="687"/>
      <c r="M190" s="687"/>
      <c r="N190" s="687"/>
      <c r="O190" s="687"/>
      <c r="P190" s="687"/>
      <c r="Q190" s="494"/>
      <c r="R190" s="494"/>
      <c r="S190" s="494"/>
      <c r="T190" s="494"/>
      <c r="U190" s="494"/>
      <c r="V190" s="494"/>
      <c r="W190" s="494"/>
      <c r="X190" s="494"/>
      <c r="Y190" s="494"/>
      <c r="Z190" s="494"/>
      <c r="AA190" s="494"/>
      <c r="AB190" s="494"/>
      <c r="AC190" s="494"/>
      <c r="AD190" s="494"/>
      <c r="AE190" s="494"/>
      <c r="AF190" s="494"/>
      <c r="AG190" s="494"/>
      <c r="AH190" s="494"/>
      <c r="AI190" s="494"/>
      <c r="AJ190" s="494"/>
      <c r="AK190" s="494"/>
      <c r="AL190" s="494"/>
      <c r="AM190" s="494"/>
      <c r="AN190" s="494"/>
      <c r="AO190" s="494"/>
      <c r="AP190" s="494"/>
      <c r="AQ190" s="494"/>
      <c r="AR190" s="494"/>
      <c r="AS190" s="494"/>
      <c r="AT190" s="494"/>
      <c r="AU190" s="494"/>
      <c r="AV190" s="494"/>
      <c r="AW190" s="494"/>
      <c r="AX190" s="494"/>
    </row>
    <row r="191" spans="1:50" customFormat="1" x14ac:dyDescent="0.25">
      <c r="A191" s="690" t="s">
        <v>813</v>
      </c>
      <c r="B191" s="690"/>
      <c r="C191" s="690"/>
      <c r="D191" s="690"/>
      <c r="E191" s="690"/>
      <c r="F191" s="690"/>
      <c r="G191" s="690"/>
      <c r="H191" s="690"/>
      <c r="I191" s="690"/>
      <c r="J191" s="690"/>
      <c r="K191" s="690"/>
      <c r="L191" s="690"/>
      <c r="M191" s="690"/>
      <c r="N191" s="690"/>
      <c r="O191" s="690"/>
      <c r="P191" s="690"/>
      <c r="Q191" s="494"/>
      <c r="R191" s="494"/>
      <c r="S191" s="494"/>
      <c r="T191" s="494"/>
      <c r="U191" s="494"/>
      <c r="V191" s="494"/>
      <c r="W191" s="494"/>
      <c r="X191" s="494"/>
      <c r="Y191" s="494"/>
      <c r="Z191" s="494"/>
      <c r="AA191" s="494"/>
      <c r="AB191" s="494"/>
      <c r="AC191" s="494"/>
      <c r="AD191" s="494"/>
      <c r="AE191" s="494"/>
      <c r="AF191" s="494"/>
      <c r="AG191" s="494"/>
      <c r="AH191" s="494"/>
      <c r="AI191" s="494"/>
      <c r="AJ191" s="494"/>
      <c r="AK191" s="494"/>
      <c r="AL191" s="494"/>
      <c r="AM191" s="494"/>
      <c r="AN191" s="494"/>
      <c r="AO191" s="494"/>
      <c r="AP191" s="494"/>
      <c r="AQ191" s="494"/>
      <c r="AR191" s="494"/>
      <c r="AS191" s="494"/>
      <c r="AT191" s="494"/>
      <c r="AU191" s="494"/>
      <c r="AV191" s="494"/>
      <c r="AW191" s="494"/>
      <c r="AX191" s="494"/>
    </row>
    <row r="192" spans="1:50" customFormat="1" ht="122.45" customHeight="1" x14ac:dyDescent="0.25">
      <c r="A192" s="495" t="s">
        <v>608</v>
      </c>
      <c r="B192" s="692" t="s">
        <v>814</v>
      </c>
      <c r="C192" s="693"/>
      <c r="D192" s="693"/>
      <c r="E192" s="693"/>
      <c r="F192" s="693"/>
      <c r="G192" s="693" t="s">
        <v>815</v>
      </c>
      <c r="H192" s="693"/>
      <c r="I192" s="693"/>
      <c r="J192" s="693"/>
      <c r="K192" s="693" t="s">
        <v>2277</v>
      </c>
      <c r="L192" s="693"/>
      <c r="M192" s="693"/>
      <c r="N192" s="693"/>
      <c r="O192" s="694">
        <f>ROUND((212100 + 3310 * (0.4 * 30 + 0.6 * (30 / 2))) * 1 * 0.1 * 1.56 * 0.6 * 0.7, 2)</f>
        <v>18451.09</v>
      </c>
      <c r="P192" s="693"/>
      <c r="Q192" s="494"/>
      <c r="R192" s="494"/>
      <c r="S192" s="494"/>
      <c r="T192" s="494"/>
      <c r="U192" s="494"/>
      <c r="V192" s="494"/>
      <c r="W192" s="494"/>
      <c r="X192" s="494"/>
      <c r="Y192" s="494"/>
      <c r="Z192" s="494"/>
      <c r="AA192" s="494"/>
      <c r="AB192" s="494"/>
      <c r="AC192" s="494"/>
      <c r="AD192" s="494"/>
      <c r="AE192" s="494"/>
      <c r="AF192" s="494"/>
      <c r="AG192" s="494"/>
      <c r="AH192" s="494"/>
      <c r="AI192" s="494"/>
      <c r="AJ192" s="494"/>
      <c r="AK192" s="494"/>
      <c r="AL192" s="494"/>
      <c r="AM192" s="494"/>
      <c r="AN192" s="494"/>
      <c r="AO192" s="494"/>
      <c r="AP192" s="494"/>
      <c r="AQ192" s="494"/>
      <c r="AR192" s="494"/>
      <c r="AS192" s="494"/>
      <c r="AT192" s="494"/>
      <c r="AU192" s="494"/>
      <c r="AV192" s="494"/>
      <c r="AW192" s="494"/>
      <c r="AX192" s="494"/>
    </row>
    <row r="193" spans="1:50" customFormat="1" x14ac:dyDescent="0.25">
      <c r="A193" s="496"/>
      <c r="B193" s="695" t="s">
        <v>564</v>
      </c>
      <c r="C193" s="695"/>
      <c r="D193" s="695"/>
      <c r="E193" s="695"/>
      <c r="F193" s="695"/>
      <c r="G193" s="695" t="s">
        <v>15</v>
      </c>
      <c r="H193" s="695"/>
      <c r="I193" s="695"/>
      <c r="J193" s="695"/>
      <c r="K193" s="695" t="s">
        <v>15</v>
      </c>
      <c r="L193" s="695"/>
      <c r="M193" s="695"/>
      <c r="N193" s="695"/>
      <c r="O193" s="695"/>
      <c r="P193" s="695"/>
      <c r="Q193" s="494"/>
      <c r="R193" s="494"/>
      <c r="S193" s="494"/>
      <c r="T193" s="494"/>
      <c r="U193" s="494"/>
      <c r="V193" s="494"/>
      <c r="W193" s="494"/>
      <c r="X193" s="494"/>
      <c r="Y193" s="494"/>
      <c r="Z193" s="494"/>
      <c r="AA193" s="494"/>
      <c r="AB193" s="494"/>
      <c r="AC193" s="494"/>
      <c r="AD193" s="494"/>
      <c r="AE193" s="494"/>
      <c r="AF193" s="494"/>
      <c r="AG193" s="494"/>
      <c r="AH193" s="494"/>
      <c r="AI193" s="494"/>
      <c r="AJ193" s="494"/>
      <c r="AK193" s="494"/>
      <c r="AL193" s="494"/>
      <c r="AM193" s="494"/>
      <c r="AN193" s="494"/>
      <c r="AO193" s="494"/>
      <c r="AP193" s="494"/>
      <c r="AQ193" s="494"/>
      <c r="AR193" s="494"/>
      <c r="AS193" s="494"/>
      <c r="AT193" s="494"/>
      <c r="AU193" s="494"/>
      <c r="AV193" s="494"/>
      <c r="AW193" s="494"/>
      <c r="AX193" s="494"/>
    </row>
    <row r="194" spans="1:50" customFormat="1" x14ac:dyDescent="0.25">
      <c r="A194" s="492"/>
      <c r="B194" s="687" t="s">
        <v>681</v>
      </c>
      <c r="C194" s="687"/>
      <c r="D194" s="687"/>
      <c r="E194" s="687"/>
      <c r="F194" s="687"/>
      <c r="G194" s="687" t="s">
        <v>682</v>
      </c>
      <c r="H194" s="687"/>
      <c r="I194" s="687"/>
      <c r="J194" s="687"/>
      <c r="K194" s="687" t="s">
        <v>15</v>
      </c>
      <c r="L194" s="687"/>
      <c r="M194" s="687"/>
      <c r="N194" s="687"/>
      <c r="O194" s="687"/>
      <c r="P194" s="687"/>
      <c r="Q194" s="494"/>
      <c r="R194" s="494"/>
      <c r="S194" s="494"/>
      <c r="T194" s="494"/>
      <c r="U194" s="494"/>
      <c r="V194" s="494"/>
      <c r="W194" s="494"/>
      <c r="X194" s="494"/>
      <c r="Y194" s="494"/>
      <c r="Z194" s="494"/>
      <c r="AA194" s="494"/>
      <c r="AB194" s="494"/>
      <c r="AC194" s="494"/>
      <c r="AD194" s="494"/>
      <c r="AE194" s="494"/>
      <c r="AF194" s="494"/>
      <c r="AG194" s="494"/>
      <c r="AH194" s="494"/>
      <c r="AI194" s="494"/>
      <c r="AJ194" s="494"/>
      <c r="AK194" s="494"/>
      <c r="AL194" s="494"/>
      <c r="AM194" s="494"/>
      <c r="AN194" s="494"/>
      <c r="AO194" s="494"/>
      <c r="AP194" s="494"/>
      <c r="AQ194" s="494"/>
      <c r="AR194" s="494"/>
      <c r="AS194" s="494"/>
      <c r="AT194" s="494"/>
      <c r="AU194" s="494"/>
      <c r="AV194" s="494"/>
      <c r="AW194" s="494"/>
      <c r="AX194" s="494"/>
    </row>
    <row r="195" spans="1:50" customFormat="1" ht="40.9" customHeight="1" x14ac:dyDescent="0.25">
      <c r="A195" s="492"/>
      <c r="B195" s="687" t="s">
        <v>683</v>
      </c>
      <c r="C195" s="687"/>
      <c r="D195" s="687"/>
      <c r="E195" s="687"/>
      <c r="F195" s="687"/>
      <c r="G195" s="687" t="s">
        <v>684</v>
      </c>
      <c r="H195" s="687"/>
      <c r="I195" s="687"/>
      <c r="J195" s="687"/>
      <c r="K195" s="687" t="s">
        <v>15</v>
      </c>
      <c r="L195" s="687"/>
      <c r="M195" s="687"/>
      <c r="N195" s="687"/>
      <c r="O195" s="687"/>
      <c r="P195" s="687"/>
      <c r="Q195" s="494"/>
      <c r="R195" s="494"/>
      <c r="S195" s="494"/>
      <c r="T195" s="494"/>
      <c r="U195" s="494"/>
      <c r="V195" s="494"/>
      <c r="W195" s="494"/>
      <c r="X195" s="494"/>
      <c r="Y195" s="494"/>
      <c r="Z195" s="494"/>
      <c r="AA195" s="494"/>
      <c r="AB195" s="494"/>
      <c r="AC195" s="494"/>
      <c r="AD195" s="494"/>
      <c r="AE195" s="494"/>
      <c r="AF195" s="494"/>
      <c r="AG195" s="494"/>
      <c r="AH195" s="494"/>
      <c r="AI195" s="494"/>
      <c r="AJ195" s="494"/>
      <c r="AK195" s="494"/>
      <c r="AL195" s="494"/>
      <c r="AM195" s="494"/>
      <c r="AN195" s="494"/>
      <c r="AO195" s="494"/>
      <c r="AP195" s="494"/>
      <c r="AQ195" s="494"/>
      <c r="AR195" s="494"/>
      <c r="AS195" s="494"/>
      <c r="AT195" s="494"/>
      <c r="AU195" s="494"/>
      <c r="AV195" s="494"/>
      <c r="AW195" s="494"/>
      <c r="AX195" s="494"/>
    </row>
    <row r="196" spans="1:50" customFormat="1" ht="95.25" customHeight="1" x14ac:dyDescent="0.25">
      <c r="A196" s="492"/>
      <c r="B196" s="687" t="s">
        <v>778</v>
      </c>
      <c r="C196" s="687"/>
      <c r="D196" s="687"/>
      <c r="E196" s="687"/>
      <c r="F196" s="687"/>
      <c r="G196" s="687" t="s">
        <v>779</v>
      </c>
      <c r="H196" s="687"/>
      <c r="I196" s="687"/>
      <c r="J196" s="687"/>
      <c r="K196" s="687" t="s">
        <v>15</v>
      </c>
      <c r="L196" s="687"/>
      <c r="M196" s="687"/>
      <c r="N196" s="687"/>
      <c r="O196" s="687"/>
      <c r="P196" s="687"/>
      <c r="Q196" s="494"/>
      <c r="R196" s="494"/>
      <c r="S196" s="494"/>
      <c r="T196" s="494"/>
      <c r="U196" s="494"/>
      <c r="V196" s="494"/>
      <c r="W196" s="494"/>
      <c r="X196" s="494"/>
      <c r="Y196" s="494"/>
      <c r="Z196" s="494"/>
      <c r="AA196" s="494"/>
      <c r="AB196" s="494"/>
      <c r="AC196" s="494"/>
      <c r="AD196" s="494"/>
      <c r="AE196" s="494"/>
      <c r="AF196" s="494"/>
      <c r="AG196" s="494"/>
      <c r="AH196" s="494"/>
      <c r="AI196" s="494"/>
      <c r="AJ196" s="494"/>
      <c r="AK196" s="494"/>
      <c r="AL196" s="494"/>
      <c r="AM196" s="494"/>
      <c r="AN196" s="494"/>
      <c r="AO196" s="494"/>
      <c r="AP196" s="494"/>
      <c r="AQ196" s="494"/>
      <c r="AR196" s="494"/>
      <c r="AS196" s="494"/>
      <c r="AT196" s="494"/>
      <c r="AU196" s="494"/>
      <c r="AV196" s="494"/>
      <c r="AW196" s="494"/>
      <c r="AX196" s="494"/>
    </row>
    <row r="197" spans="1:50" customFormat="1" ht="27.2" customHeight="1" x14ac:dyDescent="0.25">
      <c r="A197" s="492"/>
      <c r="B197" s="687" t="s">
        <v>793</v>
      </c>
      <c r="C197" s="687"/>
      <c r="D197" s="687"/>
      <c r="E197" s="687"/>
      <c r="F197" s="687"/>
      <c r="G197" s="687" t="s">
        <v>2253</v>
      </c>
      <c r="H197" s="687"/>
      <c r="I197" s="687"/>
      <c r="J197" s="687"/>
      <c r="K197" s="687" t="s">
        <v>15</v>
      </c>
      <c r="L197" s="687"/>
      <c r="M197" s="687"/>
      <c r="N197" s="687"/>
      <c r="O197" s="687"/>
      <c r="P197" s="687"/>
      <c r="Q197" s="494"/>
      <c r="R197" s="494"/>
      <c r="S197" s="494"/>
      <c r="T197" s="494"/>
      <c r="U197" s="494"/>
      <c r="V197" s="494"/>
      <c r="W197" s="494"/>
      <c r="X197" s="494"/>
      <c r="Y197" s="494"/>
      <c r="Z197" s="494"/>
      <c r="AA197" s="494"/>
      <c r="AB197" s="494"/>
      <c r="AC197" s="494"/>
      <c r="AD197" s="494"/>
      <c r="AE197" s="494"/>
      <c r="AF197" s="494"/>
      <c r="AG197" s="494"/>
      <c r="AH197" s="494"/>
      <c r="AI197" s="494"/>
      <c r="AJ197" s="494"/>
      <c r="AK197" s="494"/>
      <c r="AL197" s="494"/>
      <c r="AM197" s="494"/>
      <c r="AN197" s="494"/>
      <c r="AO197" s="494"/>
      <c r="AP197" s="494"/>
      <c r="AQ197" s="494"/>
      <c r="AR197" s="494"/>
      <c r="AS197" s="494"/>
      <c r="AT197" s="494"/>
      <c r="AU197" s="494"/>
      <c r="AV197" s="494"/>
      <c r="AW197" s="494"/>
      <c r="AX197" s="494"/>
    </row>
    <row r="198" spans="1:50" customFormat="1" ht="27.2" customHeight="1" x14ac:dyDescent="0.25">
      <c r="A198" s="690" t="s">
        <v>816</v>
      </c>
      <c r="B198" s="690"/>
      <c r="C198" s="690"/>
      <c r="D198" s="690"/>
      <c r="E198" s="690"/>
      <c r="F198" s="690"/>
      <c r="G198" s="690"/>
      <c r="H198" s="690"/>
      <c r="I198" s="690"/>
      <c r="J198" s="690"/>
      <c r="K198" s="690"/>
      <c r="L198" s="690"/>
      <c r="M198" s="690"/>
      <c r="N198" s="690"/>
      <c r="O198" s="690"/>
      <c r="P198" s="690"/>
      <c r="Q198" s="494"/>
      <c r="R198" s="494"/>
      <c r="S198" s="494"/>
      <c r="T198" s="494"/>
      <c r="U198" s="494"/>
      <c r="V198" s="494"/>
      <c r="W198" s="494"/>
      <c r="X198" s="494"/>
      <c r="Y198" s="494"/>
      <c r="Z198" s="494"/>
      <c r="AA198" s="494"/>
      <c r="AB198" s="494"/>
      <c r="AC198" s="494"/>
      <c r="AD198" s="494"/>
      <c r="AE198" s="494"/>
      <c r="AF198" s="494"/>
      <c r="AG198" s="494"/>
      <c r="AH198" s="494"/>
      <c r="AI198" s="494"/>
      <c r="AJ198" s="494"/>
      <c r="AK198" s="494"/>
      <c r="AL198" s="494"/>
      <c r="AM198" s="494"/>
      <c r="AN198" s="494"/>
      <c r="AO198" s="494"/>
      <c r="AP198" s="494"/>
      <c r="AQ198" s="494"/>
      <c r="AR198" s="494"/>
      <c r="AS198" s="494"/>
      <c r="AT198" s="494"/>
      <c r="AU198" s="494"/>
      <c r="AV198" s="494"/>
      <c r="AW198" s="494"/>
      <c r="AX198" s="494"/>
    </row>
    <row r="199" spans="1:50" customFormat="1" x14ac:dyDescent="0.25">
      <c r="A199" s="690" t="s">
        <v>817</v>
      </c>
      <c r="B199" s="690"/>
      <c r="C199" s="690"/>
      <c r="D199" s="690"/>
      <c r="E199" s="690"/>
      <c r="F199" s="690"/>
      <c r="G199" s="690"/>
      <c r="H199" s="690"/>
      <c r="I199" s="690"/>
      <c r="J199" s="690"/>
      <c r="K199" s="690"/>
      <c r="L199" s="690"/>
      <c r="M199" s="690"/>
      <c r="N199" s="690"/>
      <c r="O199" s="690"/>
      <c r="P199" s="690"/>
      <c r="Q199" s="494"/>
      <c r="R199" s="494"/>
      <c r="S199" s="494"/>
      <c r="T199" s="494"/>
      <c r="U199" s="494"/>
      <c r="V199" s="494"/>
      <c r="W199" s="494"/>
      <c r="X199" s="494"/>
      <c r="Y199" s="494"/>
      <c r="Z199" s="494"/>
      <c r="AA199" s="494"/>
      <c r="AB199" s="494"/>
      <c r="AC199" s="494"/>
      <c r="AD199" s="494"/>
      <c r="AE199" s="494"/>
      <c r="AF199" s="494"/>
      <c r="AG199" s="494"/>
      <c r="AH199" s="494"/>
      <c r="AI199" s="494"/>
      <c r="AJ199" s="494"/>
      <c r="AK199" s="494"/>
      <c r="AL199" s="494"/>
      <c r="AM199" s="494"/>
      <c r="AN199" s="494"/>
      <c r="AO199" s="494"/>
      <c r="AP199" s="494"/>
      <c r="AQ199" s="494"/>
      <c r="AR199" s="494"/>
      <c r="AS199" s="494"/>
      <c r="AT199" s="494"/>
      <c r="AU199" s="494"/>
      <c r="AV199" s="494"/>
      <c r="AW199" s="494"/>
      <c r="AX199" s="494"/>
    </row>
    <row r="200" spans="1:50" customFormat="1" ht="135.94999999999999" customHeight="1" x14ac:dyDescent="0.25">
      <c r="A200" s="495" t="s">
        <v>609</v>
      </c>
      <c r="B200" s="692" t="s">
        <v>818</v>
      </c>
      <c r="C200" s="693"/>
      <c r="D200" s="693"/>
      <c r="E200" s="693"/>
      <c r="F200" s="693"/>
      <c r="G200" s="693" t="s">
        <v>819</v>
      </c>
      <c r="H200" s="693"/>
      <c r="I200" s="693"/>
      <c r="J200" s="693"/>
      <c r="K200" s="693" t="s">
        <v>820</v>
      </c>
      <c r="L200" s="693"/>
      <c r="M200" s="693"/>
      <c r="N200" s="693"/>
      <c r="O200" s="694">
        <f>ROUND((405100 + 7360 * (0.4 * 60 + 0.6 * 81.84)) * 1 * 1.56 * 0.6, 2)</f>
        <v>882784.13</v>
      </c>
      <c r="P200" s="693"/>
      <c r="Q200" s="494"/>
      <c r="R200" s="494"/>
      <c r="S200" s="494"/>
      <c r="T200" s="494"/>
      <c r="U200" s="494"/>
      <c r="V200" s="494"/>
      <c r="W200" s="494"/>
      <c r="X200" s="494"/>
      <c r="Y200" s="494"/>
      <c r="Z200" s="494"/>
      <c r="AA200" s="494"/>
      <c r="AB200" s="494"/>
      <c r="AC200" s="494"/>
      <c r="AD200" s="494"/>
      <c r="AE200" s="494"/>
      <c r="AF200" s="494"/>
      <c r="AG200" s="494"/>
      <c r="AH200" s="494"/>
      <c r="AI200" s="494"/>
      <c r="AJ200" s="494"/>
      <c r="AK200" s="494"/>
      <c r="AL200" s="494"/>
      <c r="AM200" s="494"/>
      <c r="AN200" s="494"/>
      <c r="AO200" s="494"/>
      <c r="AP200" s="494"/>
      <c r="AQ200" s="494"/>
      <c r="AR200" s="494"/>
      <c r="AS200" s="494"/>
      <c r="AT200" s="494"/>
      <c r="AU200" s="494"/>
      <c r="AV200" s="494"/>
      <c r="AW200" s="494"/>
      <c r="AX200" s="494"/>
    </row>
    <row r="201" spans="1:50" customFormat="1" x14ac:dyDescent="0.25">
      <c r="A201" s="496"/>
      <c r="B201" s="695" t="s">
        <v>564</v>
      </c>
      <c r="C201" s="695"/>
      <c r="D201" s="695"/>
      <c r="E201" s="695"/>
      <c r="F201" s="695"/>
      <c r="G201" s="695" t="s">
        <v>15</v>
      </c>
      <c r="H201" s="695"/>
      <c r="I201" s="695"/>
      <c r="J201" s="695"/>
      <c r="K201" s="695" t="s">
        <v>15</v>
      </c>
      <c r="L201" s="695"/>
      <c r="M201" s="695"/>
      <c r="N201" s="695"/>
      <c r="O201" s="695"/>
      <c r="P201" s="695"/>
      <c r="Q201" s="494"/>
      <c r="R201" s="494"/>
      <c r="S201" s="494"/>
      <c r="T201" s="494"/>
      <c r="U201" s="494"/>
      <c r="V201" s="494"/>
      <c r="W201" s="494"/>
      <c r="X201" s="494"/>
      <c r="Y201" s="494"/>
      <c r="Z201" s="494"/>
      <c r="AA201" s="494"/>
      <c r="AB201" s="494"/>
      <c r="AC201" s="494"/>
      <c r="AD201" s="494"/>
      <c r="AE201" s="494"/>
      <c r="AF201" s="494"/>
      <c r="AG201" s="494"/>
      <c r="AH201" s="494"/>
      <c r="AI201" s="494"/>
      <c r="AJ201" s="494"/>
      <c r="AK201" s="494"/>
      <c r="AL201" s="494"/>
      <c r="AM201" s="494"/>
      <c r="AN201" s="494"/>
      <c r="AO201" s="494"/>
      <c r="AP201" s="494"/>
      <c r="AQ201" s="494"/>
      <c r="AR201" s="494"/>
      <c r="AS201" s="494"/>
      <c r="AT201" s="494"/>
      <c r="AU201" s="494"/>
      <c r="AV201" s="494"/>
      <c r="AW201" s="494"/>
      <c r="AX201" s="494"/>
    </row>
    <row r="202" spans="1:50" customFormat="1" x14ac:dyDescent="0.25">
      <c r="A202" s="492"/>
      <c r="B202" s="687" t="s">
        <v>681</v>
      </c>
      <c r="C202" s="687"/>
      <c r="D202" s="687"/>
      <c r="E202" s="687"/>
      <c r="F202" s="687"/>
      <c r="G202" s="687" t="s">
        <v>682</v>
      </c>
      <c r="H202" s="687"/>
      <c r="I202" s="687"/>
      <c r="J202" s="687"/>
      <c r="K202" s="687" t="s">
        <v>15</v>
      </c>
      <c r="L202" s="687"/>
      <c r="M202" s="687"/>
      <c r="N202" s="687"/>
      <c r="O202" s="687"/>
      <c r="P202" s="687"/>
      <c r="Q202" s="494"/>
      <c r="R202" s="494"/>
      <c r="S202" s="494"/>
      <c r="T202" s="494"/>
      <c r="U202" s="494"/>
      <c r="V202" s="494"/>
      <c r="W202" s="494"/>
      <c r="X202" s="494"/>
      <c r="Y202" s="494"/>
      <c r="Z202" s="494"/>
      <c r="AA202" s="494"/>
      <c r="AB202" s="494"/>
      <c r="AC202" s="494"/>
      <c r="AD202" s="494"/>
      <c r="AE202" s="494"/>
      <c r="AF202" s="494"/>
      <c r="AG202" s="494"/>
      <c r="AH202" s="494"/>
      <c r="AI202" s="494"/>
      <c r="AJ202" s="494"/>
      <c r="AK202" s="494"/>
      <c r="AL202" s="494"/>
      <c r="AM202" s="494"/>
      <c r="AN202" s="494"/>
      <c r="AO202" s="494"/>
      <c r="AP202" s="494"/>
      <c r="AQ202" s="494"/>
      <c r="AR202" s="494"/>
      <c r="AS202" s="494"/>
      <c r="AT202" s="494"/>
      <c r="AU202" s="494"/>
      <c r="AV202" s="494"/>
      <c r="AW202" s="494"/>
      <c r="AX202" s="494"/>
    </row>
    <row r="203" spans="1:50" customFormat="1" ht="40.9" customHeight="1" x14ac:dyDescent="0.25">
      <c r="A203" s="492"/>
      <c r="B203" s="687" t="s">
        <v>683</v>
      </c>
      <c r="C203" s="687"/>
      <c r="D203" s="687"/>
      <c r="E203" s="687"/>
      <c r="F203" s="687"/>
      <c r="G203" s="687" t="s">
        <v>684</v>
      </c>
      <c r="H203" s="687"/>
      <c r="I203" s="687"/>
      <c r="J203" s="687"/>
      <c r="K203" s="687" t="s">
        <v>15</v>
      </c>
      <c r="L203" s="687"/>
      <c r="M203" s="687"/>
      <c r="N203" s="687"/>
      <c r="O203" s="687"/>
      <c r="P203" s="687"/>
      <c r="Q203" s="494"/>
      <c r="R203" s="494"/>
      <c r="S203" s="494"/>
      <c r="T203" s="494"/>
      <c r="U203" s="494"/>
      <c r="V203" s="494"/>
      <c r="W203" s="494"/>
      <c r="X203" s="494"/>
      <c r="Y203" s="494"/>
      <c r="Z203" s="494"/>
      <c r="AA203" s="494"/>
      <c r="AB203" s="494"/>
      <c r="AC203" s="494"/>
      <c r="AD203" s="494"/>
      <c r="AE203" s="494"/>
      <c r="AF203" s="494"/>
      <c r="AG203" s="494"/>
      <c r="AH203" s="494"/>
      <c r="AI203" s="494"/>
      <c r="AJ203" s="494"/>
      <c r="AK203" s="494"/>
      <c r="AL203" s="494"/>
      <c r="AM203" s="494"/>
      <c r="AN203" s="494"/>
      <c r="AO203" s="494"/>
      <c r="AP203" s="494"/>
      <c r="AQ203" s="494"/>
      <c r="AR203" s="494"/>
      <c r="AS203" s="494"/>
      <c r="AT203" s="494"/>
      <c r="AU203" s="494"/>
      <c r="AV203" s="494"/>
      <c r="AW203" s="494"/>
      <c r="AX203" s="494"/>
    </row>
    <row r="204" spans="1:50" customFormat="1" x14ac:dyDescent="0.25">
      <c r="A204" s="690" t="s">
        <v>821</v>
      </c>
      <c r="B204" s="690"/>
      <c r="C204" s="690"/>
      <c r="D204" s="690"/>
      <c r="E204" s="690"/>
      <c r="F204" s="690"/>
      <c r="G204" s="690"/>
      <c r="H204" s="690"/>
      <c r="I204" s="690"/>
      <c r="J204" s="690"/>
      <c r="K204" s="690"/>
      <c r="L204" s="690"/>
      <c r="M204" s="690"/>
      <c r="N204" s="690"/>
      <c r="O204" s="690"/>
      <c r="P204" s="690"/>
      <c r="Q204" s="494"/>
      <c r="R204" s="494"/>
      <c r="S204" s="494"/>
      <c r="T204" s="494"/>
      <c r="U204" s="494"/>
      <c r="V204" s="494"/>
      <c r="W204" s="494"/>
      <c r="X204" s="494"/>
      <c r="Y204" s="494"/>
      <c r="Z204" s="494"/>
      <c r="AA204" s="494"/>
      <c r="AB204" s="494"/>
      <c r="AC204" s="494"/>
      <c r="AD204" s="494"/>
      <c r="AE204" s="494"/>
      <c r="AF204" s="494"/>
      <c r="AG204" s="494"/>
      <c r="AH204" s="494"/>
      <c r="AI204" s="494"/>
      <c r="AJ204" s="494"/>
      <c r="AK204" s="494"/>
      <c r="AL204" s="494"/>
      <c r="AM204" s="494"/>
      <c r="AN204" s="494"/>
      <c r="AO204" s="494"/>
      <c r="AP204" s="494"/>
      <c r="AQ204" s="494"/>
      <c r="AR204" s="494"/>
      <c r="AS204" s="494"/>
      <c r="AT204" s="494"/>
      <c r="AU204" s="494"/>
      <c r="AV204" s="494"/>
      <c r="AW204" s="494"/>
      <c r="AX204" s="494"/>
    </row>
    <row r="205" spans="1:50" customFormat="1" x14ac:dyDescent="0.25">
      <c r="A205" s="690" t="s">
        <v>822</v>
      </c>
      <c r="B205" s="690"/>
      <c r="C205" s="690"/>
      <c r="D205" s="690"/>
      <c r="E205" s="690"/>
      <c r="F205" s="690"/>
      <c r="G205" s="690"/>
      <c r="H205" s="690"/>
      <c r="I205" s="690"/>
      <c r="J205" s="690"/>
      <c r="K205" s="690"/>
      <c r="L205" s="690"/>
      <c r="M205" s="690"/>
      <c r="N205" s="690"/>
      <c r="O205" s="690"/>
      <c r="P205" s="690"/>
      <c r="Q205" s="494"/>
      <c r="R205" s="494"/>
      <c r="S205" s="494"/>
      <c r="T205" s="494"/>
      <c r="U205" s="494"/>
      <c r="V205" s="494"/>
      <c r="W205" s="494"/>
      <c r="X205" s="494"/>
      <c r="Y205" s="494"/>
      <c r="Z205" s="494"/>
      <c r="AA205" s="494"/>
      <c r="AB205" s="494"/>
      <c r="AC205" s="494"/>
      <c r="AD205" s="494"/>
      <c r="AE205" s="494"/>
      <c r="AF205" s="494"/>
      <c r="AG205" s="494"/>
      <c r="AH205" s="494"/>
      <c r="AI205" s="494"/>
      <c r="AJ205" s="494"/>
      <c r="AK205" s="494"/>
      <c r="AL205" s="494"/>
      <c r="AM205" s="494"/>
      <c r="AN205" s="494"/>
      <c r="AO205" s="494"/>
      <c r="AP205" s="494"/>
      <c r="AQ205" s="494"/>
      <c r="AR205" s="494"/>
      <c r="AS205" s="494"/>
      <c r="AT205" s="494"/>
      <c r="AU205" s="494"/>
      <c r="AV205" s="494"/>
      <c r="AW205" s="494"/>
      <c r="AX205" s="494"/>
    </row>
    <row r="206" spans="1:50" customFormat="1" x14ac:dyDescent="0.25">
      <c r="A206" s="690" t="s">
        <v>823</v>
      </c>
      <c r="B206" s="690"/>
      <c r="C206" s="690"/>
      <c r="D206" s="690"/>
      <c r="E206" s="690"/>
      <c r="F206" s="690"/>
      <c r="G206" s="690"/>
      <c r="H206" s="690"/>
      <c r="I206" s="690"/>
      <c r="J206" s="690"/>
      <c r="K206" s="690"/>
      <c r="L206" s="690"/>
      <c r="M206" s="690"/>
      <c r="N206" s="690"/>
      <c r="O206" s="690"/>
      <c r="P206" s="690"/>
      <c r="Q206" s="494"/>
      <c r="R206" s="494"/>
      <c r="S206" s="494"/>
      <c r="T206" s="494"/>
      <c r="U206" s="494"/>
      <c r="V206" s="494"/>
      <c r="W206" s="494"/>
      <c r="X206" s="494"/>
      <c r="Y206" s="494"/>
      <c r="Z206" s="494"/>
      <c r="AA206" s="494"/>
      <c r="AB206" s="494"/>
      <c r="AC206" s="494"/>
      <c r="AD206" s="494"/>
      <c r="AE206" s="494"/>
      <c r="AF206" s="494"/>
      <c r="AG206" s="494"/>
      <c r="AH206" s="494"/>
      <c r="AI206" s="494"/>
      <c r="AJ206" s="494"/>
      <c r="AK206" s="494"/>
      <c r="AL206" s="494"/>
      <c r="AM206" s="494"/>
      <c r="AN206" s="494"/>
      <c r="AO206" s="494"/>
      <c r="AP206" s="494"/>
      <c r="AQ206" s="494"/>
      <c r="AR206" s="494"/>
      <c r="AS206" s="494"/>
      <c r="AT206" s="494"/>
      <c r="AU206" s="494"/>
      <c r="AV206" s="494"/>
      <c r="AW206" s="494"/>
      <c r="AX206" s="494"/>
    </row>
    <row r="207" spans="1:50" customFormat="1" ht="95.25" customHeight="1" x14ac:dyDescent="0.25">
      <c r="A207" s="495" t="s">
        <v>612</v>
      </c>
      <c r="B207" s="692" t="s">
        <v>800</v>
      </c>
      <c r="C207" s="693"/>
      <c r="D207" s="693"/>
      <c r="E207" s="693"/>
      <c r="F207" s="693"/>
      <c r="G207" s="693" t="s">
        <v>801</v>
      </c>
      <c r="H207" s="693"/>
      <c r="I207" s="693"/>
      <c r="J207" s="693"/>
      <c r="K207" s="693" t="s">
        <v>2264</v>
      </c>
      <c r="L207" s="693"/>
      <c r="M207" s="693"/>
      <c r="N207" s="693"/>
      <c r="O207" s="694">
        <f>ROUND(3998800 * 1 * 1.56 * 0.6 * 0.7, 2)</f>
        <v>2620013.7599999998</v>
      </c>
      <c r="P207" s="693"/>
      <c r="Q207" s="494"/>
      <c r="R207" s="494"/>
      <c r="S207" s="494"/>
      <c r="T207" s="494"/>
      <c r="U207" s="494"/>
      <c r="V207" s="494"/>
      <c r="W207" s="494"/>
      <c r="X207" s="494"/>
      <c r="Y207" s="494"/>
      <c r="Z207" s="494"/>
      <c r="AA207" s="494"/>
      <c r="AB207" s="494"/>
      <c r="AC207" s="494"/>
      <c r="AD207" s="494"/>
      <c r="AE207" s="494"/>
      <c r="AF207" s="494"/>
      <c r="AG207" s="494"/>
      <c r="AH207" s="494"/>
      <c r="AI207" s="494"/>
      <c r="AJ207" s="494"/>
      <c r="AK207" s="494"/>
      <c r="AL207" s="494"/>
      <c r="AM207" s="494"/>
      <c r="AN207" s="494"/>
      <c r="AO207" s="494"/>
      <c r="AP207" s="494"/>
      <c r="AQ207" s="494"/>
      <c r="AR207" s="494"/>
      <c r="AS207" s="494"/>
      <c r="AT207" s="494"/>
      <c r="AU207" s="494"/>
      <c r="AV207" s="494"/>
      <c r="AW207" s="494"/>
      <c r="AX207" s="494"/>
    </row>
    <row r="208" spans="1:50" customFormat="1" x14ac:dyDescent="0.25">
      <c r="A208" s="496"/>
      <c r="B208" s="695" t="s">
        <v>564</v>
      </c>
      <c r="C208" s="695"/>
      <c r="D208" s="695"/>
      <c r="E208" s="695"/>
      <c r="F208" s="695"/>
      <c r="G208" s="695" t="s">
        <v>15</v>
      </c>
      <c r="H208" s="695"/>
      <c r="I208" s="695"/>
      <c r="J208" s="695"/>
      <c r="K208" s="695" t="s">
        <v>15</v>
      </c>
      <c r="L208" s="695"/>
      <c r="M208" s="695"/>
      <c r="N208" s="695"/>
      <c r="O208" s="695"/>
      <c r="P208" s="695"/>
      <c r="Q208" s="494"/>
      <c r="R208" s="494"/>
      <c r="S208" s="494"/>
      <c r="T208" s="494"/>
      <c r="U208" s="494"/>
      <c r="V208" s="494"/>
      <c r="W208" s="494"/>
      <c r="X208" s="494"/>
      <c r="Y208" s="494"/>
      <c r="Z208" s="494"/>
      <c r="AA208" s="494"/>
      <c r="AB208" s="494"/>
      <c r="AC208" s="494"/>
      <c r="AD208" s="494"/>
      <c r="AE208" s="494"/>
      <c r="AF208" s="494"/>
      <c r="AG208" s="494"/>
      <c r="AH208" s="494"/>
      <c r="AI208" s="494"/>
      <c r="AJ208" s="494"/>
      <c r="AK208" s="494"/>
      <c r="AL208" s="494"/>
      <c r="AM208" s="494"/>
      <c r="AN208" s="494"/>
      <c r="AO208" s="494"/>
      <c r="AP208" s="494"/>
      <c r="AQ208" s="494"/>
      <c r="AR208" s="494"/>
      <c r="AS208" s="494"/>
      <c r="AT208" s="494"/>
      <c r="AU208" s="494"/>
      <c r="AV208" s="494"/>
      <c r="AW208" s="494"/>
      <c r="AX208" s="494"/>
    </row>
    <row r="209" spans="1:50" customFormat="1" x14ac:dyDescent="0.25">
      <c r="A209" s="492"/>
      <c r="B209" s="687" t="s">
        <v>681</v>
      </c>
      <c r="C209" s="687"/>
      <c r="D209" s="687"/>
      <c r="E209" s="687"/>
      <c r="F209" s="687"/>
      <c r="G209" s="687" t="s">
        <v>682</v>
      </c>
      <c r="H209" s="687"/>
      <c r="I209" s="687"/>
      <c r="J209" s="687"/>
      <c r="K209" s="687" t="s">
        <v>15</v>
      </c>
      <c r="L209" s="687"/>
      <c r="M209" s="687"/>
      <c r="N209" s="687"/>
      <c r="O209" s="687"/>
      <c r="P209" s="687"/>
      <c r="Q209" s="494"/>
      <c r="R209" s="494"/>
      <c r="S209" s="494"/>
      <c r="T209" s="494"/>
      <c r="U209" s="494"/>
      <c r="V209" s="494"/>
      <c r="W209" s="494"/>
      <c r="X209" s="494"/>
      <c r="Y209" s="494"/>
      <c r="Z209" s="494"/>
      <c r="AA209" s="494"/>
      <c r="AB209" s="494"/>
      <c r="AC209" s="494"/>
      <c r="AD209" s="494"/>
      <c r="AE209" s="494"/>
      <c r="AF209" s="494"/>
      <c r="AG209" s="494"/>
      <c r="AH209" s="494"/>
      <c r="AI209" s="494"/>
      <c r="AJ209" s="494"/>
      <c r="AK209" s="494"/>
      <c r="AL209" s="494"/>
      <c r="AM209" s="494"/>
      <c r="AN209" s="494"/>
      <c r="AO209" s="494"/>
      <c r="AP209" s="494"/>
      <c r="AQ209" s="494"/>
      <c r="AR209" s="494"/>
      <c r="AS209" s="494"/>
      <c r="AT209" s="494"/>
      <c r="AU209" s="494"/>
      <c r="AV209" s="494"/>
      <c r="AW209" s="494"/>
      <c r="AX209" s="494"/>
    </row>
    <row r="210" spans="1:50" customFormat="1" ht="40.9" customHeight="1" x14ac:dyDescent="0.25">
      <c r="A210" s="492"/>
      <c r="B210" s="687" t="s">
        <v>683</v>
      </c>
      <c r="C210" s="687"/>
      <c r="D210" s="687"/>
      <c r="E210" s="687"/>
      <c r="F210" s="687"/>
      <c r="G210" s="687" t="s">
        <v>684</v>
      </c>
      <c r="H210" s="687"/>
      <c r="I210" s="687"/>
      <c r="J210" s="687"/>
      <c r="K210" s="687" t="s">
        <v>15</v>
      </c>
      <c r="L210" s="687"/>
      <c r="M210" s="687"/>
      <c r="N210" s="687"/>
      <c r="O210" s="687"/>
      <c r="P210" s="687"/>
      <c r="Q210" s="494"/>
      <c r="R210" s="494"/>
      <c r="S210" s="494"/>
      <c r="T210" s="494"/>
      <c r="U210" s="494"/>
      <c r="V210" s="494"/>
      <c r="W210" s="494"/>
      <c r="X210" s="494"/>
      <c r="Y210" s="494"/>
      <c r="Z210" s="494"/>
      <c r="AA210" s="494"/>
      <c r="AB210" s="494"/>
      <c r="AC210" s="494"/>
      <c r="AD210" s="494"/>
      <c r="AE210" s="494"/>
      <c r="AF210" s="494"/>
      <c r="AG210" s="494"/>
      <c r="AH210" s="494"/>
      <c r="AI210" s="494"/>
      <c r="AJ210" s="494"/>
      <c r="AK210" s="494"/>
      <c r="AL210" s="494"/>
      <c r="AM210" s="494"/>
      <c r="AN210" s="494"/>
      <c r="AO210" s="494"/>
      <c r="AP210" s="494"/>
      <c r="AQ210" s="494"/>
      <c r="AR210" s="494"/>
      <c r="AS210" s="494"/>
      <c r="AT210" s="494"/>
      <c r="AU210" s="494"/>
      <c r="AV210" s="494"/>
      <c r="AW210" s="494"/>
      <c r="AX210" s="494"/>
    </row>
    <row r="211" spans="1:50" customFormat="1" ht="27.2" customHeight="1" x14ac:dyDescent="0.25">
      <c r="A211" s="492"/>
      <c r="B211" s="687" t="s">
        <v>793</v>
      </c>
      <c r="C211" s="687"/>
      <c r="D211" s="687"/>
      <c r="E211" s="687"/>
      <c r="F211" s="687"/>
      <c r="G211" s="687" t="s">
        <v>2253</v>
      </c>
      <c r="H211" s="687"/>
      <c r="I211" s="687"/>
      <c r="J211" s="687"/>
      <c r="K211" s="687" t="s">
        <v>15</v>
      </c>
      <c r="L211" s="687"/>
      <c r="M211" s="687"/>
      <c r="N211" s="687"/>
      <c r="O211" s="687"/>
      <c r="P211" s="687"/>
      <c r="Q211" s="494"/>
      <c r="R211" s="494"/>
      <c r="S211" s="494"/>
      <c r="T211" s="494"/>
      <c r="U211" s="494"/>
      <c r="V211" s="494"/>
      <c r="W211" s="494"/>
      <c r="X211" s="494"/>
      <c r="Y211" s="494"/>
      <c r="Z211" s="494"/>
      <c r="AA211" s="494"/>
      <c r="AB211" s="494"/>
      <c r="AC211" s="494"/>
      <c r="AD211" s="494"/>
      <c r="AE211" s="494"/>
      <c r="AF211" s="494"/>
      <c r="AG211" s="494"/>
      <c r="AH211" s="494"/>
      <c r="AI211" s="494"/>
      <c r="AJ211" s="494"/>
      <c r="AK211" s="494"/>
      <c r="AL211" s="494"/>
      <c r="AM211" s="494"/>
      <c r="AN211" s="494"/>
      <c r="AO211" s="494"/>
      <c r="AP211" s="494"/>
      <c r="AQ211" s="494"/>
      <c r="AR211" s="494"/>
      <c r="AS211" s="494"/>
      <c r="AT211" s="494"/>
      <c r="AU211" s="494"/>
      <c r="AV211" s="494"/>
      <c r="AW211" s="494"/>
      <c r="AX211" s="494"/>
    </row>
    <row r="212" spans="1:50" customFormat="1" x14ac:dyDescent="0.25">
      <c r="A212" s="690" t="s">
        <v>824</v>
      </c>
      <c r="B212" s="690"/>
      <c r="C212" s="690"/>
      <c r="D212" s="690"/>
      <c r="E212" s="690"/>
      <c r="F212" s="690"/>
      <c r="G212" s="690"/>
      <c r="H212" s="690"/>
      <c r="I212" s="690"/>
      <c r="J212" s="690"/>
      <c r="K212" s="690"/>
      <c r="L212" s="690"/>
      <c r="M212" s="690"/>
      <c r="N212" s="690"/>
      <c r="O212" s="690"/>
      <c r="P212" s="690"/>
      <c r="Q212" s="494"/>
      <c r="R212" s="494"/>
      <c r="S212" s="494"/>
      <c r="T212" s="494"/>
      <c r="U212" s="494"/>
      <c r="V212" s="494"/>
      <c r="W212" s="494"/>
      <c r="X212" s="494"/>
      <c r="Y212" s="494"/>
      <c r="Z212" s="494"/>
      <c r="AA212" s="494"/>
      <c r="AB212" s="494"/>
      <c r="AC212" s="494"/>
      <c r="AD212" s="494"/>
      <c r="AE212" s="494"/>
      <c r="AF212" s="494"/>
      <c r="AG212" s="494"/>
      <c r="AH212" s="494"/>
      <c r="AI212" s="494"/>
      <c r="AJ212" s="494"/>
      <c r="AK212" s="494"/>
      <c r="AL212" s="494"/>
      <c r="AM212" s="494"/>
      <c r="AN212" s="494"/>
      <c r="AO212" s="494"/>
      <c r="AP212" s="494"/>
      <c r="AQ212" s="494"/>
      <c r="AR212" s="494"/>
      <c r="AS212" s="494"/>
      <c r="AT212" s="494"/>
      <c r="AU212" s="494"/>
      <c r="AV212" s="494"/>
      <c r="AW212" s="494"/>
      <c r="AX212" s="494"/>
    </row>
    <row r="213" spans="1:50" customFormat="1" ht="135.94999999999999" customHeight="1" x14ac:dyDescent="0.25">
      <c r="A213" s="495" t="s">
        <v>825</v>
      </c>
      <c r="B213" s="692" t="s">
        <v>826</v>
      </c>
      <c r="C213" s="693"/>
      <c r="D213" s="693"/>
      <c r="E213" s="693"/>
      <c r="F213" s="693"/>
      <c r="G213" s="693" t="s">
        <v>827</v>
      </c>
      <c r="H213" s="693"/>
      <c r="I213" s="693"/>
      <c r="J213" s="693"/>
      <c r="K213" s="693" t="s">
        <v>2282</v>
      </c>
      <c r="L213" s="693"/>
      <c r="M213" s="693"/>
      <c r="N213" s="693"/>
      <c r="O213" s="694">
        <f>ROUND((61900 + 15484 * (0.4 * 1 + 0.6 * 0.5)) * 1 * 1.56 * 0.6 * 0.7, 2)</f>
        <v>47658.46</v>
      </c>
      <c r="P213" s="693"/>
      <c r="Q213" s="494"/>
      <c r="R213" s="494"/>
      <c r="S213" s="494"/>
      <c r="T213" s="494"/>
      <c r="U213" s="494"/>
      <c r="V213" s="494"/>
      <c r="W213" s="494"/>
      <c r="X213" s="494"/>
      <c r="Y213" s="494"/>
      <c r="Z213" s="494"/>
      <c r="AA213" s="494"/>
      <c r="AB213" s="494"/>
      <c r="AC213" s="494"/>
      <c r="AD213" s="494"/>
      <c r="AE213" s="494"/>
      <c r="AF213" s="494"/>
      <c r="AG213" s="494"/>
      <c r="AH213" s="494"/>
      <c r="AI213" s="494"/>
      <c r="AJ213" s="494"/>
      <c r="AK213" s="494"/>
      <c r="AL213" s="494"/>
      <c r="AM213" s="494"/>
      <c r="AN213" s="494"/>
      <c r="AO213" s="494"/>
      <c r="AP213" s="494"/>
      <c r="AQ213" s="494"/>
      <c r="AR213" s="494"/>
      <c r="AS213" s="494"/>
      <c r="AT213" s="494"/>
      <c r="AU213" s="494"/>
      <c r="AV213" s="494"/>
      <c r="AW213" s="494"/>
      <c r="AX213" s="494"/>
    </row>
    <row r="214" spans="1:50" customFormat="1" x14ac:dyDescent="0.25">
      <c r="A214" s="496"/>
      <c r="B214" s="695" t="s">
        <v>564</v>
      </c>
      <c r="C214" s="695"/>
      <c r="D214" s="695"/>
      <c r="E214" s="695"/>
      <c r="F214" s="695"/>
      <c r="G214" s="695" t="s">
        <v>15</v>
      </c>
      <c r="H214" s="695"/>
      <c r="I214" s="695"/>
      <c r="J214" s="695"/>
      <c r="K214" s="695" t="s">
        <v>15</v>
      </c>
      <c r="L214" s="695"/>
      <c r="M214" s="695"/>
      <c r="N214" s="695"/>
      <c r="O214" s="695"/>
      <c r="P214" s="695"/>
      <c r="Q214" s="494"/>
      <c r="R214" s="494"/>
      <c r="S214" s="494"/>
      <c r="T214" s="494"/>
      <c r="U214" s="494"/>
      <c r="V214" s="494"/>
      <c r="W214" s="494"/>
      <c r="X214" s="494"/>
      <c r="Y214" s="494"/>
      <c r="Z214" s="494"/>
      <c r="AA214" s="494"/>
      <c r="AB214" s="494"/>
      <c r="AC214" s="494"/>
      <c r="AD214" s="494"/>
      <c r="AE214" s="494"/>
      <c r="AF214" s="494"/>
      <c r="AG214" s="494"/>
      <c r="AH214" s="494"/>
      <c r="AI214" s="494"/>
      <c r="AJ214" s="494"/>
      <c r="AK214" s="494"/>
      <c r="AL214" s="494"/>
      <c r="AM214" s="494"/>
      <c r="AN214" s="494"/>
      <c r="AO214" s="494"/>
      <c r="AP214" s="494"/>
      <c r="AQ214" s="494"/>
      <c r="AR214" s="494"/>
      <c r="AS214" s="494"/>
      <c r="AT214" s="494"/>
      <c r="AU214" s="494"/>
      <c r="AV214" s="494"/>
      <c r="AW214" s="494"/>
      <c r="AX214" s="494"/>
    </row>
    <row r="215" spans="1:50" customFormat="1" x14ac:dyDescent="0.25">
      <c r="A215" s="492"/>
      <c r="B215" s="687" t="s">
        <v>681</v>
      </c>
      <c r="C215" s="687"/>
      <c r="D215" s="687"/>
      <c r="E215" s="687"/>
      <c r="F215" s="687"/>
      <c r="G215" s="687" t="s">
        <v>682</v>
      </c>
      <c r="H215" s="687"/>
      <c r="I215" s="687"/>
      <c r="J215" s="687"/>
      <c r="K215" s="687" t="s">
        <v>15</v>
      </c>
      <c r="L215" s="687"/>
      <c r="M215" s="687"/>
      <c r="N215" s="687"/>
      <c r="O215" s="687"/>
      <c r="P215" s="687"/>
      <c r="Q215" s="494"/>
      <c r="R215" s="494"/>
      <c r="S215" s="494"/>
      <c r="T215" s="494"/>
      <c r="U215" s="494"/>
      <c r="V215" s="494"/>
      <c r="W215" s="494"/>
      <c r="X215" s="494"/>
      <c r="Y215" s="494"/>
      <c r="Z215" s="494"/>
      <c r="AA215" s="494"/>
      <c r="AB215" s="494"/>
      <c r="AC215" s="494"/>
      <c r="AD215" s="494"/>
      <c r="AE215" s="494"/>
      <c r="AF215" s="494"/>
      <c r="AG215" s="494"/>
      <c r="AH215" s="494"/>
      <c r="AI215" s="494"/>
      <c r="AJ215" s="494"/>
      <c r="AK215" s="494"/>
      <c r="AL215" s="494"/>
      <c r="AM215" s="494"/>
      <c r="AN215" s="494"/>
      <c r="AO215" s="494"/>
      <c r="AP215" s="494"/>
      <c r="AQ215" s="494"/>
      <c r="AR215" s="494"/>
      <c r="AS215" s="494"/>
      <c r="AT215" s="494"/>
      <c r="AU215" s="494"/>
      <c r="AV215" s="494"/>
      <c r="AW215" s="494"/>
      <c r="AX215" s="494"/>
    </row>
    <row r="216" spans="1:50" customFormat="1" ht="40.9" customHeight="1" x14ac:dyDescent="0.25">
      <c r="A216" s="492"/>
      <c r="B216" s="687" t="s">
        <v>683</v>
      </c>
      <c r="C216" s="687"/>
      <c r="D216" s="687"/>
      <c r="E216" s="687"/>
      <c r="F216" s="687"/>
      <c r="G216" s="687" t="s">
        <v>684</v>
      </c>
      <c r="H216" s="687"/>
      <c r="I216" s="687"/>
      <c r="J216" s="687"/>
      <c r="K216" s="687" t="s">
        <v>15</v>
      </c>
      <c r="L216" s="687"/>
      <c r="M216" s="687"/>
      <c r="N216" s="687"/>
      <c r="O216" s="687"/>
      <c r="P216" s="687"/>
      <c r="Q216" s="494"/>
      <c r="R216" s="494"/>
      <c r="S216" s="494"/>
      <c r="T216" s="494"/>
      <c r="U216" s="494"/>
      <c r="V216" s="494"/>
      <c r="W216" s="494"/>
      <c r="X216" s="494"/>
      <c r="Y216" s="494"/>
      <c r="Z216" s="494"/>
      <c r="AA216" s="494"/>
      <c r="AB216" s="494"/>
      <c r="AC216" s="494"/>
      <c r="AD216" s="494"/>
      <c r="AE216" s="494"/>
      <c r="AF216" s="494"/>
      <c r="AG216" s="494"/>
      <c r="AH216" s="494"/>
      <c r="AI216" s="494"/>
      <c r="AJ216" s="494"/>
      <c r="AK216" s="494"/>
      <c r="AL216" s="494"/>
      <c r="AM216" s="494"/>
      <c r="AN216" s="494"/>
      <c r="AO216" s="494"/>
      <c r="AP216" s="494"/>
      <c r="AQ216" s="494"/>
      <c r="AR216" s="494"/>
      <c r="AS216" s="494"/>
      <c r="AT216" s="494"/>
      <c r="AU216" s="494"/>
      <c r="AV216" s="494"/>
      <c r="AW216" s="494"/>
      <c r="AX216" s="494"/>
    </row>
    <row r="217" spans="1:50" customFormat="1" ht="27.2" customHeight="1" x14ac:dyDescent="0.25">
      <c r="A217" s="492"/>
      <c r="B217" s="687" t="s">
        <v>793</v>
      </c>
      <c r="C217" s="687"/>
      <c r="D217" s="687"/>
      <c r="E217" s="687"/>
      <c r="F217" s="687"/>
      <c r="G217" s="687" t="s">
        <v>2253</v>
      </c>
      <c r="H217" s="687"/>
      <c r="I217" s="687"/>
      <c r="J217" s="687"/>
      <c r="K217" s="687" t="s">
        <v>15</v>
      </c>
      <c r="L217" s="687"/>
      <c r="M217" s="687"/>
      <c r="N217" s="687"/>
      <c r="O217" s="687"/>
      <c r="P217" s="687"/>
      <c r="Q217" s="494"/>
      <c r="R217" s="494"/>
      <c r="S217" s="494"/>
      <c r="T217" s="494"/>
      <c r="U217" s="494"/>
      <c r="V217" s="494"/>
      <c r="W217" s="494"/>
      <c r="X217" s="494"/>
      <c r="Y217" s="494"/>
      <c r="Z217" s="494"/>
      <c r="AA217" s="494"/>
      <c r="AB217" s="494"/>
      <c r="AC217" s="494"/>
      <c r="AD217" s="494"/>
      <c r="AE217" s="494"/>
      <c r="AF217" s="494"/>
      <c r="AG217" s="494"/>
      <c r="AH217" s="494"/>
      <c r="AI217" s="494"/>
      <c r="AJ217" s="494"/>
      <c r="AK217" s="494"/>
      <c r="AL217" s="494"/>
      <c r="AM217" s="494"/>
      <c r="AN217" s="494"/>
      <c r="AO217" s="494"/>
      <c r="AP217" s="494"/>
      <c r="AQ217" s="494"/>
      <c r="AR217" s="494"/>
      <c r="AS217" s="494"/>
      <c r="AT217" s="494"/>
      <c r="AU217" s="494"/>
      <c r="AV217" s="494"/>
      <c r="AW217" s="494"/>
      <c r="AX217" s="494"/>
    </row>
    <row r="218" spans="1:50" customFormat="1" x14ac:dyDescent="0.25">
      <c r="A218" s="690" t="s">
        <v>828</v>
      </c>
      <c r="B218" s="690"/>
      <c r="C218" s="690"/>
      <c r="D218" s="690"/>
      <c r="E218" s="690"/>
      <c r="F218" s="690"/>
      <c r="G218" s="690"/>
      <c r="H218" s="690"/>
      <c r="I218" s="690"/>
      <c r="J218" s="690"/>
      <c r="K218" s="690"/>
      <c r="L218" s="690"/>
      <c r="M218" s="690"/>
      <c r="N218" s="690"/>
      <c r="O218" s="690"/>
      <c r="P218" s="690"/>
      <c r="Q218" s="494"/>
      <c r="R218" s="494"/>
      <c r="S218" s="494"/>
      <c r="T218" s="494"/>
      <c r="U218" s="494"/>
      <c r="V218" s="494"/>
      <c r="W218" s="494"/>
      <c r="X218" s="494"/>
      <c r="Y218" s="494"/>
      <c r="Z218" s="494"/>
      <c r="AA218" s="494"/>
      <c r="AB218" s="494"/>
      <c r="AC218" s="494"/>
      <c r="AD218" s="494"/>
      <c r="AE218" s="494"/>
      <c r="AF218" s="494"/>
      <c r="AG218" s="494"/>
      <c r="AH218" s="494"/>
      <c r="AI218" s="494"/>
      <c r="AJ218" s="494"/>
      <c r="AK218" s="494"/>
      <c r="AL218" s="494"/>
      <c r="AM218" s="494"/>
      <c r="AN218" s="494"/>
      <c r="AO218" s="494"/>
      <c r="AP218" s="494"/>
      <c r="AQ218" s="494"/>
      <c r="AR218" s="494"/>
      <c r="AS218" s="494"/>
      <c r="AT218" s="494"/>
      <c r="AU218" s="494"/>
      <c r="AV218" s="494"/>
      <c r="AW218" s="494"/>
      <c r="AX218" s="494"/>
    </row>
    <row r="219" spans="1:50" customFormat="1" ht="135.94999999999999" customHeight="1" x14ac:dyDescent="0.25">
      <c r="A219" s="495" t="s">
        <v>829</v>
      </c>
      <c r="B219" s="692" t="s">
        <v>796</v>
      </c>
      <c r="C219" s="693"/>
      <c r="D219" s="693"/>
      <c r="E219" s="693"/>
      <c r="F219" s="693"/>
      <c r="G219" s="693" t="s">
        <v>830</v>
      </c>
      <c r="H219" s="693"/>
      <c r="I219" s="693"/>
      <c r="J219" s="693"/>
      <c r="K219" s="693" t="s">
        <v>2283</v>
      </c>
      <c r="L219" s="693"/>
      <c r="M219" s="693"/>
      <c r="N219" s="693"/>
      <c r="O219" s="694">
        <f>ROUND((467700 + 398 * (0.4 * 50 + 0.6 * 25)) * 1 * 1.56 * 0.6 * 0.7, 2)</f>
        <v>315563.98</v>
      </c>
      <c r="P219" s="693"/>
      <c r="Q219" s="494"/>
      <c r="R219" s="494"/>
      <c r="S219" s="494"/>
      <c r="T219" s="494"/>
      <c r="U219" s="494"/>
      <c r="V219" s="494"/>
      <c r="W219" s="494"/>
      <c r="X219" s="494"/>
      <c r="Y219" s="494"/>
      <c r="Z219" s="494"/>
      <c r="AA219" s="494"/>
      <c r="AB219" s="494"/>
      <c r="AC219" s="494"/>
      <c r="AD219" s="494"/>
      <c r="AE219" s="494"/>
      <c r="AF219" s="494"/>
      <c r="AG219" s="494"/>
      <c r="AH219" s="494"/>
      <c r="AI219" s="494"/>
      <c r="AJ219" s="494"/>
      <c r="AK219" s="494"/>
      <c r="AL219" s="494"/>
      <c r="AM219" s="494"/>
      <c r="AN219" s="494"/>
      <c r="AO219" s="494"/>
      <c r="AP219" s="494"/>
      <c r="AQ219" s="494"/>
      <c r="AR219" s="494"/>
      <c r="AS219" s="494"/>
      <c r="AT219" s="494"/>
      <c r="AU219" s="494"/>
      <c r="AV219" s="494"/>
      <c r="AW219" s="494"/>
      <c r="AX219" s="494"/>
    </row>
    <row r="220" spans="1:50" customFormat="1" x14ac:dyDescent="0.25">
      <c r="A220" s="496"/>
      <c r="B220" s="695" t="s">
        <v>564</v>
      </c>
      <c r="C220" s="695"/>
      <c r="D220" s="695"/>
      <c r="E220" s="695"/>
      <c r="F220" s="695"/>
      <c r="G220" s="695" t="s">
        <v>15</v>
      </c>
      <c r="H220" s="695"/>
      <c r="I220" s="695"/>
      <c r="J220" s="695"/>
      <c r="K220" s="695" t="s">
        <v>15</v>
      </c>
      <c r="L220" s="695"/>
      <c r="M220" s="695"/>
      <c r="N220" s="695"/>
      <c r="O220" s="695"/>
      <c r="P220" s="695"/>
      <c r="Q220" s="494"/>
      <c r="R220" s="494"/>
      <c r="S220" s="494"/>
      <c r="T220" s="494"/>
      <c r="U220" s="494"/>
      <c r="V220" s="494"/>
      <c r="W220" s="494"/>
      <c r="X220" s="494"/>
      <c r="Y220" s="494"/>
      <c r="Z220" s="494"/>
      <c r="AA220" s="494"/>
      <c r="AB220" s="494"/>
      <c r="AC220" s="494"/>
      <c r="AD220" s="494"/>
      <c r="AE220" s="494"/>
      <c r="AF220" s="494"/>
      <c r="AG220" s="494"/>
      <c r="AH220" s="494"/>
      <c r="AI220" s="494"/>
      <c r="AJ220" s="494"/>
      <c r="AK220" s="494"/>
      <c r="AL220" s="494"/>
      <c r="AM220" s="494"/>
      <c r="AN220" s="494"/>
      <c r="AO220" s="494"/>
      <c r="AP220" s="494"/>
      <c r="AQ220" s="494"/>
      <c r="AR220" s="494"/>
      <c r="AS220" s="494"/>
      <c r="AT220" s="494"/>
      <c r="AU220" s="494"/>
      <c r="AV220" s="494"/>
      <c r="AW220" s="494"/>
      <c r="AX220" s="494"/>
    </row>
    <row r="221" spans="1:50" customFormat="1" x14ac:dyDescent="0.25">
      <c r="A221" s="492"/>
      <c r="B221" s="687" t="s">
        <v>681</v>
      </c>
      <c r="C221" s="687"/>
      <c r="D221" s="687"/>
      <c r="E221" s="687"/>
      <c r="F221" s="687"/>
      <c r="G221" s="687" t="s">
        <v>682</v>
      </c>
      <c r="H221" s="687"/>
      <c r="I221" s="687"/>
      <c r="J221" s="687"/>
      <c r="K221" s="687" t="s">
        <v>15</v>
      </c>
      <c r="L221" s="687"/>
      <c r="M221" s="687"/>
      <c r="N221" s="687"/>
      <c r="O221" s="687"/>
      <c r="P221" s="687"/>
      <c r="Q221" s="494"/>
      <c r="R221" s="494"/>
      <c r="S221" s="494"/>
      <c r="T221" s="494"/>
      <c r="U221" s="494"/>
      <c r="V221" s="494"/>
      <c r="W221" s="494"/>
      <c r="X221" s="494"/>
      <c r="Y221" s="494"/>
      <c r="Z221" s="494"/>
      <c r="AA221" s="494"/>
      <c r="AB221" s="494"/>
      <c r="AC221" s="494"/>
      <c r="AD221" s="494"/>
      <c r="AE221" s="494"/>
      <c r="AF221" s="494"/>
      <c r="AG221" s="494"/>
      <c r="AH221" s="494"/>
      <c r="AI221" s="494"/>
      <c r="AJ221" s="494"/>
      <c r="AK221" s="494"/>
      <c r="AL221" s="494"/>
      <c r="AM221" s="494"/>
      <c r="AN221" s="494"/>
      <c r="AO221" s="494"/>
      <c r="AP221" s="494"/>
      <c r="AQ221" s="494"/>
      <c r="AR221" s="494"/>
      <c r="AS221" s="494"/>
      <c r="AT221" s="494"/>
      <c r="AU221" s="494"/>
      <c r="AV221" s="494"/>
      <c r="AW221" s="494"/>
      <c r="AX221" s="494"/>
    </row>
    <row r="222" spans="1:50" customFormat="1" ht="40.9" customHeight="1" x14ac:dyDescent="0.25">
      <c r="A222" s="492"/>
      <c r="B222" s="687" t="s">
        <v>683</v>
      </c>
      <c r="C222" s="687"/>
      <c r="D222" s="687"/>
      <c r="E222" s="687"/>
      <c r="F222" s="687"/>
      <c r="G222" s="687" t="s">
        <v>684</v>
      </c>
      <c r="H222" s="687"/>
      <c r="I222" s="687"/>
      <c r="J222" s="687"/>
      <c r="K222" s="687" t="s">
        <v>15</v>
      </c>
      <c r="L222" s="687"/>
      <c r="M222" s="687"/>
      <c r="N222" s="687"/>
      <c r="O222" s="687"/>
      <c r="P222" s="687"/>
      <c r="Q222" s="494"/>
      <c r="R222" s="494"/>
      <c r="S222" s="494"/>
      <c r="T222" s="494"/>
      <c r="U222" s="494"/>
      <c r="V222" s="494"/>
      <c r="W222" s="494"/>
      <c r="X222" s="494"/>
      <c r="Y222" s="494"/>
      <c r="Z222" s="494"/>
      <c r="AA222" s="494"/>
      <c r="AB222" s="494"/>
      <c r="AC222" s="494"/>
      <c r="AD222" s="494"/>
      <c r="AE222" s="494"/>
      <c r="AF222" s="494"/>
      <c r="AG222" s="494"/>
      <c r="AH222" s="494"/>
      <c r="AI222" s="494"/>
      <c r="AJ222" s="494"/>
      <c r="AK222" s="494"/>
      <c r="AL222" s="494"/>
      <c r="AM222" s="494"/>
      <c r="AN222" s="494"/>
      <c r="AO222" s="494"/>
      <c r="AP222" s="494"/>
      <c r="AQ222" s="494"/>
      <c r="AR222" s="494"/>
      <c r="AS222" s="494"/>
      <c r="AT222" s="494"/>
      <c r="AU222" s="494"/>
      <c r="AV222" s="494"/>
      <c r="AW222" s="494"/>
      <c r="AX222" s="494"/>
    </row>
    <row r="223" spans="1:50" customFormat="1" ht="27.2" customHeight="1" x14ac:dyDescent="0.25">
      <c r="A223" s="492"/>
      <c r="B223" s="687" t="s">
        <v>793</v>
      </c>
      <c r="C223" s="687"/>
      <c r="D223" s="687"/>
      <c r="E223" s="687"/>
      <c r="F223" s="687"/>
      <c r="G223" s="687" t="s">
        <v>2253</v>
      </c>
      <c r="H223" s="687"/>
      <c r="I223" s="687"/>
      <c r="J223" s="687"/>
      <c r="K223" s="687" t="s">
        <v>15</v>
      </c>
      <c r="L223" s="687"/>
      <c r="M223" s="687"/>
      <c r="N223" s="687"/>
      <c r="O223" s="687"/>
      <c r="P223" s="687"/>
      <c r="Q223" s="494"/>
      <c r="R223" s="494"/>
      <c r="S223" s="494"/>
      <c r="T223" s="494"/>
      <c r="U223" s="494"/>
      <c r="V223" s="494"/>
      <c r="W223" s="494"/>
      <c r="X223" s="494"/>
      <c r="Y223" s="494"/>
      <c r="Z223" s="494"/>
      <c r="AA223" s="494"/>
      <c r="AB223" s="494"/>
      <c r="AC223" s="494"/>
      <c r="AD223" s="494"/>
      <c r="AE223" s="494"/>
      <c r="AF223" s="494"/>
      <c r="AG223" s="494"/>
      <c r="AH223" s="494"/>
      <c r="AI223" s="494"/>
      <c r="AJ223" s="494"/>
      <c r="AK223" s="494"/>
      <c r="AL223" s="494"/>
      <c r="AM223" s="494"/>
      <c r="AN223" s="494"/>
      <c r="AO223" s="494"/>
      <c r="AP223" s="494"/>
      <c r="AQ223" s="494"/>
      <c r="AR223" s="494"/>
      <c r="AS223" s="494"/>
      <c r="AT223" s="494"/>
      <c r="AU223" s="494"/>
      <c r="AV223" s="494"/>
      <c r="AW223" s="494"/>
      <c r="AX223" s="494"/>
    </row>
    <row r="224" spans="1:50" customFormat="1" x14ac:dyDescent="0.25">
      <c r="A224" s="690" t="s">
        <v>831</v>
      </c>
      <c r="B224" s="690"/>
      <c r="C224" s="690"/>
      <c r="D224" s="690"/>
      <c r="E224" s="690"/>
      <c r="F224" s="690"/>
      <c r="G224" s="690"/>
      <c r="H224" s="690"/>
      <c r="I224" s="690"/>
      <c r="J224" s="690"/>
      <c r="K224" s="690"/>
      <c r="L224" s="690"/>
      <c r="M224" s="690"/>
      <c r="N224" s="690"/>
      <c r="O224" s="690"/>
      <c r="P224" s="690"/>
      <c r="Q224" s="494"/>
      <c r="R224" s="494"/>
      <c r="S224" s="494"/>
      <c r="T224" s="494"/>
      <c r="U224" s="494"/>
      <c r="V224" s="494"/>
      <c r="W224" s="494"/>
      <c r="X224" s="494"/>
      <c r="Y224" s="494"/>
      <c r="Z224" s="494"/>
      <c r="AA224" s="494"/>
      <c r="AB224" s="494"/>
      <c r="AC224" s="494"/>
      <c r="AD224" s="494"/>
      <c r="AE224" s="494"/>
      <c r="AF224" s="494"/>
      <c r="AG224" s="494"/>
      <c r="AH224" s="494"/>
      <c r="AI224" s="494"/>
      <c r="AJ224" s="494"/>
      <c r="AK224" s="494"/>
      <c r="AL224" s="494"/>
      <c r="AM224" s="494"/>
      <c r="AN224" s="494"/>
      <c r="AO224" s="494"/>
      <c r="AP224" s="494"/>
      <c r="AQ224" s="494"/>
      <c r="AR224" s="494"/>
      <c r="AS224" s="494"/>
      <c r="AT224" s="494"/>
      <c r="AU224" s="494"/>
      <c r="AV224" s="494"/>
      <c r="AW224" s="494"/>
      <c r="AX224" s="494"/>
    </row>
    <row r="225" spans="1:50" customFormat="1" ht="135.94999999999999" customHeight="1" x14ac:dyDescent="0.25">
      <c r="A225" s="495" t="s">
        <v>832</v>
      </c>
      <c r="B225" s="692" t="s">
        <v>796</v>
      </c>
      <c r="C225" s="693"/>
      <c r="D225" s="693"/>
      <c r="E225" s="693"/>
      <c r="F225" s="693"/>
      <c r="G225" s="693" t="s">
        <v>833</v>
      </c>
      <c r="H225" s="693"/>
      <c r="I225" s="693"/>
      <c r="J225" s="693"/>
      <c r="K225" s="693" t="s">
        <v>2284</v>
      </c>
      <c r="L225" s="693"/>
      <c r="M225" s="693"/>
      <c r="N225" s="693"/>
      <c r="O225" s="694">
        <f>ROUND((467700 + 398 * (0.4 * 50 + 0.6 * (50 / 2))) * 1 * 0.12 * 1.56 * 0.6 * 0.7, 2)</f>
        <v>37867.68</v>
      </c>
      <c r="P225" s="693"/>
      <c r="Q225" s="494"/>
      <c r="R225" s="494"/>
      <c r="S225" s="494"/>
      <c r="T225" s="494"/>
      <c r="U225" s="494"/>
      <c r="V225" s="494"/>
      <c r="W225" s="494"/>
      <c r="X225" s="494"/>
      <c r="Y225" s="494"/>
      <c r="Z225" s="494"/>
      <c r="AA225" s="494"/>
      <c r="AB225" s="494"/>
      <c r="AC225" s="494"/>
      <c r="AD225" s="494"/>
      <c r="AE225" s="494"/>
      <c r="AF225" s="494"/>
      <c r="AG225" s="494"/>
      <c r="AH225" s="494"/>
      <c r="AI225" s="494"/>
      <c r="AJ225" s="494"/>
      <c r="AK225" s="494"/>
      <c r="AL225" s="494"/>
      <c r="AM225" s="494"/>
      <c r="AN225" s="494"/>
      <c r="AO225" s="494"/>
      <c r="AP225" s="494"/>
      <c r="AQ225" s="494"/>
      <c r="AR225" s="494"/>
      <c r="AS225" s="494"/>
      <c r="AT225" s="494"/>
      <c r="AU225" s="494"/>
      <c r="AV225" s="494"/>
      <c r="AW225" s="494"/>
      <c r="AX225" s="494"/>
    </row>
    <row r="226" spans="1:50" customFormat="1" x14ac:dyDescent="0.25">
      <c r="A226" s="496"/>
      <c r="B226" s="695" t="s">
        <v>564</v>
      </c>
      <c r="C226" s="695"/>
      <c r="D226" s="695"/>
      <c r="E226" s="695"/>
      <c r="F226" s="695"/>
      <c r="G226" s="695" t="s">
        <v>15</v>
      </c>
      <c r="H226" s="695"/>
      <c r="I226" s="695"/>
      <c r="J226" s="695"/>
      <c r="K226" s="695" t="s">
        <v>15</v>
      </c>
      <c r="L226" s="695"/>
      <c r="M226" s="695"/>
      <c r="N226" s="695"/>
      <c r="O226" s="695"/>
      <c r="P226" s="695"/>
      <c r="Q226" s="494"/>
      <c r="R226" s="494"/>
      <c r="S226" s="494"/>
      <c r="T226" s="494"/>
      <c r="U226" s="494"/>
      <c r="V226" s="494"/>
      <c r="W226" s="494"/>
      <c r="X226" s="494"/>
      <c r="Y226" s="494"/>
      <c r="Z226" s="494"/>
      <c r="AA226" s="494"/>
      <c r="AB226" s="494"/>
      <c r="AC226" s="494"/>
      <c r="AD226" s="494"/>
      <c r="AE226" s="494"/>
      <c r="AF226" s="494"/>
      <c r="AG226" s="494"/>
      <c r="AH226" s="494"/>
      <c r="AI226" s="494"/>
      <c r="AJ226" s="494"/>
      <c r="AK226" s="494"/>
      <c r="AL226" s="494"/>
      <c r="AM226" s="494"/>
      <c r="AN226" s="494"/>
      <c r="AO226" s="494"/>
      <c r="AP226" s="494"/>
      <c r="AQ226" s="494"/>
      <c r="AR226" s="494"/>
      <c r="AS226" s="494"/>
      <c r="AT226" s="494"/>
      <c r="AU226" s="494"/>
      <c r="AV226" s="494"/>
      <c r="AW226" s="494"/>
      <c r="AX226" s="494"/>
    </row>
    <row r="227" spans="1:50" customFormat="1" x14ac:dyDescent="0.25">
      <c r="A227" s="492"/>
      <c r="B227" s="687" t="s">
        <v>681</v>
      </c>
      <c r="C227" s="687"/>
      <c r="D227" s="687"/>
      <c r="E227" s="687"/>
      <c r="F227" s="687"/>
      <c r="G227" s="687" t="s">
        <v>682</v>
      </c>
      <c r="H227" s="687"/>
      <c r="I227" s="687"/>
      <c r="J227" s="687"/>
      <c r="K227" s="687" t="s">
        <v>15</v>
      </c>
      <c r="L227" s="687"/>
      <c r="M227" s="687"/>
      <c r="N227" s="687"/>
      <c r="O227" s="687"/>
      <c r="P227" s="687"/>
      <c r="Q227" s="494"/>
      <c r="R227" s="494"/>
      <c r="S227" s="494"/>
      <c r="T227" s="494"/>
      <c r="U227" s="494"/>
      <c r="V227" s="494"/>
      <c r="W227" s="494"/>
      <c r="X227" s="494"/>
      <c r="Y227" s="494"/>
      <c r="Z227" s="494"/>
      <c r="AA227" s="494"/>
      <c r="AB227" s="494"/>
      <c r="AC227" s="494"/>
      <c r="AD227" s="494"/>
      <c r="AE227" s="494"/>
      <c r="AF227" s="494"/>
      <c r="AG227" s="494"/>
      <c r="AH227" s="494"/>
      <c r="AI227" s="494"/>
      <c r="AJ227" s="494"/>
      <c r="AK227" s="494"/>
      <c r="AL227" s="494"/>
      <c r="AM227" s="494"/>
      <c r="AN227" s="494"/>
      <c r="AO227" s="494"/>
      <c r="AP227" s="494"/>
      <c r="AQ227" s="494"/>
      <c r="AR227" s="494"/>
      <c r="AS227" s="494"/>
      <c r="AT227" s="494"/>
      <c r="AU227" s="494"/>
      <c r="AV227" s="494"/>
      <c r="AW227" s="494"/>
      <c r="AX227" s="494"/>
    </row>
    <row r="228" spans="1:50" customFormat="1" ht="40.9" customHeight="1" x14ac:dyDescent="0.25">
      <c r="A228" s="492"/>
      <c r="B228" s="687" t="s">
        <v>683</v>
      </c>
      <c r="C228" s="687"/>
      <c r="D228" s="687"/>
      <c r="E228" s="687"/>
      <c r="F228" s="687"/>
      <c r="G228" s="687" t="s">
        <v>684</v>
      </c>
      <c r="H228" s="687"/>
      <c r="I228" s="687"/>
      <c r="J228" s="687"/>
      <c r="K228" s="687" t="s">
        <v>15</v>
      </c>
      <c r="L228" s="687"/>
      <c r="M228" s="687"/>
      <c r="N228" s="687"/>
      <c r="O228" s="687"/>
      <c r="P228" s="687"/>
      <c r="Q228" s="494"/>
      <c r="R228" s="494"/>
      <c r="S228" s="494"/>
      <c r="T228" s="494"/>
      <c r="U228" s="494"/>
      <c r="V228" s="494"/>
      <c r="W228" s="494"/>
      <c r="X228" s="494"/>
      <c r="Y228" s="494"/>
      <c r="Z228" s="494"/>
      <c r="AA228" s="494"/>
      <c r="AB228" s="494"/>
      <c r="AC228" s="494"/>
      <c r="AD228" s="494"/>
      <c r="AE228" s="494"/>
      <c r="AF228" s="494"/>
      <c r="AG228" s="494"/>
      <c r="AH228" s="494"/>
      <c r="AI228" s="494"/>
      <c r="AJ228" s="494"/>
      <c r="AK228" s="494"/>
      <c r="AL228" s="494"/>
      <c r="AM228" s="494"/>
      <c r="AN228" s="494"/>
      <c r="AO228" s="494"/>
      <c r="AP228" s="494"/>
      <c r="AQ228" s="494"/>
      <c r="AR228" s="494"/>
      <c r="AS228" s="494"/>
      <c r="AT228" s="494"/>
      <c r="AU228" s="494"/>
      <c r="AV228" s="494"/>
      <c r="AW228" s="494"/>
      <c r="AX228" s="494"/>
    </row>
    <row r="229" spans="1:50" customFormat="1" ht="95.25" customHeight="1" x14ac:dyDescent="0.25">
      <c r="A229" s="492"/>
      <c r="B229" s="687" t="s">
        <v>778</v>
      </c>
      <c r="C229" s="687"/>
      <c r="D229" s="687"/>
      <c r="E229" s="687"/>
      <c r="F229" s="687"/>
      <c r="G229" s="687" t="s">
        <v>834</v>
      </c>
      <c r="H229" s="687"/>
      <c r="I229" s="687"/>
      <c r="J229" s="687"/>
      <c r="K229" s="687" t="s">
        <v>15</v>
      </c>
      <c r="L229" s="687"/>
      <c r="M229" s="687"/>
      <c r="N229" s="687"/>
      <c r="O229" s="687"/>
      <c r="P229" s="687"/>
      <c r="Q229" s="494"/>
      <c r="R229" s="494"/>
      <c r="S229" s="494"/>
      <c r="T229" s="494"/>
      <c r="U229" s="494"/>
      <c r="V229" s="494"/>
      <c r="W229" s="494"/>
      <c r="X229" s="494"/>
      <c r="Y229" s="494"/>
      <c r="Z229" s="494"/>
      <c r="AA229" s="494"/>
      <c r="AB229" s="494"/>
      <c r="AC229" s="494"/>
      <c r="AD229" s="494"/>
      <c r="AE229" s="494"/>
      <c r="AF229" s="494"/>
      <c r="AG229" s="494"/>
      <c r="AH229" s="494"/>
      <c r="AI229" s="494"/>
      <c r="AJ229" s="494"/>
      <c r="AK229" s="494"/>
      <c r="AL229" s="494"/>
      <c r="AM229" s="494"/>
      <c r="AN229" s="494"/>
      <c r="AO229" s="494"/>
      <c r="AP229" s="494"/>
      <c r="AQ229" s="494"/>
      <c r="AR229" s="494"/>
      <c r="AS229" s="494"/>
      <c r="AT229" s="494"/>
      <c r="AU229" s="494"/>
      <c r="AV229" s="494"/>
      <c r="AW229" s="494"/>
      <c r="AX229" s="494"/>
    </row>
    <row r="230" spans="1:50" customFormat="1" ht="27.2" customHeight="1" x14ac:dyDescent="0.25">
      <c r="A230" s="492"/>
      <c r="B230" s="687" t="s">
        <v>793</v>
      </c>
      <c r="C230" s="687"/>
      <c r="D230" s="687"/>
      <c r="E230" s="687"/>
      <c r="F230" s="687"/>
      <c r="G230" s="687" t="s">
        <v>2253</v>
      </c>
      <c r="H230" s="687"/>
      <c r="I230" s="687"/>
      <c r="J230" s="687"/>
      <c r="K230" s="687" t="s">
        <v>15</v>
      </c>
      <c r="L230" s="687"/>
      <c r="M230" s="687"/>
      <c r="N230" s="687"/>
      <c r="O230" s="687"/>
      <c r="P230" s="687"/>
      <c r="Q230" s="494"/>
      <c r="R230" s="494"/>
      <c r="S230" s="494"/>
      <c r="T230" s="494"/>
      <c r="U230" s="494"/>
      <c r="V230" s="494"/>
      <c r="W230" s="494"/>
      <c r="X230" s="494"/>
      <c r="Y230" s="494"/>
      <c r="Z230" s="494"/>
      <c r="AA230" s="494"/>
      <c r="AB230" s="494"/>
      <c r="AC230" s="494"/>
      <c r="AD230" s="494"/>
      <c r="AE230" s="494"/>
      <c r="AF230" s="494"/>
      <c r="AG230" s="494"/>
      <c r="AH230" s="494"/>
      <c r="AI230" s="494"/>
      <c r="AJ230" s="494"/>
      <c r="AK230" s="494"/>
      <c r="AL230" s="494"/>
      <c r="AM230" s="494"/>
      <c r="AN230" s="494"/>
      <c r="AO230" s="494"/>
      <c r="AP230" s="494"/>
      <c r="AQ230" s="494"/>
      <c r="AR230" s="494"/>
      <c r="AS230" s="494"/>
      <c r="AT230" s="494"/>
      <c r="AU230" s="494"/>
      <c r="AV230" s="494"/>
      <c r="AW230" s="494"/>
      <c r="AX230" s="494"/>
    </row>
    <row r="231" spans="1:50" customFormat="1" x14ac:dyDescent="0.25">
      <c r="A231" s="690" t="s">
        <v>835</v>
      </c>
      <c r="B231" s="690"/>
      <c r="C231" s="690"/>
      <c r="D231" s="690"/>
      <c r="E231" s="690"/>
      <c r="F231" s="690"/>
      <c r="G231" s="690"/>
      <c r="H231" s="690"/>
      <c r="I231" s="690"/>
      <c r="J231" s="690"/>
      <c r="K231" s="690"/>
      <c r="L231" s="690"/>
      <c r="M231" s="690"/>
      <c r="N231" s="690"/>
      <c r="O231" s="690"/>
      <c r="P231" s="690"/>
      <c r="Q231" s="494"/>
      <c r="R231" s="494"/>
      <c r="S231" s="494"/>
      <c r="T231" s="494"/>
      <c r="U231" s="494"/>
      <c r="V231" s="494"/>
      <c r="W231" s="494"/>
      <c r="X231" s="494"/>
      <c r="Y231" s="494"/>
      <c r="Z231" s="494"/>
      <c r="AA231" s="494"/>
      <c r="AB231" s="494"/>
      <c r="AC231" s="494"/>
      <c r="AD231" s="494"/>
      <c r="AE231" s="494"/>
      <c r="AF231" s="494"/>
      <c r="AG231" s="494"/>
      <c r="AH231" s="494"/>
      <c r="AI231" s="494"/>
      <c r="AJ231" s="494"/>
      <c r="AK231" s="494"/>
      <c r="AL231" s="494"/>
      <c r="AM231" s="494"/>
      <c r="AN231" s="494"/>
      <c r="AO231" s="494"/>
      <c r="AP231" s="494"/>
      <c r="AQ231" s="494"/>
      <c r="AR231" s="494"/>
      <c r="AS231" s="494"/>
      <c r="AT231" s="494"/>
      <c r="AU231" s="494"/>
      <c r="AV231" s="494"/>
      <c r="AW231" s="494"/>
      <c r="AX231" s="494"/>
    </row>
    <row r="232" spans="1:50" customFormat="1" ht="176.85" customHeight="1" x14ac:dyDescent="0.25">
      <c r="A232" s="495" t="s">
        <v>836</v>
      </c>
      <c r="B232" s="692" t="s">
        <v>837</v>
      </c>
      <c r="C232" s="693"/>
      <c r="D232" s="693"/>
      <c r="E232" s="693"/>
      <c r="F232" s="693"/>
      <c r="G232" s="693" t="s">
        <v>838</v>
      </c>
      <c r="H232" s="693"/>
      <c r="I232" s="693"/>
      <c r="J232" s="693"/>
      <c r="K232" s="693" t="s">
        <v>2285</v>
      </c>
      <c r="L232" s="693"/>
      <c r="M232" s="693"/>
      <c r="N232" s="693"/>
      <c r="O232" s="694">
        <f>ROUND(103600 * 1 * 7.22 * 0.6 * 0.7, 2)</f>
        <v>314156.64</v>
      </c>
      <c r="P232" s="693"/>
      <c r="Q232" s="494"/>
      <c r="R232" s="494"/>
      <c r="S232" s="494"/>
      <c r="T232" s="494"/>
      <c r="U232" s="494"/>
      <c r="V232" s="494"/>
      <c r="W232" s="494"/>
      <c r="X232" s="494"/>
      <c r="Y232" s="494"/>
      <c r="Z232" s="494"/>
      <c r="AA232" s="494"/>
      <c r="AB232" s="494"/>
      <c r="AC232" s="494"/>
      <c r="AD232" s="494"/>
      <c r="AE232" s="494"/>
      <c r="AF232" s="494"/>
      <c r="AG232" s="494"/>
      <c r="AH232" s="494"/>
      <c r="AI232" s="494"/>
      <c r="AJ232" s="494"/>
      <c r="AK232" s="494"/>
      <c r="AL232" s="494"/>
      <c r="AM232" s="494"/>
      <c r="AN232" s="494"/>
      <c r="AO232" s="494"/>
      <c r="AP232" s="494"/>
      <c r="AQ232" s="494"/>
      <c r="AR232" s="494"/>
      <c r="AS232" s="494"/>
      <c r="AT232" s="494"/>
      <c r="AU232" s="494"/>
      <c r="AV232" s="494"/>
      <c r="AW232" s="494"/>
      <c r="AX232" s="494"/>
    </row>
    <row r="233" spans="1:50" customFormat="1" x14ac:dyDescent="0.25">
      <c r="A233" s="496"/>
      <c r="B233" s="695" t="s">
        <v>564</v>
      </c>
      <c r="C233" s="695"/>
      <c r="D233" s="695"/>
      <c r="E233" s="695"/>
      <c r="F233" s="695"/>
      <c r="G233" s="695" t="s">
        <v>15</v>
      </c>
      <c r="H233" s="695"/>
      <c r="I233" s="695"/>
      <c r="J233" s="695"/>
      <c r="K233" s="695" t="s">
        <v>15</v>
      </c>
      <c r="L233" s="695"/>
      <c r="M233" s="695"/>
      <c r="N233" s="695"/>
      <c r="O233" s="695"/>
      <c r="P233" s="695"/>
      <c r="Q233" s="494"/>
      <c r="R233" s="494"/>
      <c r="S233" s="494"/>
      <c r="T233" s="494"/>
      <c r="U233" s="494"/>
      <c r="V233" s="494"/>
      <c r="W233" s="494"/>
      <c r="X233" s="494"/>
      <c r="Y233" s="494"/>
      <c r="Z233" s="494"/>
      <c r="AA233" s="494"/>
      <c r="AB233" s="494"/>
      <c r="AC233" s="494"/>
      <c r="AD233" s="494"/>
      <c r="AE233" s="494"/>
      <c r="AF233" s="494"/>
      <c r="AG233" s="494"/>
      <c r="AH233" s="494"/>
      <c r="AI233" s="494"/>
      <c r="AJ233" s="494"/>
      <c r="AK233" s="494"/>
      <c r="AL233" s="494"/>
      <c r="AM233" s="494"/>
      <c r="AN233" s="494"/>
      <c r="AO233" s="494"/>
      <c r="AP233" s="494"/>
      <c r="AQ233" s="494"/>
      <c r="AR233" s="494"/>
      <c r="AS233" s="494"/>
      <c r="AT233" s="494"/>
      <c r="AU233" s="494"/>
      <c r="AV233" s="494"/>
      <c r="AW233" s="494"/>
      <c r="AX233" s="494"/>
    </row>
    <row r="234" spans="1:50" customFormat="1" x14ac:dyDescent="0.25">
      <c r="A234" s="492"/>
      <c r="B234" s="687" t="s">
        <v>681</v>
      </c>
      <c r="C234" s="687"/>
      <c r="D234" s="687"/>
      <c r="E234" s="687"/>
      <c r="F234" s="687"/>
      <c r="G234" s="687" t="s">
        <v>682</v>
      </c>
      <c r="H234" s="687"/>
      <c r="I234" s="687"/>
      <c r="J234" s="687"/>
      <c r="K234" s="687" t="s">
        <v>15</v>
      </c>
      <c r="L234" s="687"/>
      <c r="M234" s="687"/>
      <c r="N234" s="687"/>
      <c r="O234" s="687"/>
      <c r="P234" s="687"/>
      <c r="Q234" s="494"/>
      <c r="R234" s="494"/>
      <c r="S234" s="494"/>
      <c r="T234" s="494"/>
      <c r="U234" s="494"/>
      <c r="V234" s="494"/>
      <c r="W234" s="494"/>
      <c r="X234" s="494"/>
      <c r="Y234" s="494"/>
      <c r="Z234" s="494"/>
      <c r="AA234" s="494"/>
      <c r="AB234" s="494"/>
      <c r="AC234" s="494"/>
      <c r="AD234" s="494"/>
      <c r="AE234" s="494"/>
      <c r="AF234" s="494"/>
      <c r="AG234" s="494"/>
      <c r="AH234" s="494"/>
      <c r="AI234" s="494"/>
      <c r="AJ234" s="494"/>
      <c r="AK234" s="494"/>
      <c r="AL234" s="494"/>
      <c r="AM234" s="494"/>
      <c r="AN234" s="494"/>
      <c r="AO234" s="494"/>
      <c r="AP234" s="494"/>
      <c r="AQ234" s="494"/>
      <c r="AR234" s="494"/>
      <c r="AS234" s="494"/>
      <c r="AT234" s="494"/>
      <c r="AU234" s="494"/>
      <c r="AV234" s="494"/>
      <c r="AW234" s="494"/>
      <c r="AX234" s="494"/>
    </row>
    <row r="235" spans="1:50" customFormat="1" ht="40.9" customHeight="1" x14ac:dyDescent="0.25">
      <c r="A235" s="492"/>
      <c r="B235" s="687" t="s">
        <v>565</v>
      </c>
      <c r="C235" s="687"/>
      <c r="D235" s="687"/>
      <c r="E235" s="687"/>
      <c r="F235" s="687"/>
      <c r="G235" s="687" t="s">
        <v>733</v>
      </c>
      <c r="H235" s="687"/>
      <c r="I235" s="687"/>
      <c r="J235" s="687"/>
      <c r="K235" s="687" t="s">
        <v>15</v>
      </c>
      <c r="L235" s="687"/>
      <c r="M235" s="687"/>
      <c r="N235" s="687"/>
      <c r="O235" s="687"/>
      <c r="P235" s="687"/>
      <c r="Q235" s="494"/>
      <c r="R235" s="494"/>
      <c r="S235" s="494"/>
      <c r="T235" s="494"/>
      <c r="U235" s="494"/>
      <c r="V235" s="494"/>
      <c r="W235" s="494"/>
      <c r="X235" s="494"/>
      <c r="Y235" s="494"/>
      <c r="Z235" s="494"/>
      <c r="AA235" s="494"/>
      <c r="AB235" s="494"/>
      <c r="AC235" s="494"/>
      <c r="AD235" s="494"/>
      <c r="AE235" s="494"/>
      <c r="AF235" s="494"/>
      <c r="AG235" s="494"/>
      <c r="AH235" s="494"/>
      <c r="AI235" s="494"/>
      <c r="AJ235" s="494"/>
      <c r="AK235" s="494"/>
      <c r="AL235" s="494"/>
      <c r="AM235" s="494"/>
      <c r="AN235" s="494"/>
      <c r="AO235" s="494"/>
      <c r="AP235" s="494"/>
      <c r="AQ235" s="494"/>
      <c r="AR235" s="494"/>
      <c r="AS235" s="494"/>
      <c r="AT235" s="494"/>
      <c r="AU235" s="494"/>
      <c r="AV235" s="494"/>
      <c r="AW235" s="494"/>
      <c r="AX235" s="494"/>
    </row>
    <row r="236" spans="1:50" customFormat="1" ht="27.2" customHeight="1" x14ac:dyDescent="0.25">
      <c r="A236" s="492"/>
      <c r="B236" s="687" t="s">
        <v>793</v>
      </c>
      <c r="C236" s="687"/>
      <c r="D236" s="687"/>
      <c r="E236" s="687"/>
      <c r="F236" s="687"/>
      <c r="G236" s="687" t="s">
        <v>2253</v>
      </c>
      <c r="H236" s="687"/>
      <c r="I236" s="687"/>
      <c r="J236" s="687"/>
      <c r="K236" s="687" t="s">
        <v>15</v>
      </c>
      <c r="L236" s="687"/>
      <c r="M236" s="687"/>
      <c r="N236" s="687"/>
      <c r="O236" s="687"/>
      <c r="P236" s="687"/>
      <c r="Q236" s="494"/>
      <c r="R236" s="494"/>
      <c r="S236" s="494"/>
      <c r="T236" s="494"/>
      <c r="U236" s="494"/>
      <c r="V236" s="494"/>
      <c r="W236" s="494"/>
      <c r="X236" s="494"/>
      <c r="Y236" s="494"/>
      <c r="Z236" s="494"/>
      <c r="AA236" s="494"/>
      <c r="AB236" s="494"/>
      <c r="AC236" s="494"/>
      <c r="AD236" s="494"/>
      <c r="AE236" s="494"/>
      <c r="AF236" s="494"/>
      <c r="AG236" s="494"/>
      <c r="AH236" s="494"/>
      <c r="AI236" s="494"/>
      <c r="AJ236" s="494"/>
      <c r="AK236" s="494"/>
      <c r="AL236" s="494"/>
      <c r="AM236" s="494"/>
      <c r="AN236" s="494"/>
      <c r="AO236" s="494"/>
      <c r="AP236" s="494"/>
      <c r="AQ236" s="494"/>
      <c r="AR236" s="494"/>
      <c r="AS236" s="494"/>
      <c r="AT236" s="494"/>
      <c r="AU236" s="494"/>
      <c r="AV236" s="494"/>
      <c r="AW236" s="494"/>
      <c r="AX236" s="494"/>
    </row>
    <row r="237" spans="1:50" customFormat="1" x14ac:dyDescent="0.25">
      <c r="A237" s="690" t="s">
        <v>839</v>
      </c>
      <c r="B237" s="690"/>
      <c r="C237" s="690"/>
      <c r="D237" s="690"/>
      <c r="E237" s="690"/>
      <c r="F237" s="690"/>
      <c r="G237" s="690"/>
      <c r="H237" s="690"/>
      <c r="I237" s="690"/>
      <c r="J237" s="690"/>
      <c r="K237" s="690"/>
      <c r="L237" s="690"/>
      <c r="M237" s="690"/>
      <c r="N237" s="690"/>
      <c r="O237" s="690"/>
      <c r="P237" s="690"/>
      <c r="Q237" s="494"/>
      <c r="R237" s="494"/>
      <c r="S237" s="494"/>
      <c r="T237" s="494"/>
      <c r="U237" s="494"/>
      <c r="V237" s="494"/>
      <c r="W237" s="494"/>
      <c r="X237" s="494"/>
      <c r="Y237" s="494"/>
      <c r="Z237" s="494"/>
      <c r="AA237" s="494"/>
      <c r="AB237" s="494"/>
      <c r="AC237" s="494"/>
      <c r="AD237" s="494"/>
      <c r="AE237" s="494"/>
      <c r="AF237" s="494"/>
      <c r="AG237" s="494"/>
      <c r="AH237" s="494"/>
      <c r="AI237" s="494"/>
      <c r="AJ237" s="494"/>
      <c r="AK237" s="494"/>
      <c r="AL237" s="494"/>
      <c r="AM237" s="494"/>
      <c r="AN237" s="494"/>
      <c r="AO237" s="494"/>
      <c r="AP237" s="494"/>
      <c r="AQ237" s="494"/>
      <c r="AR237" s="494"/>
      <c r="AS237" s="494"/>
      <c r="AT237" s="494"/>
      <c r="AU237" s="494"/>
      <c r="AV237" s="494"/>
      <c r="AW237" s="494"/>
      <c r="AX237" s="494"/>
    </row>
    <row r="238" spans="1:50" customFormat="1" ht="135.94999999999999" customHeight="1" x14ac:dyDescent="0.25">
      <c r="A238" s="495" t="s">
        <v>840</v>
      </c>
      <c r="B238" s="692" t="s">
        <v>826</v>
      </c>
      <c r="C238" s="693"/>
      <c r="D238" s="693"/>
      <c r="E238" s="693"/>
      <c r="F238" s="693"/>
      <c r="G238" s="693" t="s">
        <v>841</v>
      </c>
      <c r="H238" s="693"/>
      <c r="I238" s="693"/>
      <c r="J238" s="693"/>
      <c r="K238" s="693" t="s">
        <v>2286</v>
      </c>
      <c r="L238" s="693"/>
      <c r="M238" s="693"/>
      <c r="N238" s="693"/>
      <c r="O238" s="694">
        <f>ROUND((61900 + 15484 * (0.4 * 1 + 0.6 * 0.95)) * 1 * 1.56 * 0.6 * 0.7, 2)</f>
        <v>50397.64</v>
      </c>
      <c r="P238" s="693"/>
      <c r="Q238" s="494"/>
      <c r="R238" s="494"/>
      <c r="S238" s="494"/>
      <c r="T238" s="494"/>
      <c r="U238" s="494"/>
      <c r="V238" s="494"/>
      <c r="W238" s="494"/>
      <c r="X238" s="494"/>
      <c r="Y238" s="494"/>
      <c r="Z238" s="494"/>
      <c r="AA238" s="494"/>
      <c r="AB238" s="494"/>
      <c r="AC238" s="494"/>
      <c r="AD238" s="494"/>
      <c r="AE238" s="494"/>
      <c r="AF238" s="494"/>
      <c r="AG238" s="494"/>
      <c r="AH238" s="494"/>
      <c r="AI238" s="494"/>
      <c r="AJ238" s="494"/>
      <c r="AK238" s="494"/>
      <c r="AL238" s="494"/>
      <c r="AM238" s="494"/>
      <c r="AN238" s="494"/>
      <c r="AO238" s="494"/>
      <c r="AP238" s="494"/>
      <c r="AQ238" s="494"/>
      <c r="AR238" s="494"/>
      <c r="AS238" s="494"/>
      <c r="AT238" s="494"/>
      <c r="AU238" s="494"/>
      <c r="AV238" s="494"/>
      <c r="AW238" s="494"/>
      <c r="AX238" s="494"/>
    </row>
    <row r="239" spans="1:50" customFormat="1" x14ac:dyDescent="0.25">
      <c r="A239" s="496"/>
      <c r="B239" s="695" t="s">
        <v>564</v>
      </c>
      <c r="C239" s="695"/>
      <c r="D239" s="695"/>
      <c r="E239" s="695"/>
      <c r="F239" s="695"/>
      <c r="G239" s="695" t="s">
        <v>15</v>
      </c>
      <c r="H239" s="695"/>
      <c r="I239" s="695"/>
      <c r="J239" s="695"/>
      <c r="K239" s="695" t="s">
        <v>15</v>
      </c>
      <c r="L239" s="695"/>
      <c r="M239" s="695"/>
      <c r="N239" s="695"/>
      <c r="O239" s="695"/>
      <c r="P239" s="695"/>
      <c r="Q239" s="494"/>
      <c r="R239" s="494"/>
      <c r="S239" s="494"/>
      <c r="T239" s="494"/>
      <c r="U239" s="494"/>
      <c r="V239" s="494"/>
      <c r="W239" s="494"/>
      <c r="X239" s="494"/>
      <c r="Y239" s="494"/>
      <c r="Z239" s="494"/>
      <c r="AA239" s="494"/>
      <c r="AB239" s="494"/>
      <c r="AC239" s="494"/>
      <c r="AD239" s="494"/>
      <c r="AE239" s="494"/>
      <c r="AF239" s="494"/>
      <c r="AG239" s="494"/>
      <c r="AH239" s="494"/>
      <c r="AI239" s="494"/>
      <c r="AJ239" s="494"/>
      <c r="AK239" s="494"/>
      <c r="AL239" s="494"/>
      <c r="AM239" s="494"/>
      <c r="AN239" s="494"/>
      <c r="AO239" s="494"/>
      <c r="AP239" s="494"/>
      <c r="AQ239" s="494"/>
      <c r="AR239" s="494"/>
      <c r="AS239" s="494"/>
      <c r="AT239" s="494"/>
      <c r="AU239" s="494"/>
      <c r="AV239" s="494"/>
      <c r="AW239" s="494"/>
      <c r="AX239" s="494"/>
    </row>
    <row r="240" spans="1:50" customFormat="1" x14ac:dyDescent="0.25">
      <c r="A240" s="492"/>
      <c r="B240" s="687" t="s">
        <v>681</v>
      </c>
      <c r="C240" s="687"/>
      <c r="D240" s="687"/>
      <c r="E240" s="687"/>
      <c r="F240" s="687"/>
      <c r="G240" s="687" t="s">
        <v>682</v>
      </c>
      <c r="H240" s="687"/>
      <c r="I240" s="687"/>
      <c r="J240" s="687"/>
      <c r="K240" s="687" t="s">
        <v>15</v>
      </c>
      <c r="L240" s="687"/>
      <c r="M240" s="687"/>
      <c r="N240" s="687"/>
      <c r="O240" s="687"/>
      <c r="P240" s="687"/>
      <c r="Q240" s="494"/>
      <c r="R240" s="494"/>
      <c r="S240" s="494"/>
      <c r="T240" s="494"/>
      <c r="U240" s="494"/>
      <c r="V240" s="494"/>
      <c r="W240" s="494"/>
      <c r="X240" s="494"/>
      <c r="Y240" s="494"/>
      <c r="Z240" s="494"/>
      <c r="AA240" s="494"/>
      <c r="AB240" s="494"/>
      <c r="AC240" s="494"/>
      <c r="AD240" s="494"/>
      <c r="AE240" s="494"/>
      <c r="AF240" s="494"/>
      <c r="AG240" s="494"/>
      <c r="AH240" s="494"/>
      <c r="AI240" s="494"/>
      <c r="AJ240" s="494"/>
      <c r="AK240" s="494"/>
      <c r="AL240" s="494"/>
      <c r="AM240" s="494"/>
      <c r="AN240" s="494"/>
      <c r="AO240" s="494"/>
      <c r="AP240" s="494"/>
      <c r="AQ240" s="494"/>
      <c r="AR240" s="494"/>
      <c r="AS240" s="494"/>
      <c r="AT240" s="494"/>
      <c r="AU240" s="494"/>
      <c r="AV240" s="494"/>
      <c r="AW240" s="494"/>
      <c r="AX240" s="494"/>
    </row>
    <row r="241" spans="1:50" customFormat="1" ht="40.9" customHeight="1" x14ac:dyDescent="0.25">
      <c r="A241" s="492"/>
      <c r="B241" s="687" t="s">
        <v>683</v>
      </c>
      <c r="C241" s="687"/>
      <c r="D241" s="687"/>
      <c r="E241" s="687"/>
      <c r="F241" s="687"/>
      <c r="G241" s="687" t="s">
        <v>684</v>
      </c>
      <c r="H241" s="687"/>
      <c r="I241" s="687"/>
      <c r="J241" s="687"/>
      <c r="K241" s="687" t="s">
        <v>15</v>
      </c>
      <c r="L241" s="687"/>
      <c r="M241" s="687"/>
      <c r="N241" s="687"/>
      <c r="O241" s="687"/>
      <c r="P241" s="687"/>
      <c r="Q241" s="494"/>
      <c r="R241" s="494"/>
      <c r="S241" s="494"/>
      <c r="T241" s="494"/>
      <c r="U241" s="494"/>
      <c r="V241" s="494"/>
      <c r="W241" s="494"/>
      <c r="X241" s="494"/>
      <c r="Y241" s="494"/>
      <c r="Z241" s="494"/>
      <c r="AA241" s="494"/>
      <c r="AB241" s="494"/>
      <c r="AC241" s="494"/>
      <c r="AD241" s="494"/>
      <c r="AE241" s="494"/>
      <c r="AF241" s="494"/>
      <c r="AG241" s="494"/>
      <c r="AH241" s="494"/>
      <c r="AI241" s="494"/>
      <c r="AJ241" s="494"/>
      <c r="AK241" s="494"/>
      <c r="AL241" s="494"/>
      <c r="AM241" s="494"/>
      <c r="AN241" s="494"/>
      <c r="AO241" s="494"/>
      <c r="AP241" s="494"/>
      <c r="AQ241" s="494"/>
      <c r="AR241" s="494"/>
      <c r="AS241" s="494"/>
      <c r="AT241" s="494"/>
      <c r="AU241" s="494"/>
      <c r="AV241" s="494"/>
      <c r="AW241" s="494"/>
      <c r="AX241" s="494"/>
    </row>
    <row r="242" spans="1:50" customFormat="1" ht="27.2" customHeight="1" x14ac:dyDescent="0.25">
      <c r="A242" s="492"/>
      <c r="B242" s="687" t="s">
        <v>793</v>
      </c>
      <c r="C242" s="687"/>
      <c r="D242" s="687"/>
      <c r="E242" s="687"/>
      <c r="F242" s="687"/>
      <c r="G242" s="687" t="s">
        <v>2253</v>
      </c>
      <c r="H242" s="687"/>
      <c r="I242" s="687"/>
      <c r="J242" s="687"/>
      <c r="K242" s="687" t="s">
        <v>15</v>
      </c>
      <c r="L242" s="687"/>
      <c r="M242" s="687"/>
      <c r="N242" s="687"/>
      <c r="O242" s="687"/>
      <c r="P242" s="687"/>
      <c r="Q242" s="494"/>
      <c r="R242" s="494"/>
      <c r="S242" s="494"/>
      <c r="T242" s="494"/>
      <c r="U242" s="494"/>
      <c r="V242" s="494"/>
      <c r="W242" s="494"/>
      <c r="X242" s="494"/>
      <c r="Y242" s="494"/>
      <c r="Z242" s="494"/>
      <c r="AA242" s="494"/>
      <c r="AB242" s="494"/>
      <c r="AC242" s="494"/>
      <c r="AD242" s="494"/>
      <c r="AE242" s="494"/>
      <c r="AF242" s="494"/>
      <c r="AG242" s="494"/>
      <c r="AH242" s="494"/>
      <c r="AI242" s="494"/>
      <c r="AJ242" s="494"/>
      <c r="AK242" s="494"/>
      <c r="AL242" s="494"/>
      <c r="AM242" s="494"/>
      <c r="AN242" s="494"/>
      <c r="AO242" s="494"/>
      <c r="AP242" s="494"/>
      <c r="AQ242" s="494"/>
      <c r="AR242" s="494"/>
      <c r="AS242" s="494"/>
      <c r="AT242" s="494"/>
      <c r="AU242" s="494"/>
      <c r="AV242" s="494"/>
      <c r="AW242" s="494"/>
      <c r="AX242" s="494"/>
    </row>
    <row r="243" spans="1:50" customFormat="1" x14ac:dyDescent="0.25">
      <c r="A243" s="690" t="s">
        <v>842</v>
      </c>
      <c r="B243" s="690"/>
      <c r="C243" s="690"/>
      <c r="D243" s="690"/>
      <c r="E243" s="690"/>
      <c r="F243" s="690"/>
      <c r="G243" s="690"/>
      <c r="H243" s="690"/>
      <c r="I243" s="690"/>
      <c r="J243" s="690"/>
      <c r="K243" s="690"/>
      <c r="L243" s="690"/>
      <c r="M243" s="690"/>
      <c r="N243" s="690"/>
      <c r="O243" s="690"/>
      <c r="P243" s="690"/>
      <c r="Q243" s="494"/>
      <c r="R243" s="494"/>
      <c r="S243" s="494"/>
      <c r="T243" s="494"/>
      <c r="U243" s="494"/>
      <c r="V243" s="494"/>
      <c r="W243" s="494"/>
      <c r="X243" s="494"/>
      <c r="Y243" s="494"/>
      <c r="Z243" s="494"/>
      <c r="AA243" s="494"/>
      <c r="AB243" s="494"/>
      <c r="AC243" s="494"/>
      <c r="AD243" s="494"/>
      <c r="AE243" s="494"/>
      <c r="AF243" s="494"/>
      <c r="AG243" s="494"/>
      <c r="AH243" s="494"/>
      <c r="AI243" s="494"/>
      <c r="AJ243" s="494"/>
      <c r="AK243" s="494"/>
      <c r="AL243" s="494"/>
      <c r="AM243" s="494"/>
      <c r="AN243" s="494"/>
      <c r="AO243" s="494"/>
      <c r="AP243" s="494"/>
      <c r="AQ243" s="494"/>
      <c r="AR243" s="494"/>
      <c r="AS243" s="494"/>
      <c r="AT243" s="494"/>
      <c r="AU243" s="494"/>
      <c r="AV243" s="494"/>
      <c r="AW243" s="494"/>
      <c r="AX243" s="494"/>
    </row>
    <row r="244" spans="1:50" customFormat="1" ht="135.94999999999999" customHeight="1" x14ac:dyDescent="0.25">
      <c r="A244" s="495" t="s">
        <v>843</v>
      </c>
      <c r="B244" s="692" t="s">
        <v>826</v>
      </c>
      <c r="C244" s="693"/>
      <c r="D244" s="693"/>
      <c r="E244" s="693"/>
      <c r="F244" s="693"/>
      <c r="G244" s="693" t="s">
        <v>844</v>
      </c>
      <c r="H244" s="693"/>
      <c r="I244" s="693"/>
      <c r="J244" s="693"/>
      <c r="K244" s="693" t="s">
        <v>2287</v>
      </c>
      <c r="L244" s="693"/>
      <c r="M244" s="693"/>
      <c r="N244" s="693"/>
      <c r="O244" s="694">
        <f>ROUND((61900 + 15484 * (0.4 * 1 + 0.6 * (1 / 2))) * 1 * 0.2 * 1.56 * 0.6 * 0.7, 2)</f>
        <v>9531.69</v>
      </c>
      <c r="P244" s="693"/>
      <c r="Q244" s="494"/>
      <c r="R244" s="494"/>
      <c r="S244" s="494"/>
      <c r="T244" s="494"/>
      <c r="U244" s="494"/>
      <c r="V244" s="494"/>
      <c r="W244" s="494"/>
      <c r="X244" s="494"/>
      <c r="Y244" s="494"/>
      <c r="Z244" s="494"/>
      <c r="AA244" s="494"/>
      <c r="AB244" s="494"/>
      <c r="AC244" s="494"/>
      <c r="AD244" s="494"/>
      <c r="AE244" s="494"/>
      <c r="AF244" s="494"/>
      <c r="AG244" s="494"/>
      <c r="AH244" s="494"/>
      <c r="AI244" s="494"/>
      <c r="AJ244" s="494"/>
      <c r="AK244" s="494"/>
      <c r="AL244" s="494"/>
      <c r="AM244" s="494"/>
      <c r="AN244" s="494"/>
      <c r="AO244" s="494"/>
      <c r="AP244" s="494"/>
      <c r="AQ244" s="494"/>
      <c r="AR244" s="494"/>
      <c r="AS244" s="494"/>
      <c r="AT244" s="494"/>
      <c r="AU244" s="494"/>
      <c r="AV244" s="494"/>
      <c r="AW244" s="494"/>
      <c r="AX244" s="494"/>
    </row>
    <row r="245" spans="1:50" customFormat="1" x14ac:dyDescent="0.25">
      <c r="A245" s="496"/>
      <c r="B245" s="695" t="s">
        <v>564</v>
      </c>
      <c r="C245" s="695"/>
      <c r="D245" s="695"/>
      <c r="E245" s="695"/>
      <c r="F245" s="695"/>
      <c r="G245" s="695" t="s">
        <v>15</v>
      </c>
      <c r="H245" s="695"/>
      <c r="I245" s="695"/>
      <c r="J245" s="695"/>
      <c r="K245" s="695" t="s">
        <v>15</v>
      </c>
      <c r="L245" s="695"/>
      <c r="M245" s="695"/>
      <c r="N245" s="695"/>
      <c r="O245" s="695"/>
      <c r="P245" s="695"/>
      <c r="Q245" s="494"/>
      <c r="R245" s="494"/>
      <c r="S245" s="494"/>
      <c r="T245" s="494"/>
      <c r="U245" s="494"/>
      <c r="V245" s="494"/>
      <c r="W245" s="494"/>
      <c r="X245" s="494"/>
      <c r="Y245" s="494"/>
      <c r="Z245" s="494"/>
      <c r="AA245" s="494"/>
      <c r="AB245" s="494"/>
      <c r="AC245" s="494"/>
      <c r="AD245" s="494"/>
      <c r="AE245" s="494"/>
      <c r="AF245" s="494"/>
      <c r="AG245" s="494"/>
      <c r="AH245" s="494"/>
      <c r="AI245" s="494"/>
      <c r="AJ245" s="494"/>
      <c r="AK245" s="494"/>
      <c r="AL245" s="494"/>
      <c r="AM245" s="494"/>
      <c r="AN245" s="494"/>
      <c r="AO245" s="494"/>
      <c r="AP245" s="494"/>
      <c r="AQ245" s="494"/>
      <c r="AR245" s="494"/>
      <c r="AS245" s="494"/>
      <c r="AT245" s="494"/>
      <c r="AU245" s="494"/>
      <c r="AV245" s="494"/>
      <c r="AW245" s="494"/>
      <c r="AX245" s="494"/>
    </row>
    <row r="246" spans="1:50" customFormat="1" x14ac:dyDescent="0.25">
      <c r="A246" s="492"/>
      <c r="B246" s="687" t="s">
        <v>681</v>
      </c>
      <c r="C246" s="687"/>
      <c r="D246" s="687"/>
      <c r="E246" s="687"/>
      <c r="F246" s="687"/>
      <c r="G246" s="687" t="s">
        <v>682</v>
      </c>
      <c r="H246" s="687"/>
      <c r="I246" s="687"/>
      <c r="J246" s="687"/>
      <c r="K246" s="687" t="s">
        <v>15</v>
      </c>
      <c r="L246" s="687"/>
      <c r="M246" s="687"/>
      <c r="N246" s="687"/>
      <c r="O246" s="687"/>
      <c r="P246" s="687"/>
      <c r="Q246" s="494"/>
      <c r="R246" s="494"/>
      <c r="S246" s="494"/>
      <c r="T246" s="494"/>
      <c r="U246" s="494"/>
      <c r="V246" s="494"/>
      <c r="W246" s="494"/>
      <c r="X246" s="494"/>
      <c r="Y246" s="494"/>
      <c r="Z246" s="494"/>
      <c r="AA246" s="494"/>
      <c r="AB246" s="494"/>
      <c r="AC246" s="494"/>
      <c r="AD246" s="494"/>
      <c r="AE246" s="494"/>
      <c r="AF246" s="494"/>
      <c r="AG246" s="494"/>
      <c r="AH246" s="494"/>
      <c r="AI246" s="494"/>
      <c r="AJ246" s="494"/>
      <c r="AK246" s="494"/>
      <c r="AL246" s="494"/>
      <c r="AM246" s="494"/>
      <c r="AN246" s="494"/>
      <c r="AO246" s="494"/>
      <c r="AP246" s="494"/>
      <c r="AQ246" s="494"/>
      <c r="AR246" s="494"/>
      <c r="AS246" s="494"/>
      <c r="AT246" s="494"/>
      <c r="AU246" s="494"/>
      <c r="AV246" s="494"/>
      <c r="AW246" s="494"/>
      <c r="AX246" s="494"/>
    </row>
    <row r="247" spans="1:50" customFormat="1" ht="40.9" customHeight="1" x14ac:dyDescent="0.25">
      <c r="A247" s="492"/>
      <c r="B247" s="687" t="s">
        <v>683</v>
      </c>
      <c r="C247" s="687"/>
      <c r="D247" s="687"/>
      <c r="E247" s="687"/>
      <c r="F247" s="687"/>
      <c r="G247" s="687" t="s">
        <v>684</v>
      </c>
      <c r="H247" s="687"/>
      <c r="I247" s="687"/>
      <c r="J247" s="687"/>
      <c r="K247" s="687" t="s">
        <v>15</v>
      </c>
      <c r="L247" s="687"/>
      <c r="M247" s="687"/>
      <c r="N247" s="687"/>
      <c r="O247" s="687"/>
      <c r="P247" s="687"/>
      <c r="Q247" s="494"/>
      <c r="R247" s="494"/>
      <c r="S247" s="494"/>
      <c r="T247" s="494"/>
      <c r="U247" s="494"/>
      <c r="V247" s="494"/>
      <c r="W247" s="494"/>
      <c r="X247" s="494"/>
      <c r="Y247" s="494"/>
      <c r="Z247" s="494"/>
      <c r="AA247" s="494"/>
      <c r="AB247" s="494"/>
      <c r="AC247" s="494"/>
      <c r="AD247" s="494"/>
      <c r="AE247" s="494"/>
      <c r="AF247" s="494"/>
      <c r="AG247" s="494"/>
      <c r="AH247" s="494"/>
      <c r="AI247" s="494"/>
      <c r="AJ247" s="494"/>
      <c r="AK247" s="494"/>
      <c r="AL247" s="494"/>
      <c r="AM247" s="494"/>
      <c r="AN247" s="494"/>
      <c r="AO247" s="494"/>
      <c r="AP247" s="494"/>
      <c r="AQ247" s="494"/>
      <c r="AR247" s="494"/>
      <c r="AS247" s="494"/>
      <c r="AT247" s="494"/>
      <c r="AU247" s="494"/>
      <c r="AV247" s="494"/>
      <c r="AW247" s="494"/>
      <c r="AX247" s="494"/>
    </row>
    <row r="248" spans="1:50" customFormat="1" ht="95.25" customHeight="1" x14ac:dyDescent="0.25">
      <c r="A248" s="492"/>
      <c r="B248" s="687" t="s">
        <v>778</v>
      </c>
      <c r="C248" s="687"/>
      <c r="D248" s="687"/>
      <c r="E248" s="687"/>
      <c r="F248" s="687"/>
      <c r="G248" s="687" t="s">
        <v>845</v>
      </c>
      <c r="H248" s="687"/>
      <c r="I248" s="687"/>
      <c r="J248" s="687"/>
      <c r="K248" s="687" t="s">
        <v>15</v>
      </c>
      <c r="L248" s="687"/>
      <c r="M248" s="687"/>
      <c r="N248" s="687"/>
      <c r="O248" s="687"/>
      <c r="P248" s="687"/>
      <c r="Q248" s="494"/>
      <c r="R248" s="494"/>
      <c r="S248" s="494"/>
      <c r="T248" s="494"/>
      <c r="U248" s="494"/>
      <c r="V248" s="494"/>
      <c r="W248" s="494"/>
      <c r="X248" s="494"/>
      <c r="Y248" s="494"/>
      <c r="Z248" s="494"/>
      <c r="AA248" s="494"/>
      <c r="AB248" s="494"/>
      <c r="AC248" s="494"/>
      <c r="AD248" s="494"/>
      <c r="AE248" s="494"/>
      <c r="AF248" s="494"/>
      <c r="AG248" s="494"/>
      <c r="AH248" s="494"/>
      <c r="AI248" s="494"/>
      <c r="AJ248" s="494"/>
      <c r="AK248" s="494"/>
      <c r="AL248" s="494"/>
      <c r="AM248" s="494"/>
      <c r="AN248" s="494"/>
      <c r="AO248" s="494"/>
      <c r="AP248" s="494"/>
      <c r="AQ248" s="494"/>
      <c r="AR248" s="494"/>
      <c r="AS248" s="494"/>
      <c r="AT248" s="494"/>
      <c r="AU248" s="494"/>
      <c r="AV248" s="494"/>
      <c r="AW248" s="494"/>
      <c r="AX248" s="494"/>
    </row>
    <row r="249" spans="1:50" customFormat="1" ht="27.2" customHeight="1" x14ac:dyDescent="0.25">
      <c r="A249" s="492"/>
      <c r="B249" s="687" t="s">
        <v>793</v>
      </c>
      <c r="C249" s="687"/>
      <c r="D249" s="687"/>
      <c r="E249" s="687"/>
      <c r="F249" s="687"/>
      <c r="G249" s="687" t="s">
        <v>2253</v>
      </c>
      <c r="H249" s="687"/>
      <c r="I249" s="687"/>
      <c r="J249" s="687"/>
      <c r="K249" s="687" t="s">
        <v>15</v>
      </c>
      <c r="L249" s="687"/>
      <c r="M249" s="687"/>
      <c r="N249" s="687"/>
      <c r="O249" s="687"/>
      <c r="P249" s="687"/>
      <c r="Q249" s="494"/>
      <c r="R249" s="494"/>
      <c r="S249" s="494"/>
      <c r="T249" s="494"/>
      <c r="U249" s="494"/>
      <c r="V249" s="494"/>
      <c r="W249" s="494"/>
      <c r="X249" s="494"/>
      <c r="Y249" s="494"/>
      <c r="Z249" s="494"/>
      <c r="AA249" s="494"/>
      <c r="AB249" s="494"/>
      <c r="AC249" s="494"/>
      <c r="AD249" s="494"/>
      <c r="AE249" s="494"/>
      <c r="AF249" s="494"/>
      <c r="AG249" s="494"/>
      <c r="AH249" s="494"/>
      <c r="AI249" s="494"/>
      <c r="AJ249" s="494"/>
      <c r="AK249" s="494"/>
      <c r="AL249" s="494"/>
      <c r="AM249" s="494"/>
      <c r="AN249" s="494"/>
      <c r="AO249" s="494"/>
      <c r="AP249" s="494"/>
      <c r="AQ249" s="494"/>
      <c r="AR249" s="494"/>
      <c r="AS249" s="494"/>
      <c r="AT249" s="494"/>
      <c r="AU249" s="494"/>
      <c r="AV249" s="494"/>
      <c r="AW249" s="494"/>
      <c r="AX249" s="494"/>
    </row>
    <row r="250" spans="1:50" customFormat="1" x14ac:dyDescent="0.25">
      <c r="A250" s="690" t="s">
        <v>846</v>
      </c>
      <c r="B250" s="690"/>
      <c r="C250" s="690"/>
      <c r="D250" s="690"/>
      <c r="E250" s="690"/>
      <c r="F250" s="690"/>
      <c r="G250" s="690"/>
      <c r="H250" s="690"/>
      <c r="I250" s="690"/>
      <c r="J250" s="690"/>
      <c r="K250" s="690"/>
      <c r="L250" s="690"/>
      <c r="M250" s="690"/>
      <c r="N250" s="690"/>
      <c r="O250" s="690"/>
      <c r="P250" s="690"/>
      <c r="Q250" s="494"/>
      <c r="R250" s="494"/>
      <c r="S250" s="494"/>
      <c r="T250" s="494"/>
      <c r="U250" s="494"/>
      <c r="V250" s="494"/>
      <c r="W250" s="494"/>
      <c r="X250" s="494"/>
      <c r="Y250" s="494"/>
      <c r="Z250" s="494"/>
      <c r="AA250" s="494"/>
      <c r="AB250" s="494"/>
      <c r="AC250" s="494"/>
      <c r="AD250" s="494"/>
      <c r="AE250" s="494"/>
      <c r="AF250" s="494"/>
      <c r="AG250" s="494"/>
      <c r="AH250" s="494"/>
      <c r="AI250" s="494"/>
      <c r="AJ250" s="494"/>
      <c r="AK250" s="494"/>
      <c r="AL250" s="494"/>
      <c r="AM250" s="494"/>
      <c r="AN250" s="494"/>
      <c r="AO250" s="494"/>
      <c r="AP250" s="494"/>
      <c r="AQ250" s="494"/>
      <c r="AR250" s="494"/>
      <c r="AS250" s="494"/>
      <c r="AT250" s="494"/>
      <c r="AU250" s="494"/>
      <c r="AV250" s="494"/>
      <c r="AW250" s="494"/>
      <c r="AX250" s="494"/>
    </row>
    <row r="251" spans="1:50" customFormat="1" x14ac:dyDescent="0.25">
      <c r="A251" s="690" t="s">
        <v>847</v>
      </c>
      <c r="B251" s="690"/>
      <c r="C251" s="690"/>
      <c r="D251" s="690"/>
      <c r="E251" s="690"/>
      <c r="F251" s="690"/>
      <c r="G251" s="690"/>
      <c r="H251" s="690"/>
      <c r="I251" s="690"/>
      <c r="J251" s="690"/>
      <c r="K251" s="690"/>
      <c r="L251" s="690"/>
      <c r="M251" s="690"/>
      <c r="N251" s="690"/>
      <c r="O251" s="690"/>
      <c r="P251" s="690"/>
      <c r="Q251" s="494"/>
      <c r="R251" s="494"/>
      <c r="S251" s="494"/>
      <c r="T251" s="494"/>
      <c r="U251" s="494"/>
      <c r="V251" s="494"/>
      <c r="W251" s="494"/>
      <c r="X251" s="494"/>
      <c r="Y251" s="494"/>
      <c r="Z251" s="494"/>
      <c r="AA251" s="494"/>
      <c r="AB251" s="494"/>
      <c r="AC251" s="494"/>
      <c r="AD251" s="494"/>
      <c r="AE251" s="494"/>
      <c r="AF251" s="494"/>
      <c r="AG251" s="494"/>
      <c r="AH251" s="494"/>
      <c r="AI251" s="494"/>
      <c r="AJ251" s="494"/>
      <c r="AK251" s="494"/>
      <c r="AL251" s="494"/>
      <c r="AM251" s="494"/>
      <c r="AN251" s="494"/>
      <c r="AO251" s="494"/>
      <c r="AP251" s="494"/>
      <c r="AQ251" s="494"/>
      <c r="AR251" s="494"/>
      <c r="AS251" s="494"/>
      <c r="AT251" s="494"/>
      <c r="AU251" s="494"/>
      <c r="AV251" s="494"/>
      <c r="AW251" s="494"/>
      <c r="AX251" s="494"/>
    </row>
    <row r="252" spans="1:50" customFormat="1" ht="135.94999999999999" customHeight="1" x14ac:dyDescent="0.25">
      <c r="A252" s="495" t="s">
        <v>848</v>
      </c>
      <c r="B252" s="692" t="s">
        <v>826</v>
      </c>
      <c r="C252" s="693"/>
      <c r="D252" s="693"/>
      <c r="E252" s="693"/>
      <c r="F252" s="693"/>
      <c r="G252" s="693" t="s">
        <v>849</v>
      </c>
      <c r="H252" s="693"/>
      <c r="I252" s="693"/>
      <c r="J252" s="693"/>
      <c r="K252" s="693" t="s">
        <v>2288</v>
      </c>
      <c r="L252" s="693"/>
      <c r="M252" s="693"/>
      <c r="N252" s="693"/>
      <c r="O252" s="694">
        <f>ROUND((61900 + 15484 * (0.4 * 1 + 0.6 * (1 / 2))) * 1 * 0.34 * 1.56 * 0.6 * 0.7, 2)</f>
        <v>16203.88</v>
      </c>
      <c r="P252" s="693"/>
      <c r="Q252" s="494"/>
      <c r="R252" s="494"/>
      <c r="S252" s="494"/>
      <c r="T252" s="494"/>
      <c r="U252" s="494"/>
      <c r="V252" s="494"/>
      <c r="W252" s="494"/>
      <c r="X252" s="494"/>
      <c r="Y252" s="494"/>
      <c r="Z252" s="494"/>
      <c r="AA252" s="494"/>
      <c r="AB252" s="494"/>
      <c r="AC252" s="494"/>
      <c r="AD252" s="494"/>
      <c r="AE252" s="494"/>
      <c r="AF252" s="494"/>
      <c r="AG252" s="494"/>
      <c r="AH252" s="494"/>
      <c r="AI252" s="494"/>
      <c r="AJ252" s="494"/>
      <c r="AK252" s="494"/>
      <c r="AL252" s="494"/>
      <c r="AM252" s="494"/>
      <c r="AN252" s="494"/>
      <c r="AO252" s="494"/>
      <c r="AP252" s="494"/>
      <c r="AQ252" s="494"/>
      <c r="AR252" s="494"/>
      <c r="AS252" s="494"/>
      <c r="AT252" s="494"/>
      <c r="AU252" s="494"/>
      <c r="AV252" s="494"/>
      <c r="AW252" s="494"/>
      <c r="AX252" s="494"/>
    </row>
    <row r="253" spans="1:50" customFormat="1" x14ac:dyDescent="0.25">
      <c r="A253" s="496"/>
      <c r="B253" s="695" t="s">
        <v>564</v>
      </c>
      <c r="C253" s="695"/>
      <c r="D253" s="695"/>
      <c r="E253" s="695"/>
      <c r="F253" s="695"/>
      <c r="G253" s="695" t="s">
        <v>15</v>
      </c>
      <c r="H253" s="695"/>
      <c r="I253" s="695"/>
      <c r="J253" s="695"/>
      <c r="K253" s="695" t="s">
        <v>15</v>
      </c>
      <c r="L253" s="695"/>
      <c r="M253" s="695"/>
      <c r="N253" s="695"/>
      <c r="O253" s="695"/>
      <c r="P253" s="695"/>
      <c r="Q253" s="494"/>
      <c r="R253" s="494"/>
      <c r="S253" s="494"/>
      <c r="T253" s="494"/>
      <c r="U253" s="494"/>
      <c r="V253" s="494"/>
      <c r="W253" s="494"/>
      <c r="X253" s="494"/>
      <c r="Y253" s="494"/>
      <c r="Z253" s="494"/>
      <c r="AA253" s="494"/>
      <c r="AB253" s="494"/>
      <c r="AC253" s="494"/>
      <c r="AD253" s="494"/>
      <c r="AE253" s="494"/>
      <c r="AF253" s="494"/>
      <c r="AG253" s="494"/>
      <c r="AH253" s="494"/>
      <c r="AI253" s="494"/>
      <c r="AJ253" s="494"/>
      <c r="AK253" s="494"/>
      <c r="AL253" s="494"/>
      <c r="AM253" s="494"/>
      <c r="AN253" s="494"/>
      <c r="AO253" s="494"/>
      <c r="AP253" s="494"/>
      <c r="AQ253" s="494"/>
      <c r="AR253" s="494"/>
      <c r="AS253" s="494"/>
      <c r="AT253" s="494"/>
      <c r="AU253" s="494"/>
      <c r="AV253" s="494"/>
      <c r="AW253" s="494"/>
      <c r="AX253" s="494"/>
    </row>
    <row r="254" spans="1:50" customFormat="1" x14ac:dyDescent="0.25">
      <c r="A254" s="492"/>
      <c r="B254" s="687" t="s">
        <v>681</v>
      </c>
      <c r="C254" s="687"/>
      <c r="D254" s="687"/>
      <c r="E254" s="687"/>
      <c r="F254" s="687"/>
      <c r="G254" s="687" t="s">
        <v>682</v>
      </c>
      <c r="H254" s="687"/>
      <c r="I254" s="687"/>
      <c r="J254" s="687"/>
      <c r="K254" s="687" t="s">
        <v>15</v>
      </c>
      <c r="L254" s="687"/>
      <c r="M254" s="687"/>
      <c r="N254" s="687"/>
      <c r="O254" s="687"/>
      <c r="P254" s="687"/>
      <c r="Q254" s="494"/>
      <c r="R254" s="494"/>
      <c r="S254" s="494"/>
      <c r="T254" s="494"/>
      <c r="U254" s="494"/>
      <c r="V254" s="494"/>
      <c r="W254" s="494"/>
      <c r="X254" s="494"/>
      <c r="Y254" s="494"/>
      <c r="Z254" s="494"/>
      <c r="AA254" s="494"/>
      <c r="AB254" s="494"/>
      <c r="AC254" s="494"/>
      <c r="AD254" s="494"/>
      <c r="AE254" s="494"/>
      <c r="AF254" s="494"/>
      <c r="AG254" s="494"/>
      <c r="AH254" s="494"/>
      <c r="AI254" s="494"/>
      <c r="AJ254" s="494"/>
      <c r="AK254" s="494"/>
      <c r="AL254" s="494"/>
      <c r="AM254" s="494"/>
      <c r="AN254" s="494"/>
      <c r="AO254" s="494"/>
      <c r="AP254" s="494"/>
      <c r="AQ254" s="494"/>
      <c r="AR254" s="494"/>
      <c r="AS254" s="494"/>
      <c r="AT254" s="494"/>
      <c r="AU254" s="494"/>
      <c r="AV254" s="494"/>
      <c r="AW254" s="494"/>
      <c r="AX254" s="494"/>
    </row>
    <row r="255" spans="1:50" customFormat="1" ht="40.9" customHeight="1" x14ac:dyDescent="0.25">
      <c r="A255" s="492"/>
      <c r="B255" s="687" t="s">
        <v>683</v>
      </c>
      <c r="C255" s="687"/>
      <c r="D255" s="687"/>
      <c r="E255" s="687"/>
      <c r="F255" s="687"/>
      <c r="G255" s="687" t="s">
        <v>684</v>
      </c>
      <c r="H255" s="687"/>
      <c r="I255" s="687"/>
      <c r="J255" s="687"/>
      <c r="K255" s="687" t="s">
        <v>15</v>
      </c>
      <c r="L255" s="687"/>
      <c r="M255" s="687"/>
      <c r="N255" s="687"/>
      <c r="O255" s="687"/>
      <c r="P255" s="687"/>
      <c r="Q255" s="494"/>
      <c r="R255" s="494"/>
      <c r="S255" s="494"/>
      <c r="T255" s="494"/>
      <c r="U255" s="494"/>
      <c r="V255" s="494"/>
      <c r="W255" s="494"/>
      <c r="X255" s="494"/>
      <c r="Y255" s="494"/>
      <c r="Z255" s="494"/>
      <c r="AA255" s="494"/>
      <c r="AB255" s="494"/>
      <c r="AC255" s="494"/>
      <c r="AD255" s="494"/>
      <c r="AE255" s="494"/>
      <c r="AF255" s="494"/>
      <c r="AG255" s="494"/>
      <c r="AH255" s="494"/>
      <c r="AI255" s="494"/>
      <c r="AJ255" s="494"/>
      <c r="AK255" s="494"/>
      <c r="AL255" s="494"/>
      <c r="AM255" s="494"/>
      <c r="AN255" s="494"/>
      <c r="AO255" s="494"/>
      <c r="AP255" s="494"/>
      <c r="AQ255" s="494"/>
      <c r="AR255" s="494"/>
      <c r="AS255" s="494"/>
      <c r="AT255" s="494"/>
      <c r="AU255" s="494"/>
      <c r="AV255" s="494"/>
      <c r="AW255" s="494"/>
      <c r="AX255" s="494"/>
    </row>
    <row r="256" spans="1:50" customFormat="1" ht="95.25" customHeight="1" x14ac:dyDescent="0.25">
      <c r="A256" s="492"/>
      <c r="B256" s="687" t="s">
        <v>778</v>
      </c>
      <c r="C256" s="687"/>
      <c r="D256" s="687"/>
      <c r="E256" s="687"/>
      <c r="F256" s="687"/>
      <c r="G256" s="687" t="s">
        <v>850</v>
      </c>
      <c r="H256" s="687"/>
      <c r="I256" s="687"/>
      <c r="J256" s="687"/>
      <c r="K256" s="687" t="s">
        <v>15</v>
      </c>
      <c r="L256" s="687"/>
      <c r="M256" s="687"/>
      <c r="N256" s="687"/>
      <c r="O256" s="687"/>
      <c r="P256" s="687"/>
      <c r="Q256" s="494"/>
      <c r="R256" s="494"/>
      <c r="S256" s="494"/>
      <c r="T256" s="494"/>
      <c r="U256" s="494"/>
      <c r="V256" s="494"/>
      <c r="W256" s="494"/>
      <c r="X256" s="494"/>
      <c r="Y256" s="494"/>
      <c r="Z256" s="494"/>
      <c r="AA256" s="494"/>
      <c r="AB256" s="494"/>
      <c r="AC256" s="494"/>
      <c r="AD256" s="494"/>
      <c r="AE256" s="494"/>
      <c r="AF256" s="494"/>
      <c r="AG256" s="494"/>
      <c r="AH256" s="494"/>
      <c r="AI256" s="494"/>
      <c r="AJ256" s="494"/>
      <c r="AK256" s="494"/>
      <c r="AL256" s="494"/>
      <c r="AM256" s="494"/>
      <c r="AN256" s="494"/>
      <c r="AO256" s="494"/>
      <c r="AP256" s="494"/>
      <c r="AQ256" s="494"/>
      <c r="AR256" s="494"/>
      <c r="AS256" s="494"/>
      <c r="AT256" s="494"/>
      <c r="AU256" s="494"/>
      <c r="AV256" s="494"/>
      <c r="AW256" s="494"/>
      <c r="AX256" s="494"/>
    </row>
    <row r="257" spans="1:50" customFormat="1" ht="27.2" customHeight="1" x14ac:dyDescent="0.25">
      <c r="A257" s="492"/>
      <c r="B257" s="687" t="s">
        <v>793</v>
      </c>
      <c r="C257" s="687"/>
      <c r="D257" s="687"/>
      <c r="E257" s="687"/>
      <c r="F257" s="687"/>
      <c r="G257" s="687" t="s">
        <v>2253</v>
      </c>
      <c r="H257" s="687"/>
      <c r="I257" s="687"/>
      <c r="J257" s="687"/>
      <c r="K257" s="687" t="s">
        <v>15</v>
      </c>
      <c r="L257" s="687"/>
      <c r="M257" s="687"/>
      <c r="N257" s="687"/>
      <c r="O257" s="687"/>
      <c r="P257" s="687"/>
      <c r="Q257" s="494"/>
      <c r="R257" s="494"/>
      <c r="S257" s="494"/>
      <c r="T257" s="494"/>
      <c r="U257" s="494"/>
      <c r="V257" s="494"/>
      <c r="W257" s="494"/>
      <c r="X257" s="494"/>
      <c r="Y257" s="494"/>
      <c r="Z257" s="494"/>
      <c r="AA257" s="494"/>
      <c r="AB257" s="494"/>
      <c r="AC257" s="494"/>
      <c r="AD257" s="494"/>
      <c r="AE257" s="494"/>
      <c r="AF257" s="494"/>
      <c r="AG257" s="494"/>
      <c r="AH257" s="494"/>
      <c r="AI257" s="494"/>
      <c r="AJ257" s="494"/>
      <c r="AK257" s="494"/>
      <c r="AL257" s="494"/>
      <c r="AM257" s="494"/>
      <c r="AN257" s="494"/>
      <c r="AO257" s="494"/>
      <c r="AP257" s="494"/>
      <c r="AQ257" s="494"/>
      <c r="AR257" s="494"/>
      <c r="AS257" s="494"/>
      <c r="AT257" s="494"/>
      <c r="AU257" s="494"/>
      <c r="AV257" s="494"/>
      <c r="AW257" s="494"/>
      <c r="AX257" s="494"/>
    </row>
    <row r="258" spans="1:50" customFormat="1" x14ac:dyDescent="0.25">
      <c r="A258" s="690" t="s">
        <v>851</v>
      </c>
      <c r="B258" s="690"/>
      <c r="C258" s="690"/>
      <c r="D258" s="690"/>
      <c r="E258" s="690"/>
      <c r="F258" s="690"/>
      <c r="G258" s="690"/>
      <c r="H258" s="690"/>
      <c r="I258" s="690"/>
      <c r="J258" s="690"/>
      <c r="K258" s="690"/>
      <c r="L258" s="690"/>
      <c r="M258" s="690"/>
      <c r="N258" s="690"/>
      <c r="O258" s="690"/>
      <c r="P258" s="690"/>
      <c r="Q258" s="494"/>
      <c r="R258" s="494"/>
      <c r="S258" s="494"/>
      <c r="T258" s="494"/>
      <c r="U258" s="494"/>
      <c r="V258" s="494"/>
      <c r="W258" s="494"/>
      <c r="X258" s="494"/>
      <c r="Y258" s="494"/>
      <c r="Z258" s="494"/>
      <c r="AA258" s="494"/>
      <c r="AB258" s="494"/>
      <c r="AC258" s="494"/>
      <c r="AD258" s="494"/>
      <c r="AE258" s="494"/>
      <c r="AF258" s="494"/>
      <c r="AG258" s="494"/>
      <c r="AH258" s="494"/>
      <c r="AI258" s="494"/>
      <c r="AJ258" s="494"/>
      <c r="AK258" s="494"/>
      <c r="AL258" s="494"/>
      <c r="AM258" s="494"/>
      <c r="AN258" s="494"/>
      <c r="AO258" s="494"/>
      <c r="AP258" s="494"/>
      <c r="AQ258" s="494"/>
      <c r="AR258" s="494"/>
      <c r="AS258" s="494"/>
      <c r="AT258" s="494"/>
      <c r="AU258" s="494"/>
      <c r="AV258" s="494"/>
      <c r="AW258" s="494"/>
      <c r="AX258" s="494"/>
    </row>
    <row r="259" spans="1:50" customFormat="1" x14ac:dyDescent="0.25">
      <c r="A259" s="690" t="s">
        <v>852</v>
      </c>
      <c r="B259" s="690"/>
      <c r="C259" s="690"/>
      <c r="D259" s="690"/>
      <c r="E259" s="690"/>
      <c r="F259" s="690"/>
      <c r="G259" s="690"/>
      <c r="H259" s="690"/>
      <c r="I259" s="690"/>
      <c r="J259" s="690"/>
      <c r="K259" s="690"/>
      <c r="L259" s="690"/>
      <c r="M259" s="690"/>
      <c r="N259" s="690"/>
      <c r="O259" s="690"/>
      <c r="P259" s="690"/>
      <c r="Q259" s="494"/>
      <c r="R259" s="494"/>
      <c r="S259" s="494"/>
      <c r="T259" s="494"/>
      <c r="U259" s="494"/>
      <c r="V259" s="494"/>
      <c r="W259" s="494"/>
      <c r="X259" s="494"/>
      <c r="Y259" s="494"/>
      <c r="Z259" s="494"/>
      <c r="AA259" s="494"/>
      <c r="AB259" s="494"/>
      <c r="AC259" s="494"/>
      <c r="AD259" s="494"/>
      <c r="AE259" s="494"/>
      <c r="AF259" s="494"/>
      <c r="AG259" s="494"/>
      <c r="AH259" s="494"/>
      <c r="AI259" s="494"/>
      <c r="AJ259" s="494"/>
      <c r="AK259" s="494"/>
      <c r="AL259" s="494"/>
      <c r="AM259" s="494"/>
      <c r="AN259" s="494"/>
      <c r="AO259" s="494"/>
      <c r="AP259" s="494"/>
      <c r="AQ259" s="494"/>
      <c r="AR259" s="494"/>
      <c r="AS259" s="494"/>
      <c r="AT259" s="494"/>
      <c r="AU259" s="494"/>
      <c r="AV259" s="494"/>
      <c r="AW259" s="494"/>
      <c r="AX259" s="494"/>
    </row>
    <row r="260" spans="1:50" customFormat="1" ht="135.94999999999999" customHeight="1" x14ac:dyDescent="0.25">
      <c r="A260" s="495" t="s">
        <v>853</v>
      </c>
      <c r="B260" s="692" t="s">
        <v>796</v>
      </c>
      <c r="C260" s="693"/>
      <c r="D260" s="693"/>
      <c r="E260" s="693"/>
      <c r="F260" s="693"/>
      <c r="G260" s="693" t="s">
        <v>854</v>
      </c>
      <c r="H260" s="693"/>
      <c r="I260" s="693"/>
      <c r="J260" s="693"/>
      <c r="K260" s="693" t="s">
        <v>2289</v>
      </c>
      <c r="L260" s="693"/>
      <c r="M260" s="693"/>
      <c r="N260" s="693"/>
      <c r="O260" s="694">
        <f>ROUND((467700 + 398 * (0.4 * 50 + 0.6 * (50 / 2))) * 1 * 0.2 * 1.56 * 0.6 * 0.7, 2)</f>
        <v>63112.800000000003</v>
      </c>
      <c r="P260" s="693"/>
      <c r="Q260" s="494"/>
      <c r="R260" s="494"/>
      <c r="S260" s="494"/>
      <c r="T260" s="494"/>
      <c r="U260" s="494"/>
      <c r="V260" s="494"/>
      <c r="W260" s="494"/>
      <c r="X260" s="494"/>
      <c r="Y260" s="494"/>
      <c r="Z260" s="494"/>
      <c r="AA260" s="494"/>
      <c r="AB260" s="494"/>
      <c r="AC260" s="494"/>
      <c r="AD260" s="494"/>
      <c r="AE260" s="494"/>
      <c r="AF260" s="494"/>
      <c r="AG260" s="494"/>
      <c r="AH260" s="494"/>
      <c r="AI260" s="494"/>
      <c r="AJ260" s="494"/>
      <c r="AK260" s="494"/>
      <c r="AL260" s="494"/>
      <c r="AM260" s="494"/>
      <c r="AN260" s="494"/>
      <c r="AO260" s="494"/>
      <c r="AP260" s="494"/>
      <c r="AQ260" s="494"/>
      <c r="AR260" s="494"/>
      <c r="AS260" s="494"/>
      <c r="AT260" s="494"/>
      <c r="AU260" s="494"/>
      <c r="AV260" s="494"/>
      <c r="AW260" s="494"/>
      <c r="AX260" s="494"/>
    </row>
    <row r="261" spans="1:50" customFormat="1" x14ac:dyDescent="0.25">
      <c r="A261" s="496"/>
      <c r="B261" s="695" t="s">
        <v>564</v>
      </c>
      <c r="C261" s="695"/>
      <c r="D261" s="695"/>
      <c r="E261" s="695"/>
      <c r="F261" s="695"/>
      <c r="G261" s="695" t="s">
        <v>15</v>
      </c>
      <c r="H261" s="695"/>
      <c r="I261" s="695"/>
      <c r="J261" s="695"/>
      <c r="K261" s="695" t="s">
        <v>15</v>
      </c>
      <c r="L261" s="695"/>
      <c r="M261" s="695"/>
      <c r="N261" s="695"/>
      <c r="O261" s="695"/>
      <c r="P261" s="695"/>
      <c r="Q261" s="494"/>
      <c r="R261" s="494"/>
      <c r="S261" s="494"/>
      <c r="T261" s="494"/>
      <c r="U261" s="494"/>
      <c r="V261" s="494"/>
      <c r="W261" s="494"/>
      <c r="X261" s="494"/>
      <c r="Y261" s="494"/>
      <c r="Z261" s="494"/>
      <c r="AA261" s="494"/>
      <c r="AB261" s="494"/>
      <c r="AC261" s="494"/>
      <c r="AD261" s="494"/>
      <c r="AE261" s="494"/>
      <c r="AF261" s="494"/>
      <c r="AG261" s="494"/>
      <c r="AH261" s="494"/>
      <c r="AI261" s="494"/>
      <c r="AJ261" s="494"/>
      <c r="AK261" s="494"/>
      <c r="AL261" s="494"/>
      <c r="AM261" s="494"/>
      <c r="AN261" s="494"/>
      <c r="AO261" s="494"/>
      <c r="AP261" s="494"/>
      <c r="AQ261" s="494"/>
      <c r="AR261" s="494"/>
      <c r="AS261" s="494"/>
      <c r="AT261" s="494"/>
      <c r="AU261" s="494"/>
      <c r="AV261" s="494"/>
      <c r="AW261" s="494"/>
      <c r="AX261" s="494"/>
    </row>
    <row r="262" spans="1:50" customFormat="1" x14ac:dyDescent="0.25">
      <c r="A262" s="492"/>
      <c r="B262" s="687" t="s">
        <v>681</v>
      </c>
      <c r="C262" s="687"/>
      <c r="D262" s="687"/>
      <c r="E262" s="687"/>
      <c r="F262" s="687"/>
      <c r="G262" s="687" t="s">
        <v>682</v>
      </c>
      <c r="H262" s="687"/>
      <c r="I262" s="687"/>
      <c r="J262" s="687"/>
      <c r="K262" s="687" t="s">
        <v>15</v>
      </c>
      <c r="L262" s="687"/>
      <c r="M262" s="687"/>
      <c r="N262" s="687"/>
      <c r="O262" s="687"/>
      <c r="P262" s="687"/>
      <c r="Q262" s="494"/>
      <c r="R262" s="494"/>
      <c r="S262" s="494"/>
      <c r="T262" s="494"/>
      <c r="U262" s="494"/>
      <c r="V262" s="494"/>
      <c r="W262" s="494"/>
      <c r="X262" s="494"/>
      <c r="Y262" s="494"/>
      <c r="Z262" s="494"/>
      <c r="AA262" s="494"/>
      <c r="AB262" s="494"/>
      <c r="AC262" s="494"/>
      <c r="AD262" s="494"/>
      <c r="AE262" s="494"/>
      <c r="AF262" s="494"/>
      <c r="AG262" s="494"/>
      <c r="AH262" s="494"/>
      <c r="AI262" s="494"/>
      <c r="AJ262" s="494"/>
      <c r="AK262" s="494"/>
      <c r="AL262" s="494"/>
      <c r="AM262" s="494"/>
      <c r="AN262" s="494"/>
      <c r="AO262" s="494"/>
      <c r="AP262" s="494"/>
      <c r="AQ262" s="494"/>
      <c r="AR262" s="494"/>
      <c r="AS262" s="494"/>
      <c r="AT262" s="494"/>
      <c r="AU262" s="494"/>
      <c r="AV262" s="494"/>
      <c r="AW262" s="494"/>
      <c r="AX262" s="494"/>
    </row>
    <row r="263" spans="1:50" customFormat="1" ht="40.9" customHeight="1" x14ac:dyDescent="0.25">
      <c r="A263" s="492"/>
      <c r="B263" s="687" t="s">
        <v>683</v>
      </c>
      <c r="C263" s="687"/>
      <c r="D263" s="687"/>
      <c r="E263" s="687"/>
      <c r="F263" s="687"/>
      <c r="G263" s="687" t="s">
        <v>684</v>
      </c>
      <c r="H263" s="687"/>
      <c r="I263" s="687"/>
      <c r="J263" s="687"/>
      <c r="K263" s="687" t="s">
        <v>15</v>
      </c>
      <c r="L263" s="687"/>
      <c r="M263" s="687"/>
      <c r="N263" s="687"/>
      <c r="O263" s="687"/>
      <c r="P263" s="687"/>
      <c r="Q263" s="494"/>
      <c r="R263" s="494"/>
      <c r="S263" s="494"/>
      <c r="T263" s="494"/>
      <c r="U263" s="494"/>
      <c r="V263" s="494"/>
      <c r="W263" s="494"/>
      <c r="X263" s="494"/>
      <c r="Y263" s="494"/>
      <c r="Z263" s="494"/>
      <c r="AA263" s="494"/>
      <c r="AB263" s="494"/>
      <c r="AC263" s="494"/>
      <c r="AD263" s="494"/>
      <c r="AE263" s="494"/>
      <c r="AF263" s="494"/>
      <c r="AG263" s="494"/>
      <c r="AH263" s="494"/>
      <c r="AI263" s="494"/>
      <c r="AJ263" s="494"/>
      <c r="AK263" s="494"/>
      <c r="AL263" s="494"/>
      <c r="AM263" s="494"/>
      <c r="AN263" s="494"/>
      <c r="AO263" s="494"/>
      <c r="AP263" s="494"/>
      <c r="AQ263" s="494"/>
      <c r="AR263" s="494"/>
      <c r="AS263" s="494"/>
      <c r="AT263" s="494"/>
      <c r="AU263" s="494"/>
      <c r="AV263" s="494"/>
      <c r="AW263" s="494"/>
      <c r="AX263" s="494"/>
    </row>
    <row r="264" spans="1:50" customFormat="1" ht="95.25" customHeight="1" x14ac:dyDescent="0.25">
      <c r="A264" s="492"/>
      <c r="B264" s="687" t="s">
        <v>778</v>
      </c>
      <c r="C264" s="687"/>
      <c r="D264" s="687"/>
      <c r="E264" s="687"/>
      <c r="F264" s="687"/>
      <c r="G264" s="687" t="s">
        <v>845</v>
      </c>
      <c r="H264" s="687"/>
      <c r="I264" s="687"/>
      <c r="J264" s="687"/>
      <c r="K264" s="687" t="s">
        <v>15</v>
      </c>
      <c r="L264" s="687"/>
      <c r="M264" s="687"/>
      <c r="N264" s="687"/>
      <c r="O264" s="687"/>
      <c r="P264" s="687"/>
      <c r="Q264" s="494"/>
      <c r="R264" s="494"/>
      <c r="S264" s="494"/>
      <c r="T264" s="494"/>
      <c r="U264" s="494"/>
      <c r="V264" s="494"/>
      <c r="W264" s="494"/>
      <c r="X264" s="494"/>
      <c r="Y264" s="494"/>
      <c r="Z264" s="494"/>
      <c r="AA264" s="494"/>
      <c r="AB264" s="494"/>
      <c r="AC264" s="494"/>
      <c r="AD264" s="494"/>
      <c r="AE264" s="494"/>
      <c r="AF264" s="494"/>
      <c r="AG264" s="494"/>
      <c r="AH264" s="494"/>
      <c r="AI264" s="494"/>
      <c r="AJ264" s="494"/>
      <c r="AK264" s="494"/>
      <c r="AL264" s="494"/>
      <c r="AM264" s="494"/>
      <c r="AN264" s="494"/>
      <c r="AO264" s="494"/>
      <c r="AP264" s="494"/>
      <c r="AQ264" s="494"/>
      <c r="AR264" s="494"/>
      <c r="AS264" s="494"/>
      <c r="AT264" s="494"/>
      <c r="AU264" s="494"/>
      <c r="AV264" s="494"/>
      <c r="AW264" s="494"/>
      <c r="AX264" s="494"/>
    </row>
    <row r="265" spans="1:50" customFormat="1" ht="27.2" customHeight="1" x14ac:dyDescent="0.25">
      <c r="A265" s="492"/>
      <c r="B265" s="687" t="s">
        <v>793</v>
      </c>
      <c r="C265" s="687"/>
      <c r="D265" s="687"/>
      <c r="E265" s="687"/>
      <c r="F265" s="687"/>
      <c r="G265" s="687" t="s">
        <v>2253</v>
      </c>
      <c r="H265" s="687"/>
      <c r="I265" s="687"/>
      <c r="J265" s="687"/>
      <c r="K265" s="687" t="s">
        <v>15</v>
      </c>
      <c r="L265" s="687"/>
      <c r="M265" s="687"/>
      <c r="N265" s="687"/>
      <c r="O265" s="687"/>
      <c r="P265" s="687"/>
      <c r="Q265" s="494"/>
      <c r="R265" s="494"/>
      <c r="S265" s="494"/>
      <c r="T265" s="494"/>
      <c r="U265" s="494"/>
      <c r="V265" s="494"/>
      <c r="W265" s="494"/>
      <c r="X265" s="494"/>
      <c r="Y265" s="494"/>
      <c r="Z265" s="494"/>
      <c r="AA265" s="494"/>
      <c r="AB265" s="494"/>
      <c r="AC265" s="494"/>
      <c r="AD265" s="494"/>
      <c r="AE265" s="494"/>
      <c r="AF265" s="494"/>
      <c r="AG265" s="494"/>
      <c r="AH265" s="494"/>
      <c r="AI265" s="494"/>
      <c r="AJ265" s="494"/>
      <c r="AK265" s="494"/>
      <c r="AL265" s="494"/>
      <c r="AM265" s="494"/>
      <c r="AN265" s="494"/>
      <c r="AO265" s="494"/>
      <c r="AP265" s="494"/>
      <c r="AQ265" s="494"/>
      <c r="AR265" s="494"/>
      <c r="AS265" s="494"/>
      <c r="AT265" s="494"/>
      <c r="AU265" s="494"/>
      <c r="AV265" s="494"/>
      <c r="AW265" s="494"/>
      <c r="AX265" s="494"/>
    </row>
    <row r="266" spans="1:50" customFormat="1" x14ac:dyDescent="0.25">
      <c r="A266" s="690" t="s">
        <v>855</v>
      </c>
      <c r="B266" s="690"/>
      <c r="C266" s="690"/>
      <c r="D266" s="690"/>
      <c r="E266" s="690"/>
      <c r="F266" s="690"/>
      <c r="G266" s="690"/>
      <c r="H266" s="690"/>
      <c r="I266" s="690"/>
      <c r="J266" s="690"/>
      <c r="K266" s="690"/>
      <c r="L266" s="690"/>
      <c r="M266" s="690"/>
      <c r="N266" s="690"/>
      <c r="O266" s="690"/>
      <c r="P266" s="690"/>
      <c r="Q266" s="494"/>
      <c r="R266" s="494"/>
      <c r="S266" s="494"/>
      <c r="T266" s="494"/>
      <c r="U266" s="494"/>
      <c r="V266" s="494"/>
      <c r="W266" s="494"/>
      <c r="X266" s="494"/>
      <c r="Y266" s="494"/>
      <c r="Z266" s="494"/>
      <c r="AA266" s="494"/>
      <c r="AB266" s="494"/>
      <c r="AC266" s="494"/>
      <c r="AD266" s="494"/>
      <c r="AE266" s="494"/>
      <c r="AF266" s="494"/>
      <c r="AG266" s="494"/>
      <c r="AH266" s="494"/>
      <c r="AI266" s="494"/>
      <c r="AJ266" s="494"/>
      <c r="AK266" s="494"/>
      <c r="AL266" s="494"/>
      <c r="AM266" s="494"/>
      <c r="AN266" s="494"/>
      <c r="AO266" s="494"/>
      <c r="AP266" s="494"/>
      <c r="AQ266" s="494"/>
      <c r="AR266" s="494"/>
      <c r="AS266" s="494"/>
      <c r="AT266" s="494"/>
      <c r="AU266" s="494"/>
      <c r="AV266" s="494"/>
      <c r="AW266" s="494"/>
      <c r="AX266" s="494"/>
    </row>
    <row r="267" spans="1:50" customFormat="1" ht="95.25" customHeight="1" x14ac:dyDescent="0.25">
      <c r="A267" s="495" t="s">
        <v>856</v>
      </c>
      <c r="B267" s="692" t="s">
        <v>769</v>
      </c>
      <c r="C267" s="693"/>
      <c r="D267" s="693"/>
      <c r="E267" s="693"/>
      <c r="F267" s="693"/>
      <c r="G267" s="693" t="s">
        <v>770</v>
      </c>
      <c r="H267" s="693"/>
      <c r="I267" s="693"/>
      <c r="J267" s="693"/>
      <c r="K267" s="693" t="s">
        <v>2256</v>
      </c>
      <c r="L267" s="693"/>
      <c r="M267" s="693"/>
      <c r="N267" s="693"/>
      <c r="O267" s="694">
        <f>ROUND(990600 * 1 * 1.56 * 0.6 * 0.7, 2)</f>
        <v>649041.12</v>
      </c>
      <c r="P267" s="693"/>
      <c r="Q267" s="494"/>
      <c r="R267" s="494"/>
      <c r="S267" s="494"/>
      <c r="T267" s="494"/>
      <c r="U267" s="494"/>
      <c r="V267" s="494"/>
      <c r="W267" s="494"/>
      <c r="X267" s="494"/>
      <c r="Y267" s="494"/>
      <c r="Z267" s="494"/>
      <c r="AA267" s="494"/>
      <c r="AB267" s="494"/>
      <c r="AC267" s="494"/>
      <c r="AD267" s="494"/>
      <c r="AE267" s="494"/>
      <c r="AF267" s="494"/>
      <c r="AG267" s="494"/>
      <c r="AH267" s="494"/>
      <c r="AI267" s="494"/>
      <c r="AJ267" s="494"/>
      <c r="AK267" s="494"/>
      <c r="AL267" s="494"/>
      <c r="AM267" s="494"/>
      <c r="AN267" s="494"/>
      <c r="AO267" s="494"/>
      <c r="AP267" s="494"/>
      <c r="AQ267" s="494"/>
      <c r="AR267" s="494"/>
      <c r="AS267" s="494"/>
      <c r="AT267" s="494"/>
      <c r="AU267" s="494"/>
      <c r="AV267" s="494"/>
      <c r="AW267" s="494"/>
      <c r="AX267" s="494"/>
    </row>
    <row r="268" spans="1:50" customFormat="1" x14ac:dyDescent="0.25">
      <c r="A268" s="496"/>
      <c r="B268" s="695" t="s">
        <v>564</v>
      </c>
      <c r="C268" s="695"/>
      <c r="D268" s="695"/>
      <c r="E268" s="695"/>
      <c r="F268" s="695"/>
      <c r="G268" s="695" t="s">
        <v>15</v>
      </c>
      <c r="H268" s="695"/>
      <c r="I268" s="695"/>
      <c r="J268" s="695"/>
      <c r="K268" s="695" t="s">
        <v>15</v>
      </c>
      <c r="L268" s="695"/>
      <c r="M268" s="695"/>
      <c r="N268" s="695"/>
      <c r="O268" s="695"/>
      <c r="P268" s="695"/>
      <c r="Q268" s="494"/>
      <c r="R268" s="494"/>
      <c r="S268" s="494"/>
      <c r="T268" s="494"/>
      <c r="U268" s="494"/>
      <c r="V268" s="494"/>
      <c r="W268" s="494"/>
      <c r="X268" s="494"/>
      <c r="Y268" s="494"/>
      <c r="Z268" s="494"/>
      <c r="AA268" s="494"/>
      <c r="AB268" s="494"/>
      <c r="AC268" s="494"/>
      <c r="AD268" s="494"/>
      <c r="AE268" s="494"/>
      <c r="AF268" s="494"/>
      <c r="AG268" s="494"/>
      <c r="AH268" s="494"/>
      <c r="AI268" s="494"/>
      <c r="AJ268" s="494"/>
      <c r="AK268" s="494"/>
      <c r="AL268" s="494"/>
      <c r="AM268" s="494"/>
      <c r="AN268" s="494"/>
      <c r="AO268" s="494"/>
      <c r="AP268" s="494"/>
      <c r="AQ268" s="494"/>
      <c r="AR268" s="494"/>
      <c r="AS268" s="494"/>
      <c r="AT268" s="494"/>
      <c r="AU268" s="494"/>
      <c r="AV268" s="494"/>
      <c r="AW268" s="494"/>
      <c r="AX268" s="494"/>
    </row>
    <row r="269" spans="1:50" customFormat="1" x14ac:dyDescent="0.25">
      <c r="A269" s="492"/>
      <c r="B269" s="687" t="s">
        <v>681</v>
      </c>
      <c r="C269" s="687"/>
      <c r="D269" s="687"/>
      <c r="E269" s="687"/>
      <c r="F269" s="687"/>
      <c r="G269" s="687" t="s">
        <v>682</v>
      </c>
      <c r="H269" s="687"/>
      <c r="I269" s="687"/>
      <c r="J269" s="687"/>
      <c r="K269" s="687" t="s">
        <v>15</v>
      </c>
      <c r="L269" s="687"/>
      <c r="M269" s="687"/>
      <c r="N269" s="687"/>
      <c r="O269" s="687"/>
      <c r="P269" s="687"/>
      <c r="Q269" s="494"/>
      <c r="R269" s="494"/>
      <c r="S269" s="494"/>
      <c r="T269" s="494"/>
      <c r="U269" s="494"/>
      <c r="V269" s="494"/>
      <c r="W269" s="494"/>
      <c r="X269" s="494"/>
      <c r="Y269" s="494"/>
      <c r="Z269" s="494"/>
      <c r="AA269" s="494"/>
      <c r="AB269" s="494"/>
      <c r="AC269" s="494"/>
      <c r="AD269" s="494"/>
      <c r="AE269" s="494"/>
      <c r="AF269" s="494"/>
      <c r="AG269" s="494"/>
      <c r="AH269" s="494"/>
      <c r="AI269" s="494"/>
      <c r="AJ269" s="494"/>
      <c r="AK269" s="494"/>
      <c r="AL269" s="494"/>
      <c r="AM269" s="494"/>
      <c r="AN269" s="494"/>
      <c r="AO269" s="494"/>
      <c r="AP269" s="494"/>
      <c r="AQ269" s="494"/>
      <c r="AR269" s="494"/>
      <c r="AS269" s="494"/>
      <c r="AT269" s="494"/>
      <c r="AU269" s="494"/>
      <c r="AV269" s="494"/>
      <c r="AW269" s="494"/>
      <c r="AX269" s="494"/>
    </row>
    <row r="270" spans="1:50" customFormat="1" ht="40.9" customHeight="1" x14ac:dyDescent="0.25">
      <c r="A270" s="492"/>
      <c r="B270" s="687" t="s">
        <v>683</v>
      </c>
      <c r="C270" s="687"/>
      <c r="D270" s="687"/>
      <c r="E270" s="687"/>
      <c r="F270" s="687"/>
      <c r="G270" s="687" t="s">
        <v>684</v>
      </c>
      <c r="H270" s="687"/>
      <c r="I270" s="687"/>
      <c r="J270" s="687"/>
      <c r="K270" s="687" t="s">
        <v>15</v>
      </c>
      <c r="L270" s="687"/>
      <c r="M270" s="687"/>
      <c r="N270" s="687"/>
      <c r="O270" s="687"/>
      <c r="P270" s="687"/>
      <c r="Q270" s="494"/>
      <c r="R270" s="494"/>
      <c r="S270" s="494"/>
      <c r="T270" s="494"/>
      <c r="U270" s="494"/>
      <c r="V270" s="494"/>
      <c r="W270" s="494"/>
      <c r="X270" s="494"/>
      <c r="Y270" s="494"/>
      <c r="Z270" s="494"/>
      <c r="AA270" s="494"/>
      <c r="AB270" s="494"/>
      <c r="AC270" s="494"/>
      <c r="AD270" s="494"/>
      <c r="AE270" s="494"/>
      <c r="AF270" s="494"/>
      <c r="AG270" s="494"/>
      <c r="AH270" s="494"/>
      <c r="AI270" s="494"/>
      <c r="AJ270" s="494"/>
      <c r="AK270" s="494"/>
      <c r="AL270" s="494"/>
      <c r="AM270" s="494"/>
      <c r="AN270" s="494"/>
      <c r="AO270" s="494"/>
      <c r="AP270" s="494"/>
      <c r="AQ270" s="494"/>
      <c r="AR270" s="494"/>
      <c r="AS270" s="494"/>
      <c r="AT270" s="494"/>
      <c r="AU270" s="494"/>
      <c r="AV270" s="494"/>
      <c r="AW270" s="494"/>
      <c r="AX270" s="494"/>
    </row>
    <row r="271" spans="1:50" customFormat="1" ht="27.2" customHeight="1" x14ac:dyDescent="0.25">
      <c r="A271" s="492"/>
      <c r="B271" s="687" t="s">
        <v>793</v>
      </c>
      <c r="C271" s="687"/>
      <c r="D271" s="687"/>
      <c r="E271" s="687"/>
      <c r="F271" s="687"/>
      <c r="G271" s="687" t="s">
        <v>2253</v>
      </c>
      <c r="H271" s="687"/>
      <c r="I271" s="687"/>
      <c r="J271" s="687"/>
      <c r="K271" s="687" t="s">
        <v>15</v>
      </c>
      <c r="L271" s="687"/>
      <c r="M271" s="687"/>
      <c r="N271" s="687"/>
      <c r="O271" s="687"/>
      <c r="P271" s="687"/>
      <c r="Q271" s="494"/>
      <c r="R271" s="494"/>
      <c r="S271" s="494"/>
      <c r="T271" s="494"/>
      <c r="U271" s="494"/>
      <c r="V271" s="494"/>
      <c r="W271" s="494"/>
      <c r="X271" s="494"/>
      <c r="Y271" s="494"/>
      <c r="Z271" s="494"/>
      <c r="AA271" s="494"/>
      <c r="AB271" s="494"/>
      <c r="AC271" s="494"/>
      <c r="AD271" s="494"/>
      <c r="AE271" s="494"/>
      <c r="AF271" s="494"/>
      <c r="AG271" s="494"/>
      <c r="AH271" s="494"/>
      <c r="AI271" s="494"/>
      <c r="AJ271" s="494"/>
      <c r="AK271" s="494"/>
      <c r="AL271" s="494"/>
      <c r="AM271" s="494"/>
      <c r="AN271" s="494"/>
      <c r="AO271" s="494"/>
      <c r="AP271" s="494"/>
      <c r="AQ271" s="494"/>
      <c r="AR271" s="494"/>
      <c r="AS271" s="494"/>
      <c r="AT271" s="494"/>
      <c r="AU271" s="494"/>
      <c r="AV271" s="494"/>
      <c r="AW271" s="494"/>
      <c r="AX271" s="494"/>
    </row>
    <row r="272" spans="1:50" customFormat="1" x14ac:dyDescent="0.25">
      <c r="A272" s="690" t="s">
        <v>857</v>
      </c>
      <c r="B272" s="690"/>
      <c r="C272" s="690"/>
      <c r="D272" s="690"/>
      <c r="E272" s="690"/>
      <c r="F272" s="690"/>
      <c r="G272" s="690"/>
      <c r="H272" s="690"/>
      <c r="I272" s="690"/>
      <c r="J272" s="690"/>
      <c r="K272" s="690"/>
      <c r="L272" s="690"/>
      <c r="M272" s="690"/>
      <c r="N272" s="690"/>
      <c r="O272" s="690"/>
      <c r="P272" s="690"/>
      <c r="Q272" s="494"/>
      <c r="R272" s="494"/>
      <c r="S272" s="494"/>
      <c r="T272" s="494"/>
      <c r="U272" s="494"/>
      <c r="V272" s="494"/>
      <c r="W272" s="494"/>
      <c r="X272" s="494"/>
      <c r="Y272" s="494"/>
      <c r="Z272" s="494"/>
      <c r="AA272" s="494"/>
      <c r="AB272" s="494"/>
      <c r="AC272" s="494"/>
      <c r="AD272" s="494"/>
      <c r="AE272" s="494"/>
      <c r="AF272" s="494"/>
      <c r="AG272" s="494"/>
      <c r="AH272" s="494"/>
      <c r="AI272" s="494"/>
      <c r="AJ272" s="494"/>
      <c r="AK272" s="494"/>
      <c r="AL272" s="494"/>
      <c r="AM272" s="494"/>
      <c r="AN272" s="494"/>
      <c r="AO272" s="494"/>
      <c r="AP272" s="494"/>
      <c r="AQ272" s="494"/>
      <c r="AR272" s="494"/>
      <c r="AS272" s="494"/>
      <c r="AT272" s="494"/>
      <c r="AU272" s="494"/>
      <c r="AV272" s="494"/>
      <c r="AW272" s="494"/>
      <c r="AX272" s="494"/>
    </row>
    <row r="273" spans="1:50" customFormat="1" ht="81.599999999999994" customHeight="1" x14ac:dyDescent="0.25">
      <c r="A273" s="495" t="s">
        <v>858</v>
      </c>
      <c r="B273" s="692" t="s">
        <v>859</v>
      </c>
      <c r="C273" s="693"/>
      <c r="D273" s="693"/>
      <c r="E273" s="693"/>
      <c r="F273" s="693"/>
      <c r="G273" s="693" t="s">
        <v>860</v>
      </c>
      <c r="H273" s="693"/>
      <c r="I273" s="693"/>
      <c r="J273" s="693"/>
      <c r="K273" s="693" t="s">
        <v>2290</v>
      </c>
      <c r="L273" s="693"/>
      <c r="M273" s="693"/>
      <c r="N273" s="693"/>
      <c r="O273" s="694">
        <f>ROUND(556100 * 1 * 1.56 * 0.6 * 0.7, 2)</f>
        <v>364356.72</v>
      </c>
      <c r="P273" s="693"/>
      <c r="Q273" s="494"/>
      <c r="R273" s="494"/>
      <c r="S273" s="494"/>
      <c r="T273" s="494"/>
      <c r="U273" s="494"/>
      <c r="V273" s="494"/>
      <c r="W273" s="494"/>
      <c r="X273" s="494"/>
      <c r="Y273" s="494"/>
      <c r="Z273" s="494"/>
      <c r="AA273" s="494"/>
      <c r="AB273" s="494"/>
      <c r="AC273" s="494"/>
      <c r="AD273" s="494"/>
      <c r="AE273" s="494"/>
      <c r="AF273" s="494"/>
      <c r="AG273" s="494"/>
      <c r="AH273" s="494"/>
      <c r="AI273" s="494"/>
      <c r="AJ273" s="494"/>
      <c r="AK273" s="494"/>
      <c r="AL273" s="494"/>
      <c r="AM273" s="494"/>
      <c r="AN273" s="494"/>
      <c r="AO273" s="494"/>
      <c r="AP273" s="494"/>
      <c r="AQ273" s="494"/>
      <c r="AR273" s="494"/>
      <c r="AS273" s="494"/>
      <c r="AT273" s="494"/>
      <c r="AU273" s="494"/>
      <c r="AV273" s="494"/>
      <c r="AW273" s="494"/>
      <c r="AX273" s="494"/>
    </row>
    <row r="274" spans="1:50" customFormat="1" x14ac:dyDescent="0.25">
      <c r="A274" s="496"/>
      <c r="B274" s="695" t="s">
        <v>564</v>
      </c>
      <c r="C274" s="695"/>
      <c r="D274" s="695"/>
      <c r="E274" s="695"/>
      <c r="F274" s="695"/>
      <c r="G274" s="695" t="s">
        <v>15</v>
      </c>
      <c r="H274" s="695"/>
      <c r="I274" s="695"/>
      <c r="J274" s="695"/>
      <c r="K274" s="695" t="s">
        <v>15</v>
      </c>
      <c r="L274" s="695"/>
      <c r="M274" s="695"/>
      <c r="N274" s="695"/>
      <c r="O274" s="695"/>
      <c r="P274" s="695"/>
      <c r="Q274" s="494"/>
      <c r="R274" s="494"/>
      <c r="S274" s="494"/>
      <c r="T274" s="494"/>
      <c r="U274" s="494"/>
      <c r="V274" s="494"/>
      <c r="W274" s="494"/>
      <c r="X274" s="494"/>
      <c r="Y274" s="494"/>
      <c r="Z274" s="494"/>
      <c r="AA274" s="494"/>
      <c r="AB274" s="494"/>
      <c r="AC274" s="494"/>
      <c r="AD274" s="494"/>
      <c r="AE274" s="494"/>
      <c r="AF274" s="494"/>
      <c r="AG274" s="494"/>
      <c r="AH274" s="494"/>
      <c r="AI274" s="494"/>
      <c r="AJ274" s="494"/>
      <c r="AK274" s="494"/>
      <c r="AL274" s="494"/>
      <c r="AM274" s="494"/>
      <c r="AN274" s="494"/>
      <c r="AO274" s="494"/>
      <c r="AP274" s="494"/>
      <c r="AQ274" s="494"/>
      <c r="AR274" s="494"/>
      <c r="AS274" s="494"/>
      <c r="AT274" s="494"/>
      <c r="AU274" s="494"/>
      <c r="AV274" s="494"/>
      <c r="AW274" s="494"/>
      <c r="AX274" s="494"/>
    </row>
    <row r="275" spans="1:50" customFormat="1" x14ac:dyDescent="0.25">
      <c r="A275" s="492"/>
      <c r="B275" s="687" t="s">
        <v>681</v>
      </c>
      <c r="C275" s="687"/>
      <c r="D275" s="687"/>
      <c r="E275" s="687"/>
      <c r="F275" s="687"/>
      <c r="G275" s="687" t="s">
        <v>682</v>
      </c>
      <c r="H275" s="687"/>
      <c r="I275" s="687"/>
      <c r="J275" s="687"/>
      <c r="K275" s="687" t="s">
        <v>15</v>
      </c>
      <c r="L275" s="687"/>
      <c r="M275" s="687"/>
      <c r="N275" s="687"/>
      <c r="O275" s="687"/>
      <c r="P275" s="687"/>
      <c r="Q275" s="494"/>
      <c r="R275" s="494"/>
      <c r="S275" s="494"/>
      <c r="T275" s="494"/>
      <c r="U275" s="494"/>
      <c r="V275" s="494"/>
      <c r="W275" s="494"/>
      <c r="X275" s="494"/>
      <c r="Y275" s="494"/>
      <c r="Z275" s="494"/>
      <c r="AA275" s="494"/>
      <c r="AB275" s="494"/>
      <c r="AC275" s="494"/>
      <c r="AD275" s="494"/>
      <c r="AE275" s="494"/>
      <c r="AF275" s="494"/>
      <c r="AG275" s="494"/>
      <c r="AH275" s="494"/>
      <c r="AI275" s="494"/>
      <c r="AJ275" s="494"/>
      <c r="AK275" s="494"/>
      <c r="AL275" s="494"/>
      <c r="AM275" s="494"/>
      <c r="AN275" s="494"/>
      <c r="AO275" s="494"/>
      <c r="AP275" s="494"/>
      <c r="AQ275" s="494"/>
      <c r="AR275" s="494"/>
      <c r="AS275" s="494"/>
      <c r="AT275" s="494"/>
      <c r="AU275" s="494"/>
      <c r="AV275" s="494"/>
      <c r="AW275" s="494"/>
      <c r="AX275" s="494"/>
    </row>
    <row r="276" spans="1:50" customFormat="1" ht="40.9" customHeight="1" x14ac:dyDescent="0.25">
      <c r="A276" s="492"/>
      <c r="B276" s="687" t="s">
        <v>683</v>
      </c>
      <c r="C276" s="687"/>
      <c r="D276" s="687"/>
      <c r="E276" s="687"/>
      <c r="F276" s="687"/>
      <c r="G276" s="687" t="s">
        <v>684</v>
      </c>
      <c r="H276" s="687"/>
      <c r="I276" s="687"/>
      <c r="J276" s="687"/>
      <c r="K276" s="687" t="s">
        <v>15</v>
      </c>
      <c r="L276" s="687"/>
      <c r="M276" s="687"/>
      <c r="N276" s="687"/>
      <c r="O276" s="687"/>
      <c r="P276" s="687"/>
      <c r="Q276" s="494"/>
      <c r="R276" s="494"/>
      <c r="S276" s="494"/>
      <c r="T276" s="494"/>
      <c r="U276" s="494"/>
      <c r="V276" s="494"/>
      <c r="W276" s="494"/>
      <c r="X276" s="494"/>
      <c r="Y276" s="494"/>
      <c r="Z276" s="494"/>
      <c r="AA276" s="494"/>
      <c r="AB276" s="494"/>
      <c r="AC276" s="494"/>
      <c r="AD276" s="494"/>
      <c r="AE276" s="494"/>
      <c r="AF276" s="494"/>
      <c r="AG276" s="494"/>
      <c r="AH276" s="494"/>
      <c r="AI276" s="494"/>
      <c r="AJ276" s="494"/>
      <c r="AK276" s="494"/>
      <c r="AL276" s="494"/>
      <c r="AM276" s="494"/>
      <c r="AN276" s="494"/>
      <c r="AO276" s="494"/>
      <c r="AP276" s="494"/>
      <c r="AQ276" s="494"/>
      <c r="AR276" s="494"/>
      <c r="AS276" s="494"/>
      <c r="AT276" s="494"/>
      <c r="AU276" s="494"/>
      <c r="AV276" s="494"/>
      <c r="AW276" s="494"/>
      <c r="AX276" s="494"/>
    </row>
    <row r="277" spans="1:50" customFormat="1" ht="27.2" customHeight="1" x14ac:dyDescent="0.25">
      <c r="A277" s="492"/>
      <c r="B277" s="687" t="s">
        <v>793</v>
      </c>
      <c r="C277" s="687"/>
      <c r="D277" s="687"/>
      <c r="E277" s="687"/>
      <c r="F277" s="687"/>
      <c r="G277" s="687" t="s">
        <v>2253</v>
      </c>
      <c r="H277" s="687"/>
      <c r="I277" s="687"/>
      <c r="J277" s="687"/>
      <c r="K277" s="687" t="s">
        <v>15</v>
      </c>
      <c r="L277" s="687"/>
      <c r="M277" s="687"/>
      <c r="N277" s="687"/>
      <c r="O277" s="687"/>
      <c r="P277" s="687"/>
      <c r="Q277" s="494"/>
      <c r="R277" s="494"/>
      <c r="S277" s="494"/>
      <c r="T277" s="494"/>
      <c r="U277" s="494"/>
      <c r="V277" s="494"/>
      <c r="W277" s="494"/>
      <c r="X277" s="494"/>
      <c r="Y277" s="494"/>
      <c r="Z277" s="494"/>
      <c r="AA277" s="494"/>
      <c r="AB277" s="494"/>
      <c r="AC277" s="494"/>
      <c r="AD277" s="494"/>
      <c r="AE277" s="494"/>
      <c r="AF277" s="494"/>
      <c r="AG277" s="494"/>
      <c r="AH277" s="494"/>
      <c r="AI277" s="494"/>
      <c r="AJ277" s="494"/>
      <c r="AK277" s="494"/>
      <c r="AL277" s="494"/>
      <c r="AM277" s="494"/>
      <c r="AN277" s="494"/>
      <c r="AO277" s="494"/>
      <c r="AP277" s="494"/>
      <c r="AQ277" s="494"/>
      <c r="AR277" s="494"/>
      <c r="AS277" s="494"/>
      <c r="AT277" s="494"/>
      <c r="AU277" s="494"/>
      <c r="AV277" s="494"/>
      <c r="AW277" s="494"/>
      <c r="AX277" s="494"/>
    </row>
    <row r="278" spans="1:50" customFormat="1" x14ac:dyDescent="0.25">
      <c r="A278" s="690" t="s">
        <v>2291</v>
      </c>
      <c r="B278" s="690"/>
      <c r="C278" s="690"/>
      <c r="D278" s="690"/>
      <c r="E278" s="690"/>
      <c r="F278" s="690"/>
      <c r="G278" s="690"/>
      <c r="H278" s="690"/>
      <c r="I278" s="690"/>
      <c r="J278" s="690"/>
      <c r="K278" s="690"/>
      <c r="L278" s="690"/>
      <c r="M278" s="690"/>
      <c r="N278" s="690"/>
      <c r="O278" s="690"/>
      <c r="P278" s="690"/>
      <c r="Q278" s="494"/>
      <c r="R278" s="494"/>
      <c r="S278" s="494"/>
      <c r="T278" s="494"/>
      <c r="U278" s="494"/>
      <c r="V278" s="494"/>
      <c r="W278" s="494"/>
      <c r="X278" s="494"/>
      <c r="Y278" s="494"/>
      <c r="Z278" s="494"/>
      <c r="AA278" s="494"/>
      <c r="AB278" s="494"/>
      <c r="AC278" s="494"/>
      <c r="AD278" s="494"/>
      <c r="AE278" s="494"/>
      <c r="AF278" s="494"/>
      <c r="AG278" s="494"/>
      <c r="AH278" s="494"/>
      <c r="AI278" s="494"/>
      <c r="AJ278" s="494"/>
      <c r="AK278" s="494"/>
      <c r="AL278" s="494"/>
      <c r="AM278" s="494"/>
      <c r="AN278" s="494"/>
      <c r="AO278" s="494"/>
      <c r="AP278" s="494"/>
      <c r="AQ278" s="494"/>
      <c r="AR278" s="494"/>
      <c r="AS278" s="494"/>
      <c r="AT278" s="494"/>
      <c r="AU278" s="494"/>
      <c r="AV278" s="494"/>
      <c r="AW278" s="494"/>
      <c r="AX278" s="494"/>
    </row>
    <row r="279" spans="1:50" customFormat="1" ht="135.94999999999999" customHeight="1" x14ac:dyDescent="0.25">
      <c r="A279" s="495" t="s">
        <v>2292</v>
      </c>
      <c r="B279" s="692" t="s">
        <v>964</v>
      </c>
      <c r="C279" s="693"/>
      <c r="D279" s="693"/>
      <c r="E279" s="693"/>
      <c r="F279" s="693"/>
      <c r="G279" s="693" t="s">
        <v>2293</v>
      </c>
      <c r="H279" s="693"/>
      <c r="I279" s="693"/>
      <c r="J279" s="693"/>
      <c r="K279" s="693" t="s">
        <v>2294</v>
      </c>
      <c r="L279" s="693"/>
      <c r="M279" s="693"/>
      <c r="N279" s="693"/>
      <c r="O279" s="694">
        <f>ROUND((4367000 + 13577 * (0.4 * 50 + 0.6 * 44.633)) * 1 * 1.56 * 0.6 * 0.7, 2)</f>
        <v>3277395.15</v>
      </c>
      <c r="P279" s="693"/>
      <c r="Q279" s="494"/>
      <c r="R279" s="494"/>
      <c r="S279" s="494"/>
      <c r="T279" s="494"/>
      <c r="U279" s="494"/>
      <c r="V279" s="494"/>
      <c r="W279" s="494"/>
      <c r="X279" s="494"/>
      <c r="Y279" s="494"/>
      <c r="Z279" s="494"/>
      <c r="AA279" s="494"/>
      <c r="AB279" s="494"/>
      <c r="AC279" s="494"/>
      <c r="AD279" s="494"/>
      <c r="AE279" s="494"/>
      <c r="AF279" s="494"/>
      <c r="AG279" s="494"/>
      <c r="AH279" s="494"/>
      <c r="AI279" s="494"/>
      <c r="AJ279" s="494"/>
      <c r="AK279" s="494"/>
      <c r="AL279" s="494"/>
      <c r="AM279" s="494"/>
      <c r="AN279" s="494"/>
      <c r="AO279" s="494"/>
      <c r="AP279" s="494"/>
      <c r="AQ279" s="494"/>
      <c r="AR279" s="494"/>
      <c r="AS279" s="494"/>
      <c r="AT279" s="494"/>
      <c r="AU279" s="494"/>
      <c r="AV279" s="494"/>
      <c r="AW279" s="494"/>
      <c r="AX279" s="494"/>
    </row>
    <row r="280" spans="1:50" customFormat="1" x14ac:dyDescent="0.25">
      <c r="A280" s="496"/>
      <c r="B280" s="695" t="s">
        <v>564</v>
      </c>
      <c r="C280" s="695"/>
      <c r="D280" s="695"/>
      <c r="E280" s="695"/>
      <c r="F280" s="695"/>
      <c r="G280" s="695" t="s">
        <v>15</v>
      </c>
      <c r="H280" s="695"/>
      <c r="I280" s="695"/>
      <c r="J280" s="695"/>
      <c r="K280" s="695" t="s">
        <v>15</v>
      </c>
      <c r="L280" s="695"/>
      <c r="M280" s="695"/>
      <c r="N280" s="695"/>
      <c r="O280" s="695"/>
      <c r="P280" s="695"/>
      <c r="Q280" s="494"/>
      <c r="R280" s="494"/>
      <c r="S280" s="494"/>
      <c r="T280" s="494"/>
      <c r="U280" s="494"/>
      <c r="V280" s="494"/>
      <c r="W280" s="494"/>
      <c r="X280" s="494"/>
      <c r="Y280" s="494"/>
      <c r="Z280" s="494"/>
      <c r="AA280" s="494"/>
      <c r="AB280" s="494"/>
      <c r="AC280" s="494"/>
      <c r="AD280" s="494"/>
      <c r="AE280" s="494"/>
      <c r="AF280" s="494"/>
      <c r="AG280" s="494"/>
      <c r="AH280" s="494"/>
      <c r="AI280" s="494"/>
      <c r="AJ280" s="494"/>
      <c r="AK280" s="494"/>
      <c r="AL280" s="494"/>
      <c r="AM280" s="494"/>
      <c r="AN280" s="494"/>
      <c r="AO280" s="494"/>
      <c r="AP280" s="494"/>
      <c r="AQ280" s="494"/>
      <c r="AR280" s="494"/>
      <c r="AS280" s="494"/>
      <c r="AT280" s="494"/>
      <c r="AU280" s="494"/>
      <c r="AV280" s="494"/>
      <c r="AW280" s="494"/>
      <c r="AX280" s="494"/>
    </row>
    <row r="281" spans="1:50" customFormat="1" x14ac:dyDescent="0.25">
      <c r="A281" s="492"/>
      <c r="B281" s="687" t="s">
        <v>681</v>
      </c>
      <c r="C281" s="687"/>
      <c r="D281" s="687"/>
      <c r="E281" s="687"/>
      <c r="F281" s="687"/>
      <c r="G281" s="687" t="s">
        <v>682</v>
      </c>
      <c r="H281" s="687"/>
      <c r="I281" s="687"/>
      <c r="J281" s="687"/>
      <c r="K281" s="687" t="s">
        <v>15</v>
      </c>
      <c r="L281" s="687"/>
      <c r="M281" s="687"/>
      <c r="N281" s="687"/>
      <c r="O281" s="687"/>
      <c r="P281" s="687"/>
      <c r="Q281" s="494"/>
      <c r="R281" s="494"/>
      <c r="S281" s="494"/>
      <c r="T281" s="494"/>
      <c r="U281" s="494"/>
      <c r="V281" s="494"/>
      <c r="W281" s="494"/>
      <c r="X281" s="494"/>
      <c r="Y281" s="494"/>
      <c r="Z281" s="494"/>
      <c r="AA281" s="494"/>
      <c r="AB281" s="494"/>
      <c r="AC281" s="494"/>
      <c r="AD281" s="494"/>
      <c r="AE281" s="494"/>
      <c r="AF281" s="494"/>
      <c r="AG281" s="494"/>
      <c r="AH281" s="494"/>
      <c r="AI281" s="494"/>
      <c r="AJ281" s="494"/>
      <c r="AK281" s="494"/>
      <c r="AL281" s="494"/>
      <c r="AM281" s="494"/>
      <c r="AN281" s="494"/>
      <c r="AO281" s="494"/>
      <c r="AP281" s="494"/>
      <c r="AQ281" s="494"/>
      <c r="AR281" s="494"/>
      <c r="AS281" s="494"/>
      <c r="AT281" s="494"/>
      <c r="AU281" s="494"/>
      <c r="AV281" s="494"/>
      <c r="AW281" s="494"/>
      <c r="AX281" s="494"/>
    </row>
    <row r="282" spans="1:50" customFormat="1" ht="40.9" customHeight="1" x14ac:dyDescent="0.25">
      <c r="A282" s="492"/>
      <c r="B282" s="687" t="s">
        <v>683</v>
      </c>
      <c r="C282" s="687"/>
      <c r="D282" s="687"/>
      <c r="E282" s="687"/>
      <c r="F282" s="687"/>
      <c r="G282" s="687" t="s">
        <v>684</v>
      </c>
      <c r="H282" s="687"/>
      <c r="I282" s="687"/>
      <c r="J282" s="687"/>
      <c r="K282" s="687" t="s">
        <v>15</v>
      </c>
      <c r="L282" s="687"/>
      <c r="M282" s="687"/>
      <c r="N282" s="687"/>
      <c r="O282" s="687"/>
      <c r="P282" s="687"/>
      <c r="Q282" s="494"/>
      <c r="R282" s="494"/>
      <c r="S282" s="494"/>
      <c r="T282" s="494"/>
      <c r="U282" s="494"/>
      <c r="V282" s="494"/>
      <c r="W282" s="494"/>
      <c r="X282" s="494"/>
      <c r="Y282" s="494"/>
      <c r="Z282" s="494"/>
      <c r="AA282" s="494"/>
      <c r="AB282" s="494"/>
      <c r="AC282" s="494"/>
      <c r="AD282" s="494"/>
      <c r="AE282" s="494"/>
      <c r="AF282" s="494"/>
      <c r="AG282" s="494"/>
      <c r="AH282" s="494"/>
      <c r="AI282" s="494"/>
      <c r="AJ282" s="494"/>
      <c r="AK282" s="494"/>
      <c r="AL282" s="494"/>
      <c r="AM282" s="494"/>
      <c r="AN282" s="494"/>
      <c r="AO282" s="494"/>
      <c r="AP282" s="494"/>
      <c r="AQ282" s="494"/>
      <c r="AR282" s="494"/>
      <c r="AS282" s="494"/>
      <c r="AT282" s="494"/>
      <c r="AU282" s="494"/>
      <c r="AV282" s="494"/>
      <c r="AW282" s="494"/>
      <c r="AX282" s="494"/>
    </row>
    <row r="283" spans="1:50" customFormat="1" ht="27.2" customHeight="1" x14ac:dyDescent="0.25">
      <c r="A283" s="492"/>
      <c r="B283" s="687" t="s">
        <v>793</v>
      </c>
      <c r="C283" s="687"/>
      <c r="D283" s="687"/>
      <c r="E283" s="687"/>
      <c r="F283" s="687"/>
      <c r="G283" s="687" t="s">
        <v>2253</v>
      </c>
      <c r="H283" s="687"/>
      <c r="I283" s="687"/>
      <c r="J283" s="687"/>
      <c r="K283" s="687" t="s">
        <v>15</v>
      </c>
      <c r="L283" s="687"/>
      <c r="M283" s="687"/>
      <c r="N283" s="687"/>
      <c r="O283" s="687"/>
      <c r="P283" s="687"/>
      <c r="Q283" s="494"/>
      <c r="R283" s="494"/>
      <c r="S283" s="494"/>
      <c r="T283" s="494"/>
      <c r="U283" s="494"/>
      <c r="V283" s="494"/>
      <c r="W283" s="494"/>
      <c r="X283" s="494"/>
      <c r="Y283" s="494"/>
      <c r="Z283" s="494"/>
      <c r="AA283" s="494"/>
      <c r="AB283" s="494"/>
      <c r="AC283" s="494"/>
      <c r="AD283" s="494"/>
      <c r="AE283" s="494"/>
      <c r="AF283" s="494"/>
      <c r="AG283" s="494"/>
      <c r="AH283" s="494"/>
      <c r="AI283" s="494"/>
      <c r="AJ283" s="494"/>
      <c r="AK283" s="494"/>
      <c r="AL283" s="494"/>
      <c r="AM283" s="494"/>
      <c r="AN283" s="494"/>
      <c r="AO283" s="494"/>
      <c r="AP283" s="494"/>
      <c r="AQ283" s="494"/>
      <c r="AR283" s="494"/>
      <c r="AS283" s="494"/>
      <c r="AT283" s="494"/>
      <c r="AU283" s="494"/>
      <c r="AV283" s="494"/>
      <c r="AW283" s="494"/>
      <c r="AX283" s="494"/>
    </row>
    <row r="284" spans="1:50" customFormat="1" x14ac:dyDescent="0.25">
      <c r="A284" s="690" t="s">
        <v>861</v>
      </c>
      <c r="B284" s="690"/>
      <c r="C284" s="690"/>
      <c r="D284" s="690"/>
      <c r="E284" s="690"/>
      <c r="F284" s="690"/>
      <c r="G284" s="690"/>
      <c r="H284" s="690"/>
      <c r="I284" s="690"/>
      <c r="J284" s="690"/>
      <c r="K284" s="690"/>
      <c r="L284" s="690"/>
      <c r="M284" s="690"/>
      <c r="N284" s="690"/>
      <c r="O284" s="690"/>
      <c r="P284" s="690"/>
      <c r="Q284" s="494"/>
      <c r="R284" s="494"/>
      <c r="S284" s="494"/>
      <c r="T284" s="494"/>
      <c r="U284" s="494"/>
      <c r="V284" s="494"/>
      <c r="W284" s="494"/>
      <c r="X284" s="494"/>
      <c r="Y284" s="494"/>
      <c r="Z284" s="494"/>
      <c r="AA284" s="494"/>
      <c r="AB284" s="494"/>
      <c r="AC284" s="494"/>
      <c r="AD284" s="494"/>
      <c r="AE284" s="494"/>
      <c r="AF284" s="494"/>
      <c r="AG284" s="494"/>
      <c r="AH284" s="494"/>
      <c r="AI284" s="494"/>
      <c r="AJ284" s="494"/>
      <c r="AK284" s="494"/>
      <c r="AL284" s="494"/>
      <c r="AM284" s="494"/>
      <c r="AN284" s="494"/>
      <c r="AO284" s="494"/>
      <c r="AP284" s="494"/>
      <c r="AQ284" s="494"/>
      <c r="AR284" s="494"/>
      <c r="AS284" s="494"/>
      <c r="AT284" s="494"/>
      <c r="AU284" s="494"/>
      <c r="AV284" s="494"/>
      <c r="AW284" s="494"/>
      <c r="AX284" s="494"/>
    </row>
    <row r="285" spans="1:50" customFormat="1" ht="135.94999999999999" customHeight="1" x14ac:dyDescent="0.25">
      <c r="A285" s="495" t="s">
        <v>862</v>
      </c>
      <c r="B285" s="692" t="s">
        <v>766</v>
      </c>
      <c r="C285" s="693"/>
      <c r="D285" s="693"/>
      <c r="E285" s="693"/>
      <c r="F285" s="693"/>
      <c r="G285" s="693" t="s">
        <v>863</v>
      </c>
      <c r="H285" s="693"/>
      <c r="I285" s="693"/>
      <c r="J285" s="693"/>
      <c r="K285" s="693" t="s">
        <v>2295</v>
      </c>
      <c r="L285" s="693"/>
      <c r="M285" s="693"/>
      <c r="N285" s="693"/>
      <c r="O285" s="694">
        <f>ROUND((471800 + 10314 * (0.4 * 80 + 0.6 * (80 / 2))) * 1 * 0.25 * 1.56 * 0.6 * 0.7, 2)</f>
        <v>171889.1</v>
      </c>
      <c r="P285" s="693"/>
      <c r="Q285" s="494"/>
      <c r="R285" s="494"/>
      <c r="S285" s="494"/>
      <c r="T285" s="494"/>
      <c r="U285" s="494"/>
      <c r="V285" s="494"/>
      <c r="W285" s="494"/>
      <c r="X285" s="494"/>
      <c r="Y285" s="494"/>
      <c r="Z285" s="494"/>
      <c r="AA285" s="494"/>
      <c r="AB285" s="494"/>
      <c r="AC285" s="494"/>
      <c r="AD285" s="494"/>
      <c r="AE285" s="494"/>
      <c r="AF285" s="494"/>
      <c r="AG285" s="494"/>
      <c r="AH285" s="494"/>
      <c r="AI285" s="494"/>
      <c r="AJ285" s="494"/>
      <c r="AK285" s="494"/>
      <c r="AL285" s="494"/>
      <c r="AM285" s="494"/>
      <c r="AN285" s="494"/>
      <c r="AO285" s="494"/>
      <c r="AP285" s="494"/>
      <c r="AQ285" s="494"/>
      <c r="AR285" s="494"/>
      <c r="AS285" s="494"/>
      <c r="AT285" s="494"/>
      <c r="AU285" s="494"/>
      <c r="AV285" s="494"/>
      <c r="AW285" s="494"/>
      <c r="AX285" s="494"/>
    </row>
    <row r="286" spans="1:50" customFormat="1" x14ac:dyDescent="0.25">
      <c r="A286" s="496"/>
      <c r="B286" s="695" t="s">
        <v>564</v>
      </c>
      <c r="C286" s="695"/>
      <c r="D286" s="695"/>
      <c r="E286" s="695"/>
      <c r="F286" s="695"/>
      <c r="G286" s="695" t="s">
        <v>15</v>
      </c>
      <c r="H286" s="695"/>
      <c r="I286" s="695"/>
      <c r="J286" s="695"/>
      <c r="K286" s="695" t="s">
        <v>15</v>
      </c>
      <c r="L286" s="695"/>
      <c r="M286" s="695"/>
      <c r="N286" s="695"/>
      <c r="O286" s="695"/>
      <c r="P286" s="695"/>
      <c r="Q286" s="494"/>
      <c r="R286" s="494"/>
      <c r="S286" s="494"/>
      <c r="T286" s="494"/>
      <c r="U286" s="494"/>
      <c r="V286" s="494"/>
      <c r="W286" s="494"/>
      <c r="X286" s="494"/>
      <c r="Y286" s="494"/>
      <c r="Z286" s="494"/>
      <c r="AA286" s="494"/>
      <c r="AB286" s="494"/>
      <c r="AC286" s="494"/>
      <c r="AD286" s="494"/>
      <c r="AE286" s="494"/>
      <c r="AF286" s="494"/>
      <c r="AG286" s="494"/>
      <c r="AH286" s="494"/>
      <c r="AI286" s="494"/>
      <c r="AJ286" s="494"/>
      <c r="AK286" s="494"/>
      <c r="AL286" s="494"/>
      <c r="AM286" s="494"/>
      <c r="AN286" s="494"/>
      <c r="AO286" s="494"/>
      <c r="AP286" s="494"/>
      <c r="AQ286" s="494"/>
      <c r="AR286" s="494"/>
      <c r="AS286" s="494"/>
      <c r="AT286" s="494"/>
      <c r="AU286" s="494"/>
      <c r="AV286" s="494"/>
      <c r="AW286" s="494"/>
      <c r="AX286" s="494"/>
    </row>
    <row r="287" spans="1:50" customFormat="1" x14ac:dyDescent="0.25">
      <c r="A287" s="492"/>
      <c r="B287" s="687" t="s">
        <v>681</v>
      </c>
      <c r="C287" s="687"/>
      <c r="D287" s="687"/>
      <c r="E287" s="687"/>
      <c r="F287" s="687"/>
      <c r="G287" s="687" t="s">
        <v>682</v>
      </c>
      <c r="H287" s="687"/>
      <c r="I287" s="687"/>
      <c r="J287" s="687"/>
      <c r="K287" s="687" t="s">
        <v>15</v>
      </c>
      <c r="L287" s="687"/>
      <c r="M287" s="687"/>
      <c r="N287" s="687"/>
      <c r="O287" s="687"/>
      <c r="P287" s="687"/>
      <c r="Q287" s="494"/>
      <c r="R287" s="494"/>
      <c r="S287" s="494"/>
      <c r="T287" s="494"/>
      <c r="U287" s="494"/>
      <c r="V287" s="494"/>
      <c r="W287" s="494"/>
      <c r="X287" s="494"/>
      <c r="Y287" s="494"/>
      <c r="Z287" s="494"/>
      <c r="AA287" s="494"/>
      <c r="AB287" s="494"/>
      <c r="AC287" s="494"/>
      <c r="AD287" s="494"/>
      <c r="AE287" s="494"/>
      <c r="AF287" s="494"/>
      <c r="AG287" s="494"/>
      <c r="AH287" s="494"/>
      <c r="AI287" s="494"/>
      <c r="AJ287" s="494"/>
      <c r="AK287" s="494"/>
      <c r="AL287" s="494"/>
      <c r="AM287" s="494"/>
      <c r="AN287" s="494"/>
      <c r="AO287" s="494"/>
      <c r="AP287" s="494"/>
      <c r="AQ287" s="494"/>
      <c r="AR287" s="494"/>
      <c r="AS287" s="494"/>
      <c r="AT287" s="494"/>
      <c r="AU287" s="494"/>
      <c r="AV287" s="494"/>
      <c r="AW287" s="494"/>
      <c r="AX287" s="494"/>
    </row>
    <row r="288" spans="1:50" customFormat="1" ht="40.9" customHeight="1" x14ac:dyDescent="0.25">
      <c r="A288" s="492"/>
      <c r="B288" s="687" t="s">
        <v>683</v>
      </c>
      <c r="C288" s="687"/>
      <c r="D288" s="687"/>
      <c r="E288" s="687"/>
      <c r="F288" s="687"/>
      <c r="G288" s="687" t="s">
        <v>684</v>
      </c>
      <c r="H288" s="687"/>
      <c r="I288" s="687"/>
      <c r="J288" s="687"/>
      <c r="K288" s="687" t="s">
        <v>15</v>
      </c>
      <c r="L288" s="687"/>
      <c r="M288" s="687"/>
      <c r="N288" s="687"/>
      <c r="O288" s="687"/>
      <c r="P288" s="687"/>
      <c r="Q288" s="494"/>
      <c r="R288" s="494"/>
      <c r="S288" s="494"/>
      <c r="T288" s="494"/>
      <c r="U288" s="494"/>
      <c r="V288" s="494"/>
      <c r="W288" s="494"/>
      <c r="X288" s="494"/>
      <c r="Y288" s="494"/>
      <c r="Z288" s="494"/>
      <c r="AA288" s="494"/>
      <c r="AB288" s="494"/>
      <c r="AC288" s="494"/>
      <c r="AD288" s="494"/>
      <c r="AE288" s="494"/>
      <c r="AF288" s="494"/>
      <c r="AG288" s="494"/>
      <c r="AH288" s="494"/>
      <c r="AI288" s="494"/>
      <c r="AJ288" s="494"/>
      <c r="AK288" s="494"/>
      <c r="AL288" s="494"/>
      <c r="AM288" s="494"/>
      <c r="AN288" s="494"/>
      <c r="AO288" s="494"/>
      <c r="AP288" s="494"/>
      <c r="AQ288" s="494"/>
      <c r="AR288" s="494"/>
      <c r="AS288" s="494"/>
      <c r="AT288" s="494"/>
      <c r="AU288" s="494"/>
      <c r="AV288" s="494"/>
      <c r="AW288" s="494"/>
      <c r="AX288" s="494"/>
    </row>
    <row r="289" spans="1:50" customFormat="1" ht="95.25" customHeight="1" x14ac:dyDescent="0.25">
      <c r="A289" s="492"/>
      <c r="B289" s="687" t="s">
        <v>778</v>
      </c>
      <c r="C289" s="687"/>
      <c r="D289" s="687"/>
      <c r="E289" s="687"/>
      <c r="F289" s="687"/>
      <c r="G289" s="687" t="s">
        <v>864</v>
      </c>
      <c r="H289" s="687"/>
      <c r="I289" s="687"/>
      <c r="J289" s="687"/>
      <c r="K289" s="687" t="s">
        <v>15</v>
      </c>
      <c r="L289" s="687"/>
      <c r="M289" s="687"/>
      <c r="N289" s="687"/>
      <c r="O289" s="687"/>
      <c r="P289" s="687"/>
      <c r="Q289" s="494"/>
      <c r="R289" s="494"/>
      <c r="S289" s="494"/>
      <c r="T289" s="494"/>
      <c r="U289" s="494"/>
      <c r="V289" s="494"/>
      <c r="W289" s="494"/>
      <c r="X289" s="494"/>
      <c r="Y289" s="494"/>
      <c r="Z289" s="494"/>
      <c r="AA289" s="494"/>
      <c r="AB289" s="494"/>
      <c r="AC289" s="494"/>
      <c r="AD289" s="494"/>
      <c r="AE289" s="494"/>
      <c r="AF289" s="494"/>
      <c r="AG289" s="494"/>
      <c r="AH289" s="494"/>
      <c r="AI289" s="494"/>
      <c r="AJ289" s="494"/>
      <c r="AK289" s="494"/>
      <c r="AL289" s="494"/>
      <c r="AM289" s="494"/>
      <c r="AN289" s="494"/>
      <c r="AO289" s="494"/>
      <c r="AP289" s="494"/>
      <c r="AQ289" s="494"/>
      <c r="AR289" s="494"/>
      <c r="AS289" s="494"/>
      <c r="AT289" s="494"/>
      <c r="AU289" s="494"/>
      <c r="AV289" s="494"/>
      <c r="AW289" s="494"/>
      <c r="AX289" s="494"/>
    </row>
    <row r="290" spans="1:50" customFormat="1" ht="27.2" customHeight="1" x14ac:dyDescent="0.25">
      <c r="A290" s="492"/>
      <c r="B290" s="687" t="s">
        <v>793</v>
      </c>
      <c r="C290" s="687"/>
      <c r="D290" s="687"/>
      <c r="E290" s="687"/>
      <c r="F290" s="687"/>
      <c r="G290" s="687" t="s">
        <v>2253</v>
      </c>
      <c r="H290" s="687"/>
      <c r="I290" s="687"/>
      <c r="J290" s="687"/>
      <c r="K290" s="687" t="s">
        <v>15</v>
      </c>
      <c r="L290" s="687"/>
      <c r="M290" s="687"/>
      <c r="N290" s="687"/>
      <c r="O290" s="687"/>
      <c r="P290" s="687"/>
      <c r="Q290" s="494"/>
      <c r="R290" s="494"/>
      <c r="S290" s="494"/>
      <c r="T290" s="494"/>
      <c r="U290" s="494"/>
      <c r="V290" s="494"/>
      <c r="W290" s="494"/>
      <c r="X290" s="494"/>
      <c r="Y290" s="494"/>
      <c r="Z290" s="494"/>
      <c r="AA290" s="494"/>
      <c r="AB290" s="494"/>
      <c r="AC290" s="494"/>
      <c r="AD290" s="494"/>
      <c r="AE290" s="494"/>
      <c r="AF290" s="494"/>
      <c r="AG290" s="494"/>
      <c r="AH290" s="494"/>
      <c r="AI290" s="494"/>
      <c r="AJ290" s="494"/>
      <c r="AK290" s="494"/>
      <c r="AL290" s="494"/>
      <c r="AM290" s="494"/>
      <c r="AN290" s="494"/>
      <c r="AO290" s="494"/>
      <c r="AP290" s="494"/>
      <c r="AQ290" s="494"/>
      <c r="AR290" s="494"/>
      <c r="AS290" s="494"/>
      <c r="AT290" s="494"/>
      <c r="AU290" s="494"/>
      <c r="AV290" s="494"/>
      <c r="AW290" s="494"/>
      <c r="AX290" s="494"/>
    </row>
    <row r="291" spans="1:50" customFormat="1" x14ac:dyDescent="0.25">
      <c r="A291" s="690" t="s">
        <v>865</v>
      </c>
      <c r="B291" s="690"/>
      <c r="C291" s="690"/>
      <c r="D291" s="690"/>
      <c r="E291" s="690"/>
      <c r="F291" s="690"/>
      <c r="G291" s="690"/>
      <c r="H291" s="690"/>
      <c r="I291" s="690"/>
      <c r="J291" s="690"/>
      <c r="K291" s="690"/>
      <c r="L291" s="690"/>
      <c r="M291" s="690"/>
      <c r="N291" s="690"/>
      <c r="O291" s="690"/>
      <c r="P291" s="690"/>
      <c r="Q291" s="494"/>
      <c r="R291" s="494"/>
      <c r="S291" s="494"/>
      <c r="T291" s="494"/>
      <c r="U291" s="494"/>
      <c r="V291" s="494"/>
      <c r="W291" s="494"/>
      <c r="X291" s="494"/>
      <c r="Y291" s="494"/>
      <c r="Z291" s="494"/>
      <c r="AA291" s="494"/>
      <c r="AB291" s="494"/>
      <c r="AC291" s="494"/>
      <c r="AD291" s="494"/>
      <c r="AE291" s="494"/>
      <c r="AF291" s="494"/>
      <c r="AG291" s="494"/>
      <c r="AH291" s="494"/>
      <c r="AI291" s="494"/>
      <c r="AJ291" s="494"/>
      <c r="AK291" s="494"/>
      <c r="AL291" s="494"/>
      <c r="AM291" s="494"/>
      <c r="AN291" s="494"/>
      <c r="AO291" s="494"/>
      <c r="AP291" s="494"/>
      <c r="AQ291" s="494"/>
      <c r="AR291" s="494"/>
      <c r="AS291" s="494"/>
      <c r="AT291" s="494"/>
      <c r="AU291" s="494"/>
      <c r="AV291" s="494"/>
      <c r="AW291" s="494"/>
      <c r="AX291" s="494"/>
    </row>
    <row r="292" spans="1:50" customFormat="1" ht="95.25" customHeight="1" x14ac:dyDescent="0.25">
      <c r="A292" s="495" t="s">
        <v>866</v>
      </c>
      <c r="B292" s="692" t="s">
        <v>769</v>
      </c>
      <c r="C292" s="693"/>
      <c r="D292" s="693"/>
      <c r="E292" s="693"/>
      <c r="F292" s="693"/>
      <c r="G292" s="693" t="s">
        <v>770</v>
      </c>
      <c r="H292" s="693"/>
      <c r="I292" s="693"/>
      <c r="J292" s="693"/>
      <c r="K292" s="693" t="s">
        <v>2256</v>
      </c>
      <c r="L292" s="693"/>
      <c r="M292" s="693"/>
      <c r="N292" s="693"/>
      <c r="O292" s="694">
        <f>ROUND(990600 * 1 * 1.56 * 0.6 * 0.7, 2)</f>
        <v>649041.12</v>
      </c>
      <c r="P292" s="693"/>
      <c r="Q292" s="494"/>
      <c r="R292" s="494"/>
      <c r="S292" s="494"/>
      <c r="T292" s="494"/>
      <c r="U292" s="494"/>
      <c r="V292" s="494"/>
      <c r="W292" s="494"/>
      <c r="X292" s="494"/>
      <c r="Y292" s="494"/>
      <c r="Z292" s="494"/>
      <c r="AA292" s="494"/>
      <c r="AB292" s="494"/>
      <c r="AC292" s="494"/>
      <c r="AD292" s="494"/>
      <c r="AE292" s="494"/>
      <c r="AF292" s="494"/>
      <c r="AG292" s="494"/>
      <c r="AH292" s="494"/>
      <c r="AI292" s="494"/>
      <c r="AJ292" s="494"/>
      <c r="AK292" s="494"/>
      <c r="AL292" s="494"/>
      <c r="AM292" s="494"/>
      <c r="AN292" s="494"/>
      <c r="AO292" s="494"/>
      <c r="AP292" s="494"/>
      <c r="AQ292" s="494"/>
      <c r="AR292" s="494"/>
      <c r="AS292" s="494"/>
      <c r="AT292" s="494"/>
      <c r="AU292" s="494"/>
      <c r="AV292" s="494"/>
      <c r="AW292" s="494"/>
      <c r="AX292" s="494"/>
    </row>
    <row r="293" spans="1:50" customFormat="1" x14ac:dyDescent="0.25">
      <c r="A293" s="496"/>
      <c r="B293" s="695" t="s">
        <v>564</v>
      </c>
      <c r="C293" s="695"/>
      <c r="D293" s="695"/>
      <c r="E293" s="695"/>
      <c r="F293" s="695"/>
      <c r="G293" s="695" t="s">
        <v>15</v>
      </c>
      <c r="H293" s="695"/>
      <c r="I293" s="695"/>
      <c r="J293" s="695"/>
      <c r="K293" s="695" t="s">
        <v>15</v>
      </c>
      <c r="L293" s="695"/>
      <c r="M293" s="695"/>
      <c r="N293" s="695"/>
      <c r="O293" s="695"/>
      <c r="P293" s="695"/>
      <c r="Q293" s="494"/>
      <c r="R293" s="494"/>
      <c r="S293" s="494"/>
      <c r="T293" s="494"/>
      <c r="U293" s="494"/>
      <c r="V293" s="494"/>
      <c r="W293" s="494"/>
      <c r="X293" s="494"/>
      <c r="Y293" s="494"/>
      <c r="Z293" s="494"/>
      <c r="AA293" s="494"/>
      <c r="AB293" s="494"/>
      <c r="AC293" s="494"/>
      <c r="AD293" s="494"/>
      <c r="AE293" s="494"/>
      <c r="AF293" s="494"/>
      <c r="AG293" s="494"/>
      <c r="AH293" s="494"/>
      <c r="AI293" s="494"/>
      <c r="AJ293" s="494"/>
      <c r="AK293" s="494"/>
      <c r="AL293" s="494"/>
      <c r="AM293" s="494"/>
      <c r="AN293" s="494"/>
      <c r="AO293" s="494"/>
      <c r="AP293" s="494"/>
      <c r="AQ293" s="494"/>
      <c r="AR293" s="494"/>
      <c r="AS293" s="494"/>
      <c r="AT293" s="494"/>
      <c r="AU293" s="494"/>
      <c r="AV293" s="494"/>
      <c r="AW293" s="494"/>
      <c r="AX293" s="494"/>
    </row>
    <row r="294" spans="1:50" customFormat="1" x14ac:dyDescent="0.25">
      <c r="A294" s="492"/>
      <c r="B294" s="687" t="s">
        <v>681</v>
      </c>
      <c r="C294" s="687"/>
      <c r="D294" s="687"/>
      <c r="E294" s="687"/>
      <c r="F294" s="687"/>
      <c r="G294" s="687" t="s">
        <v>682</v>
      </c>
      <c r="H294" s="687"/>
      <c r="I294" s="687"/>
      <c r="J294" s="687"/>
      <c r="K294" s="687" t="s">
        <v>15</v>
      </c>
      <c r="L294" s="687"/>
      <c r="M294" s="687"/>
      <c r="N294" s="687"/>
      <c r="O294" s="687"/>
      <c r="P294" s="687"/>
      <c r="Q294" s="494"/>
      <c r="R294" s="494"/>
      <c r="S294" s="494"/>
      <c r="T294" s="494"/>
      <c r="U294" s="494"/>
      <c r="V294" s="494"/>
      <c r="W294" s="494"/>
      <c r="X294" s="494"/>
      <c r="Y294" s="494"/>
      <c r="Z294" s="494"/>
      <c r="AA294" s="494"/>
      <c r="AB294" s="494"/>
      <c r="AC294" s="494"/>
      <c r="AD294" s="494"/>
      <c r="AE294" s="494"/>
      <c r="AF294" s="494"/>
      <c r="AG294" s="494"/>
      <c r="AH294" s="494"/>
      <c r="AI294" s="494"/>
      <c r="AJ294" s="494"/>
      <c r="AK294" s="494"/>
      <c r="AL294" s="494"/>
      <c r="AM294" s="494"/>
      <c r="AN294" s="494"/>
      <c r="AO294" s="494"/>
      <c r="AP294" s="494"/>
      <c r="AQ294" s="494"/>
      <c r="AR294" s="494"/>
      <c r="AS294" s="494"/>
      <c r="AT294" s="494"/>
      <c r="AU294" s="494"/>
      <c r="AV294" s="494"/>
      <c r="AW294" s="494"/>
      <c r="AX294" s="494"/>
    </row>
    <row r="295" spans="1:50" customFormat="1" ht="40.9" customHeight="1" x14ac:dyDescent="0.25">
      <c r="A295" s="492"/>
      <c r="B295" s="687" t="s">
        <v>683</v>
      </c>
      <c r="C295" s="687"/>
      <c r="D295" s="687"/>
      <c r="E295" s="687"/>
      <c r="F295" s="687"/>
      <c r="G295" s="687" t="s">
        <v>684</v>
      </c>
      <c r="H295" s="687"/>
      <c r="I295" s="687"/>
      <c r="J295" s="687"/>
      <c r="K295" s="687" t="s">
        <v>15</v>
      </c>
      <c r="L295" s="687"/>
      <c r="M295" s="687"/>
      <c r="N295" s="687"/>
      <c r="O295" s="687"/>
      <c r="P295" s="687"/>
      <c r="Q295" s="494"/>
      <c r="R295" s="494"/>
      <c r="S295" s="494"/>
      <c r="T295" s="494"/>
      <c r="U295" s="494"/>
      <c r="V295" s="494"/>
      <c r="W295" s="494"/>
      <c r="X295" s="494"/>
      <c r="Y295" s="494"/>
      <c r="Z295" s="494"/>
      <c r="AA295" s="494"/>
      <c r="AB295" s="494"/>
      <c r="AC295" s="494"/>
      <c r="AD295" s="494"/>
      <c r="AE295" s="494"/>
      <c r="AF295" s="494"/>
      <c r="AG295" s="494"/>
      <c r="AH295" s="494"/>
      <c r="AI295" s="494"/>
      <c r="AJ295" s="494"/>
      <c r="AK295" s="494"/>
      <c r="AL295" s="494"/>
      <c r="AM295" s="494"/>
      <c r="AN295" s="494"/>
      <c r="AO295" s="494"/>
      <c r="AP295" s="494"/>
      <c r="AQ295" s="494"/>
      <c r="AR295" s="494"/>
      <c r="AS295" s="494"/>
      <c r="AT295" s="494"/>
      <c r="AU295" s="494"/>
      <c r="AV295" s="494"/>
      <c r="AW295" s="494"/>
      <c r="AX295" s="494"/>
    </row>
    <row r="296" spans="1:50" customFormat="1" ht="27.2" customHeight="1" x14ac:dyDescent="0.25">
      <c r="A296" s="492"/>
      <c r="B296" s="687" t="s">
        <v>793</v>
      </c>
      <c r="C296" s="687"/>
      <c r="D296" s="687"/>
      <c r="E296" s="687"/>
      <c r="F296" s="687"/>
      <c r="G296" s="687" t="s">
        <v>2253</v>
      </c>
      <c r="H296" s="687"/>
      <c r="I296" s="687"/>
      <c r="J296" s="687"/>
      <c r="K296" s="687" t="s">
        <v>15</v>
      </c>
      <c r="L296" s="687"/>
      <c r="M296" s="687"/>
      <c r="N296" s="687"/>
      <c r="O296" s="687"/>
      <c r="P296" s="687"/>
      <c r="Q296" s="494"/>
      <c r="R296" s="494"/>
      <c r="S296" s="494"/>
      <c r="T296" s="494"/>
      <c r="U296" s="494"/>
      <c r="V296" s="494"/>
      <c r="W296" s="494"/>
      <c r="X296" s="494"/>
      <c r="Y296" s="494"/>
      <c r="Z296" s="494"/>
      <c r="AA296" s="494"/>
      <c r="AB296" s="494"/>
      <c r="AC296" s="494"/>
      <c r="AD296" s="494"/>
      <c r="AE296" s="494"/>
      <c r="AF296" s="494"/>
      <c r="AG296" s="494"/>
      <c r="AH296" s="494"/>
      <c r="AI296" s="494"/>
      <c r="AJ296" s="494"/>
      <c r="AK296" s="494"/>
      <c r="AL296" s="494"/>
      <c r="AM296" s="494"/>
      <c r="AN296" s="494"/>
      <c r="AO296" s="494"/>
      <c r="AP296" s="494"/>
      <c r="AQ296" s="494"/>
      <c r="AR296" s="494"/>
      <c r="AS296" s="494"/>
      <c r="AT296" s="494"/>
      <c r="AU296" s="494"/>
      <c r="AV296" s="494"/>
      <c r="AW296" s="494"/>
      <c r="AX296" s="494"/>
    </row>
    <row r="297" spans="1:50" customFormat="1" x14ac:dyDescent="0.25">
      <c r="A297" s="690" t="s">
        <v>867</v>
      </c>
      <c r="B297" s="690"/>
      <c r="C297" s="690"/>
      <c r="D297" s="690"/>
      <c r="E297" s="690"/>
      <c r="F297" s="690"/>
      <c r="G297" s="690"/>
      <c r="H297" s="690"/>
      <c r="I297" s="690"/>
      <c r="J297" s="690"/>
      <c r="K297" s="690"/>
      <c r="L297" s="690"/>
      <c r="M297" s="690"/>
      <c r="N297" s="690"/>
      <c r="O297" s="690"/>
      <c r="P297" s="690"/>
      <c r="Q297" s="494"/>
      <c r="R297" s="494"/>
      <c r="S297" s="494"/>
      <c r="T297" s="494"/>
      <c r="U297" s="494"/>
      <c r="V297" s="494"/>
      <c r="W297" s="494"/>
      <c r="X297" s="494"/>
      <c r="Y297" s="494"/>
      <c r="Z297" s="494"/>
      <c r="AA297" s="494"/>
      <c r="AB297" s="494"/>
      <c r="AC297" s="494"/>
      <c r="AD297" s="494"/>
      <c r="AE297" s="494"/>
      <c r="AF297" s="494"/>
      <c r="AG297" s="494"/>
      <c r="AH297" s="494"/>
      <c r="AI297" s="494"/>
      <c r="AJ297" s="494"/>
      <c r="AK297" s="494"/>
      <c r="AL297" s="494"/>
      <c r="AM297" s="494"/>
      <c r="AN297" s="494"/>
      <c r="AO297" s="494"/>
      <c r="AP297" s="494"/>
      <c r="AQ297" s="494"/>
      <c r="AR297" s="494"/>
      <c r="AS297" s="494"/>
      <c r="AT297" s="494"/>
      <c r="AU297" s="494"/>
      <c r="AV297" s="494"/>
      <c r="AW297" s="494"/>
      <c r="AX297" s="494"/>
    </row>
    <row r="298" spans="1:50" customFormat="1" ht="95.25" customHeight="1" x14ac:dyDescent="0.25">
      <c r="A298" s="495" t="s">
        <v>868</v>
      </c>
      <c r="B298" s="692" t="s">
        <v>769</v>
      </c>
      <c r="C298" s="693"/>
      <c r="D298" s="693"/>
      <c r="E298" s="693"/>
      <c r="F298" s="693"/>
      <c r="G298" s="693" t="s">
        <v>770</v>
      </c>
      <c r="H298" s="693"/>
      <c r="I298" s="693"/>
      <c r="J298" s="693"/>
      <c r="K298" s="693" t="s">
        <v>2256</v>
      </c>
      <c r="L298" s="693"/>
      <c r="M298" s="693"/>
      <c r="N298" s="693"/>
      <c r="O298" s="694">
        <f>ROUND(990600 * 1 * 1.56 * 0.6 * 0.7, 2)</f>
        <v>649041.12</v>
      </c>
      <c r="P298" s="693"/>
      <c r="Q298" s="494"/>
      <c r="R298" s="494"/>
      <c r="S298" s="494"/>
      <c r="T298" s="494"/>
      <c r="U298" s="494"/>
      <c r="V298" s="494"/>
      <c r="W298" s="494"/>
      <c r="X298" s="494"/>
      <c r="Y298" s="494"/>
      <c r="Z298" s="494"/>
      <c r="AA298" s="494"/>
      <c r="AB298" s="494"/>
      <c r="AC298" s="494"/>
      <c r="AD298" s="494"/>
      <c r="AE298" s="494"/>
      <c r="AF298" s="494"/>
      <c r="AG298" s="494"/>
      <c r="AH298" s="494"/>
      <c r="AI298" s="494"/>
      <c r="AJ298" s="494"/>
      <c r="AK298" s="494"/>
      <c r="AL298" s="494"/>
      <c r="AM298" s="494"/>
      <c r="AN298" s="494"/>
      <c r="AO298" s="494"/>
      <c r="AP298" s="494"/>
      <c r="AQ298" s="494"/>
      <c r="AR298" s="494"/>
      <c r="AS298" s="494"/>
      <c r="AT298" s="494"/>
      <c r="AU298" s="494"/>
      <c r="AV298" s="494"/>
      <c r="AW298" s="494"/>
      <c r="AX298" s="494"/>
    </row>
    <row r="299" spans="1:50" customFormat="1" x14ac:dyDescent="0.25">
      <c r="A299" s="496"/>
      <c r="B299" s="695" t="s">
        <v>564</v>
      </c>
      <c r="C299" s="695"/>
      <c r="D299" s="695"/>
      <c r="E299" s="695"/>
      <c r="F299" s="695"/>
      <c r="G299" s="695" t="s">
        <v>15</v>
      </c>
      <c r="H299" s="695"/>
      <c r="I299" s="695"/>
      <c r="J299" s="695"/>
      <c r="K299" s="695" t="s">
        <v>15</v>
      </c>
      <c r="L299" s="695"/>
      <c r="M299" s="695"/>
      <c r="N299" s="695"/>
      <c r="O299" s="695"/>
      <c r="P299" s="695"/>
      <c r="Q299" s="494"/>
      <c r="R299" s="494"/>
      <c r="S299" s="494"/>
      <c r="T299" s="494"/>
      <c r="U299" s="494"/>
      <c r="V299" s="494"/>
      <c r="W299" s="494"/>
      <c r="X299" s="494"/>
      <c r="Y299" s="494"/>
      <c r="Z299" s="494"/>
      <c r="AA299" s="494"/>
      <c r="AB299" s="494"/>
      <c r="AC299" s="494"/>
      <c r="AD299" s="494"/>
      <c r="AE299" s="494"/>
      <c r="AF299" s="494"/>
      <c r="AG299" s="494"/>
      <c r="AH299" s="494"/>
      <c r="AI299" s="494"/>
      <c r="AJ299" s="494"/>
      <c r="AK299" s="494"/>
      <c r="AL299" s="494"/>
      <c r="AM299" s="494"/>
      <c r="AN299" s="494"/>
      <c r="AO299" s="494"/>
      <c r="AP299" s="494"/>
      <c r="AQ299" s="494"/>
      <c r="AR299" s="494"/>
      <c r="AS299" s="494"/>
      <c r="AT299" s="494"/>
      <c r="AU299" s="494"/>
      <c r="AV299" s="494"/>
      <c r="AW299" s="494"/>
      <c r="AX299" s="494"/>
    </row>
    <row r="300" spans="1:50" customFormat="1" x14ac:dyDescent="0.25">
      <c r="A300" s="492"/>
      <c r="B300" s="687" t="s">
        <v>681</v>
      </c>
      <c r="C300" s="687"/>
      <c r="D300" s="687"/>
      <c r="E300" s="687"/>
      <c r="F300" s="687"/>
      <c r="G300" s="687" t="s">
        <v>682</v>
      </c>
      <c r="H300" s="687"/>
      <c r="I300" s="687"/>
      <c r="J300" s="687"/>
      <c r="K300" s="687" t="s">
        <v>15</v>
      </c>
      <c r="L300" s="687"/>
      <c r="M300" s="687"/>
      <c r="N300" s="687"/>
      <c r="O300" s="687"/>
      <c r="P300" s="687"/>
      <c r="Q300" s="494"/>
      <c r="R300" s="494"/>
      <c r="S300" s="494"/>
      <c r="T300" s="494"/>
      <c r="U300" s="494"/>
      <c r="V300" s="494"/>
      <c r="W300" s="494"/>
      <c r="X300" s="494"/>
      <c r="Y300" s="494"/>
      <c r="Z300" s="494"/>
      <c r="AA300" s="494"/>
      <c r="AB300" s="494"/>
      <c r="AC300" s="494"/>
      <c r="AD300" s="494"/>
      <c r="AE300" s="494"/>
      <c r="AF300" s="494"/>
      <c r="AG300" s="494"/>
      <c r="AH300" s="494"/>
      <c r="AI300" s="494"/>
      <c r="AJ300" s="494"/>
      <c r="AK300" s="494"/>
      <c r="AL300" s="494"/>
      <c r="AM300" s="494"/>
      <c r="AN300" s="494"/>
      <c r="AO300" s="494"/>
      <c r="AP300" s="494"/>
      <c r="AQ300" s="494"/>
      <c r="AR300" s="494"/>
      <c r="AS300" s="494"/>
      <c r="AT300" s="494"/>
      <c r="AU300" s="494"/>
      <c r="AV300" s="494"/>
      <c r="AW300" s="494"/>
      <c r="AX300" s="494"/>
    </row>
    <row r="301" spans="1:50" customFormat="1" ht="40.9" customHeight="1" x14ac:dyDescent="0.25">
      <c r="A301" s="492"/>
      <c r="B301" s="687" t="s">
        <v>683</v>
      </c>
      <c r="C301" s="687"/>
      <c r="D301" s="687"/>
      <c r="E301" s="687"/>
      <c r="F301" s="687"/>
      <c r="G301" s="687" t="s">
        <v>684</v>
      </c>
      <c r="H301" s="687"/>
      <c r="I301" s="687"/>
      <c r="J301" s="687"/>
      <c r="K301" s="687" t="s">
        <v>15</v>
      </c>
      <c r="L301" s="687"/>
      <c r="M301" s="687"/>
      <c r="N301" s="687"/>
      <c r="O301" s="687"/>
      <c r="P301" s="687"/>
      <c r="Q301" s="494"/>
      <c r="R301" s="494"/>
      <c r="S301" s="494"/>
      <c r="T301" s="494"/>
      <c r="U301" s="494"/>
      <c r="V301" s="494"/>
      <c r="W301" s="494"/>
      <c r="X301" s="494"/>
      <c r="Y301" s="494"/>
      <c r="Z301" s="494"/>
      <c r="AA301" s="494"/>
      <c r="AB301" s="494"/>
      <c r="AC301" s="494"/>
      <c r="AD301" s="494"/>
      <c r="AE301" s="494"/>
      <c r="AF301" s="494"/>
      <c r="AG301" s="494"/>
      <c r="AH301" s="494"/>
      <c r="AI301" s="494"/>
      <c r="AJ301" s="494"/>
      <c r="AK301" s="494"/>
      <c r="AL301" s="494"/>
      <c r="AM301" s="494"/>
      <c r="AN301" s="494"/>
      <c r="AO301" s="494"/>
      <c r="AP301" s="494"/>
      <c r="AQ301" s="494"/>
      <c r="AR301" s="494"/>
      <c r="AS301" s="494"/>
      <c r="AT301" s="494"/>
      <c r="AU301" s="494"/>
      <c r="AV301" s="494"/>
      <c r="AW301" s="494"/>
      <c r="AX301" s="494"/>
    </row>
    <row r="302" spans="1:50" customFormat="1" ht="27.2" customHeight="1" x14ac:dyDescent="0.25">
      <c r="A302" s="492"/>
      <c r="B302" s="687" t="s">
        <v>793</v>
      </c>
      <c r="C302" s="687"/>
      <c r="D302" s="687"/>
      <c r="E302" s="687"/>
      <c r="F302" s="687"/>
      <c r="G302" s="687" t="s">
        <v>2253</v>
      </c>
      <c r="H302" s="687"/>
      <c r="I302" s="687"/>
      <c r="J302" s="687"/>
      <c r="K302" s="687" t="s">
        <v>15</v>
      </c>
      <c r="L302" s="687"/>
      <c r="M302" s="687"/>
      <c r="N302" s="687"/>
      <c r="O302" s="687"/>
      <c r="P302" s="687"/>
      <c r="Q302" s="494"/>
      <c r="R302" s="494"/>
      <c r="S302" s="494"/>
      <c r="T302" s="494"/>
      <c r="U302" s="494"/>
      <c r="V302" s="494"/>
      <c r="W302" s="494"/>
      <c r="X302" s="494"/>
      <c r="Y302" s="494"/>
      <c r="Z302" s="494"/>
      <c r="AA302" s="494"/>
      <c r="AB302" s="494"/>
      <c r="AC302" s="494"/>
      <c r="AD302" s="494"/>
      <c r="AE302" s="494"/>
      <c r="AF302" s="494"/>
      <c r="AG302" s="494"/>
      <c r="AH302" s="494"/>
      <c r="AI302" s="494"/>
      <c r="AJ302" s="494"/>
      <c r="AK302" s="494"/>
      <c r="AL302" s="494"/>
      <c r="AM302" s="494"/>
      <c r="AN302" s="494"/>
      <c r="AO302" s="494"/>
      <c r="AP302" s="494"/>
      <c r="AQ302" s="494"/>
      <c r="AR302" s="494"/>
      <c r="AS302" s="494"/>
      <c r="AT302" s="494"/>
      <c r="AU302" s="494"/>
      <c r="AV302" s="494"/>
      <c r="AW302" s="494"/>
      <c r="AX302" s="494"/>
    </row>
    <row r="303" spans="1:50" customFormat="1" x14ac:dyDescent="0.25">
      <c r="A303" s="690" t="s">
        <v>869</v>
      </c>
      <c r="B303" s="690"/>
      <c r="C303" s="690"/>
      <c r="D303" s="690"/>
      <c r="E303" s="690"/>
      <c r="F303" s="690"/>
      <c r="G303" s="690"/>
      <c r="H303" s="690"/>
      <c r="I303" s="690"/>
      <c r="J303" s="690"/>
      <c r="K303" s="690"/>
      <c r="L303" s="690"/>
      <c r="M303" s="690"/>
      <c r="N303" s="690"/>
      <c r="O303" s="690"/>
      <c r="P303" s="690"/>
      <c r="Q303" s="494"/>
      <c r="R303" s="494"/>
      <c r="S303" s="494"/>
      <c r="T303" s="494"/>
      <c r="U303" s="494"/>
      <c r="V303" s="494"/>
      <c r="W303" s="494"/>
      <c r="X303" s="494"/>
      <c r="Y303" s="494"/>
      <c r="Z303" s="494"/>
      <c r="AA303" s="494"/>
      <c r="AB303" s="494"/>
      <c r="AC303" s="494"/>
      <c r="AD303" s="494"/>
      <c r="AE303" s="494"/>
      <c r="AF303" s="494"/>
      <c r="AG303" s="494"/>
      <c r="AH303" s="494"/>
      <c r="AI303" s="494"/>
      <c r="AJ303" s="494"/>
      <c r="AK303" s="494"/>
      <c r="AL303" s="494"/>
      <c r="AM303" s="494"/>
      <c r="AN303" s="494"/>
      <c r="AO303" s="494"/>
      <c r="AP303" s="494"/>
      <c r="AQ303" s="494"/>
      <c r="AR303" s="494"/>
      <c r="AS303" s="494"/>
      <c r="AT303" s="494"/>
      <c r="AU303" s="494"/>
      <c r="AV303" s="494"/>
      <c r="AW303" s="494"/>
      <c r="AX303" s="494"/>
    </row>
    <row r="304" spans="1:50" customFormat="1" ht="135.94999999999999" customHeight="1" x14ac:dyDescent="0.25">
      <c r="A304" s="495" t="s">
        <v>870</v>
      </c>
      <c r="B304" s="692" t="s">
        <v>796</v>
      </c>
      <c r="C304" s="693"/>
      <c r="D304" s="693"/>
      <c r="E304" s="693"/>
      <c r="F304" s="693"/>
      <c r="G304" s="693" t="s">
        <v>830</v>
      </c>
      <c r="H304" s="693"/>
      <c r="I304" s="693"/>
      <c r="J304" s="693"/>
      <c r="K304" s="693" t="s">
        <v>2283</v>
      </c>
      <c r="L304" s="693"/>
      <c r="M304" s="693"/>
      <c r="N304" s="693"/>
      <c r="O304" s="694">
        <f>ROUND((467700 + 398 * (0.4 * 50 + 0.6 * 25)) * 1 * 1.56 * 0.6 * 0.7, 2)</f>
        <v>315563.98</v>
      </c>
      <c r="P304" s="693"/>
      <c r="Q304" s="494"/>
      <c r="R304" s="494"/>
      <c r="S304" s="494"/>
      <c r="T304" s="494"/>
      <c r="U304" s="494"/>
      <c r="V304" s="494"/>
      <c r="W304" s="494"/>
      <c r="X304" s="494"/>
      <c r="Y304" s="494"/>
      <c r="Z304" s="494"/>
      <c r="AA304" s="494"/>
      <c r="AB304" s="494"/>
      <c r="AC304" s="494"/>
      <c r="AD304" s="494"/>
      <c r="AE304" s="494"/>
      <c r="AF304" s="494"/>
      <c r="AG304" s="494"/>
      <c r="AH304" s="494"/>
      <c r="AI304" s="494"/>
      <c r="AJ304" s="494"/>
      <c r="AK304" s="494"/>
      <c r="AL304" s="494"/>
      <c r="AM304" s="494"/>
      <c r="AN304" s="494"/>
      <c r="AO304" s="494"/>
      <c r="AP304" s="494"/>
      <c r="AQ304" s="494"/>
      <c r="AR304" s="494"/>
      <c r="AS304" s="494"/>
      <c r="AT304" s="494"/>
      <c r="AU304" s="494"/>
      <c r="AV304" s="494"/>
      <c r="AW304" s="494"/>
      <c r="AX304" s="494"/>
    </row>
    <row r="305" spans="1:50" customFormat="1" x14ac:dyDescent="0.25">
      <c r="A305" s="496"/>
      <c r="B305" s="695" t="s">
        <v>564</v>
      </c>
      <c r="C305" s="695"/>
      <c r="D305" s="695"/>
      <c r="E305" s="695"/>
      <c r="F305" s="695"/>
      <c r="G305" s="695" t="s">
        <v>15</v>
      </c>
      <c r="H305" s="695"/>
      <c r="I305" s="695"/>
      <c r="J305" s="695"/>
      <c r="K305" s="695" t="s">
        <v>15</v>
      </c>
      <c r="L305" s="695"/>
      <c r="M305" s="695"/>
      <c r="N305" s="695"/>
      <c r="O305" s="695"/>
      <c r="P305" s="695"/>
      <c r="Q305" s="494"/>
      <c r="R305" s="494"/>
      <c r="S305" s="494"/>
      <c r="T305" s="494"/>
      <c r="U305" s="494"/>
      <c r="V305" s="494"/>
      <c r="W305" s="494"/>
      <c r="X305" s="494"/>
      <c r="Y305" s="494"/>
      <c r="Z305" s="494"/>
      <c r="AA305" s="494"/>
      <c r="AB305" s="494"/>
      <c r="AC305" s="494"/>
      <c r="AD305" s="494"/>
      <c r="AE305" s="494"/>
      <c r="AF305" s="494"/>
      <c r="AG305" s="494"/>
      <c r="AH305" s="494"/>
      <c r="AI305" s="494"/>
      <c r="AJ305" s="494"/>
      <c r="AK305" s="494"/>
      <c r="AL305" s="494"/>
      <c r="AM305" s="494"/>
      <c r="AN305" s="494"/>
      <c r="AO305" s="494"/>
      <c r="AP305" s="494"/>
      <c r="AQ305" s="494"/>
      <c r="AR305" s="494"/>
      <c r="AS305" s="494"/>
      <c r="AT305" s="494"/>
      <c r="AU305" s="494"/>
      <c r="AV305" s="494"/>
      <c r="AW305" s="494"/>
      <c r="AX305" s="494"/>
    </row>
    <row r="306" spans="1:50" customFormat="1" x14ac:dyDescent="0.25">
      <c r="A306" s="492"/>
      <c r="B306" s="687" t="s">
        <v>681</v>
      </c>
      <c r="C306" s="687"/>
      <c r="D306" s="687"/>
      <c r="E306" s="687"/>
      <c r="F306" s="687"/>
      <c r="G306" s="687" t="s">
        <v>682</v>
      </c>
      <c r="H306" s="687"/>
      <c r="I306" s="687"/>
      <c r="J306" s="687"/>
      <c r="K306" s="687" t="s">
        <v>15</v>
      </c>
      <c r="L306" s="687"/>
      <c r="M306" s="687"/>
      <c r="N306" s="687"/>
      <c r="O306" s="687"/>
      <c r="P306" s="687"/>
      <c r="Q306" s="494"/>
      <c r="R306" s="494"/>
      <c r="S306" s="494"/>
      <c r="T306" s="494"/>
      <c r="U306" s="494"/>
      <c r="V306" s="494"/>
      <c r="W306" s="494"/>
      <c r="X306" s="494"/>
      <c r="Y306" s="494"/>
      <c r="Z306" s="494"/>
      <c r="AA306" s="494"/>
      <c r="AB306" s="494"/>
      <c r="AC306" s="494"/>
      <c r="AD306" s="494"/>
      <c r="AE306" s="494"/>
      <c r="AF306" s="494"/>
      <c r="AG306" s="494"/>
      <c r="AH306" s="494"/>
      <c r="AI306" s="494"/>
      <c r="AJ306" s="494"/>
      <c r="AK306" s="494"/>
      <c r="AL306" s="494"/>
      <c r="AM306" s="494"/>
      <c r="AN306" s="494"/>
      <c r="AO306" s="494"/>
      <c r="AP306" s="494"/>
      <c r="AQ306" s="494"/>
      <c r="AR306" s="494"/>
      <c r="AS306" s="494"/>
      <c r="AT306" s="494"/>
      <c r="AU306" s="494"/>
      <c r="AV306" s="494"/>
      <c r="AW306" s="494"/>
      <c r="AX306" s="494"/>
    </row>
    <row r="307" spans="1:50" customFormat="1" ht="40.9" customHeight="1" x14ac:dyDescent="0.25">
      <c r="A307" s="492"/>
      <c r="B307" s="687" t="s">
        <v>683</v>
      </c>
      <c r="C307" s="687"/>
      <c r="D307" s="687"/>
      <c r="E307" s="687"/>
      <c r="F307" s="687"/>
      <c r="G307" s="687" t="s">
        <v>684</v>
      </c>
      <c r="H307" s="687"/>
      <c r="I307" s="687"/>
      <c r="J307" s="687"/>
      <c r="K307" s="687" t="s">
        <v>15</v>
      </c>
      <c r="L307" s="687"/>
      <c r="M307" s="687"/>
      <c r="N307" s="687"/>
      <c r="O307" s="687"/>
      <c r="P307" s="687"/>
      <c r="Q307" s="494"/>
      <c r="R307" s="494"/>
      <c r="S307" s="494"/>
      <c r="T307" s="494"/>
      <c r="U307" s="494"/>
      <c r="V307" s="494"/>
      <c r="W307" s="494"/>
      <c r="X307" s="494"/>
      <c r="Y307" s="494"/>
      <c r="Z307" s="494"/>
      <c r="AA307" s="494"/>
      <c r="AB307" s="494"/>
      <c r="AC307" s="494"/>
      <c r="AD307" s="494"/>
      <c r="AE307" s="494"/>
      <c r="AF307" s="494"/>
      <c r="AG307" s="494"/>
      <c r="AH307" s="494"/>
      <c r="AI307" s="494"/>
      <c r="AJ307" s="494"/>
      <c r="AK307" s="494"/>
      <c r="AL307" s="494"/>
      <c r="AM307" s="494"/>
      <c r="AN307" s="494"/>
      <c r="AO307" s="494"/>
      <c r="AP307" s="494"/>
      <c r="AQ307" s="494"/>
      <c r="AR307" s="494"/>
      <c r="AS307" s="494"/>
      <c r="AT307" s="494"/>
      <c r="AU307" s="494"/>
      <c r="AV307" s="494"/>
      <c r="AW307" s="494"/>
      <c r="AX307" s="494"/>
    </row>
    <row r="308" spans="1:50" customFormat="1" ht="27.2" customHeight="1" x14ac:dyDescent="0.25">
      <c r="A308" s="492"/>
      <c r="B308" s="687" t="s">
        <v>793</v>
      </c>
      <c r="C308" s="687"/>
      <c r="D308" s="687"/>
      <c r="E308" s="687"/>
      <c r="F308" s="687"/>
      <c r="G308" s="687" t="s">
        <v>2253</v>
      </c>
      <c r="H308" s="687"/>
      <c r="I308" s="687"/>
      <c r="J308" s="687"/>
      <c r="K308" s="687" t="s">
        <v>15</v>
      </c>
      <c r="L308" s="687"/>
      <c r="M308" s="687"/>
      <c r="N308" s="687"/>
      <c r="O308" s="687"/>
      <c r="P308" s="687"/>
      <c r="Q308" s="494"/>
      <c r="R308" s="494"/>
      <c r="S308" s="494"/>
      <c r="T308" s="494"/>
      <c r="U308" s="494"/>
      <c r="V308" s="494"/>
      <c r="W308" s="494"/>
      <c r="X308" s="494"/>
      <c r="Y308" s="494"/>
      <c r="Z308" s="494"/>
      <c r="AA308" s="494"/>
      <c r="AB308" s="494"/>
      <c r="AC308" s="494"/>
      <c r="AD308" s="494"/>
      <c r="AE308" s="494"/>
      <c r="AF308" s="494"/>
      <c r="AG308" s="494"/>
      <c r="AH308" s="494"/>
      <c r="AI308" s="494"/>
      <c r="AJ308" s="494"/>
      <c r="AK308" s="494"/>
      <c r="AL308" s="494"/>
      <c r="AM308" s="494"/>
      <c r="AN308" s="494"/>
      <c r="AO308" s="494"/>
      <c r="AP308" s="494"/>
      <c r="AQ308" s="494"/>
      <c r="AR308" s="494"/>
      <c r="AS308" s="494"/>
      <c r="AT308" s="494"/>
      <c r="AU308" s="494"/>
      <c r="AV308" s="494"/>
      <c r="AW308" s="494"/>
      <c r="AX308" s="494"/>
    </row>
    <row r="309" spans="1:50" customFormat="1" x14ac:dyDescent="0.25">
      <c r="A309" s="690" t="s">
        <v>871</v>
      </c>
      <c r="B309" s="690"/>
      <c r="C309" s="690"/>
      <c r="D309" s="690"/>
      <c r="E309" s="690"/>
      <c r="F309" s="690"/>
      <c r="G309" s="690"/>
      <c r="H309" s="690"/>
      <c r="I309" s="690"/>
      <c r="J309" s="690"/>
      <c r="K309" s="690"/>
      <c r="L309" s="690"/>
      <c r="M309" s="690"/>
      <c r="N309" s="690"/>
      <c r="O309" s="690"/>
      <c r="P309" s="690"/>
      <c r="Q309" s="494"/>
      <c r="R309" s="494"/>
      <c r="S309" s="494"/>
      <c r="T309" s="494"/>
      <c r="U309" s="494"/>
      <c r="V309" s="494"/>
      <c r="W309" s="494"/>
      <c r="X309" s="494"/>
      <c r="Y309" s="494"/>
      <c r="Z309" s="494"/>
      <c r="AA309" s="494"/>
      <c r="AB309" s="494"/>
      <c r="AC309" s="494"/>
      <c r="AD309" s="494"/>
      <c r="AE309" s="494"/>
      <c r="AF309" s="494"/>
      <c r="AG309" s="494"/>
      <c r="AH309" s="494"/>
      <c r="AI309" s="494"/>
      <c r="AJ309" s="494"/>
      <c r="AK309" s="494"/>
      <c r="AL309" s="494"/>
      <c r="AM309" s="494"/>
      <c r="AN309" s="494"/>
      <c r="AO309" s="494"/>
      <c r="AP309" s="494"/>
      <c r="AQ309" s="494"/>
      <c r="AR309" s="494"/>
      <c r="AS309" s="494"/>
      <c r="AT309" s="494"/>
      <c r="AU309" s="494"/>
      <c r="AV309" s="494"/>
      <c r="AW309" s="494"/>
      <c r="AX309" s="494"/>
    </row>
    <row r="310" spans="1:50" customFormat="1" ht="135.94999999999999" customHeight="1" x14ac:dyDescent="0.25">
      <c r="A310" s="495" t="s">
        <v>872</v>
      </c>
      <c r="B310" s="692" t="s">
        <v>796</v>
      </c>
      <c r="C310" s="693"/>
      <c r="D310" s="693"/>
      <c r="E310" s="693"/>
      <c r="F310" s="693"/>
      <c r="G310" s="693" t="s">
        <v>830</v>
      </c>
      <c r="H310" s="693"/>
      <c r="I310" s="693"/>
      <c r="J310" s="693"/>
      <c r="K310" s="693" t="s">
        <v>2283</v>
      </c>
      <c r="L310" s="693"/>
      <c r="M310" s="693"/>
      <c r="N310" s="693"/>
      <c r="O310" s="694">
        <f>ROUND((467700 + 398 * (0.4 * 50 + 0.6 * 25)) * 1 * 1.56 * 0.6 * 0.7, 2)</f>
        <v>315563.98</v>
      </c>
      <c r="P310" s="693"/>
      <c r="Q310" s="494"/>
      <c r="R310" s="494"/>
      <c r="S310" s="494"/>
      <c r="T310" s="494"/>
      <c r="U310" s="494"/>
      <c r="V310" s="494"/>
      <c r="W310" s="494"/>
      <c r="X310" s="494"/>
      <c r="Y310" s="494"/>
      <c r="Z310" s="494"/>
      <c r="AA310" s="494"/>
      <c r="AB310" s="494"/>
      <c r="AC310" s="494"/>
      <c r="AD310" s="494"/>
      <c r="AE310" s="494"/>
      <c r="AF310" s="494"/>
      <c r="AG310" s="494"/>
      <c r="AH310" s="494"/>
      <c r="AI310" s="494"/>
      <c r="AJ310" s="494"/>
      <c r="AK310" s="494"/>
      <c r="AL310" s="494"/>
      <c r="AM310" s="494"/>
      <c r="AN310" s="494"/>
      <c r="AO310" s="494"/>
      <c r="AP310" s="494"/>
      <c r="AQ310" s="494"/>
      <c r="AR310" s="494"/>
      <c r="AS310" s="494"/>
      <c r="AT310" s="494"/>
      <c r="AU310" s="494"/>
      <c r="AV310" s="494"/>
      <c r="AW310" s="494"/>
      <c r="AX310" s="494"/>
    </row>
    <row r="311" spans="1:50" customFormat="1" x14ac:dyDescent="0.25">
      <c r="A311" s="496"/>
      <c r="B311" s="695" t="s">
        <v>564</v>
      </c>
      <c r="C311" s="695"/>
      <c r="D311" s="695"/>
      <c r="E311" s="695"/>
      <c r="F311" s="695"/>
      <c r="G311" s="695" t="s">
        <v>15</v>
      </c>
      <c r="H311" s="695"/>
      <c r="I311" s="695"/>
      <c r="J311" s="695"/>
      <c r="K311" s="695" t="s">
        <v>15</v>
      </c>
      <c r="L311" s="695"/>
      <c r="M311" s="695"/>
      <c r="N311" s="695"/>
      <c r="O311" s="695"/>
      <c r="P311" s="695"/>
      <c r="Q311" s="494"/>
      <c r="R311" s="494"/>
      <c r="S311" s="494"/>
      <c r="T311" s="494"/>
      <c r="U311" s="494"/>
      <c r="V311" s="494"/>
      <c r="W311" s="494"/>
      <c r="X311" s="494"/>
      <c r="Y311" s="494"/>
      <c r="Z311" s="494"/>
      <c r="AA311" s="494"/>
      <c r="AB311" s="494"/>
      <c r="AC311" s="494"/>
      <c r="AD311" s="494"/>
      <c r="AE311" s="494"/>
      <c r="AF311" s="494"/>
      <c r="AG311" s="494"/>
      <c r="AH311" s="494"/>
      <c r="AI311" s="494"/>
      <c r="AJ311" s="494"/>
      <c r="AK311" s="494"/>
      <c r="AL311" s="494"/>
      <c r="AM311" s="494"/>
      <c r="AN311" s="494"/>
      <c r="AO311" s="494"/>
      <c r="AP311" s="494"/>
      <c r="AQ311" s="494"/>
      <c r="AR311" s="494"/>
      <c r="AS311" s="494"/>
      <c r="AT311" s="494"/>
      <c r="AU311" s="494"/>
      <c r="AV311" s="494"/>
      <c r="AW311" s="494"/>
      <c r="AX311" s="494"/>
    </row>
    <row r="312" spans="1:50" customFormat="1" x14ac:dyDescent="0.25">
      <c r="A312" s="492"/>
      <c r="B312" s="687" t="s">
        <v>681</v>
      </c>
      <c r="C312" s="687"/>
      <c r="D312" s="687"/>
      <c r="E312" s="687"/>
      <c r="F312" s="687"/>
      <c r="G312" s="687" t="s">
        <v>682</v>
      </c>
      <c r="H312" s="687"/>
      <c r="I312" s="687"/>
      <c r="J312" s="687"/>
      <c r="K312" s="687" t="s">
        <v>15</v>
      </c>
      <c r="L312" s="687"/>
      <c r="M312" s="687"/>
      <c r="N312" s="687"/>
      <c r="O312" s="687"/>
      <c r="P312" s="687"/>
      <c r="Q312" s="494"/>
      <c r="R312" s="494"/>
      <c r="S312" s="494"/>
      <c r="T312" s="494"/>
      <c r="U312" s="494"/>
      <c r="V312" s="494"/>
      <c r="W312" s="494"/>
      <c r="X312" s="494"/>
      <c r="Y312" s="494"/>
      <c r="Z312" s="494"/>
      <c r="AA312" s="494"/>
      <c r="AB312" s="494"/>
      <c r="AC312" s="494"/>
      <c r="AD312" s="494"/>
      <c r="AE312" s="494"/>
      <c r="AF312" s="494"/>
      <c r="AG312" s="494"/>
      <c r="AH312" s="494"/>
      <c r="AI312" s="494"/>
      <c r="AJ312" s="494"/>
      <c r="AK312" s="494"/>
      <c r="AL312" s="494"/>
      <c r="AM312" s="494"/>
      <c r="AN312" s="494"/>
      <c r="AO312" s="494"/>
      <c r="AP312" s="494"/>
      <c r="AQ312" s="494"/>
      <c r="AR312" s="494"/>
      <c r="AS312" s="494"/>
      <c r="AT312" s="494"/>
      <c r="AU312" s="494"/>
      <c r="AV312" s="494"/>
      <c r="AW312" s="494"/>
      <c r="AX312" s="494"/>
    </row>
    <row r="313" spans="1:50" customFormat="1" ht="40.9" customHeight="1" x14ac:dyDescent="0.25">
      <c r="A313" s="492"/>
      <c r="B313" s="687" t="s">
        <v>683</v>
      </c>
      <c r="C313" s="687"/>
      <c r="D313" s="687"/>
      <c r="E313" s="687"/>
      <c r="F313" s="687"/>
      <c r="G313" s="687" t="s">
        <v>684</v>
      </c>
      <c r="H313" s="687"/>
      <c r="I313" s="687"/>
      <c r="J313" s="687"/>
      <c r="K313" s="687" t="s">
        <v>15</v>
      </c>
      <c r="L313" s="687"/>
      <c r="M313" s="687"/>
      <c r="N313" s="687"/>
      <c r="O313" s="687"/>
      <c r="P313" s="687"/>
      <c r="Q313" s="494"/>
      <c r="R313" s="494"/>
      <c r="S313" s="494"/>
      <c r="T313" s="494"/>
      <c r="U313" s="494"/>
      <c r="V313" s="494"/>
      <c r="W313" s="494"/>
      <c r="X313" s="494"/>
      <c r="Y313" s="494"/>
      <c r="Z313" s="494"/>
      <c r="AA313" s="494"/>
      <c r="AB313" s="494"/>
      <c r="AC313" s="494"/>
      <c r="AD313" s="494"/>
      <c r="AE313" s="494"/>
      <c r="AF313" s="494"/>
      <c r="AG313" s="494"/>
      <c r="AH313" s="494"/>
      <c r="AI313" s="494"/>
      <c r="AJ313" s="494"/>
      <c r="AK313" s="494"/>
      <c r="AL313" s="494"/>
      <c r="AM313" s="494"/>
      <c r="AN313" s="494"/>
      <c r="AO313" s="494"/>
      <c r="AP313" s="494"/>
      <c r="AQ313" s="494"/>
      <c r="AR313" s="494"/>
      <c r="AS313" s="494"/>
      <c r="AT313" s="494"/>
      <c r="AU313" s="494"/>
      <c r="AV313" s="494"/>
      <c r="AW313" s="494"/>
      <c r="AX313" s="494"/>
    </row>
    <row r="314" spans="1:50" customFormat="1" ht="27.2" customHeight="1" x14ac:dyDescent="0.25">
      <c r="A314" s="492"/>
      <c r="B314" s="687" t="s">
        <v>793</v>
      </c>
      <c r="C314" s="687"/>
      <c r="D314" s="687"/>
      <c r="E314" s="687"/>
      <c r="F314" s="687"/>
      <c r="G314" s="687" t="s">
        <v>2253</v>
      </c>
      <c r="H314" s="687"/>
      <c r="I314" s="687"/>
      <c r="J314" s="687"/>
      <c r="K314" s="687" t="s">
        <v>15</v>
      </c>
      <c r="L314" s="687"/>
      <c r="M314" s="687"/>
      <c r="N314" s="687"/>
      <c r="O314" s="687"/>
      <c r="P314" s="687"/>
      <c r="Q314" s="494"/>
      <c r="R314" s="494"/>
      <c r="S314" s="494"/>
      <c r="T314" s="494"/>
      <c r="U314" s="494"/>
      <c r="V314" s="494"/>
      <c r="W314" s="494"/>
      <c r="X314" s="494"/>
      <c r="Y314" s="494"/>
      <c r="Z314" s="494"/>
      <c r="AA314" s="494"/>
      <c r="AB314" s="494"/>
      <c r="AC314" s="494"/>
      <c r="AD314" s="494"/>
      <c r="AE314" s="494"/>
      <c r="AF314" s="494"/>
      <c r="AG314" s="494"/>
      <c r="AH314" s="494"/>
      <c r="AI314" s="494"/>
      <c r="AJ314" s="494"/>
      <c r="AK314" s="494"/>
      <c r="AL314" s="494"/>
      <c r="AM314" s="494"/>
      <c r="AN314" s="494"/>
      <c r="AO314" s="494"/>
      <c r="AP314" s="494"/>
      <c r="AQ314" s="494"/>
      <c r="AR314" s="494"/>
      <c r="AS314" s="494"/>
      <c r="AT314" s="494"/>
      <c r="AU314" s="494"/>
      <c r="AV314" s="494"/>
      <c r="AW314" s="494"/>
      <c r="AX314" s="494"/>
    </row>
    <row r="315" spans="1:50" customFormat="1" x14ac:dyDescent="0.25">
      <c r="A315" s="690" t="s">
        <v>873</v>
      </c>
      <c r="B315" s="690"/>
      <c r="C315" s="690"/>
      <c r="D315" s="690"/>
      <c r="E315" s="690"/>
      <c r="F315" s="690"/>
      <c r="G315" s="690"/>
      <c r="H315" s="690"/>
      <c r="I315" s="690"/>
      <c r="J315" s="690"/>
      <c r="K315" s="690"/>
      <c r="L315" s="690"/>
      <c r="M315" s="690"/>
      <c r="N315" s="690"/>
      <c r="O315" s="690"/>
      <c r="P315" s="690"/>
      <c r="Q315" s="494"/>
      <c r="R315" s="494"/>
      <c r="S315" s="494"/>
      <c r="T315" s="494"/>
      <c r="U315" s="494"/>
      <c r="V315" s="494"/>
      <c r="W315" s="494"/>
      <c r="X315" s="494"/>
      <c r="Y315" s="494"/>
      <c r="Z315" s="494"/>
      <c r="AA315" s="494"/>
      <c r="AB315" s="494"/>
      <c r="AC315" s="494"/>
      <c r="AD315" s="494"/>
      <c r="AE315" s="494"/>
      <c r="AF315" s="494"/>
      <c r="AG315" s="494"/>
      <c r="AH315" s="494"/>
      <c r="AI315" s="494"/>
      <c r="AJ315" s="494"/>
      <c r="AK315" s="494"/>
      <c r="AL315" s="494"/>
      <c r="AM315" s="494"/>
      <c r="AN315" s="494"/>
      <c r="AO315" s="494"/>
      <c r="AP315" s="494"/>
      <c r="AQ315" s="494"/>
      <c r="AR315" s="494"/>
      <c r="AS315" s="494"/>
      <c r="AT315" s="494"/>
      <c r="AU315" s="494"/>
      <c r="AV315" s="494"/>
      <c r="AW315" s="494"/>
      <c r="AX315" s="494"/>
    </row>
    <row r="316" spans="1:50" customFormat="1" ht="135.94999999999999" customHeight="1" x14ac:dyDescent="0.25">
      <c r="A316" s="495" t="s">
        <v>874</v>
      </c>
      <c r="B316" s="692" t="s">
        <v>796</v>
      </c>
      <c r="C316" s="693"/>
      <c r="D316" s="693"/>
      <c r="E316" s="693"/>
      <c r="F316" s="693"/>
      <c r="G316" s="693" t="s">
        <v>830</v>
      </c>
      <c r="H316" s="693"/>
      <c r="I316" s="693"/>
      <c r="J316" s="693"/>
      <c r="K316" s="693" t="s">
        <v>2283</v>
      </c>
      <c r="L316" s="693"/>
      <c r="M316" s="693"/>
      <c r="N316" s="693"/>
      <c r="O316" s="694">
        <f>ROUND((467700 + 398 * (0.4 * 50 + 0.6 * 25)) * 1 * 1.56 * 0.6 * 0.7, 2)</f>
        <v>315563.98</v>
      </c>
      <c r="P316" s="693"/>
      <c r="Q316" s="494"/>
      <c r="R316" s="494"/>
      <c r="S316" s="494"/>
      <c r="T316" s="494"/>
      <c r="U316" s="494"/>
      <c r="V316" s="494"/>
      <c r="W316" s="494"/>
      <c r="X316" s="494"/>
      <c r="Y316" s="494"/>
      <c r="Z316" s="494"/>
      <c r="AA316" s="494"/>
      <c r="AB316" s="494"/>
      <c r="AC316" s="494"/>
      <c r="AD316" s="494"/>
      <c r="AE316" s="494"/>
      <c r="AF316" s="494"/>
      <c r="AG316" s="494"/>
      <c r="AH316" s="494"/>
      <c r="AI316" s="494"/>
      <c r="AJ316" s="494"/>
      <c r="AK316" s="494"/>
      <c r="AL316" s="494"/>
      <c r="AM316" s="494"/>
      <c r="AN316" s="494"/>
      <c r="AO316" s="494"/>
      <c r="AP316" s="494"/>
      <c r="AQ316" s="494"/>
      <c r="AR316" s="494"/>
      <c r="AS316" s="494"/>
      <c r="AT316" s="494"/>
      <c r="AU316" s="494"/>
      <c r="AV316" s="494"/>
      <c r="AW316" s="494"/>
      <c r="AX316" s="494"/>
    </row>
    <row r="317" spans="1:50" customFormat="1" x14ac:dyDescent="0.25">
      <c r="A317" s="496"/>
      <c r="B317" s="695" t="s">
        <v>564</v>
      </c>
      <c r="C317" s="695"/>
      <c r="D317" s="695"/>
      <c r="E317" s="695"/>
      <c r="F317" s="695"/>
      <c r="G317" s="695" t="s">
        <v>15</v>
      </c>
      <c r="H317" s="695"/>
      <c r="I317" s="695"/>
      <c r="J317" s="695"/>
      <c r="K317" s="695" t="s">
        <v>15</v>
      </c>
      <c r="L317" s="695"/>
      <c r="M317" s="695"/>
      <c r="N317" s="695"/>
      <c r="O317" s="695"/>
      <c r="P317" s="695"/>
      <c r="Q317" s="494"/>
      <c r="R317" s="494"/>
      <c r="S317" s="494"/>
      <c r="T317" s="494"/>
      <c r="U317" s="494"/>
      <c r="V317" s="494"/>
      <c r="W317" s="494"/>
      <c r="X317" s="494"/>
      <c r="Y317" s="494"/>
      <c r="Z317" s="494"/>
      <c r="AA317" s="494"/>
      <c r="AB317" s="494"/>
      <c r="AC317" s="494"/>
      <c r="AD317" s="494"/>
      <c r="AE317" s="494"/>
      <c r="AF317" s="494"/>
      <c r="AG317" s="494"/>
      <c r="AH317" s="494"/>
      <c r="AI317" s="494"/>
      <c r="AJ317" s="494"/>
      <c r="AK317" s="494"/>
      <c r="AL317" s="494"/>
      <c r="AM317" s="494"/>
      <c r="AN317" s="494"/>
      <c r="AO317" s="494"/>
      <c r="AP317" s="494"/>
      <c r="AQ317" s="494"/>
      <c r="AR317" s="494"/>
      <c r="AS317" s="494"/>
      <c r="AT317" s="494"/>
      <c r="AU317" s="494"/>
      <c r="AV317" s="494"/>
      <c r="AW317" s="494"/>
      <c r="AX317" s="494"/>
    </row>
    <row r="318" spans="1:50" customFormat="1" x14ac:dyDescent="0.25">
      <c r="A318" s="492"/>
      <c r="B318" s="687" t="s">
        <v>681</v>
      </c>
      <c r="C318" s="687"/>
      <c r="D318" s="687"/>
      <c r="E318" s="687"/>
      <c r="F318" s="687"/>
      <c r="G318" s="687" t="s">
        <v>682</v>
      </c>
      <c r="H318" s="687"/>
      <c r="I318" s="687"/>
      <c r="J318" s="687"/>
      <c r="K318" s="687" t="s">
        <v>15</v>
      </c>
      <c r="L318" s="687"/>
      <c r="M318" s="687"/>
      <c r="N318" s="687"/>
      <c r="O318" s="687"/>
      <c r="P318" s="687"/>
      <c r="Q318" s="494"/>
      <c r="R318" s="494"/>
      <c r="S318" s="494"/>
      <c r="T318" s="494"/>
      <c r="U318" s="494"/>
      <c r="V318" s="494"/>
      <c r="W318" s="494"/>
      <c r="X318" s="494"/>
      <c r="Y318" s="494"/>
      <c r="Z318" s="494"/>
      <c r="AA318" s="494"/>
      <c r="AB318" s="494"/>
      <c r="AC318" s="494"/>
      <c r="AD318" s="494"/>
      <c r="AE318" s="494"/>
      <c r="AF318" s="494"/>
      <c r="AG318" s="494"/>
      <c r="AH318" s="494"/>
      <c r="AI318" s="494"/>
      <c r="AJ318" s="494"/>
      <c r="AK318" s="494"/>
      <c r="AL318" s="494"/>
      <c r="AM318" s="494"/>
      <c r="AN318" s="494"/>
      <c r="AO318" s="494"/>
      <c r="AP318" s="494"/>
      <c r="AQ318" s="494"/>
      <c r="AR318" s="494"/>
      <c r="AS318" s="494"/>
      <c r="AT318" s="494"/>
      <c r="AU318" s="494"/>
      <c r="AV318" s="494"/>
      <c r="AW318" s="494"/>
      <c r="AX318" s="494"/>
    </row>
    <row r="319" spans="1:50" customFormat="1" ht="40.9" customHeight="1" x14ac:dyDescent="0.25">
      <c r="A319" s="492"/>
      <c r="B319" s="687" t="s">
        <v>683</v>
      </c>
      <c r="C319" s="687"/>
      <c r="D319" s="687"/>
      <c r="E319" s="687"/>
      <c r="F319" s="687"/>
      <c r="G319" s="687" t="s">
        <v>684</v>
      </c>
      <c r="H319" s="687"/>
      <c r="I319" s="687"/>
      <c r="J319" s="687"/>
      <c r="K319" s="687" t="s">
        <v>15</v>
      </c>
      <c r="L319" s="687"/>
      <c r="M319" s="687"/>
      <c r="N319" s="687"/>
      <c r="O319" s="687"/>
      <c r="P319" s="687"/>
      <c r="Q319" s="494"/>
      <c r="R319" s="494"/>
      <c r="S319" s="494"/>
      <c r="T319" s="494"/>
      <c r="U319" s="494"/>
      <c r="V319" s="494"/>
      <c r="W319" s="494"/>
      <c r="X319" s="494"/>
      <c r="Y319" s="494"/>
      <c r="Z319" s="494"/>
      <c r="AA319" s="494"/>
      <c r="AB319" s="494"/>
      <c r="AC319" s="494"/>
      <c r="AD319" s="494"/>
      <c r="AE319" s="494"/>
      <c r="AF319" s="494"/>
      <c r="AG319" s="494"/>
      <c r="AH319" s="494"/>
      <c r="AI319" s="494"/>
      <c r="AJ319" s="494"/>
      <c r="AK319" s="494"/>
      <c r="AL319" s="494"/>
      <c r="AM319" s="494"/>
      <c r="AN319" s="494"/>
      <c r="AO319" s="494"/>
      <c r="AP319" s="494"/>
      <c r="AQ319" s="494"/>
      <c r="AR319" s="494"/>
      <c r="AS319" s="494"/>
      <c r="AT319" s="494"/>
      <c r="AU319" s="494"/>
      <c r="AV319" s="494"/>
      <c r="AW319" s="494"/>
      <c r="AX319" s="494"/>
    </row>
    <row r="320" spans="1:50" customFormat="1" ht="27.2" customHeight="1" x14ac:dyDescent="0.25">
      <c r="A320" s="492"/>
      <c r="B320" s="687" t="s">
        <v>793</v>
      </c>
      <c r="C320" s="687"/>
      <c r="D320" s="687"/>
      <c r="E320" s="687"/>
      <c r="F320" s="687"/>
      <c r="G320" s="687" t="s">
        <v>2253</v>
      </c>
      <c r="H320" s="687"/>
      <c r="I320" s="687"/>
      <c r="J320" s="687"/>
      <c r="K320" s="687" t="s">
        <v>15</v>
      </c>
      <c r="L320" s="687"/>
      <c r="M320" s="687"/>
      <c r="N320" s="687"/>
      <c r="O320" s="687"/>
      <c r="P320" s="687"/>
      <c r="Q320" s="494"/>
      <c r="R320" s="494"/>
      <c r="S320" s="494"/>
      <c r="T320" s="494"/>
      <c r="U320" s="494"/>
      <c r="V320" s="494"/>
      <c r="W320" s="494"/>
      <c r="X320" s="494"/>
      <c r="Y320" s="494"/>
      <c r="Z320" s="494"/>
      <c r="AA320" s="494"/>
      <c r="AB320" s="494"/>
      <c r="AC320" s="494"/>
      <c r="AD320" s="494"/>
      <c r="AE320" s="494"/>
      <c r="AF320" s="494"/>
      <c r="AG320" s="494"/>
      <c r="AH320" s="494"/>
      <c r="AI320" s="494"/>
      <c r="AJ320" s="494"/>
      <c r="AK320" s="494"/>
      <c r="AL320" s="494"/>
      <c r="AM320" s="494"/>
      <c r="AN320" s="494"/>
      <c r="AO320" s="494"/>
      <c r="AP320" s="494"/>
      <c r="AQ320" s="494"/>
      <c r="AR320" s="494"/>
      <c r="AS320" s="494"/>
      <c r="AT320" s="494"/>
      <c r="AU320" s="494"/>
      <c r="AV320" s="494"/>
      <c r="AW320" s="494"/>
      <c r="AX320" s="494"/>
    </row>
    <row r="321" spans="1:50" customFormat="1" x14ac:dyDescent="0.25">
      <c r="A321" s="690" t="s">
        <v>875</v>
      </c>
      <c r="B321" s="690"/>
      <c r="C321" s="690"/>
      <c r="D321" s="690"/>
      <c r="E321" s="690"/>
      <c r="F321" s="690"/>
      <c r="G321" s="690"/>
      <c r="H321" s="690"/>
      <c r="I321" s="690"/>
      <c r="J321" s="690"/>
      <c r="K321" s="690"/>
      <c r="L321" s="690"/>
      <c r="M321" s="690"/>
      <c r="N321" s="690"/>
      <c r="O321" s="690"/>
      <c r="P321" s="690"/>
      <c r="Q321" s="494"/>
      <c r="R321" s="494"/>
      <c r="S321" s="494"/>
      <c r="T321" s="494"/>
      <c r="U321" s="494"/>
      <c r="V321" s="494"/>
      <c r="W321" s="494"/>
      <c r="X321" s="494"/>
      <c r="Y321" s="494"/>
      <c r="Z321" s="494"/>
      <c r="AA321" s="494"/>
      <c r="AB321" s="494"/>
      <c r="AC321" s="494"/>
      <c r="AD321" s="494"/>
      <c r="AE321" s="494"/>
      <c r="AF321" s="494"/>
      <c r="AG321" s="494"/>
      <c r="AH321" s="494"/>
      <c r="AI321" s="494"/>
      <c r="AJ321" s="494"/>
      <c r="AK321" s="494"/>
      <c r="AL321" s="494"/>
      <c r="AM321" s="494"/>
      <c r="AN321" s="494"/>
      <c r="AO321" s="494"/>
      <c r="AP321" s="494"/>
      <c r="AQ321" s="494"/>
      <c r="AR321" s="494"/>
      <c r="AS321" s="494"/>
      <c r="AT321" s="494"/>
      <c r="AU321" s="494"/>
      <c r="AV321" s="494"/>
      <c r="AW321" s="494"/>
      <c r="AX321" s="494"/>
    </row>
    <row r="322" spans="1:50" customFormat="1" ht="95.25" customHeight="1" x14ac:dyDescent="0.25">
      <c r="A322" s="495" t="s">
        <v>876</v>
      </c>
      <c r="B322" s="692" t="s">
        <v>769</v>
      </c>
      <c r="C322" s="693"/>
      <c r="D322" s="693"/>
      <c r="E322" s="693"/>
      <c r="F322" s="693"/>
      <c r="G322" s="693" t="s">
        <v>770</v>
      </c>
      <c r="H322" s="693"/>
      <c r="I322" s="693"/>
      <c r="J322" s="693"/>
      <c r="K322" s="693" t="s">
        <v>2256</v>
      </c>
      <c r="L322" s="693"/>
      <c r="M322" s="693"/>
      <c r="N322" s="693"/>
      <c r="O322" s="694">
        <f>ROUND(990600 * 1 * 1.56 * 0.6 * 0.7, 2)</f>
        <v>649041.12</v>
      </c>
      <c r="P322" s="693"/>
      <c r="Q322" s="494"/>
      <c r="R322" s="494"/>
      <c r="S322" s="494"/>
      <c r="T322" s="494"/>
      <c r="U322" s="494"/>
      <c r="V322" s="494"/>
      <c r="W322" s="494"/>
      <c r="X322" s="494"/>
      <c r="Y322" s="494"/>
      <c r="Z322" s="494"/>
      <c r="AA322" s="494"/>
      <c r="AB322" s="494"/>
      <c r="AC322" s="494"/>
      <c r="AD322" s="494"/>
      <c r="AE322" s="494"/>
      <c r="AF322" s="494"/>
      <c r="AG322" s="494"/>
      <c r="AH322" s="494"/>
      <c r="AI322" s="494"/>
      <c r="AJ322" s="494"/>
      <c r="AK322" s="494"/>
      <c r="AL322" s="494"/>
      <c r="AM322" s="494"/>
      <c r="AN322" s="494"/>
      <c r="AO322" s="494"/>
      <c r="AP322" s="494"/>
      <c r="AQ322" s="494"/>
      <c r="AR322" s="494"/>
      <c r="AS322" s="494"/>
      <c r="AT322" s="494"/>
      <c r="AU322" s="494"/>
      <c r="AV322" s="494"/>
      <c r="AW322" s="494"/>
      <c r="AX322" s="494"/>
    </row>
    <row r="323" spans="1:50" customFormat="1" x14ac:dyDescent="0.25">
      <c r="A323" s="496"/>
      <c r="B323" s="695" t="s">
        <v>564</v>
      </c>
      <c r="C323" s="695"/>
      <c r="D323" s="695"/>
      <c r="E323" s="695"/>
      <c r="F323" s="695"/>
      <c r="G323" s="695" t="s">
        <v>15</v>
      </c>
      <c r="H323" s="695"/>
      <c r="I323" s="695"/>
      <c r="J323" s="695"/>
      <c r="K323" s="695" t="s">
        <v>15</v>
      </c>
      <c r="L323" s="695"/>
      <c r="M323" s="695"/>
      <c r="N323" s="695"/>
      <c r="O323" s="695"/>
      <c r="P323" s="695"/>
      <c r="Q323" s="494"/>
      <c r="R323" s="494"/>
      <c r="S323" s="494"/>
      <c r="T323" s="494"/>
      <c r="U323" s="494"/>
      <c r="V323" s="494"/>
      <c r="W323" s="494"/>
      <c r="X323" s="494"/>
      <c r="Y323" s="494"/>
      <c r="Z323" s="494"/>
      <c r="AA323" s="494"/>
      <c r="AB323" s="494"/>
      <c r="AC323" s="494"/>
      <c r="AD323" s="494"/>
      <c r="AE323" s="494"/>
      <c r="AF323" s="494"/>
      <c r="AG323" s="494"/>
      <c r="AH323" s="494"/>
      <c r="AI323" s="494"/>
      <c r="AJ323" s="494"/>
      <c r="AK323" s="494"/>
      <c r="AL323" s="494"/>
      <c r="AM323" s="494"/>
      <c r="AN323" s="494"/>
      <c r="AO323" s="494"/>
      <c r="AP323" s="494"/>
      <c r="AQ323" s="494"/>
      <c r="AR323" s="494"/>
      <c r="AS323" s="494"/>
      <c r="AT323" s="494"/>
      <c r="AU323" s="494"/>
      <c r="AV323" s="494"/>
      <c r="AW323" s="494"/>
      <c r="AX323" s="494"/>
    </row>
    <row r="324" spans="1:50" customFormat="1" x14ac:dyDescent="0.25">
      <c r="A324" s="492"/>
      <c r="B324" s="687" t="s">
        <v>681</v>
      </c>
      <c r="C324" s="687"/>
      <c r="D324" s="687"/>
      <c r="E324" s="687"/>
      <c r="F324" s="687"/>
      <c r="G324" s="687" t="s">
        <v>682</v>
      </c>
      <c r="H324" s="687"/>
      <c r="I324" s="687"/>
      <c r="J324" s="687"/>
      <c r="K324" s="687" t="s">
        <v>15</v>
      </c>
      <c r="L324" s="687"/>
      <c r="M324" s="687"/>
      <c r="N324" s="687"/>
      <c r="O324" s="687"/>
      <c r="P324" s="687"/>
      <c r="Q324" s="494"/>
      <c r="R324" s="494"/>
      <c r="S324" s="494"/>
      <c r="T324" s="494"/>
      <c r="U324" s="494"/>
      <c r="V324" s="494"/>
      <c r="W324" s="494"/>
      <c r="X324" s="494"/>
      <c r="Y324" s="494"/>
      <c r="Z324" s="494"/>
      <c r="AA324" s="494"/>
      <c r="AB324" s="494"/>
      <c r="AC324" s="494"/>
      <c r="AD324" s="494"/>
      <c r="AE324" s="494"/>
      <c r="AF324" s="494"/>
      <c r="AG324" s="494"/>
      <c r="AH324" s="494"/>
      <c r="AI324" s="494"/>
      <c r="AJ324" s="494"/>
      <c r="AK324" s="494"/>
      <c r="AL324" s="494"/>
      <c r="AM324" s="494"/>
      <c r="AN324" s="494"/>
      <c r="AO324" s="494"/>
      <c r="AP324" s="494"/>
      <c r="AQ324" s="494"/>
      <c r="AR324" s="494"/>
      <c r="AS324" s="494"/>
      <c r="AT324" s="494"/>
      <c r="AU324" s="494"/>
      <c r="AV324" s="494"/>
      <c r="AW324" s="494"/>
      <c r="AX324" s="494"/>
    </row>
    <row r="325" spans="1:50" customFormat="1" ht="40.9" customHeight="1" x14ac:dyDescent="0.25">
      <c r="A325" s="492"/>
      <c r="B325" s="687" t="s">
        <v>683</v>
      </c>
      <c r="C325" s="687"/>
      <c r="D325" s="687"/>
      <c r="E325" s="687"/>
      <c r="F325" s="687"/>
      <c r="G325" s="687" t="s">
        <v>684</v>
      </c>
      <c r="H325" s="687"/>
      <c r="I325" s="687"/>
      <c r="J325" s="687"/>
      <c r="K325" s="687" t="s">
        <v>15</v>
      </c>
      <c r="L325" s="687"/>
      <c r="M325" s="687"/>
      <c r="N325" s="687"/>
      <c r="O325" s="687"/>
      <c r="P325" s="687"/>
      <c r="Q325" s="494"/>
      <c r="R325" s="494"/>
      <c r="S325" s="494"/>
      <c r="T325" s="494"/>
      <c r="U325" s="494"/>
      <c r="V325" s="494"/>
      <c r="W325" s="494"/>
      <c r="X325" s="494"/>
      <c r="Y325" s="494"/>
      <c r="Z325" s="494"/>
      <c r="AA325" s="494"/>
      <c r="AB325" s="494"/>
      <c r="AC325" s="494"/>
      <c r="AD325" s="494"/>
      <c r="AE325" s="494"/>
      <c r="AF325" s="494"/>
      <c r="AG325" s="494"/>
      <c r="AH325" s="494"/>
      <c r="AI325" s="494"/>
      <c r="AJ325" s="494"/>
      <c r="AK325" s="494"/>
      <c r="AL325" s="494"/>
      <c r="AM325" s="494"/>
      <c r="AN325" s="494"/>
      <c r="AO325" s="494"/>
      <c r="AP325" s="494"/>
      <c r="AQ325" s="494"/>
      <c r="AR325" s="494"/>
      <c r="AS325" s="494"/>
      <c r="AT325" s="494"/>
      <c r="AU325" s="494"/>
      <c r="AV325" s="494"/>
      <c r="AW325" s="494"/>
      <c r="AX325" s="494"/>
    </row>
    <row r="326" spans="1:50" customFormat="1" ht="27.2" customHeight="1" x14ac:dyDescent="0.25">
      <c r="A326" s="492"/>
      <c r="B326" s="687" t="s">
        <v>793</v>
      </c>
      <c r="C326" s="687"/>
      <c r="D326" s="687"/>
      <c r="E326" s="687"/>
      <c r="F326" s="687"/>
      <c r="G326" s="687" t="s">
        <v>2253</v>
      </c>
      <c r="H326" s="687"/>
      <c r="I326" s="687"/>
      <c r="J326" s="687"/>
      <c r="K326" s="687" t="s">
        <v>15</v>
      </c>
      <c r="L326" s="687"/>
      <c r="M326" s="687"/>
      <c r="N326" s="687"/>
      <c r="O326" s="687"/>
      <c r="P326" s="687"/>
      <c r="Q326" s="494"/>
      <c r="R326" s="494"/>
      <c r="S326" s="494"/>
      <c r="T326" s="494"/>
      <c r="U326" s="494"/>
      <c r="V326" s="494"/>
      <c r="W326" s="494"/>
      <c r="X326" s="494"/>
      <c r="Y326" s="494"/>
      <c r="Z326" s="494"/>
      <c r="AA326" s="494"/>
      <c r="AB326" s="494"/>
      <c r="AC326" s="494"/>
      <c r="AD326" s="494"/>
      <c r="AE326" s="494"/>
      <c r="AF326" s="494"/>
      <c r="AG326" s="494"/>
      <c r="AH326" s="494"/>
      <c r="AI326" s="494"/>
      <c r="AJ326" s="494"/>
      <c r="AK326" s="494"/>
      <c r="AL326" s="494"/>
      <c r="AM326" s="494"/>
      <c r="AN326" s="494"/>
      <c r="AO326" s="494"/>
      <c r="AP326" s="494"/>
      <c r="AQ326" s="494"/>
      <c r="AR326" s="494"/>
      <c r="AS326" s="494"/>
      <c r="AT326" s="494"/>
      <c r="AU326" s="494"/>
      <c r="AV326" s="494"/>
      <c r="AW326" s="494"/>
      <c r="AX326" s="494"/>
    </row>
    <row r="327" spans="1:50" customFormat="1" x14ac:dyDescent="0.25">
      <c r="A327" s="690" t="s">
        <v>846</v>
      </c>
      <c r="B327" s="690"/>
      <c r="C327" s="690"/>
      <c r="D327" s="690"/>
      <c r="E327" s="690"/>
      <c r="F327" s="690"/>
      <c r="G327" s="690"/>
      <c r="H327" s="690"/>
      <c r="I327" s="690"/>
      <c r="J327" s="690"/>
      <c r="K327" s="690"/>
      <c r="L327" s="690"/>
      <c r="M327" s="690"/>
      <c r="N327" s="690"/>
      <c r="O327" s="690"/>
      <c r="P327" s="690"/>
      <c r="Q327" s="494"/>
      <c r="R327" s="494"/>
      <c r="S327" s="494"/>
      <c r="T327" s="494"/>
      <c r="U327" s="494"/>
      <c r="V327" s="494"/>
      <c r="W327" s="494"/>
      <c r="X327" s="494"/>
      <c r="Y327" s="494"/>
      <c r="Z327" s="494"/>
      <c r="AA327" s="494"/>
      <c r="AB327" s="494"/>
      <c r="AC327" s="494"/>
      <c r="AD327" s="494"/>
      <c r="AE327" s="494"/>
      <c r="AF327" s="494"/>
      <c r="AG327" s="494"/>
      <c r="AH327" s="494"/>
      <c r="AI327" s="494"/>
      <c r="AJ327" s="494"/>
      <c r="AK327" s="494"/>
      <c r="AL327" s="494"/>
      <c r="AM327" s="494"/>
      <c r="AN327" s="494"/>
      <c r="AO327" s="494"/>
      <c r="AP327" s="494"/>
      <c r="AQ327" s="494"/>
      <c r="AR327" s="494"/>
      <c r="AS327" s="494"/>
      <c r="AT327" s="494"/>
      <c r="AU327" s="494"/>
      <c r="AV327" s="494"/>
      <c r="AW327" s="494"/>
      <c r="AX327" s="494"/>
    </row>
    <row r="328" spans="1:50" customFormat="1" x14ac:dyDescent="0.25">
      <c r="A328" s="690" t="s">
        <v>877</v>
      </c>
      <c r="B328" s="690"/>
      <c r="C328" s="690"/>
      <c r="D328" s="690"/>
      <c r="E328" s="690"/>
      <c r="F328" s="690"/>
      <c r="G328" s="690"/>
      <c r="H328" s="690"/>
      <c r="I328" s="690"/>
      <c r="J328" s="690"/>
      <c r="K328" s="690"/>
      <c r="L328" s="690"/>
      <c r="M328" s="690"/>
      <c r="N328" s="690"/>
      <c r="O328" s="690"/>
      <c r="P328" s="690"/>
      <c r="Q328" s="494"/>
      <c r="R328" s="494"/>
      <c r="S328" s="494"/>
      <c r="T328" s="494"/>
      <c r="U328" s="494"/>
      <c r="V328" s="494"/>
      <c r="W328" s="494"/>
      <c r="X328" s="494"/>
      <c r="Y328" s="494"/>
      <c r="Z328" s="494"/>
      <c r="AA328" s="494"/>
      <c r="AB328" s="494"/>
      <c r="AC328" s="494"/>
      <c r="AD328" s="494"/>
      <c r="AE328" s="494"/>
      <c r="AF328" s="494"/>
      <c r="AG328" s="494"/>
      <c r="AH328" s="494"/>
      <c r="AI328" s="494"/>
      <c r="AJ328" s="494"/>
      <c r="AK328" s="494"/>
      <c r="AL328" s="494"/>
      <c r="AM328" s="494"/>
      <c r="AN328" s="494"/>
      <c r="AO328" s="494"/>
      <c r="AP328" s="494"/>
      <c r="AQ328" s="494"/>
      <c r="AR328" s="494"/>
      <c r="AS328" s="494"/>
      <c r="AT328" s="494"/>
      <c r="AU328" s="494"/>
      <c r="AV328" s="494"/>
      <c r="AW328" s="494"/>
      <c r="AX328" s="494"/>
    </row>
    <row r="329" spans="1:50" customFormat="1" ht="95.25" customHeight="1" x14ac:dyDescent="0.25">
      <c r="A329" s="495" t="s">
        <v>878</v>
      </c>
      <c r="B329" s="692" t="s">
        <v>800</v>
      </c>
      <c r="C329" s="693"/>
      <c r="D329" s="693"/>
      <c r="E329" s="693"/>
      <c r="F329" s="693"/>
      <c r="G329" s="693" t="s">
        <v>801</v>
      </c>
      <c r="H329" s="693"/>
      <c r="I329" s="693"/>
      <c r="J329" s="693"/>
      <c r="K329" s="693" t="s">
        <v>2264</v>
      </c>
      <c r="L329" s="693"/>
      <c r="M329" s="693"/>
      <c r="N329" s="693"/>
      <c r="O329" s="694">
        <f>ROUND(3998800 * 1 * 1.56 * 0.6 * 0.7, 2)</f>
        <v>2620013.7599999998</v>
      </c>
      <c r="P329" s="693"/>
      <c r="Q329" s="494"/>
      <c r="R329" s="494"/>
      <c r="S329" s="494"/>
      <c r="T329" s="494"/>
      <c r="U329" s="494"/>
      <c r="V329" s="494"/>
      <c r="W329" s="494"/>
      <c r="X329" s="494"/>
      <c r="Y329" s="494"/>
      <c r="Z329" s="494"/>
      <c r="AA329" s="494"/>
      <c r="AB329" s="494"/>
      <c r="AC329" s="494"/>
      <c r="AD329" s="494"/>
      <c r="AE329" s="494"/>
      <c r="AF329" s="494"/>
      <c r="AG329" s="494"/>
      <c r="AH329" s="494"/>
      <c r="AI329" s="494"/>
      <c r="AJ329" s="494"/>
      <c r="AK329" s="494"/>
      <c r="AL329" s="494"/>
      <c r="AM329" s="494"/>
      <c r="AN329" s="494"/>
      <c r="AO329" s="494"/>
      <c r="AP329" s="494"/>
      <c r="AQ329" s="494"/>
      <c r="AR329" s="494"/>
      <c r="AS329" s="494"/>
      <c r="AT329" s="494"/>
      <c r="AU329" s="494"/>
      <c r="AV329" s="494"/>
      <c r="AW329" s="494"/>
      <c r="AX329" s="494"/>
    </row>
    <row r="330" spans="1:50" customFormat="1" x14ac:dyDescent="0.25">
      <c r="A330" s="496"/>
      <c r="B330" s="695" t="s">
        <v>564</v>
      </c>
      <c r="C330" s="695"/>
      <c r="D330" s="695"/>
      <c r="E330" s="695"/>
      <c r="F330" s="695"/>
      <c r="G330" s="695" t="s">
        <v>15</v>
      </c>
      <c r="H330" s="695"/>
      <c r="I330" s="695"/>
      <c r="J330" s="695"/>
      <c r="K330" s="695" t="s">
        <v>15</v>
      </c>
      <c r="L330" s="695"/>
      <c r="M330" s="695"/>
      <c r="N330" s="695"/>
      <c r="O330" s="695"/>
      <c r="P330" s="695"/>
      <c r="Q330" s="494"/>
      <c r="R330" s="494"/>
      <c r="S330" s="494"/>
      <c r="T330" s="494"/>
      <c r="U330" s="494"/>
      <c r="V330" s="494"/>
      <c r="W330" s="494"/>
      <c r="X330" s="494"/>
      <c r="Y330" s="494"/>
      <c r="Z330" s="494"/>
      <c r="AA330" s="494"/>
      <c r="AB330" s="494"/>
      <c r="AC330" s="494"/>
      <c r="AD330" s="494"/>
      <c r="AE330" s="494"/>
      <c r="AF330" s="494"/>
      <c r="AG330" s="494"/>
      <c r="AH330" s="494"/>
      <c r="AI330" s="494"/>
      <c r="AJ330" s="494"/>
      <c r="AK330" s="494"/>
      <c r="AL330" s="494"/>
      <c r="AM330" s="494"/>
      <c r="AN330" s="494"/>
      <c r="AO330" s="494"/>
      <c r="AP330" s="494"/>
      <c r="AQ330" s="494"/>
      <c r="AR330" s="494"/>
      <c r="AS330" s="494"/>
      <c r="AT330" s="494"/>
      <c r="AU330" s="494"/>
      <c r="AV330" s="494"/>
      <c r="AW330" s="494"/>
      <c r="AX330" s="494"/>
    </row>
    <row r="331" spans="1:50" customFormat="1" x14ac:dyDescent="0.25">
      <c r="A331" s="492"/>
      <c r="B331" s="687" t="s">
        <v>681</v>
      </c>
      <c r="C331" s="687"/>
      <c r="D331" s="687"/>
      <c r="E331" s="687"/>
      <c r="F331" s="687"/>
      <c r="G331" s="687" t="s">
        <v>682</v>
      </c>
      <c r="H331" s="687"/>
      <c r="I331" s="687"/>
      <c r="J331" s="687"/>
      <c r="K331" s="687" t="s">
        <v>15</v>
      </c>
      <c r="L331" s="687"/>
      <c r="M331" s="687"/>
      <c r="N331" s="687"/>
      <c r="O331" s="687"/>
      <c r="P331" s="687"/>
      <c r="Q331" s="494"/>
      <c r="R331" s="494"/>
      <c r="S331" s="494"/>
      <c r="T331" s="494"/>
      <c r="U331" s="494"/>
      <c r="V331" s="494"/>
      <c r="W331" s="494"/>
      <c r="X331" s="494"/>
      <c r="Y331" s="494"/>
      <c r="Z331" s="494"/>
      <c r="AA331" s="494"/>
      <c r="AB331" s="494"/>
      <c r="AC331" s="494"/>
      <c r="AD331" s="494"/>
      <c r="AE331" s="494"/>
      <c r="AF331" s="494"/>
      <c r="AG331" s="494"/>
      <c r="AH331" s="494"/>
      <c r="AI331" s="494"/>
      <c r="AJ331" s="494"/>
      <c r="AK331" s="494"/>
      <c r="AL331" s="494"/>
      <c r="AM331" s="494"/>
      <c r="AN331" s="494"/>
      <c r="AO331" s="494"/>
      <c r="AP331" s="494"/>
      <c r="AQ331" s="494"/>
      <c r="AR331" s="494"/>
      <c r="AS331" s="494"/>
      <c r="AT331" s="494"/>
      <c r="AU331" s="494"/>
      <c r="AV331" s="494"/>
      <c r="AW331" s="494"/>
      <c r="AX331" s="494"/>
    </row>
    <row r="332" spans="1:50" customFormat="1" ht="40.9" customHeight="1" x14ac:dyDescent="0.25">
      <c r="A332" s="492"/>
      <c r="B332" s="687" t="s">
        <v>683</v>
      </c>
      <c r="C332" s="687"/>
      <c r="D332" s="687"/>
      <c r="E332" s="687"/>
      <c r="F332" s="687"/>
      <c r="G332" s="687" t="s">
        <v>684</v>
      </c>
      <c r="H332" s="687"/>
      <c r="I332" s="687"/>
      <c r="J332" s="687"/>
      <c r="K332" s="687" t="s">
        <v>15</v>
      </c>
      <c r="L332" s="687"/>
      <c r="M332" s="687"/>
      <c r="N332" s="687"/>
      <c r="O332" s="687"/>
      <c r="P332" s="687"/>
      <c r="Q332" s="494"/>
      <c r="R332" s="494"/>
      <c r="S332" s="494"/>
      <c r="T332" s="494"/>
      <c r="U332" s="494"/>
      <c r="V332" s="494"/>
      <c r="W332" s="494"/>
      <c r="X332" s="494"/>
      <c r="Y332" s="494"/>
      <c r="Z332" s="494"/>
      <c r="AA332" s="494"/>
      <c r="AB332" s="494"/>
      <c r="AC332" s="494"/>
      <c r="AD332" s="494"/>
      <c r="AE332" s="494"/>
      <c r="AF332" s="494"/>
      <c r="AG332" s="494"/>
      <c r="AH332" s="494"/>
      <c r="AI332" s="494"/>
      <c r="AJ332" s="494"/>
      <c r="AK332" s="494"/>
      <c r="AL332" s="494"/>
      <c r="AM332" s="494"/>
      <c r="AN332" s="494"/>
      <c r="AO332" s="494"/>
      <c r="AP332" s="494"/>
      <c r="AQ332" s="494"/>
      <c r="AR332" s="494"/>
      <c r="AS332" s="494"/>
      <c r="AT332" s="494"/>
      <c r="AU332" s="494"/>
      <c r="AV332" s="494"/>
      <c r="AW332" s="494"/>
      <c r="AX332" s="494"/>
    </row>
    <row r="333" spans="1:50" customFormat="1" ht="27.2" customHeight="1" x14ac:dyDescent="0.25">
      <c r="A333" s="492"/>
      <c r="B333" s="687" t="s">
        <v>793</v>
      </c>
      <c r="C333" s="687"/>
      <c r="D333" s="687"/>
      <c r="E333" s="687"/>
      <c r="F333" s="687"/>
      <c r="G333" s="687" t="s">
        <v>2253</v>
      </c>
      <c r="H333" s="687"/>
      <c r="I333" s="687"/>
      <c r="J333" s="687"/>
      <c r="K333" s="687" t="s">
        <v>15</v>
      </c>
      <c r="L333" s="687"/>
      <c r="M333" s="687"/>
      <c r="N333" s="687"/>
      <c r="O333" s="687"/>
      <c r="P333" s="687"/>
      <c r="Q333" s="494"/>
      <c r="R333" s="494"/>
      <c r="S333" s="494"/>
      <c r="T333" s="494"/>
      <c r="U333" s="494"/>
      <c r="V333" s="494"/>
      <c r="W333" s="494"/>
      <c r="X333" s="494"/>
      <c r="Y333" s="494"/>
      <c r="Z333" s="494"/>
      <c r="AA333" s="494"/>
      <c r="AB333" s="494"/>
      <c r="AC333" s="494"/>
      <c r="AD333" s="494"/>
      <c r="AE333" s="494"/>
      <c r="AF333" s="494"/>
      <c r="AG333" s="494"/>
      <c r="AH333" s="494"/>
      <c r="AI333" s="494"/>
      <c r="AJ333" s="494"/>
      <c r="AK333" s="494"/>
      <c r="AL333" s="494"/>
      <c r="AM333" s="494"/>
      <c r="AN333" s="494"/>
      <c r="AO333" s="494"/>
      <c r="AP333" s="494"/>
      <c r="AQ333" s="494"/>
      <c r="AR333" s="494"/>
      <c r="AS333" s="494"/>
      <c r="AT333" s="494"/>
      <c r="AU333" s="494"/>
      <c r="AV333" s="494"/>
      <c r="AW333" s="494"/>
      <c r="AX333" s="494"/>
    </row>
    <row r="334" spans="1:50" customFormat="1" x14ac:dyDescent="0.25">
      <c r="A334" s="690" t="s">
        <v>879</v>
      </c>
      <c r="B334" s="690"/>
      <c r="C334" s="690"/>
      <c r="D334" s="690"/>
      <c r="E334" s="690"/>
      <c r="F334" s="690"/>
      <c r="G334" s="690"/>
      <c r="H334" s="690"/>
      <c r="I334" s="690"/>
      <c r="J334" s="690"/>
      <c r="K334" s="690"/>
      <c r="L334" s="690"/>
      <c r="M334" s="690"/>
      <c r="N334" s="690"/>
      <c r="O334" s="690"/>
      <c r="P334" s="690"/>
      <c r="Q334" s="494"/>
      <c r="R334" s="494"/>
      <c r="S334" s="494"/>
      <c r="T334" s="494"/>
      <c r="U334" s="494"/>
      <c r="V334" s="494"/>
      <c r="W334" s="494"/>
      <c r="X334" s="494"/>
      <c r="Y334" s="494"/>
      <c r="Z334" s="494"/>
      <c r="AA334" s="494"/>
      <c r="AB334" s="494"/>
      <c r="AC334" s="494"/>
      <c r="AD334" s="494"/>
      <c r="AE334" s="494"/>
      <c r="AF334" s="494"/>
      <c r="AG334" s="494"/>
      <c r="AH334" s="494"/>
      <c r="AI334" s="494"/>
      <c r="AJ334" s="494"/>
      <c r="AK334" s="494"/>
      <c r="AL334" s="494"/>
      <c r="AM334" s="494"/>
      <c r="AN334" s="494"/>
      <c r="AO334" s="494"/>
      <c r="AP334" s="494"/>
      <c r="AQ334" s="494"/>
      <c r="AR334" s="494"/>
      <c r="AS334" s="494"/>
      <c r="AT334" s="494"/>
      <c r="AU334" s="494"/>
      <c r="AV334" s="494"/>
      <c r="AW334" s="494"/>
      <c r="AX334" s="494"/>
    </row>
    <row r="335" spans="1:50" customFormat="1" ht="135.94999999999999" customHeight="1" x14ac:dyDescent="0.25">
      <c r="A335" s="495" t="s">
        <v>880</v>
      </c>
      <c r="B335" s="692" t="s">
        <v>826</v>
      </c>
      <c r="C335" s="693"/>
      <c r="D335" s="693"/>
      <c r="E335" s="693"/>
      <c r="F335" s="693"/>
      <c r="G335" s="693" t="s">
        <v>881</v>
      </c>
      <c r="H335" s="693"/>
      <c r="I335" s="693"/>
      <c r="J335" s="693"/>
      <c r="K335" s="693" t="s">
        <v>2296</v>
      </c>
      <c r="L335" s="693"/>
      <c r="M335" s="693"/>
      <c r="N335" s="693"/>
      <c r="O335" s="694">
        <f>ROUND((61900 + 15484 * (0.4 * 1 + 0.6 * 0.662)) * 1 * 1.56 * 0.6 * 0.7, 2)</f>
        <v>48644.57</v>
      </c>
      <c r="P335" s="693"/>
      <c r="Q335" s="494"/>
      <c r="R335" s="494"/>
      <c r="S335" s="494"/>
      <c r="T335" s="494"/>
      <c r="U335" s="494"/>
      <c r="V335" s="494"/>
      <c r="W335" s="494"/>
      <c r="X335" s="494"/>
      <c r="Y335" s="494"/>
      <c r="Z335" s="494"/>
      <c r="AA335" s="494"/>
      <c r="AB335" s="494"/>
      <c r="AC335" s="494"/>
      <c r="AD335" s="494"/>
      <c r="AE335" s="494"/>
      <c r="AF335" s="494"/>
      <c r="AG335" s="494"/>
      <c r="AH335" s="494"/>
      <c r="AI335" s="494"/>
      <c r="AJ335" s="494"/>
      <c r="AK335" s="494"/>
      <c r="AL335" s="494"/>
      <c r="AM335" s="494"/>
      <c r="AN335" s="494"/>
      <c r="AO335" s="494"/>
      <c r="AP335" s="494"/>
      <c r="AQ335" s="494"/>
      <c r="AR335" s="494"/>
      <c r="AS335" s="494"/>
      <c r="AT335" s="494"/>
      <c r="AU335" s="494"/>
      <c r="AV335" s="494"/>
      <c r="AW335" s="494"/>
      <c r="AX335" s="494"/>
    </row>
    <row r="336" spans="1:50" customFormat="1" x14ac:dyDescent="0.25">
      <c r="A336" s="496"/>
      <c r="B336" s="695" t="s">
        <v>564</v>
      </c>
      <c r="C336" s="695"/>
      <c r="D336" s="695"/>
      <c r="E336" s="695"/>
      <c r="F336" s="695"/>
      <c r="G336" s="695" t="s">
        <v>15</v>
      </c>
      <c r="H336" s="695"/>
      <c r="I336" s="695"/>
      <c r="J336" s="695"/>
      <c r="K336" s="695" t="s">
        <v>15</v>
      </c>
      <c r="L336" s="695"/>
      <c r="M336" s="695"/>
      <c r="N336" s="695"/>
      <c r="O336" s="695"/>
      <c r="P336" s="695"/>
      <c r="Q336" s="494"/>
      <c r="R336" s="494"/>
      <c r="S336" s="494"/>
      <c r="T336" s="494"/>
      <c r="U336" s="494"/>
      <c r="V336" s="494"/>
      <c r="W336" s="494"/>
      <c r="X336" s="494"/>
      <c r="Y336" s="494"/>
      <c r="Z336" s="494"/>
      <c r="AA336" s="494"/>
      <c r="AB336" s="494"/>
      <c r="AC336" s="494"/>
      <c r="AD336" s="494"/>
      <c r="AE336" s="494"/>
      <c r="AF336" s="494"/>
      <c r="AG336" s="494"/>
      <c r="AH336" s="494"/>
      <c r="AI336" s="494"/>
      <c r="AJ336" s="494"/>
      <c r="AK336" s="494"/>
      <c r="AL336" s="494"/>
      <c r="AM336" s="494"/>
      <c r="AN336" s="494"/>
      <c r="AO336" s="494"/>
      <c r="AP336" s="494"/>
      <c r="AQ336" s="494"/>
      <c r="AR336" s="494"/>
      <c r="AS336" s="494"/>
      <c r="AT336" s="494"/>
      <c r="AU336" s="494"/>
      <c r="AV336" s="494"/>
      <c r="AW336" s="494"/>
      <c r="AX336" s="494"/>
    </row>
    <row r="337" spans="1:50" customFormat="1" x14ac:dyDescent="0.25">
      <c r="A337" s="492"/>
      <c r="B337" s="687" t="s">
        <v>681</v>
      </c>
      <c r="C337" s="687"/>
      <c r="D337" s="687"/>
      <c r="E337" s="687"/>
      <c r="F337" s="687"/>
      <c r="G337" s="687" t="s">
        <v>682</v>
      </c>
      <c r="H337" s="687"/>
      <c r="I337" s="687"/>
      <c r="J337" s="687"/>
      <c r="K337" s="687" t="s">
        <v>15</v>
      </c>
      <c r="L337" s="687"/>
      <c r="M337" s="687"/>
      <c r="N337" s="687"/>
      <c r="O337" s="687"/>
      <c r="P337" s="687"/>
      <c r="Q337" s="494"/>
      <c r="R337" s="494"/>
      <c r="S337" s="494"/>
      <c r="T337" s="494"/>
      <c r="U337" s="494"/>
      <c r="V337" s="494"/>
      <c r="W337" s="494"/>
      <c r="X337" s="494"/>
      <c r="Y337" s="494"/>
      <c r="Z337" s="494"/>
      <c r="AA337" s="494"/>
      <c r="AB337" s="494"/>
      <c r="AC337" s="494"/>
      <c r="AD337" s="494"/>
      <c r="AE337" s="494"/>
      <c r="AF337" s="494"/>
      <c r="AG337" s="494"/>
      <c r="AH337" s="494"/>
      <c r="AI337" s="494"/>
      <c r="AJ337" s="494"/>
      <c r="AK337" s="494"/>
      <c r="AL337" s="494"/>
      <c r="AM337" s="494"/>
      <c r="AN337" s="494"/>
      <c r="AO337" s="494"/>
      <c r="AP337" s="494"/>
      <c r="AQ337" s="494"/>
      <c r="AR337" s="494"/>
      <c r="AS337" s="494"/>
      <c r="AT337" s="494"/>
      <c r="AU337" s="494"/>
      <c r="AV337" s="494"/>
      <c r="AW337" s="494"/>
      <c r="AX337" s="494"/>
    </row>
    <row r="338" spans="1:50" customFormat="1" ht="40.9" customHeight="1" x14ac:dyDescent="0.25">
      <c r="A338" s="492"/>
      <c r="B338" s="687" t="s">
        <v>683</v>
      </c>
      <c r="C338" s="687"/>
      <c r="D338" s="687"/>
      <c r="E338" s="687"/>
      <c r="F338" s="687"/>
      <c r="G338" s="687" t="s">
        <v>684</v>
      </c>
      <c r="H338" s="687"/>
      <c r="I338" s="687"/>
      <c r="J338" s="687"/>
      <c r="K338" s="687" t="s">
        <v>15</v>
      </c>
      <c r="L338" s="687"/>
      <c r="M338" s="687"/>
      <c r="N338" s="687"/>
      <c r="O338" s="687"/>
      <c r="P338" s="687"/>
      <c r="Q338" s="494"/>
      <c r="R338" s="494"/>
      <c r="S338" s="494"/>
      <c r="T338" s="494"/>
      <c r="U338" s="494"/>
      <c r="V338" s="494"/>
      <c r="W338" s="494"/>
      <c r="X338" s="494"/>
      <c r="Y338" s="494"/>
      <c r="Z338" s="494"/>
      <c r="AA338" s="494"/>
      <c r="AB338" s="494"/>
      <c r="AC338" s="494"/>
      <c r="AD338" s="494"/>
      <c r="AE338" s="494"/>
      <c r="AF338" s="494"/>
      <c r="AG338" s="494"/>
      <c r="AH338" s="494"/>
      <c r="AI338" s="494"/>
      <c r="AJ338" s="494"/>
      <c r="AK338" s="494"/>
      <c r="AL338" s="494"/>
      <c r="AM338" s="494"/>
      <c r="AN338" s="494"/>
      <c r="AO338" s="494"/>
      <c r="AP338" s="494"/>
      <c r="AQ338" s="494"/>
      <c r="AR338" s="494"/>
      <c r="AS338" s="494"/>
      <c r="AT338" s="494"/>
      <c r="AU338" s="494"/>
      <c r="AV338" s="494"/>
      <c r="AW338" s="494"/>
      <c r="AX338" s="494"/>
    </row>
    <row r="339" spans="1:50" customFormat="1" ht="27.2" customHeight="1" x14ac:dyDescent="0.25">
      <c r="A339" s="492"/>
      <c r="B339" s="687" t="s">
        <v>793</v>
      </c>
      <c r="C339" s="687"/>
      <c r="D339" s="687"/>
      <c r="E339" s="687"/>
      <c r="F339" s="687"/>
      <c r="G339" s="687" t="s">
        <v>2253</v>
      </c>
      <c r="H339" s="687"/>
      <c r="I339" s="687"/>
      <c r="J339" s="687"/>
      <c r="K339" s="687" t="s">
        <v>15</v>
      </c>
      <c r="L339" s="687"/>
      <c r="M339" s="687"/>
      <c r="N339" s="687"/>
      <c r="O339" s="687"/>
      <c r="P339" s="687"/>
      <c r="Q339" s="494"/>
      <c r="R339" s="494"/>
      <c r="S339" s="494"/>
      <c r="T339" s="494"/>
      <c r="U339" s="494"/>
      <c r="V339" s="494"/>
      <c r="W339" s="494"/>
      <c r="X339" s="494"/>
      <c r="Y339" s="494"/>
      <c r="Z339" s="494"/>
      <c r="AA339" s="494"/>
      <c r="AB339" s="494"/>
      <c r="AC339" s="494"/>
      <c r="AD339" s="494"/>
      <c r="AE339" s="494"/>
      <c r="AF339" s="494"/>
      <c r="AG339" s="494"/>
      <c r="AH339" s="494"/>
      <c r="AI339" s="494"/>
      <c r="AJ339" s="494"/>
      <c r="AK339" s="494"/>
      <c r="AL339" s="494"/>
      <c r="AM339" s="494"/>
      <c r="AN339" s="494"/>
      <c r="AO339" s="494"/>
      <c r="AP339" s="494"/>
      <c r="AQ339" s="494"/>
      <c r="AR339" s="494"/>
      <c r="AS339" s="494"/>
      <c r="AT339" s="494"/>
      <c r="AU339" s="494"/>
      <c r="AV339" s="494"/>
      <c r="AW339" s="494"/>
      <c r="AX339" s="494"/>
    </row>
    <row r="340" spans="1:50" customFormat="1" x14ac:dyDescent="0.25">
      <c r="A340" s="690" t="s">
        <v>882</v>
      </c>
      <c r="B340" s="690"/>
      <c r="C340" s="690"/>
      <c r="D340" s="690"/>
      <c r="E340" s="690"/>
      <c r="F340" s="690"/>
      <c r="G340" s="690"/>
      <c r="H340" s="690"/>
      <c r="I340" s="690"/>
      <c r="J340" s="690"/>
      <c r="K340" s="690"/>
      <c r="L340" s="690"/>
      <c r="M340" s="690"/>
      <c r="N340" s="690"/>
      <c r="O340" s="690"/>
      <c r="P340" s="690"/>
      <c r="Q340" s="494"/>
      <c r="R340" s="494"/>
      <c r="S340" s="494"/>
      <c r="T340" s="494"/>
      <c r="U340" s="494"/>
      <c r="V340" s="494"/>
      <c r="W340" s="494"/>
      <c r="X340" s="494"/>
      <c r="Y340" s="494"/>
      <c r="Z340" s="494"/>
      <c r="AA340" s="494"/>
      <c r="AB340" s="494"/>
      <c r="AC340" s="494"/>
      <c r="AD340" s="494"/>
      <c r="AE340" s="494"/>
      <c r="AF340" s="494"/>
      <c r="AG340" s="494"/>
      <c r="AH340" s="494"/>
      <c r="AI340" s="494"/>
      <c r="AJ340" s="494"/>
      <c r="AK340" s="494"/>
      <c r="AL340" s="494"/>
      <c r="AM340" s="494"/>
      <c r="AN340" s="494"/>
      <c r="AO340" s="494"/>
      <c r="AP340" s="494"/>
      <c r="AQ340" s="494"/>
      <c r="AR340" s="494"/>
      <c r="AS340" s="494"/>
      <c r="AT340" s="494"/>
      <c r="AU340" s="494"/>
      <c r="AV340" s="494"/>
      <c r="AW340" s="494"/>
      <c r="AX340" s="494"/>
    </row>
    <row r="341" spans="1:50" customFormat="1" ht="135.94999999999999" customHeight="1" x14ac:dyDescent="0.25">
      <c r="A341" s="495" t="s">
        <v>883</v>
      </c>
      <c r="B341" s="692" t="s">
        <v>826</v>
      </c>
      <c r="C341" s="693"/>
      <c r="D341" s="693"/>
      <c r="E341" s="693"/>
      <c r="F341" s="693"/>
      <c r="G341" s="693" t="s">
        <v>884</v>
      </c>
      <c r="H341" s="693"/>
      <c r="I341" s="693"/>
      <c r="J341" s="693"/>
      <c r="K341" s="693" t="s">
        <v>2297</v>
      </c>
      <c r="L341" s="693"/>
      <c r="M341" s="693"/>
      <c r="N341" s="693"/>
      <c r="O341" s="694">
        <f>ROUND((61900 + 15484 * (0.4 * 1 + 0.6 * 0.643)) * 1 * 1.56 * 0.6 * 0.7, 2)</f>
        <v>48528.91</v>
      </c>
      <c r="P341" s="693"/>
      <c r="Q341" s="494"/>
      <c r="R341" s="494"/>
      <c r="S341" s="494"/>
      <c r="T341" s="494"/>
      <c r="U341" s="494"/>
      <c r="V341" s="494"/>
      <c r="W341" s="494"/>
      <c r="X341" s="494"/>
      <c r="Y341" s="494"/>
      <c r="Z341" s="494"/>
      <c r="AA341" s="494"/>
      <c r="AB341" s="494"/>
      <c r="AC341" s="494"/>
      <c r="AD341" s="494"/>
      <c r="AE341" s="494"/>
      <c r="AF341" s="494"/>
      <c r="AG341" s="494"/>
      <c r="AH341" s="494"/>
      <c r="AI341" s="494"/>
      <c r="AJ341" s="494"/>
      <c r="AK341" s="494"/>
      <c r="AL341" s="494"/>
      <c r="AM341" s="494"/>
      <c r="AN341" s="494"/>
      <c r="AO341" s="494"/>
      <c r="AP341" s="494"/>
      <c r="AQ341" s="494"/>
      <c r="AR341" s="494"/>
      <c r="AS341" s="494"/>
      <c r="AT341" s="494"/>
      <c r="AU341" s="494"/>
      <c r="AV341" s="494"/>
      <c r="AW341" s="494"/>
      <c r="AX341" s="494"/>
    </row>
    <row r="342" spans="1:50" customFormat="1" x14ac:dyDescent="0.25">
      <c r="A342" s="496"/>
      <c r="B342" s="695" t="s">
        <v>564</v>
      </c>
      <c r="C342" s="695"/>
      <c r="D342" s="695"/>
      <c r="E342" s="695"/>
      <c r="F342" s="695"/>
      <c r="G342" s="695" t="s">
        <v>15</v>
      </c>
      <c r="H342" s="695"/>
      <c r="I342" s="695"/>
      <c r="J342" s="695"/>
      <c r="K342" s="695" t="s">
        <v>15</v>
      </c>
      <c r="L342" s="695"/>
      <c r="M342" s="695"/>
      <c r="N342" s="695"/>
      <c r="O342" s="695"/>
      <c r="P342" s="695"/>
      <c r="Q342" s="494"/>
      <c r="R342" s="494"/>
      <c r="S342" s="494"/>
      <c r="T342" s="494"/>
      <c r="U342" s="494"/>
      <c r="V342" s="494"/>
      <c r="W342" s="494"/>
      <c r="X342" s="494"/>
      <c r="Y342" s="494"/>
      <c r="Z342" s="494"/>
      <c r="AA342" s="494"/>
      <c r="AB342" s="494"/>
      <c r="AC342" s="494"/>
      <c r="AD342" s="494"/>
      <c r="AE342" s="494"/>
      <c r="AF342" s="494"/>
      <c r="AG342" s="494"/>
      <c r="AH342" s="494"/>
      <c r="AI342" s="494"/>
      <c r="AJ342" s="494"/>
      <c r="AK342" s="494"/>
      <c r="AL342" s="494"/>
      <c r="AM342" s="494"/>
      <c r="AN342" s="494"/>
      <c r="AO342" s="494"/>
      <c r="AP342" s="494"/>
      <c r="AQ342" s="494"/>
      <c r="AR342" s="494"/>
      <c r="AS342" s="494"/>
      <c r="AT342" s="494"/>
      <c r="AU342" s="494"/>
      <c r="AV342" s="494"/>
      <c r="AW342" s="494"/>
      <c r="AX342" s="494"/>
    </row>
    <row r="343" spans="1:50" customFormat="1" x14ac:dyDescent="0.25">
      <c r="A343" s="492"/>
      <c r="B343" s="687" t="s">
        <v>681</v>
      </c>
      <c r="C343" s="687"/>
      <c r="D343" s="687"/>
      <c r="E343" s="687"/>
      <c r="F343" s="687"/>
      <c r="G343" s="687" t="s">
        <v>682</v>
      </c>
      <c r="H343" s="687"/>
      <c r="I343" s="687"/>
      <c r="J343" s="687"/>
      <c r="K343" s="687" t="s">
        <v>15</v>
      </c>
      <c r="L343" s="687"/>
      <c r="M343" s="687"/>
      <c r="N343" s="687"/>
      <c r="O343" s="687"/>
      <c r="P343" s="687"/>
      <c r="Q343" s="494"/>
      <c r="R343" s="494"/>
      <c r="S343" s="494"/>
      <c r="T343" s="494"/>
      <c r="U343" s="494"/>
      <c r="V343" s="494"/>
      <c r="W343" s="494"/>
      <c r="X343" s="494"/>
      <c r="Y343" s="494"/>
      <c r="Z343" s="494"/>
      <c r="AA343" s="494"/>
      <c r="AB343" s="494"/>
      <c r="AC343" s="494"/>
      <c r="AD343" s="494"/>
      <c r="AE343" s="494"/>
      <c r="AF343" s="494"/>
      <c r="AG343" s="494"/>
      <c r="AH343" s="494"/>
      <c r="AI343" s="494"/>
      <c r="AJ343" s="494"/>
      <c r="AK343" s="494"/>
      <c r="AL343" s="494"/>
      <c r="AM343" s="494"/>
      <c r="AN343" s="494"/>
      <c r="AO343" s="494"/>
      <c r="AP343" s="494"/>
      <c r="AQ343" s="494"/>
      <c r="AR343" s="494"/>
      <c r="AS343" s="494"/>
      <c r="AT343" s="494"/>
      <c r="AU343" s="494"/>
      <c r="AV343" s="494"/>
      <c r="AW343" s="494"/>
      <c r="AX343" s="494"/>
    </row>
    <row r="344" spans="1:50" customFormat="1" ht="40.9" customHeight="1" x14ac:dyDescent="0.25">
      <c r="A344" s="492"/>
      <c r="B344" s="687" t="s">
        <v>683</v>
      </c>
      <c r="C344" s="687"/>
      <c r="D344" s="687"/>
      <c r="E344" s="687"/>
      <c r="F344" s="687"/>
      <c r="G344" s="687" t="s">
        <v>684</v>
      </c>
      <c r="H344" s="687"/>
      <c r="I344" s="687"/>
      <c r="J344" s="687"/>
      <c r="K344" s="687" t="s">
        <v>15</v>
      </c>
      <c r="L344" s="687"/>
      <c r="M344" s="687"/>
      <c r="N344" s="687"/>
      <c r="O344" s="687"/>
      <c r="P344" s="687"/>
      <c r="Q344" s="494"/>
      <c r="R344" s="494"/>
      <c r="S344" s="494"/>
      <c r="T344" s="494"/>
      <c r="U344" s="494"/>
      <c r="V344" s="494"/>
      <c r="W344" s="494"/>
      <c r="X344" s="494"/>
      <c r="Y344" s="494"/>
      <c r="Z344" s="494"/>
      <c r="AA344" s="494"/>
      <c r="AB344" s="494"/>
      <c r="AC344" s="494"/>
      <c r="AD344" s="494"/>
      <c r="AE344" s="494"/>
      <c r="AF344" s="494"/>
      <c r="AG344" s="494"/>
      <c r="AH344" s="494"/>
      <c r="AI344" s="494"/>
      <c r="AJ344" s="494"/>
      <c r="AK344" s="494"/>
      <c r="AL344" s="494"/>
      <c r="AM344" s="494"/>
      <c r="AN344" s="494"/>
      <c r="AO344" s="494"/>
      <c r="AP344" s="494"/>
      <c r="AQ344" s="494"/>
      <c r="AR344" s="494"/>
      <c r="AS344" s="494"/>
      <c r="AT344" s="494"/>
      <c r="AU344" s="494"/>
      <c r="AV344" s="494"/>
      <c r="AW344" s="494"/>
      <c r="AX344" s="494"/>
    </row>
    <row r="345" spans="1:50" customFormat="1" ht="27.2" customHeight="1" x14ac:dyDescent="0.25">
      <c r="A345" s="492"/>
      <c r="B345" s="687" t="s">
        <v>793</v>
      </c>
      <c r="C345" s="687"/>
      <c r="D345" s="687"/>
      <c r="E345" s="687"/>
      <c r="F345" s="687"/>
      <c r="G345" s="687" t="s">
        <v>2253</v>
      </c>
      <c r="H345" s="687"/>
      <c r="I345" s="687"/>
      <c r="J345" s="687"/>
      <c r="K345" s="687" t="s">
        <v>15</v>
      </c>
      <c r="L345" s="687"/>
      <c r="M345" s="687"/>
      <c r="N345" s="687"/>
      <c r="O345" s="687"/>
      <c r="P345" s="687"/>
      <c r="Q345" s="494"/>
      <c r="R345" s="494"/>
      <c r="S345" s="494"/>
      <c r="T345" s="494"/>
      <c r="U345" s="494"/>
      <c r="V345" s="494"/>
      <c r="W345" s="494"/>
      <c r="X345" s="494"/>
      <c r="Y345" s="494"/>
      <c r="Z345" s="494"/>
      <c r="AA345" s="494"/>
      <c r="AB345" s="494"/>
      <c r="AC345" s="494"/>
      <c r="AD345" s="494"/>
      <c r="AE345" s="494"/>
      <c r="AF345" s="494"/>
      <c r="AG345" s="494"/>
      <c r="AH345" s="494"/>
      <c r="AI345" s="494"/>
      <c r="AJ345" s="494"/>
      <c r="AK345" s="494"/>
      <c r="AL345" s="494"/>
      <c r="AM345" s="494"/>
      <c r="AN345" s="494"/>
      <c r="AO345" s="494"/>
      <c r="AP345" s="494"/>
      <c r="AQ345" s="494"/>
      <c r="AR345" s="494"/>
      <c r="AS345" s="494"/>
      <c r="AT345" s="494"/>
      <c r="AU345" s="494"/>
      <c r="AV345" s="494"/>
      <c r="AW345" s="494"/>
      <c r="AX345" s="494"/>
    </row>
    <row r="346" spans="1:50" customFormat="1" x14ac:dyDescent="0.25">
      <c r="A346" s="690" t="s">
        <v>885</v>
      </c>
      <c r="B346" s="690"/>
      <c r="C346" s="690"/>
      <c r="D346" s="690"/>
      <c r="E346" s="690"/>
      <c r="F346" s="690"/>
      <c r="G346" s="690"/>
      <c r="H346" s="690"/>
      <c r="I346" s="690"/>
      <c r="J346" s="690"/>
      <c r="K346" s="690"/>
      <c r="L346" s="690"/>
      <c r="M346" s="690"/>
      <c r="N346" s="690"/>
      <c r="O346" s="690"/>
      <c r="P346" s="690"/>
      <c r="Q346" s="494"/>
      <c r="R346" s="494"/>
      <c r="S346" s="494"/>
      <c r="T346" s="494"/>
      <c r="U346" s="494"/>
      <c r="V346" s="494"/>
      <c r="W346" s="494"/>
      <c r="X346" s="494"/>
      <c r="Y346" s="494"/>
      <c r="Z346" s="494"/>
      <c r="AA346" s="494"/>
      <c r="AB346" s="494"/>
      <c r="AC346" s="494"/>
      <c r="AD346" s="494"/>
      <c r="AE346" s="494"/>
      <c r="AF346" s="494"/>
      <c r="AG346" s="494"/>
      <c r="AH346" s="494"/>
      <c r="AI346" s="494"/>
      <c r="AJ346" s="494"/>
      <c r="AK346" s="494"/>
      <c r="AL346" s="494"/>
      <c r="AM346" s="494"/>
      <c r="AN346" s="494"/>
      <c r="AO346" s="494"/>
      <c r="AP346" s="494"/>
      <c r="AQ346" s="494"/>
      <c r="AR346" s="494"/>
      <c r="AS346" s="494"/>
      <c r="AT346" s="494"/>
      <c r="AU346" s="494"/>
      <c r="AV346" s="494"/>
      <c r="AW346" s="494"/>
      <c r="AX346" s="494"/>
    </row>
    <row r="347" spans="1:50" customFormat="1" x14ac:dyDescent="0.25">
      <c r="A347" s="690" t="s">
        <v>886</v>
      </c>
      <c r="B347" s="690"/>
      <c r="C347" s="690"/>
      <c r="D347" s="690"/>
      <c r="E347" s="690"/>
      <c r="F347" s="690"/>
      <c r="G347" s="690"/>
      <c r="H347" s="690"/>
      <c r="I347" s="690"/>
      <c r="J347" s="690"/>
      <c r="K347" s="690"/>
      <c r="L347" s="690"/>
      <c r="M347" s="690"/>
      <c r="N347" s="690"/>
      <c r="O347" s="690"/>
      <c r="P347" s="690"/>
      <c r="Q347" s="494"/>
      <c r="R347" s="494"/>
      <c r="S347" s="494"/>
      <c r="T347" s="494"/>
      <c r="U347" s="494"/>
      <c r="V347" s="494"/>
      <c r="W347" s="494"/>
      <c r="X347" s="494"/>
      <c r="Y347" s="494"/>
      <c r="Z347" s="494"/>
      <c r="AA347" s="494"/>
      <c r="AB347" s="494"/>
      <c r="AC347" s="494"/>
      <c r="AD347" s="494"/>
      <c r="AE347" s="494"/>
      <c r="AF347" s="494"/>
      <c r="AG347" s="494"/>
      <c r="AH347" s="494"/>
      <c r="AI347" s="494"/>
      <c r="AJ347" s="494"/>
      <c r="AK347" s="494"/>
      <c r="AL347" s="494"/>
      <c r="AM347" s="494"/>
      <c r="AN347" s="494"/>
      <c r="AO347" s="494"/>
      <c r="AP347" s="494"/>
      <c r="AQ347" s="494"/>
      <c r="AR347" s="494"/>
      <c r="AS347" s="494"/>
      <c r="AT347" s="494"/>
      <c r="AU347" s="494"/>
      <c r="AV347" s="494"/>
      <c r="AW347" s="494"/>
      <c r="AX347" s="494"/>
    </row>
    <row r="348" spans="1:50" customFormat="1" ht="135.94999999999999" customHeight="1" x14ac:dyDescent="0.25">
      <c r="A348" s="495" t="s">
        <v>887</v>
      </c>
      <c r="B348" s="692" t="s">
        <v>763</v>
      </c>
      <c r="C348" s="693"/>
      <c r="D348" s="693"/>
      <c r="E348" s="693"/>
      <c r="F348" s="693"/>
      <c r="G348" s="693" t="s">
        <v>888</v>
      </c>
      <c r="H348" s="693"/>
      <c r="I348" s="693"/>
      <c r="J348" s="693"/>
      <c r="K348" s="693" t="s">
        <v>2298</v>
      </c>
      <c r="L348" s="693"/>
      <c r="M348" s="693"/>
      <c r="N348" s="693"/>
      <c r="O348" s="694">
        <f>ROUND((532000 + 618795 * (0.4 * 1 + 0.6 * (1 / 2))) * 1 * 0.1 * 1.56 * 0.6 * 0.7, 2)</f>
        <v>63237.05</v>
      </c>
      <c r="P348" s="693"/>
      <c r="Q348" s="494"/>
      <c r="R348" s="494"/>
      <c r="S348" s="494"/>
      <c r="T348" s="494"/>
      <c r="U348" s="494"/>
      <c r="V348" s="494"/>
      <c r="W348" s="494"/>
      <c r="X348" s="494"/>
      <c r="Y348" s="494"/>
      <c r="Z348" s="494"/>
      <c r="AA348" s="494"/>
      <c r="AB348" s="494"/>
      <c r="AC348" s="494"/>
      <c r="AD348" s="494"/>
      <c r="AE348" s="494"/>
      <c r="AF348" s="494"/>
      <c r="AG348" s="494"/>
      <c r="AH348" s="494"/>
      <c r="AI348" s="494"/>
      <c r="AJ348" s="494"/>
      <c r="AK348" s="494"/>
      <c r="AL348" s="494"/>
      <c r="AM348" s="494"/>
      <c r="AN348" s="494"/>
      <c r="AO348" s="494"/>
      <c r="AP348" s="494"/>
      <c r="AQ348" s="494"/>
      <c r="AR348" s="494"/>
      <c r="AS348" s="494"/>
      <c r="AT348" s="494"/>
      <c r="AU348" s="494"/>
      <c r="AV348" s="494"/>
      <c r="AW348" s="494"/>
      <c r="AX348" s="494"/>
    </row>
    <row r="349" spans="1:50" customFormat="1" x14ac:dyDescent="0.25">
      <c r="A349" s="496"/>
      <c r="B349" s="695" t="s">
        <v>564</v>
      </c>
      <c r="C349" s="695"/>
      <c r="D349" s="695"/>
      <c r="E349" s="695"/>
      <c r="F349" s="695"/>
      <c r="G349" s="695" t="s">
        <v>15</v>
      </c>
      <c r="H349" s="695"/>
      <c r="I349" s="695"/>
      <c r="J349" s="695"/>
      <c r="K349" s="695" t="s">
        <v>15</v>
      </c>
      <c r="L349" s="695"/>
      <c r="M349" s="695"/>
      <c r="N349" s="695"/>
      <c r="O349" s="695"/>
      <c r="P349" s="695"/>
      <c r="Q349" s="494"/>
      <c r="R349" s="494"/>
      <c r="S349" s="494"/>
      <c r="T349" s="494"/>
      <c r="U349" s="494"/>
      <c r="V349" s="494"/>
      <c r="W349" s="494"/>
      <c r="X349" s="494"/>
      <c r="Y349" s="494"/>
      <c r="Z349" s="494"/>
      <c r="AA349" s="494"/>
      <c r="AB349" s="494"/>
      <c r="AC349" s="494"/>
      <c r="AD349" s="494"/>
      <c r="AE349" s="494"/>
      <c r="AF349" s="494"/>
      <c r="AG349" s="494"/>
      <c r="AH349" s="494"/>
      <c r="AI349" s="494"/>
      <c r="AJ349" s="494"/>
      <c r="AK349" s="494"/>
      <c r="AL349" s="494"/>
      <c r="AM349" s="494"/>
      <c r="AN349" s="494"/>
      <c r="AO349" s="494"/>
      <c r="AP349" s="494"/>
      <c r="AQ349" s="494"/>
      <c r="AR349" s="494"/>
      <c r="AS349" s="494"/>
      <c r="AT349" s="494"/>
      <c r="AU349" s="494"/>
      <c r="AV349" s="494"/>
      <c r="AW349" s="494"/>
      <c r="AX349" s="494"/>
    </row>
    <row r="350" spans="1:50" customFormat="1" x14ac:dyDescent="0.25">
      <c r="A350" s="492"/>
      <c r="B350" s="687" t="s">
        <v>681</v>
      </c>
      <c r="C350" s="687"/>
      <c r="D350" s="687"/>
      <c r="E350" s="687"/>
      <c r="F350" s="687"/>
      <c r="G350" s="687" t="s">
        <v>682</v>
      </c>
      <c r="H350" s="687"/>
      <c r="I350" s="687"/>
      <c r="J350" s="687"/>
      <c r="K350" s="687" t="s">
        <v>15</v>
      </c>
      <c r="L350" s="687"/>
      <c r="M350" s="687"/>
      <c r="N350" s="687"/>
      <c r="O350" s="687"/>
      <c r="P350" s="687"/>
      <c r="Q350" s="494"/>
      <c r="R350" s="494"/>
      <c r="S350" s="494"/>
      <c r="T350" s="494"/>
      <c r="U350" s="494"/>
      <c r="V350" s="494"/>
      <c r="W350" s="494"/>
      <c r="X350" s="494"/>
      <c r="Y350" s="494"/>
      <c r="Z350" s="494"/>
      <c r="AA350" s="494"/>
      <c r="AB350" s="494"/>
      <c r="AC350" s="494"/>
      <c r="AD350" s="494"/>
      <c r="AE350" s="494"/>
      <c r="AF350" s="494"/>
      <c r="AG350" s="494"/>
      <c r="AH350" s="494"/>
      <c r="AI350" s="494"/>
      <c r="AJ350" s="494"/>
      <c r="AK350" s="494"/>
      <c r="AL350" s="494"/>
      <c r="AM350" s="494"/>
      <c r="AN350" s="494"/>
      <c r="AO350" s="494"/>
      <c r="AP350" s="494"/>
      <c r="AQ350" s="494"/>
      <c r="AR350" s="494"/>
      <c r="AS350" s="494"/>
      <c r="AT350" s="494"/>
      <c r="AU350" s="494"/>
      <c r="AV350" s="494"/>
      <c r="AW350" s="494"/>
      <c r="AX350" s="494"/>
    </row>
    <row r="351" spans="1:50" customFormat="1" ht="40.9" customHeight="1" x14ac:dyDescent="0.25">
      <c r="A351" s="492"/>
      <c r="B351" s="687" t="s">
        <v>683</v>
      </c>
      <c r="C351" s="687"/>
      <c r="D351" s="687"/>
      <c r="E351" s="687"/>
      <c r="F351" s="687"/>
      <c r="G351" s="687" t="s">
        <v>684</v>
      </c>
      <c r="H351" s="687"/>
      <c r="I351" s="687"/>
      <c r="J351" s="687"/>
      <c r="K351" s="687" t="s">
        <v>15</v>
      </c>
      <c r="L351" s="687"/>
      <c r="M351" s="687"/>
      <c r="N351" s="687"/>
      <c r="O351" s="687"/>
      <c r="P351" s="687"/>
      <c r="Q351" s="494"/>
      <c r="R351" s="494"/>
      <c r="S351" s="494"/>
      <c r="T351" s="494"/>
      <c r="U351" s="494"/>
      <c r="V351" s="494"/>
      <c r="W351" s="494"/>
      <c r="X351" s="494"/>
      <c r="Y351" s="494"/>
      <c r="Z351" s="494"/>
      <c r="AA351" s="494"/>
      <c r="AB351" s="494"/>
      <c r="AC351" s="494"/>
      <c r="AD351" s="494"/>
      <c r="AE351" s="494"/>
      <c r="AF351" s="494"/>
      <c r="AG351" s="494"/>
      <c r="AH351" s="494"/>
      <c r="AI351" s="494"/>
      <c r="AJ351" s="494"/>
      <c r="AK351" s="494"/>
      <c r="AL351" s="494"/>
      <c r="AM351" s="494"/>
      <c r="AN351" s="494"/>
      <c r="AO351" s="494"/>
      <c r="AP351" s="494"/>
      <c r="AQ351" s="494"/>
      <c r="AR351" s="494"/>
      <c r="AS351" s="494"/>
      <c r="AT351" s="494"/>
      <c r="AU351" s="494"/>
      <c r="AV351" s="494"/>
      <c r="AW351" s="494"/>
      <c r="AX351" s="494"/>
    </row>
    <row r="352" spans="1:50" customFormat="1" ht="95.25" customHeight="1" x14ac:dyDescent="0.25">
      <c r="A352" s="492"/>
      <c r="B352" s="687" t="s">
        <v>778</v>
      </c>
      <c r="C352" s="687"/>
      <c r="D352" s="687"/>
      <c r="E352" s="687"/>
      <c r="F352" s="687"/>
      <c r="G352" s="687" t="s">
        <v>779</v>
      </c>
      <c r="H352" s="687"/>
      <c r="I352" s="687"/>
      <c r="J352" s="687"/>
      <c r="K352" s="687" t="s">
        <v>15</v>
      </c>
      <c r="L352" s="687"/>
      <c r="M352" s="687"/>
      <c r="N352" s="687"/>
      <c r="O352" s="687"/>
      <c r="P352" s="687"/>
      <c r="Q352" s="494"/>
      <c r="R352" s="494"/>
      <c r="S352" s="494"/>
      <c r="T352" s="494"/>
      <c r="U352" s="494"/>
      <c r="V352" s="494"/>
      <c r="W352" s="494"/>
      <c r="X352" s="494"/>
      <c r="Y352" s="494"/>
      <c r="Z352" s="494"/>
      <c r="AA352" s="494"/>
      <c r="AB352" s="494"/>
      <c r="AC352" s="494"/>
      <c r="AD352" s="494"/>
      <c r="AE352" s="494"/>
      <c r="AF352" s="494"/>
      <c r="AG352" s="494"/>
      <c r="AH352" s="494"/>
      <c r="AI352" s="494"/>
      <c r="AJ352" s="494"/>
      <c r="AK352" s="494"/>
      <c r="AL352" s="494"/>
      <c r="AM352" s="494"/>
      <c r="AN352" s="494"/>
      <c r="AO352" s="494"/>
      <c r="AP352" s="494"/>
      <c r="AQ352" s="494"/>
      <c r="AR352" s="494"/>
      <c r="AS352" s="494"/>
      <c r="AT352" s="494"/>
      <c r="AU352" s="494"/>
      <c r="AV352" s="494"/>
      <c r="AW352" s="494"/>
      <c r="AX352" s="494"/>
    </row>
    <row r="353" spans="1:50" customFormat="1" ht="27.2" customHeight="1" x14ac:dyDescent="0.25">
      <c r="A353" s="492"/>
      <c r="B353" s="687" t="s">
        <v>793</v>
      </c>
      <c r="C353" s="687"/>
      <c r="D353" s="687"/>
      <c r="E353" s="687"/>
      <c r="F353" s="687"/>
      <c r="G353" s="687" t="s">
        <v>2253</v>
      </c>
      <c r="H353" s="687"/>
      <c r="I353" s="687"/>
      <c r="J353" s="687"/>
      <c r="K353" s="687" t="s">
        <v>15</v>
      </c>
      <c r="L353" s="687"/>
      <c r="M353" s="687"/>
      <c r="N353" s="687"/>
      <c r="O353" s="687"/>
      <c r="P353" s="687"/>
      <c r="Q353" s="494"/>
      <c r="R353" s="494"/>
      <c r="S353" s="494"/>
      <c r="T353" s="494"/>
      <c r="U353" s="494"/>
      <c r="V353" s="494"/>
      <c r="W353" s="494"/>
      <c r="X353" s="494"/>
      <c r="Y353" s="494"/>
      <c r="Z353" s="494"/>
      <c r="AA353" s="494"/>
      <c r="AB353" s="494"/>
      <c r="AC353" s="494"/>
      <c r="AD353" s="494"/>
      <c r="AE353" s="494"/>
      <c r="AF353" s="494"/>
      <c r="AG353" s="494"/>
      <c r="AH353" s="494"/>
      <c r="AI353" s="494"/>
      <c r="AJ353" s="494"/>
      <c r="AK353" s="494"/>
      <c r="AL353" s="494"/>
      <c r="AM353" s="494"/>
      <c r="AN353" s="494"/>
      <c r="AO353" s="494"/>
      <c r="AP353" s="494"/>
      <c r="AQ353" s="494"/>
      <c r="AR353" s="494"/>
      <c r="AS353" s="494"/>
      <c r="AT353" s="494"/>
      <c r="AU353" s="494"/>
      <c r="AV353" s="494"/>
      <c r="AW353" s="494"/>
      <c r="AX353" s="494"/>
    </row>
    <row r="354" spans="1:50" customFormat="1" x14ac:dyDescent="0.25">
      <c r="A354" s="690" t="s">
        <v>889</v>
      </c>
      <c r="B354" s="690"/>
      <c r="C354" s="690"/>
      <c r="D354" s="690"/>
      <c r="E354" s="690"/>
      <c r="F354" s="690"/>
      <c r="G354" s="690"/>
      <c r="H354" s="690"/>
      <c r="I354" s="690"/>
      <c r="J354" s="690"/>
      <c r="K354" s="690"/>
      <c r="L354" s="690"/>
      <c r="M354" s="690"/>
      <c r="N354" s="690"/>
      <c r="O354" s="690"/>
      <c r="P354" s="690"/>
      <c r="Q354" s="494"/>
      <c r="R354" s="494"/>
      <c r="S354" s="494"/>
      <c r="T354" s="494"/>
      <c r="U354" s="494"/>
      <c r="V354" s="494"/>
      <c r="W354" s="494"/>
      <c r="X354" s="494"/>
      <c r="Y354" s="494"/>
      <c r="Z354" s="494"/>
      <c r="AA354" s="494"/>
      <c r="AB354" s="494"/>
      <c r="AC354" s="494"/>
      <c r="AD354" s="494"/>
      <c r="AE354" s="494"/>
      <c r="AF354" s="494"/>
      <c r="AG354" s="494"/>
      <c r="AH354" s="494"/>
      <c r="AI354" s="494"/>
      <c r="AJ354" s="494"/>
      <c r="AK354" s="494"/>
      <c r="AL354" s="494"/>
      <c r="AM354" s="494"/>
      <c r="AN354" s="494"/>
      <c r="AO354" s="494"/>
      <c r="AP354" s="494"/>
      <c r="AQ354" s="494"/>
      <c r="AR354" s="494"/>
      <c r="AS354" s="494"/>
      <c r="AT354" s="494"/>
      <c r="AU354" s="494"/>
      <c r="AV354" s="494"/>
      <c r="AW354" s="494"/>
      <c r="AX354" s="494"/>
    </row>
    <row r="355" spans="1:50" customFormat="1" ht="122.45" customHeight="1" x14ac:dyDescent="0.25">
      <c r="A355" s="495" t="s">
        <v>890</v>
      </c>
      <c r="B355" s="692" t="s">
        <v>826</v>
      </c>
      <c r="C355" s="693"/>
      <c r="D355" s="693"/>
      <c r="E355" s="693"/>
      <c r="F355" s="693"/>
      <c r="G355" s="693" t="s">
        <v>891</v>
      </c>
      <c r="H355" s="693"/>
      <c r="I355" s="693"/>
      <c r="J355" s="693"/>
      <c r="K355" s="693" t="s">
        <v>2299</v>
      </c>
      <c r="L355" s="693"/>
      <c r="M355" s="693"/>
      <c r="N355" s="693"/>
      <c r="O355" s="694">
        <f>ROUND((61900 + 15484 * 1.274) * 1 * 1.56 * 0.6 * 0.7, 2)</f>
        <v>53481.760000000002</v>
      </c>
      <c r="P355" s="693"/>
      <c r="Q355" s="494"/>
      <c r="R355" s="494"/>
      <c r="S355" s="494"/>
      <c r="T355" s="494"/>
      <c r="U355" s="494"/>
      <c r="V355" s="494"/>
      <c r="W355" s="494"/>
      <c r="X355" s="494"/>
      <c r="Y355" s="494"/>
      <c r="Z355" s="494"/>
      <c r="AA355" s="494"/>
      <c r="AB355" s="494"/>
      <c r="AC355" s="494"/>
      <c r="AD355" s="494"/>
      <c r="AE355" s="494"/>
      <c r="AF355" s="494"/>
      <c r="AG355" s="494"/>
      <c r="AH355" s="494"/>
      <c r="AI355" s="494"/>
      <c r="AJ355" s="494"/>
      <c r="AK355" s="494"/>
      <c r="AL355" s="494"/>
      <c r="AM355" s="494"/>
      <c r="AN355" s="494"/>
      <c r="AO355" s="494"/>
      <c r="AP355" s="494"/>
      <c r="AQ355" s="494"/>
      <c r="AR355" s="494"/>
      <c r="AS355" s="494"/>
      <c r="AT355" s="494"/>
      <c r="AU355" s="494"/>
      <c r="AV355" s="494"/>
      <c r="AW355" s="494"/>
      <c r="AX355" s="494"/>
    </row>
    <row r="356" spans="1:50" customFormat="1" x14ac:dyDescent="0.25">
      <c r="A356" s="496"/>
      <c r="B356" s="695" t="s">
        <v>564</v>
      </c>
      <c r="C356" s="695"/>
      <c r="D356" s="695"/>
      <c r="E356" s="695"/>
      <c r="F356" s="695"/>
      <c r="G356" s="695" t="s">
        <v>15</v>
      </c>
      <c r="H356" s="695"/>
      <c r="I356" s="695"/>
      <c r="J356" s="695"/>
      <c r="K356" s="695" t="s">
        <v>15</v>
      </c>
      <c r="L356" s="695"/>
      <c r="M356" s="695"/>
      <c r="N356" s="695"/>
      <c r="O356" s="695"/>
      <c r="P356" s="695"/>
      <c r="Q356" s="494"/>
      <c r="R356" s="494"/>
      <c r="S356" s="494"/>
      <c r="T356" s="494"/>
      <c r="U356" s="494"/>
      <c r="V356" s="494"/>
      <c r="W356" s="494"/>
      <c r="X356" s="494"/>
      <c r="Y356" s="494"/>
      <c r="Z356" s="494"/>
      <c r="AA356" s="494"/>
      <c r="AB356" s="494"/>
      <c r="AC356" s="494"/>
      <c r="AD356" s="494"/>
      <c r="AE356" s="494"/>
      <c r="AF356" s="494"/>
      <c r="AG356" s="494"/>
      <c r="AH356" s="494"/>
      <c r="AI356" s="494"/>
      <c r="AJ356" s="494"/>
      <c r="AK356" s="494"/>
      <c r="AL356" s="494"/>
      <c r="AM356" s="494"/>
      <c r="AN356" s="494"/>
      <c r="AO356" s="494"/>
      <c r="AP356" s="494"/>
      <c r="AQ356" s="494"/>
      <c r="AR356" s="494"/>
      <c r="AS356" s="494"/>
      <c r="AT356" s="494"/>
      <c r="AU356" s="494"/>
      <c r="AV356" s="494"/>
      <c r="AW356" s="494"/>
      <c r="AX356" s="494"/>
    </row>
    <row r="357" spans="1:50" customFormat="1" x14ac:dyDescent="0.25">
      <c r="A357" s="492"/>
      <c r="B357" s="687" t="s">
        <v>681</v>
      </c>
      <c r="C357" s="687"/>
      <c r="D357" s="687"/>
      <c r="E357" s="687"/>
      <c r="F357" s="687"/>
      <c r="G357" s="687" t="s">
        <v>682</v>
      </c>
      <c r="H357" s="687"/>
      <c r="I357" s="687"/>
      <c r="J357" s="687"/>
      <c r="K357" s="687" t="s">
        <v>15</v>
      </c>
      <c r="L357" s="687"/>
      <c r="M357" s="687"/>
      <c r="N357" s="687"/>
      <c r="O357" s="687"/>
      <c r="P357" s="687"/>
      <c r="Q357" s="494"/>
      <c r="R357" s="494"/>
      <c r="S357" s="494"/>
      <c r="T357" s="494"/>
      <c r="U357" s="494"/>
      <c r="V357" s="494"/>
      <c r="W357" s="494"/>
      <c r="X357" s="494"/>
      <c r="Y357" s="494"/>
      <c r="Z357" s="494"/>
      <c r="AA357" s="494"/>
      <c r="AB357" s="494"/>
      <c r="AC357" s="494"/>
      <c r="AD357" s="494"/>
      <c r="AE357" s="494"/>
      <c r="AF357" s="494"/>
      <c r="AG357" s="494"/>
      <c r="AH357" s="494"/>
      <c r="AI357" s="494"/>
      <c r="AJ357" s="494"/>
      <c r="AK357" s="494"/>
      <c r="AL357" s="494"/>
      <c r="AM357" s="494"/>
      <c r="AN357" s="494"/>
      <c r="AO357" s="494"/>
      <c r="AP357" s="494"/>
      <c r="AQ357" s="494"/>
      <c r="AR357" s="494"/>
      <c r="AS357" s="494"/>
      <c r="AT357" s="494"/>
      <c r="AU357" s="494"/>
      <c r="AV357" s="494"/>
      <c r="AW357" s="494"/>
      <c r="AX357" s="494"/>
    </row>
    <row r="358" spans="1:50" customFormat="1" ht="40.9" customHeight="1" x14ac:dyDescent="0.25">
      <c r="A358" s="492"/>
      <c r="B358" s="687" t="s">
        <v>683</v>
      </c>
      <c r="C358" s="687"/>
      <c r="D358" s="687"/>
      <c r="E358" s="687"/>
      <c r="F358" s="687"/>
      <c r="G358" s="687" t="s">
        <v>684</v>
      </c>
      <c r="H358" s="687"/>
      <c r="I358" s="687"/>
      <c r="J358" s="687"/>
      <c r="K358" s="687" t="s">
        <v>15</v>
      </c>
      <c r="L358" s="687"/>
      <c r="M358" s="687"/>
      <c r="N358" s="687"/>
      <c r="O358" s="687"/>
      <c r="P358" s="687"/>
      <c r="Q358" s="494"/>
      <c r="R358" s="494"/>
      <c r="S358" s="494"/>
      <c r="T358" s="494"/>
      <c r="U358" s="494"/>
      <c r="V358" s="494"/>
      <c r="W358" s="494"/>
      <c r="X358" s="494"/>
      <c r="Y358" s="494"/>
      <c r="Z358" s="494"/>
      <c r="AA358" s="494"/>
      <c r="AB358" s="494"/>
      <c r="AC358" s="494"/>
      <c r="AD358" s="494"/>
      <c r="AE358" s="494"/>
      <c r="AF358" s="494"/>
      <c r="AG358" s="494"/>
      <c r="AH358" s="494"/>
      <c r="AI358" s="494"/>
      <c r="AJ358" s="494"/>
      <c r="AK358" s="494"/>
      <c r="AL358" s="494"/>
      <c r="AM358" s="494"/>
      <c r="AN358" s="494"/>
      <c r="AO358" s="494"/>
      <c r="AP358" s="494"/>
      <c r="AQ358" s="494"/>
      <c r="AR358" s="494"/>
      <c r="AS358" s="494"/>
      <c r="AT358" s="494"/>
      <c r="AU358" s="494"/>
      <c r="AV358" s="494"/>
      <c r="AW358" s="494"/>
      <c r="AX358" s="494"/>
    </row>
    <row r="359" spans="1:50" customFormat="1" ht="27.2" customHeight="1" x14ac:dyDescent="0.25">
      <c r="A359" s="492"/>
      <c r="B359" s="687" t="s">
        <v>793</v>
      </c>
      <c r="C359" s="687"/>
      <c r="D359" s="687"/>
      <c r="E359" s="687"/>
      <c r="F359" s="687"/>
      <c r="G359" s="687" t="s">
        <v>2253</v>
      </c>
      <c r="H359" s="687"/>
      <c r="I359" s="687"/>
      <c r="J359" s="687"/>
      <c r="K359" s="687" t="s">
        <v>15</v>
      </c>
      <c r="L359" s="687"/>
      <c r="M359" s="687"/>
      <c r="N359" s="687"/>
      <c r="O359" s="687"/>
      <c r="P359" s="687"/>
      <c r="Q359" s="494"/>
      <c r="R359" s="494"/>
      <c r="S359" s="494"/>
      <c r="T359" s="494"/>
      <c r="U359" s="494"/>
      <c r="V359" s="494"/>
      <c r="W359" s="494"/>
      <c r="X359" s="494"/>
      <c r="Y359" s="494"/>
      <c r="Z359" s="494"/>
      <c r="AA359" s="494"/>
      <c r="AB359" s="494"/>
      <c r="AC359" s="494"/>
      <c r="AD359" s="494"/>
      <c r="AE359" s="494"/>
      <c r="AF359" s="494"/>
      <c r="AG359" s="494"/>
      <c r="AH359" s="494"/>
      <c r="AI359" s="494"/>
      <c r="AJ359" s="494"/>
      <c r="AK359" s="494"/>
      <c r="AL359" s="494"/>
      <c r="AM359" s="494"/>
      <c r="AN359" s="494"/>
      <c r="AO359" s="494"/>
      <c r="AP359" s="494"/>
      <c r="AQ359" s="494"/>
      <c r="AR359" s="494"/>
      <c r="AS359" s="494"/>
      <c r="AT359" s="494"/>
      <c r="AU359" s="494"/>
      <c r="AV359" s="494"/>
      <c r="AW359" s="494"/>
      <c r="AX359" s="494"/>
    </row>
    <row r="360" spans="1:50" customFormat="1" x14ac:dyDescent="0.25">
      <c r="A360" s="690" t="s">
        <v>703</v>
      </c>
      <c r="B360" s="690"/>
      <c r="C360" s="690"/>
      <c r="D360" s="690"/>
      <c r="E360" s="690"/>
      <c r="F360" s="690"/>
      <c r="G360" s="690"/>
      <c r="H360" s="690"/>
      <c r="I360" s="690"/>
      <c r="J360" s="690"/>
      <c r="K360" s="690"/>
      <c r="L360" s="690"/>
      <c r="M360" s="690"/>
      <c r="N360" s="690"/>
      <c r="O360" s="690"/>
      <c r="P360" s="690"/>
      <c r="Q360" s="494"/>
      <c r="R360" s="494"/>
      <c r="S360" s="494"/>
      <c r="T360" s="494"/>
      <c r="U360" s="494"/>
      <c r="V360" s="494"/>
      <c r="W360" s="494"/>
      <c r="X360" s="494"/>
      <c r="Y360" s="494"/>
      <c r="Z360" s="494"/>
      <c r="AA360" s="494"/>
      <c r="AB360" s="494"/>
      <c r="AC360" s="494"/>
      <c r="AD360" s="494"/>
      <c r="AE360" s="494"/>
      <c r="AF360" s="494"/>
      <c r="AG360" s="494"/>
      <c r="AH360" s="494"/>
      <c r="AI360" s="494"/>
      <c r="AJ360" s="494"/>
      <c r="AK360" s="494"/>
      <c r="AL360" s="494"/>
      <c r="AM360" s="494"/>
      <c r="AN360" s="494"/>
      <c r="AO360" s="494"/>
      <c r="AP360" s="494"/>
      <c r="AQ360" s="494"/>
      <c r="AR360" s="494"/>
      <c r="AS360" s="494"/>
      <c r="AT360" s="494"/>
      <c r="AU360" s="494"/>
      <c r="AV360" s="494"/>
      <c r="AW360" s="494"/>
      <c r="AX360" s="494"/>
    </row>
    <row r="361" spans="1:50" customFormat="1" x14ac:dyDescent="0.25">
      <c r="A361" s="690" t="s">
        <v>892</v>
      </c>
      <c r="B361" s="690"/>
      <c r="C361" s="690"/>
      <c r="D361" s="690"/>
      <c r="E361" s="690"/>
      <c r="F361" s="690"/>
      <c r="G361" s="690"/>
      <c r="H361" s="690"/>
      <c r="I361" s="690"/>
      <c r="J361" s="690"/>
      <c r="K361" s="690"/>
      <c r="L361" s="690"/>
      <c r="M361" s="690"/>
      <c r="N361" s="690"/>
      <c r="O361" s="690"/>
      <c r="P361" s="690"/>
      <c r="Q361" s="494"/>
      <c r="R361" s="494"/>
      <c r="S361" s="494"/>
      <c r="T361" s="494"/>
      <c r="U361" s="494"/>
      <c r="V361" s="494"/>
      <c r="W361" s="494"/>
      <c r="X361" s="494"/>
      <c r="Y361" s="494"/>
      <c r="Z361" s="494"/>
      <c r="AA361" s="494"/>
      <c r="AB361" s="494"/>
      <c r="AC361" s="494"/>
      <c r="AD361" s="494"/>
      <c r="AE361" s="494"/>
      <c r="AF361" s="494"/>
      <c r="AG361" s="494"/>
      <c r="AH361" s="494"/>
      <c r="AI361" s="494"/>
      <c r="AJ361" s="494"/>
      <c r="AK361" s="494"/>
      <c r="AL361" s="494"/>
      <c r="AM361" s="494"/>
      <c r="AN361" s="494"/>
      <c r="AO361" s="494"/>
      <c r="AP361" s="494"/>
      <c r="AQ361" s="494"/>
      <c r="AR361" s="494"/>
      <c r="AS361" s="494"/>
      <c r="AT361" s="494"/>
      <c r="AU361" s="494"/>
      <c r="AV361" s="494"/>
      <c r="AW361" s="494"/>
      <c r="AX361" s="494"/>
    </row>
    <row r="362" spans="1:50" customFormat="1" x14ac:dyDescent="0.25">
      <c r="A362" s="690" t="s">
        <v>893</v>
      </c>
      <c r="B362" s="690"/>
      <c r="C362" s="690"/>
      <c r="D362" s="690"/>
      <c r="E362" s="690"/>
      <c r="F362" s="690"/>
      <c r="G362" s="690"/>
      <c r="H362" s="690"/>
      <c r="I362" s="690"/>
      <c r="J362" s="690"/>
      <c r="K362" s="690"/>
      <c r="L362" s="690"/>
      <c r="M362" s="690"/>
      <c r="N362" s="690"/>
      <c r="O362" s="690"/>
      <c r="P362" s="690"/>
      <c r="Q362" s="494"/>
      <c r="R362" s="494"/>
      <c r="S362" s="494"/>
      <c r="T362" s="494"/>
      <c r="U362" s="494"/>
      <c r="V362" s="494"/>
      <c r="W362" s="494"/>
      <c r="X362" s="494"/>
      <c r="Y362" s="494"/>
      <c r="Z362" s="494"/>
      <c r="AA362" s="494"/>
      <c r="AB362" s="494"/>
      <c r="AC362" s="494"/>
      <c r="AD362" s="494"/>
      <c r="AE362" s="494"/>
      <c r="AF362" s="494"/>
      <c r="AG362" s="494"/>
      <c r="AH362" s="494"/>
      <c r="AI362" s="494"/>
      <c r="AJ362" s="494"/>
      <c r="AK362" s="494"/>
      <c r="AL362" s="494"/>
      <c r="AM362" s="494"/>
      <c r="AN362" s="494"/>
      <c r="AO362" s="494"/>
      <c r="AP362" s="494"/>
      <c r="AQ362" s="494"/>
      <c r="AR362" s="494"/>
      <c r="AS362" s="494"/>
      <c r="AT362" s="494"/>
      <c r="AU362" s="494"/>
      <c r="AV362" s="494"/>
      <c r="AW362" s="494"/>
      <c r="AX362" s="494"/>
    </row>
    <row r="363" spans="1:50" customFormat="1" ht="122.45" customHeight="1" x14ac:dyDescent="0.25">
      <c r="A363" s="495" t="s">
        <v>894</v>
      </c>
      <c r="B363" s="692" t="s">
        <v>895</v>
      </c>
      <c r="C363" s="693"/>
      <c r="D363" s="693"/>
      <c r="E363" s="693"/>
      <c r="F363" s="693"/>
      <c r="G363" s="693" t="s">
        <v>896</v>
      </c>
      <c r="H363" s="693"/>
      <c r="I363" s="693"/>
      <c r="J363" s="693"/>
      <c r="K363" s="693" t="s">
        <v>2300</v>
      </c>
      <c r="L363" s="693"/>
      <c r="M363" s="693"/>
      <c r="N363" s="693"/>
      <c r="O363" s="694">
        <f>ROUND((1493100 + 22794 * 10.95) * 1 * 1.56 * 0.6 * 0.7, 2)</f>
        <v>1141813.31</v>
      </c>
      <c r="P363" s="693"/>
      <c r="Q363" s="494"/>
      <c r="R363" s="494"/>
      <c r="S363" s="494"/>
      <c r="T363" s="494"/>
      <c r="U363" s="494"/>
      <c r="V363" s="494"/>
      <c r="W363" s="494"/>
      <c r="X363" s="494"/>
      <c r="Y363" s="494"/>
      <c r="Z363" s="494"/>
      <c r="AA363" s="494"/>
      <c r="AB363" s="494"/>
      <c r="AC363" s="494"/>
      <c r="AD363" s="494"/>
      <c r="AE363" s="494"/>
      <c r="AF363" s="494"/>
      <c r="AG363" s="494"/>
      <c r="AH363" s="494"/>
      <c r="AI363" s="494"/>
      <c r="AJ363" s="494"/>
      <c r="AK363" s="494"/>
      <c r="AL363" s="494"/>
      <c r="AM363" s="494"/>
      <c r="AN363" s="494"/>
      <c r="AO363" s="494"/>
      <c r="AP363" s="494"/>
      <c r="AQ363" s="494"/>
      <c r="AR363" s="494"/>
      <c r="AS363" s="494"/>
      <c r="AT363" s="494"/>
      <c r="AU363" s="494"/>
      <c r="AV363" s="494"/>
      <c r="AW363" s="494"/>
      <c r="AX363" s="494"/>
    </row>
    <row r="364" spans="1:50" customFormat="1" x14ac:dyDescent="0.25">
      <c r="A364" s="496"/>
      <c r="B364" s="695" t="s">
        <v>564</v>
      </c>
      <c r="C364" s="695"/>
      <c r="D364" s="695"/>
      <c r="E364" s="695"/>
      <c r="F364" s="695"/>
      <c r="G364" s="695" t="s">
        <v>15</v>
      </c>
      <c r="H364" s="695"/>
      <c r="I364" s="695"/>
      <c r="J364" s="695"/>
      <c r="K364" s="695" t="s">
        <v>15</v>
      </c>
      <c r="L364" s="695"/>
      <c r="M364" s="695"/>
      <c r="N364" s="695"/>
      <c r="O364" s="695"/>
      <c r="P364" s="695"/>
      <c r="Q364" s="494"/>
      <c r="R364" s="494"/>
      <c r="S364" s="494"/>
      <c r="T364" s="494"/>
      <c r="U364" s="494"/>
      <c r="V364" s="494"/>
      <c r="W364" s="494"/>
      <c r="X364" s="494"/>
      <c r="Y364" s="494"/>
      <c r="Z364" s="494"/>
      <c r="AA364" s="494"/>
      <c r="AB364" s="494"/>
      <c r="AC364" s="494"/>
      <c r="AD364" s="494"/>
      <c r="AE364" s="494"/>
      <c r="AF364" s="494"/>
      <c r="AG364" s="494"/>
      <c r="AH364" s="494"/>
      <c r="AI364" s="494"/>
      <c r="AJ364" s="494"/>
      <c r="AK364" s="494"/>
      <c r="AL364" s="494"/>
      <c r="AM364" s="494"/>
      <c r="AN364" s="494"/>
      <c r="AO364" s="494"/>
      <c r="AP364" s="494"/>
      <c r="AQ364" s="494"/>
      <c r="AR364" s="494"/>
      <c r="AS364" s="494"/>
      <c r="AT364" s="494"/>
      <c r="AU364" s="494"/>
      <c r="AV364" s="494"/>
      <c r="AW364" s="494"/>
      <c r="AX364" s="494"/>
    </row>
    <row r="365" spans="1:50" customFormat="1" x14ac:dyDescent="0.25">
      <c r="A365" s="492"/>
      <c r="B365" s="687" t="s">
        <v>681</v>
      </c>
      <c r="C365" s="687"/>
      <c r="D365" s="687"/>
      <c r="E365" s="687"/>
      <c r="F365" s="687"/>
      <c r="G365" s="687" t="s">
        <v>682</v>
      </c>
      <c r="H365" s="687"/>
      <c r="I365" s="687"/>
      <c r="J365" s="687"/>
      <c r="K365" s="687" t="s">
        <v>15</v>
      </c>
      <c r="L365" s="687"/>
      <c r="M365" s="687"/>
      <c r="N365" s="687"/>
      <c r="O365" s="687"/>
      <c r="P365" s="687"/>
      <c r="Q365" s="494"/>
      <c r="R365" s="494"/>
      <c r="S365" s="494"/>
      <c r="T365" s="494"/>
      <c r="U365" s="494"/>
      <c r="V365" s="494"/>
      <c r="W365" s="494"/>
      <c r="X365" s="494"/>
      <c r="Y365" s="494"/>
      <c r="Z365" s="494"/>
      <c r="AA365" s="494"/>
      <c r="AB365" s="494"/>
      <c r="AC365" s="494"/>
      <c r="AD365" s="494"/>
      <c r="AE365" s="494"/>
      <c r="AF365" s="494"/>
      <c r="AG365" s="494"/>
      <c r="AH365" s="494"/>
      <c r="AI365" s="494"/>
      <c r="AJ365" s="494"/>
      <c r="AK365" s="494"/>
      <c r="AL365" s="494"/>
      <c r="AM365" s="494"/>
      <c r="AN365" s="494"/>
      <c r="AO365" s="494"/>
      <c r="AP365" s="494"/>
      <c r="AQ365" s="494"/>
      <c r="AR365" s="494"/>
      <c r="AS365" s="494"/>
      <c r="AT365" s="494"/>
      <c r="AU365" s="494"/>
      <c r="AV365" s="494"/>
      <c r="AW365" s="494"/>
      <c r="AX365" s="494"/>
    </row>
    <row r="366" spans="1:50" customFormat="1" ht="40.9" customHeight="1" x14ac:dyDescent="0.25">
      <c r="A366" s="492"/>
      <c r="B366" s="687" t="s">
        <v>683</v>
      </c>
      <c r="C366" s="687"/>
      <c r="D366" s="687"/>
      <c r="E366" s="687"/>
      <c r="F366" s="687"/>
      <c r="G366" s="687" t="s">
        <v>684</v>
      </c>
      <c r="H366" s="687"/>
      <c r="I366" s="687"/>
      <c r="J366" s="687"/>
      <c r="K366" s="687" t="s">
        <v>15</v>
      </c>
      <c r="L366" s="687"/>
      <c r="M366" s="687"/>
      <c r="N366" s="687"/>
      <c r="O366" s="687"/>
      <c r="P366" s="687"/>
      <c r="Q366" s="494"/>
      <c r="R366" s="494"/>
      <c r="S366" s="494"/>
      <c r="T366" s="494"/>
      <c r="U366" s="494"/>
      <c r="V366" s="494"/>
      <c r="W366" s="494"/>
      <c r="X366" s="494"/>
      <c r="Y366" s="494"/>
      <c r="Z366" s="494"/>
      <c r="AA366" s="494"/>
      <c r="AB366" s="494"/>
      <c r="AC366" s="494"/>
      <c r="AD366" s="494"/>
      <c r="AE366" s="494"/>
      <c r="AF366" s="494"/>
      <c r="AG366" s="494"/>
      <c r="AH366" s="494"/>
      <c r="AI366" s="494"/>
      <c r="AJ366" s="494"/>
      <c r="AK366" s="494"/>
      <c r="AL366" s="494"/>
      <c r="AM366" s="494"/>
      <c r="AN366" s="494"/>
      <c r="AO366" s="494"/>
      <c r="AP366" s="494"/>
      <c r="AQ366" s="494"/>
      <c r="AR366" s="494"/>
      <c r="AS366" s="494"/>
      <c r="AT366" s="494"/>
      <c r="AU366" s="494"/>
      <c r="AV366" s="494"/>
      <c r="AW366" s="494"/>
      <c r="AX366" s="494"/>
    </row>
    <row r="367" spans="1:50" customFormat="1" ht="27.2" customHeight="1" x14ac:dyDescent="0.25">
      <c r="A367" s="492"/>
      <c r="B367" s="687" t="s">
        <v>793</v>
      </c>
      <c r="C367" s="687"/>
      <c r="D367" s="687"/>
      <c r="E367" s="687"/>
      <c r="F367" s="687"/>
      <c r="G367" s="687" t="s">
        <v>2253</v>
      </c>
      <c r="H367" s="687"/>
      <c r="I367" s="687"/>
      <c r="J367" s="687"/>
      <c r="K367" s="687" t="s">
        <v>15</v>
      </c>
      <c r="L367" s="687"/>
      <c r="M367" s="687"/>
      <c r="N367" s="687"/>
      <c r="O367" s="687"/>
      <c r="P367" s="687"/>
      <c r="Q367" s="494"/>
      <c r="R367" s="494"/>
      <c r="S367" s="494"/>
      <c r="T367" s="494"/>
      <c r="U367" s="494"/>
      <c r="V367" s="494"/>
      <c r="W367" s="494"/>
      <c r="X367" s="494"/>
      <c r="Y367" s="494"/>
      <c r="Z367" s="494"/>
      <c r="AA367" s="494"/>
      <c r="AB367" s="494"/>
      <c r="AC367" s="494"/>
      <c r="AD367" s="494"/>
      <c r="AE367" s="494"/>
      <c r="AF367" s="494"/>
      <c r="AG367" s="494"/>
      <c r="AH367" s="494"/>
      <c r="AI367" s="494"/>
      <c r="AJ367" s="494"/>
      <c r="AK367" s="494"/>
      <c r="AL367" s="494"/>
      <c r="AM367" s="494"/>
      <c r="AN367" s="494"/>
      <c r="AO367" s="494"/>
      <c r="AP367" s="494"/>
      <c r="AQ367" s="494"/>
      <c r="AR367" s="494"/>
      <c r="AS367" s="494"/>
      <c r="AT367" s="494"/>
      <c r="AU367" s="494"/>
      <c r="AV367" s="494"/>
      <c r="AW367" s="494"/>
      <c r="AX367" s="494"/>
    </row>
    <row r="368" spans="1:50" customFormat="1" x14ac:dyDescent="0.25">
      <c r="A368" s="690" t="s">
        <v>897</v>
      </c>
      <c r="B368" s="690"/>
      <c r="C368" s="690"/>
      <c r="D368" s="690"/>
      <c r="E368" s="690"/>
      <c r="F368" s="690"/>
      <c r="G368" s="690"/>
      <c r="H368" s="690"/>
      <c r="I368" s="690"/>
      <c r="J368" s="690"/>
      <c r="K368" s="690"/>
      <c r="L368" s="690"/>
      <c r="M368" s="690"/>
      <c r="N368" s="690"/>
      <c r="O368" s="690"/>
      <c r="P368" s="690"/>
      <c r="Q368" s="494"/>
      <c r="R368" s="494"/>
      <c r="S368" s="494"/>
      <c r="T368" s="494"/>
      <c r="U368" s="494"/>
      <c r="V368" s="494"/>
      <c r="W368" s="494"/>
      <c r="X368" s="494"/>
      <c r="Y368" s="494"/>
      <c r="Z368" s="494"/>
      <c r="AA368" s="494"/>
      <c r="AB368" s="494"/>
      <c r="AC368" s="494"/>
      <c r="AD368" s="494"/>
      <c r="AE368" s="494"/>
      <c r="AF368" s="494"/>
      <c r="AG368" s="494"/>
      <c r="AH368" s="494"/>
      <c r="AI368" s="494"/>
      <c r="AJ368" s="494"/>
      <c r="AK368" s="494"/>
      <c r="AL368" s="494"/>
      <c r="AM368" s="494"/>
      <c r="AN368" s="494"/>
      <c r="AO368" s="494"/>
      <c r="AP368" s="494"/>
      <c r="AQ368" s="494"/>
      <c r="AR368" s="494"/>
      <c r="AS368" s="494"/>
      <c r="AT368" s="494"/>
      <c r="AU368" s="494"/>
      <c r="AV368" s="494"/>
      <c r="AW368" s="494"/>
      <c r="AX368" s="494"/>
    </row>
    <row r="369" spans="1:50" customFormat="1" ht="122.45" customHeight="1" x14ac:dyDescent="0.25">
      <c r="A369" s="495" t="s">
        <v>898</v>
      </c>
      <c r="B369" s="692" t="s">
        <v>895</v>
      </c>
      <c r="C369" s="693"/>
      <c r="D369" s="693"/>
      <c r="E369" s="693"/>
      <c r="F369" s="693"/>
      <c r="G369" s="693" t="s">
        <v>896</v>
      </c>
      <c r="H369" s="693"/>
      <c r="I369" s="693"/>
      <c r="J369" s="693"/>
      <c r="K369" s="693" t="s">
        <v>2300</v>
      </c>
      <c r="L369" s="693"/>
      <c r="M369" s="693"/>
      <c r="N369" s="693"/>
      <c r="O369" s="694">
        <f>ROUND((1493100 + 22794 * 10.95) * 1 * 1.56 * 0.6 * 0.7, 2)</f>
        <v>1141813.31</v>
      </c>
      <c r="P369" s="693"/>
      <c r="Q369" s="494"/>
      <c r="R369" s="494"/>
      <c r="S369" s="494"/>
      <c r="T369" s="494"/>
      <c r="U369" s="494"/>
      <c r="V369" s="494"/>
      <c r="W369" s="494"/>
      <c r="X369" s="494"/>
      <c r="Y369" s="494"/>
      <c r="Z369" s="494"/>
      <c r="AA369" s="494"/>
      <c r="AB369" s="494"/>
      <c r="AC369" s="494"/>
      <c r="AD369" s="494"/>
      <c r="AE369" s="494"/>
      <c r="AF369" s="494"/>
      <c r="AG369" s="494"/>
      <c r="AH369" s="494"/>
      <c r="AI369" s="494"/>
      <c r="AJ369" s="494"/>
      <c r="AK369" s="494"/>
      <c r="AL369" s="494"/>
      <c r="AM369" s="494"/>
      <c r="AN369" s="494"/>
      <c r="AO369" s="494"/>
      <c r="AP369" s="494"/>
      <c r="AQ369" s="494"/>
      <c r="AR369" s="494"/>
      <c r="AS369" s="494"/>
      <c r="AT369" s="494"/>
      <c r="AU369" s="494"/>
      <c r="AV369" s="494"/>
      <c r="AW369" s="494"/>
      <c r="AX369" s="494"/>
    </row>
    <row r="370" spans="1:50" customFormat="1" x14ac:dyDescent="0.25">
      <c r="A370" s="496"/>
      <c r="B370" s="695" t="s">
        <v>564</v>
      </c>
      <c r="C370" s="695"/>
      <c r="D370" s="695"/>
      <c r="E370" s="695"/>
      <c r="F370" s="695"/>
      <c r="G370" s="695" t="s">
        <v>15</v>
      </c>
      <c r="H370" s="695"/>
      <c r="I370" s="695"/>
      <c r="J370" s="695"/>
      <c r="K370" s="695" t="s">
        <v>15</v>
      </c>
      <c r="L370" s="695"/>
      <c r="M370" s="695"/>
      <c r="N370" s="695"/>
      <c r="O370" s="695"/>
      <c r="P370" s="695"/>
      <c r="Q370" s="494"/>
      <c r="R370" s="494"/>
      <c r="S370" s="494"/>
      <c r="T370" s="494"/>
      <c r="U370" s="494"/>
      <c r="V370" s="494"/>
      <c r="W370" s="494"/>
      <c r="X370" s="494"/>
      <c r="Y370" s="494"/>
      <c r="Z370" s="494"/>
      <c r="AA370" s="494"/>
      <c r="AB370" s="494"/>
      <c r="AC370" s="494"/>
      <c r="AD370" s="494"/>
      <c r="AE370" s="494"/>
      <c r="AF370" s="494"/>
      <c r="AG370" s="494"/>
      <c r="AH370" s="494"/>
      <c r="AI370" s="494"/>
      <c r="AJ370" s="494"/>
      <c r="AK370" s="494"/>
      <c r="AL370" s="494"/>
      <c r="AM370" s="494"/>
      <c r="AN370" s="494"/>
      <c r="AO370" s="494"/>
      <c r="AP370" s="494"/>
      <c r="AQ370" s="494"/>
      <c r="AR370" s="494"/>
      <c r="AS370" s="494"/>
      <c r="AT370" s="494"/>
      <c r="AU370" s="494"/>
      <c r="AV370" s="494"/>
      <c r="AW370" s="494"/>
      <c r="AX370" s="494"/>
    </row>
    <row r="371" spans="1:50" customFormat="1" x14ac:dyDescent="0.25">
      <c r="A371" s="492"/>
      <c r="B371" s="687" t="s">
        <v>681</v>
      </c>
      <c r="C371" s="687"/>
      <c r="D371" s="687"/>
      <c r="E371" s="687"/>
      <c r="F371" s="687"/>
      <c r="G371" s="687" t="s">
        <v>682</v>
      </c>
      <c r="H371" s="687"/>
      <c r="I371" s="687"/>
      <c r="J371" s="687"/>
      <c r="K371" s="687" t="s">
        <v>15</v>
      </c>
      <c r="L371" s="687"/>
      <c r="M371" s="687"/>
      <c r="N371" s="687"/>
      <c r="O371" s="687"/>
      <c r="P371" s="687"/>
      <c r="Q371" s="494"/>
      <c r="R371" s="494"/>
      <c r="S371" s="494"/>
      <c r="T371" s="494"/>
      <c r="U371" s="494"/>
      <c r="V371" s="494"/>
      <c r="W371" s="494"/>
      <c r="X371" s="494"/>
      <c r="Y371" s="494"/>
      <c r="Z371" s="494"/>
      <c r="AA371" s="494"/>
      <c r="AB371" s="494"/>
      <c r="AC371" s="494"/>
      <c r="AD371" s="494"/>
      <c r="AE371" s="494"/>
      <c r="AF371" s="494"/>
      <c r="AG371" s="494"/>
      <c r="AH371" s="494"/>
      <c r="AI371" s="494"/>
      <c r="AJ371" s="494"/>
      <c r="AK371" s="494"/>
      <c r="AL371" s="494"/>
      <c r="AM371" s="494"/>
      <c r="AN371" s="494"/>
      <c r="AO371" s="494"/>
      <c r="AP371" s="494"/>
      <c r="AQ371" s="494"/>
      <c r="AR371" s="494"/>
      <c r="AS371" s="494"/>
      <c r="AT371" s="494"/>
      <c r="AU371" s="494"/>
      <c r="AV371" s="494"/>
      <c r="AW371" s="494"/>
      <c r="AX371" s="494"/>
    </row>
    <row r="372" spans="1:50" customFormat="1" ht="40.9" customHeight="1" x14ac:dyDescent="0.25">
      <c r="A372" s="492"/>
      <c r="B372" s="687" t="s">
        <v>683</v>
      </c>
      <c r="C372" s="687"/>
      <c r="D372" s="687"/>
      <c r="E372" s="687"/>
      <c r="F372" s="687"/>
      <c r="G372" s="687" t="s">
        <v>684</v>
      </c>
      <c r="H372" s="687"/>
      <c r="I372" s="687"/>
      <c r="J372" s="687"/>
      <c r="K372" s="687" t="s">
        <v>15</v>
      </c>
      <c r="L372" s="687"/>
      <c r="M372" s="687"/>
      <c r="N372" s="687"/>
      <c r="O372" s="687"/>
      <c r="P372" s="687"/>
      <c r="Q372" s="494"/>
      <c r="R372" s="494"/>
      <c r="S372" s="494"/>
      <c r="T372" s="494"/>
      <c r="U372" s="494"/>
      <c r="V372" s="494"/>
      <c r="W372" s="494"/>
      <c r="X372" s="494"/>
      <c r="Y372" s="494"/>
      <c r="Z372" s="494"/>
      <c r="AA372" s="494"/>
      <c r="AB372" s="494"/>
      <c r="AC372" s="494"/>
      <c r="AD372" s="494"/>
      <c r="AE372" s="494"/>
      <c r="AF372" s="494"/>
      <c r="AG372" s="494"/>
      <c r="AH372" s="494"/>
      <c r="AI372" s="494"/>
      <c r="AJ372" s="494"/>
      <c r="AK372" s="494"/>
      <c r="AL372" s="494"/>
      <c r="AM372" s="494"/>
      <c r="AN372" s="494"/>
      <c r="AO372" s="494"/>
      <c r="AP372" s="494"/>
      <c r="AQ372" s="494"/>
      <c r="AR372" s="494"/>
      <c r="AS372" s="494"/>
      <c r="AT372" s="494"/>
      <c r="AU372" s="494"/>
      <c r="AV372" s="494"/>
      <c r="AW372" s="494"/>
      <c r="AX372" s="494"/>
    </row>
    <row r="373" spans="1:50" customFormat="1" ht="27.2" customHeight="1" x14ac:dyDescent="0.25">
      <c r="A373" s="492"/>
      <c r="B373" s="687" t="s">
        <v>793</v>
      </c>
      <c r="C373" s="687"/>
      <c r="D373" s="687"/>
      <c r="E373" s="687"/>
      <c r="F373" s="687"/>
      <c r="G373" s="687" t="s">
        <v>2253</v>
      </c>
      <c r="H373" s="687"/>
      <c r="I373" s="687"/>
      <c r="J373" s="687"/>
      <c r="K373" s="687" t="s">
        <v>15</v>
      </c>
      <c r="L373" s="687"/>
      <c r="M373" s="687"/>
      <c r="N373" s="687"/>
      <c r="O373" s="687"/>
      <c r="P373" s="687"/>
      <c r="Q373" s="494"/>
      <c r="R373" s="494"/>
      <c r="S373" s="494"/>
      <c r="T373" s="494"/>
      <c r="U373" s="494"/>
      <c r="V373" s="494"/>
      <c r="W373" s="494"/>
      <c r="X373" s="494"/>
      <c r="Y373" s="494"/>
      <c r="Z373" s="494"/>
      <c r="AA373" s="494"/>
      <c r="AB373" s="494"/>
      <c r="AC373" s="494"/>
      <c r="AD373" s="494"/>
      <c r="AE373" s="494"/>
      <c r="AF373" s="494"/>
      <c r="AG373" s="494"/>
      <c r="AH373" s="494"/>
      <c r="AI373" s="494"/>
      <c r="AJ373" s="494"/>
      <c r="AK373" s="494"/>
      <c r="AL373" s="494"/>
      <c r="AM373" s="494"/>
      <c r="AN373" s="494"/>
      <c r="AO373" s="494"/>
      <c r="AP373" s="494"/>
      <c r="AQ373" s="494"/>
      <c r="AR373" s="494"/>
      <c r="AS373" s="494"/>
      <c r="AT373" s="494"/>
      <c r="AU373" s="494"/>
      <c r="AV373" s="494"/>
      <c r="AW373" s="494"/>
      <c r="AX373" s="494"/>
    </row>
    <row r="374" spans="1:50" customFormat="1" x14ac:dyDescent="0.25">
      <c r="A374" s="690" t="s">
        <v>899</v>
      </c>
      <c r="B374" s="690"/>
      <c r="C374" s="690"/>
      <c r="D374" s="690"/>
      <c r="E374" s="690"/>
      <c r="F374" s="690"/>
      <c r="G374" s="690"/>
      <c r="H374" s="690"/>
      <c r="I374" s="690"/>
      <c r="J374" s="690"/>
      <c r="K374" s="690"/>
      <c r="L374" s="690"/>
      <c r="M374" s="690"/>
      <c r="N374" s="690"/>
      <c r="O374" s="690"/>
      <c r="P374" s="690"/>
      <c r="Q374" s="494"/>
      <c r="R374" s="494"/>
      <c r="S374" s="494"/>
      <c r="T374" s="494"/>
      <c r="U374" s="494"/>
      <c r="V374" s="494"/>
      <c r="W374" s="494"/>
      <c r="X374" s="494"/>
      <c r="Y374" s="494"/>
      <c r="Z374" s="494"/>
      <c r="AA374" s="494"/>
      <c r="AB374" s="494"/>
      <c r="AC374" s="494"/>
      <c r="AD374" s="494"/>
      <c r="AE374" s="494"/>
      <c r="AF374" s="494"/>
      <c r="AG374" s="494"/>
      <c r="AH374" s="494"/>
      <c r="AI374" s="494"/>
      <c r="AJ374" s="494"/>
      <c r="AK374" s="494"/>
      <c r="AL374" s="494"/>
      <c r="AM374" s="494"/>
      <c r="AN374" s="494"/>
      <c r="AO374" s="494"/>
      <c r="AP374" s="494"/>
      <c r="AQ374" s="494"/>
      <c r="AR374" s="494"/>
      <c r="AS374" s="494"/>
      <c r="AT374" s="494"/>
      <c r="AU374" s="494"/>
      <c r="AV374" s="494"/>
      <c r="AW374" s="494"/>
      <c r="AX374" s="494"/>
    </row>
    <row r="375" spans="1:50" customFormat="1" ht="95.25" customHeight="1" x14ac:dyDescent="0.25">
      <c r="A375" s="495" t="s">
        <v>900</v>
      </c>
      <c r="B375" s="692" t="s">
        <v>901</v>
      </c>
      <c r="C375" s="693"/>
      <c r="D375" s="693"/>
      <c r="E375" s="693"/>
      <c r="F375" s="693"/>
      <c r="G375" s="693" t="s">
        <v>902</v>
      </c>
      <c r="H375" s="693"/>
      <c r="I375" s="693"/>
      <c r="J375" s="693"/>
      <c r="K375" s="693" t="s">
        <v>2301</v>
      </c>
      <c r="L375" s="693"/>
      <c r="M375" s="693"/>
      <c r="N375" s="693"/>
      <c r="O375" s="694">
        <f>ROUND(699900 * 1 * 1.56 * 0.6 * 0.7, 2)</f>
        <v>458574.48</v>
      </c>
      <c r="P375" s="693"/>
      <c r="Q375" s="494"/>
      <c r="R375" s="494"/>
      <c r="S375" s="494"/>
      <c r="T375" s="494"/>
      <c r="U375" s="494"/>
      <c r="V375" s="494"/>
      <c r="W375" s="494"/>
      <c r="X375" s="494"/>
      <c r="Y375" s="494"/>
      <c r="Z375" s="494"/>
      <c r="AA375" s="494"/>
      <c r="AB375" s="494"/>
      <c r="AC375" s="494"/>
      <c r="AD375" s="494"/>
      <c r="AE375" s="494"/>
      <c r="AF375" s="494"/>
      <c r="AG375" s="494"/>
      <c r="AH375" s="494"/>
      <c r="AI375" s="494"/>
      <c r="AJ375" s="494"/>
      <c r="AK375" s="494"/>
      <c r="AL375" s="494"/>
      <c r="AM375" s="494"/>
      <c r="AN375" s="494"/>
      <c r="AO375" s="494"/>
      <c r="AP375" s="494"/>
      <c r="AQ375" s="494"/>
      <c r="AR375" s="494"/>
      <c r="AS375" s="494"/>
      <c r="AT375" s="494"/>
      <c r="AU375" s="494"/>
      <c r="AV375" s="494"/>
      <c r="AW375" s="494"/>
      <c r="AX375" s="494"/>
    </row>
    <row r="376" spans="1:50" customFormat="1" x14ac:dyDescent="0.25">
      <c r="A376" s="496"/>
      <c r="B376" s="695" t="s">
        <v>564</v>
      </c>
      <c r="C376" s="695"/>
      <c r="D376" s="695"/>
      <c r="E376" s="695"/>
      <c r="F376" s="695"/>
      <c r="G376" s="695" t="s">
        <v>15</v>
      </c>
      <c r="H376" s="695"/>
      <c r="I376" s="695"/>
      <c r="J376" s="695"/>
      <c r="K376" s="695" t="s">
        <v>15</v>
      </c>
      <c r="L376" s="695"/>
      <c r="M376" s="695"/>
      <c r="N376" s="695"/>
      <c r="O376" s="695"/>
      <c r="P376" s="695"/>
      <c r="Q376" s="494"/>
      <c r="R376" s="494"/>
      <c r="S376" s="494"/>
      <c r="T376" s="494"/>
      <c r="U376" s="494"/>
      <c r="V376" s="494"/>
      <c r="W376" s="494"/>
      <c r="X376" s="494"/>
      <c r="Y376" s="494"/>
      <c r="Z376" s="494"/>
      <c r="AA376" s="494"/>
      <c r="AB376" s="494"/>
      <c r="AC376" s="494"/>
      <c r="AD376" s="494"/>
      <c r="AE376" s="494"/>
      <c r="AF376" s="494"/>
      <c r="AG376" s="494"/>
      <c r="AH376" s="494"/>
      <c r="AI376" s="494"/>
      <c r="AJ376" s="494"/>
      <c r="AK376" s="494"/>
      <c r="AL376" s="494"/>
      <c r="AM376" s="494"/>
      <c r="AN376" s="494"/>
      <c r="AO376" s="494"/>
      <c r="AP376" s="494"/>
      <c r="AQ376" s="494"/>
      <c r="AR376" s="494"/>
      <c r="AS376" s="494"/>
      <c r="AT376" s="494"/>
      <c r="AU376" s="494"/>
      <c r="AV376" s="494"/>
      <c r="AW376" s="494"/>
      <c r="AX376" s="494"/>
    </row>
    <row r="377" spans="1:50" customFormat="1" x14ac:dyDescent="0.25">
      <c r="A377" s="492"/>
      <c r="B377" s="687" t="s">
        <v>681</v>
      </c>
      <c r="C377" s="687"/>
      <c r="D377" s="687"/>
      <c r="E377" s="687"/>
      <c r="F377" s="687"/>
      <c r="G377" s="687" t="s">
        <v>682</v>
      </c>
      <c r="H377" s="687"/>
      <c r="I377" s="687"/>
      <c r="J377" s="687"/>
      <c r="K377" s="687" t="s">
        <v>15</v>
      </c>
      <c r="L377" s="687"/>
      <c r="M377" s="687"/>
      <c r="N377" s="687"/>
      <c r="O377" s="687"/>
      <c r="P377" s="687"/>
      <c r="Q377" s="494"/>
      <c r="R377" s="494"/>
      <c r="S377" s="494"/>
      <c r="T377" s="494"/>
      <c r="U377" s="494"/>
      <c r="V377" s="494"/>
      <c r="W377" s="494"/>
      <c r="X377" s="494"/>
      <c r="Y377" s="494"/>
      <c r="Z377" s="494"/>
      <c r="AA377" s="494"/>
      <c r="AB377" s="494"/>
      <c r="AC377" s="494"/>
      <c r="AD377" s="494"/>
      <c r="AE377" s="494"/>
      <c r="AF377" s="494"/>
      <c r="AG377" s="494"/>
      <c r="AH377" s="494"/>
      <c r="AI377" s="494"/>
      <c r="AJ377" s="494"/>
      <c r="AK377" s="494"/>
      <c r="AL377" s="494"/>
      <c r="AM377" s="494"/>
      <c r="AN377" s="494"/>
      <c r="AO377" s="494"/>
      <c r="AP377" s="494"/>
      <c r="AQ377" s="494"/>
      <c r="AR377" s="494"/>
      <c r="AS377" s="494"/>
      <c r="AT377" s="494"/>
      <c r="AU377" s="494"/>
      <c r="AV377" s="494"/>
      <c r="AW377" s="494"/>
      <c r="AX377" s="494"/>
    </row>
    <row r="378" spans="1:50" customFormat="1" ht="40.9" customHeight="1" x14ac:dyDescent="0.25">
      <c r="A378" s="492"/>
      <c r="B378" s="687" t="s">
        <v>683</v>
      </c>
      <c r="C378" s="687"/>
      <c r="D378" s="687"/>
      <c r="E378" s="687"/>
      <c r="F378" s="687"/>
      <c r="G378" s="687" t="s">
        <v>684</v>
      </c>
      <c r="H378" s="687"/>
      <c r="I378" s="687"/>
      <c r="J378" s="687"/>
      <c r="K378" s="687" t="s">
        <v>15</v>
      </c>
      <c r="L378" s="687"/>
      <c r="M378" s="687"/>
      <c r="N378" s="687"/>
      <c r="O378" s="687"/>
      <c r="P378" s="687"/>
      <c r="Q378" s="494"/>
      <c r="R378" s="494"/>
      <c r="S378" s="494"/>
      <c r="T378" s="494"/>
      <c r="U378" s="494"/>
      <c r="V378" s="494"/>
      <c r="W378" s="494"/>
      <c r="X378" s="494"/>
      <c r="Y378" s="494"/>
      <c r="Z378" s="494"/>
      <c r="AA378" s="494"/>
      <c r="AB378" s="494"/>
      <c r="AC378" s="494"/>
      <c r="AD378" s="494"/>
      <c r="AE378" s="494"/>
      <c r="AF378" s="494"/>
      <c r="AG378" s="494"/>
      <c r="AH378" s="494"/>
      <c r="AI378" s="494"/>
      <c r="AJ378" s="494"/>
      <c r="AK378" s="494"/>
      <c r="AL378" s="494"/>
      <c r="AM378" s="494"/>
      <c r="AN378" s="494"/>
      <c r="AO378" s="494"/>
      <c r="AP378" s="494"/>
      <c r="AQ378" s="494"/>
      <c r="AR378" s="494"/>
      <c r="AS378" s="494"/>
      <c r="AT378" s="494"/>
      <c r="AU378" s="494"/>
      <c r="AV378" s="494"/>
      <c r="AW378" s="494"/>
      <c r="AX378" s="494"/>
    </row>
    <row r="379" spans="1:50" customFormat="1" ht="27.2" customHeight="1" x14ac:dyDescent="0.25">
      <c r="A379" s="492"/>
      <c r="B379" s="687" t="s">
        <v>793</v>
      </c>
      <c r="C379" s="687"/>
      <c r="D379" s="687"/>
      <c r="E379" s="687"/>
      <c r="F379" s="687"/>
      <c r="G379" s="687" t="s">
        <v>2253</v>
      </c>
      <c r="H379" s="687"/>
      <c r="I379" s="687"/>
      <c r="J379" s="687"/>
      <c r="K379" s="687" t="s">
        <v>15</v>
      </c>
      <c r="L379" s="687"/>
      <c r="M379" s="687"/>
      <c r="N379" s="687"/>
      <c r="O379" s="687"/>
      <c r="P379" s="687"/>
      <c r="Q379" s="494"/>
      <c r="R379" s="494"/>
      <c r="S379" s="494"/>
      <c r="T379" s="494"/>
      <c r="U379" s="494"/>
      <c r="V379" s="494"/>
      <c r="W379" s="494"/>
      <c r="X379" s="494"/>
      <c r="Y379" s="494"/>
      <c r="Z379" s="494"/>
      <c r="AA379" s="494"/>
      <c r="AB379" s="494"/>
      <c r="AC379" s="494"/>
      <c r="AD379" s="494"/>
      <c r="AE379" s="494"/>
      <c r="AF379" s="494"/>
      <c r="AG379" s="494"/>
      <c r="AH379" s="494"/>
      <c r="AI379" s="494"/>
      <c r="AJ379" s="494"/>
      <c r="AK379" s="494"/>
      <c r="AL379" s="494"/>
      <c r="AM379" s="494"/>
      <c r="AN379" s="494"/>
      <c r="AO379" s="494"/>
      <c r="AP379" s="494"/>
      <c r="AQ379" s="494"/>
      <c r="AR379" s="494"/>
      <c r="AS379" s="494"/>
      <c r="AT379" s="494"/>
      <c r="AU379" s="494"/>
      <c r="AV379" s="494"/>
      <c r="AW379" s="494"/>
      <c r="AX379" s="494"/>
    </row>
    <row r="380" spans="1:50" customFormat="1" x14ac:dyDescent="0.25">
      <c r="A380" s="690" t="s">
        <v>903</v>
      </c>
      <c r="B380" s="690"/>
      <c r="C380" s="690"/>
      <c r="D380" s="690"/>
      <c r="E380" s="690"/>
      <c r="F380" s="690"/>
      <c r="G380" s="690"/>
      <c r="H380" s="690"/>
      <c r="I380" s="690"/>
      <c r="J380" s="690"/>
      <c r="K380" s="690"/>
      <c r="L380" s="690"/>
      <c r="M380" s="690"/>
      <c r="N380" s="690"/>
      <c r="O380" s="690"/>
      <c r="P380" s="690"/>
      <c r="Q380" s="494"/>
      <c r="R380" s="494"/>
      <c r="S380" s="494"/>
      <c r="T380" s="494"/>
      <c r="U380" s="494"/>
      <c r="V380" s="494"/>
      <c r="W380" s="494"/>
      <c r="X380" s="494"/>
      <c r="Y380" s="494"/>
      <c r="Z380" s="494"/>
      <c r="AA380" s="494"/>
      <c r="AB380" s="494"/>
      <c r="AC380" s="494"/>
      <c r="AD380" s="494"/>
      <c r="AE380" s="494"/>
      <c r="AF380" s="494"/>
      <c r="AG380" s="494"/>
      <c r="AH380" s="494"/>
      <c r="AI380" s="494"/>
      <c r="AJ380" s="494"/>
      <c r="AK380" s="494"/>
      <c r="AL380" s="494"/>
      <c r="AM380" s="494"/>
      <c r="AN380" s="494"/>
      <c r="AO380" s="494"/>
      <c r="AP380" s="494"/>
      <c r="AQ380" s="494"/>
      <c r="AR380" s="494"/>
      <c r="AS380" s="494"/>
      <c r="AT380" s="494"/>
      <c r="AU380" s="494"/>
      <c r="AV380" s="494"/>
      <c r="AW380" s="494"/>
      <c r="AX380" s="494"/>
    </row>
    <row r="381" spans="1:50" customFormat="1" ht="122.45" customHeight="1" x14ac:dyDescent="0.25">
      <c r="A381" s="495" t="s">
        <v>904</v>
      </c>
      <c r="B381" s="692" t="s">
        <v>796</v>
      </c>
      <c r="C381" s="693"/>
      <c r="D381" s="693"/>
      <c r="E381" s="693"/>
      <c r="F381" s="693"/>
      <c r="G381" s="693" t="s">
        <v>905</v>
      </c>
      <c r="H381" s="693"/>
      <c r="I381" s="693"/>
      <c r="J381" s="693"/>
      <c r="K381" s="693" t="s">
        <v>2302</v>
      </c>
      <c r="L381" s="693"/>
      <c r="M381" s="693"/>
      <c r="N381" s="693"/>
      <c r="O381" s="694">
        <f>ROUND((467700 + 398 * 100) * 1 * 1.56 * 0.6 * 0.7, 2)</f>
        <v>332514</v>
      </c>
      <c r="P381" s="693"/>
      <c r="Q381" s="494"/>
      <c r="R381" s="494"/>
      <c r="S381" s="494"/>
      <c r="T381" s="494"/>
      <c r="U381" s="494"/>
      <c r="V381" s="494"/>
      <c r="W381" s="494"/>
      <c r="X381" s="494"/>
      <c r="Y381" s="494"/>
      <c r="Z381" s="494"/>
      <c r="AA381" s="494"/>
      <c r="AB381" s="494"/>
      <c r="AC381" s="494"/>
      <c r="AD381" s="494"/>
      <c r="AE381" s="494"/>
      <c r="AF381" s="494"/>
      <c r="AG381" s="494"/>
      <c r="AH381" s="494"/>
      <c r="AI381" s="494"/>
      <c r="AJ381" s="494"/>
      <c r="AK381" s="494"/>
      <c r="AL381" s="494"/>
      <c r="AM381" s="494"/>
      <c r="AN381" s="494"/>
      <c r="AO381" s="494"/>
      <c r="AP381" s="494"/>
      <c r="AQ381" s="494"/>
      <c r="AR381" s="494"/>
      <c r="AS381" s="494"/>
      <c r="AT381" s="494"/>
      <c r="AU381" s="494"/>
      <c r="AV381" s="494"/>
      <c r="AW381" s="494"/>
      <c r="AX381" s="494"/>
    </row>
    <row r="382" spans="1:50" customFormat="1" x14ac:dyDescent="0.25">
      <c r="A382" s="496"/>
      <c r="B382" s="695" t="s">
        <v>564</v>
      </c>
      <c r="C382" s="695"/>
      <c r="D382" s="695"/>
      <c r="E382" s="695"/>
      <c r="F382" s="695"/>
      <c r="G382" s="695" t="s">
        <v>15</v>
      </c>
      <c r="H382" s="695"/>
      <c r="I382" s="695"/>
      <c r="J382" s="695"/>
      <c r="K382" s="695" t="s">
        <v>15</v>
      </c>
      <c r="L382" s="695"/>
      <c r="M382" s="695"/>
      <c r="N382" s="695"/>
      <c r="O382" s="695"/>
      <c r="P382" s="695"/>
      <c r="Q382" s="494"/>
      <c r="R382" s="494"/>
      <c r="S382" s="494"/>
      <c r="T382" s="494"/>
      <c r="U382" s="494"/>
      <c r="V382" s="494"/>
      <c r="W382" s="494"/>
      <c r="X382" s="494"/>
      <c r="Y382" s="494"/>
      <c r="Z382" s="494"/>
      <c r="AA382" s="494"/>
      <c r="AB382" s="494"/>
      <c r="AC382" s="494"/>
      <c r="AD382" s="494"/>
      <c r="AE382" s="494"/>
      <c r="AF382" s="494"/>
      <c r="AG382" s="494"/>
      <c r="AH382" s="494"/>
      <c r="AI382" s="494"/>
      <c r="AJ382" s="494"/>
      <c r="AK382" s="494"/>
      <c r="AL382" s="494"/>
      <c r="AM382" s="494"/>
      <c r="AN382" s="494"/>
      <c r="AO382" s="494"/>
      <c r="AP382" s="494"/>
      <c r="AQ382" s="494"/>
      <c r="AR382" s="494"/>
      <c r="AS382" s="494"/>
      <c r="AT382" s="494"/>
      <c r="AU382" s="494"/>
      <c r="AV382" s="494"/>
      <c r="AW382" s="494"/>
      <c r="AX382" s="494"/>
    </row>
    <row r="383" spans="1:50" customFormat="1" x14ac:dyDescent="0.25">
      <c r="A383" s="492"/>
      <c r="B383" s="687" t="s">
        <v>681</v>
      </c>
      <c r="C383" s="687"/>
      <c r="D383" s="687"/>
      <c r="E383" s="687"/>
      <c r="F383" s="687"/>
      <c r="G383" s="687" t="s">
        <v>682</v>
      </c>
      <c r="H383" s="687"/>
      <c r="I383" s="687"/>
      <c r="J383" s="687"/>
      <c r="K383" s="687" t="s">
        <v>15</v>
      </c>
      <c r="L383" s="687"/>
      <c r="M383" s="687"/>
      <c r="N383" s="687"/>
      <c r="O383" s="687"/>
      <c r="P383" s="687"/>
      <c r="Q383" s="494"/>
      <c r="R383" s="494"/>
      <c r="S383" s="494"/>
      <c r="T383" s="494"/>
      <c r="U383" s="494"/>
      <c r="V383" s="494"/>
      <c r="W383" s="494"/>
      <c r="X383" s="494"/>
      <c r="Y383" s="494"/>
      <c r="Z383" s="494"/>
      <c r="AA383" s="494"/>
      <c r="AB383" s="494"/>
      <c r="AC383" s="494"/>
      <c r="AD383" s="494"/>
      <c r="AE383" s="494"/>
      <c r="AF383" s="494"/>
      <c r="AG383" s="494"/>
      <c r="AH383" s="494"/>
      <c r="AI383" s="494"/>
      <c r="AJ383" s="494"/>
      <c r="AK383" s="494"/>
      <c r="AL383" s="494"/>
      <c r="AM383" s="494"/>
      <c r="AN383" s="494"/>
      <c r="AO383" s="494"/>
      <c r="AP383" s="494"/>
      <c r="AQ383" s="494"/>
      <c r="AR383" s="494"/>
      <c r="AS383" s="494"/>
      <c r="AT383" s="494"/>
      <c r="AU383" s="494"/>
      <c r="AV383" s="494"/>
      <c r="AW383" s="494"/>
      <c r="AX383" s="494"/>
    </row>
    <row r="384" spans="1:50" customFormat="1" ht="40.9" customHeight="1" x14ac:dyDescent="0.25">
      <c r="A384" s="492"/>
      <c r="B384" s="687" t="s">
        <v>683</v>
      </c>
      <c r="C384" s="687"/>
      <c r="D384" s="687"/>
      <c r="E384" s="687"/>
      <c r="F384" s="687"/>
      <c r="G384" s="687" t="s">
        <v>684</v>
      </c>
      <c r="H384" s="687"/>
      <c r="I384" s="687"/>
      <c r="J384" s="687"/>
      <c r="K384" s="687" t="s">
        <v>15</v>
      </c>
      <c r="L384" s="687"/>
      <c r="M384" s="687"/>
      <c r="N384" s="687"/>
      <c r="O384" s="687"/>
      <c r="P384" s="687"/>
      <c r="Q384" s="494"/>
      <c r="R384" s="494"/>
      <c r="S384" s="494"/>
      <c r="T384" s="494"/>
      <c r="U384" s="494"/>
      <c r="V384" s="494"/>
      <c r="W384" s="494"/>
      <c r="X384" s="494"/>
      <c r="Y384" s="494"/>
      <c r="Z384" s="494"/>
      <c r="AA384" s="494"/>
      <c r="AB384" s="494"/>
      <c r="AC384" s="494"/>
      <c r="AD384" s="494"/>
      <c r="AE384" s="494"/>
      <c r="AF384" s="494"/>
      <c r="AG384" s="494"/>
      <c r="AH384" s="494"/>
      <c r="AI384" s="494"/>
      <c r="AJ384" s="494"/>
      <c r="AK384" s="494"/>
      <c r="AL384" s="494"/>
      <c r="AM384" s="494"/>
      <c r="AN384" s="494"/>
      <c r="AO384" s="494"/>
      <c r="AP384" s="494"/>
      <c r="AQ384" s="494"/>
      <c r="AR384" s="494"/>
      <c r="AS384" s="494"/>
      <c r="AT384" s="494"/>
      <c r="AU384" s="494"/>
      <c r="AV384" s="494"/>
      <c r="AW384" s="494"/>
      <c r="AX384" s="494"/>
    </row>
    <row r="385" spans="1:50" customFormat="1" ht="27.2" customHeight="1" x14ac:dyDescent="0.25">
      <c r="A385" s="492"/>
      <c r="B385" s="687" t="s">
        <v>793</v>
      </c>
      <c r="C385" s="687"/>
      <c r="D385" s="687"/>
      <c r="E385" s="687"/>
      <c r="F385" s="687"/>
      <c r="G385" s="687" t="s">
        <v>2253</v>
      </c>
      <c r="H385" s="687"/>
      <c r="I385" s="687"/>
      <c r="J385" s="687"/>
      <c r="K385" s="687" t="s">
        <v>15</v>
      </c>
      <c r="L385" s="687"/>
      <c r="M385" s="687"/>
      <c r="N385" s="687"/>
      <c r="O385" s="687"/>
      <c r="P385" s="687"/>
      <c r="Q385" s="494"/>
      <c r="R385" s="494"/>
      <c r="S385" s="494"/>
      <c r="T385" s="494"/>
      <c r="U385" s="494"/>
      <c r="V385" s="494"/>
      <c r="W385" s="494"/>
      <c r="X385" s="494"/>
      <c r="Y385" s="494"/>
      <c r="Z385" s="494"/>
      <c r="AA385" s="494"/>
      <c r="AB385" s="494"/>
      <c r="AC385" s="494"/>
      <c r="AD385" s="494"/>
      <c r="AE385" s="494"/>
      <c r="AF385" s="494"/>
      <c r="AG385" s="494"/>
      <c r="AH385" s="494"/>
      <c r="AI385" s="494"/>
      <c r="AJ385" s="494"/>
      <c r="AK385" s="494"/>
      <c r="AL385" s="494"/>
      <c r="AM385" s="494"/>
      <c r="AN385" s="494"/>
      <c r="AO385" s="494"/>
      <c r="AP385" s="494"/>
      <c r="AQ385" s="494"/>
      <c r="AR385" s="494"/>
      <c r="AS385" s="494"/>
      <c r="AT385" s="494"/>
      <c r="AU385" s="494"/>
      <c r="AV385" s="494"/>
      <c r="AW385" s="494"/>
      <c r="AX385" s="494"/>
    </row>
    <row r="386" spans="1:50" customFormat="1" x14ac:dyDescent="0.25">
      <c r="A386" s="690" t="s">
        <v>906</v>
      </c>
      <c r="B386" s="690"/>
      <c r="C386" s="690"/>
      <c r="D386" s="690"/>
      <c r="E386" s="690"/>
      <c r="F386" s="690"/>
      <c r="G386" s="690"/>
      <c r="H386" s="690"/>
      <c r="I386" s="690"/>
      <c r="J386" s="690"/>
      <c r="K386" s="690"/>
      <c r="L386" s="690"/>
      <c r="M386" s="690"/>
      <c r="N386" s="690"/>
      <c r="O386" s="690"/>
      <c r="P386" s="690"/>
      <c r="Q386" s="494"/>
      <c r="R386" s="494"/>
      <c r="S386" s="494"/>
      <c r="T386" s="494"/>
      <c r="U386" s="494"/>
      <c r="V386" s="494"/>
      <c r="W386" s="494"/>
      <c r="X386" s="494"/>
      <c r="Y386" s="494"/>
      <c r="Z386" s="494"/>
      <c r="AA386" s="494"/>
      <c r="AB386" s="494"/>
      <c r="AC386" s="494"/>
      <c r="AD386" s="494"/>
      <c r="AE386" s="494"/>
      <c r="AF386" s="494"/>
      <c r="AG386" s="494"/>
      <c r="AH386" s="494"/>
      <c r="AI386" s="494"/>
      <c r="AJ386" s="494"/>
      <c r="AK386" s="494"/>
      <c r="AL386" s="494"/>
      <c r="AM386" s="494"/>
      <c r="AN386" s="494"/>
      <c r="AO386" s="494"/>
      <c r="AP386" s="494"/>
      <c r="AQ386" s="494"/>
      <c r="AR386" s="494"/>
      <c r="AS386" s="494"/>
      <c r="AT386" s="494"/>
      <c r="AU386" s="494"/>
      <c r="AV386" s="494"/>
      <c r="AW386" s="494"/>
      <c r="AX386" s="494"/>
    </row>
    <row r="387" spans="1:50" customFormat="1" ht="95.25" customHeight="1" x14ac:dyDescent="0.25">
      <c r="A387" s="495" t="s">
        <v>907</v>
      </c>
      <c r="B387" s="692" t="s">
        <v>901</v>
      </c>
      <c r="C387" s="693"/>
      <c r="D387" s="693"/>
      <c r="E387" s="693"/>
      <c r="F387" s="693"/>
      <c r="G387" s="693" t="s">
        <v>902</v>
      </c>
      <c r="H387" s="693"/>
      <c r="I387" s="693"/>
      <c r="J387" s="693"/>
      <c r="K387" s="693" t="s">
        <v>2301</v>
      </c>
      <c r="L387" s="693"/>
      <c r="M387" s="693"/>
      <c r="N387" s="693"/>
      <c r="O387" s="694">
        <f>ROUND(699900 * 1 * 1.56 * 0.6 * 0.7, 2)</f>
        <v>458574.48</v>
      </c>
      <c r="P387" s="693"/>
      <c r="Q387" s="494"/>
      <c r="R387" s="494"/>
      <c r="S387" s="494"/>
      <c r="T387" s="494"/>
      <c r="U387" s="494"/>
      <c r="V387" s="494"/>
      <c r="W387" s="494"/>
      <c r="X387" s="494"/>
      <c r="Y387" s="494"/>
      <c r="Z387" s="494"/>
      <c r="AA387" s="494"/>
      <c r="AB387" s="494"/>
      <c r="AC387" s="494"/>
      <c r="AD387" s="494"/>
      <c r="AE387" s="494"/>
      <c r="AF387" s="494"/>
      <c r="AG387" s="494"/>
      <c r="AH387" s="494"/>
      <c r="AI387" s="494"/>
      <c r="AJ387" s="494"/>
      <c r="AK387" s="494"/>
      <c r="AL387" s="494"/>
      <c r="AM387" s="494"/>
      <c r="AN387" s="494"/>
      <c r="AO387" s="494"/>
      <c r="AP387" s="494"/>
      <c r="AQ387" s="494"/>
      <c r="AR387" s="494"/>
      <c r="AS387" s="494"/>
      <c r="AT387" s="494"/>
      <c r="AU387" s="494"/>
      <c r="AV387" s="494"/>
      <c r="AW387" s="494"/>
      <c r="AX387" s="494"/>
    </row>
    <row r="388" spans="1:50" customFormat="1" x14ac:dyDescent="0.25">
      <c r="A388" s="496"/>
      <c r="B388" s="695" t="s">
        <v>564</v>
      </c>
      <c r="C388" s="695"/>
      <c r="D388" s="695"/>
      <c r="E388" s="695"/>
      <c r="F388" s="695"/>
      <c r="G388" s="695" t="s">
        <v>15</v>
      </c>
      <c r="H388" s="695"/>
      <c r="I388" s="695"/>
      <c r="J388" s="695"/>
      <c r="K388" s="695" t="s">
        <v>15</v>
      </c>
      <c r="L388" s="695"/>
      <c r="M388" s="695"/>
      <c r="N388" s="695"/>
      <c r="O388" s="695"/>
      <c r="P388" s="695"/>
      <c r="Q388" s="494"/>
      <c r="R388" s="494"/>
      <c r="S388" s="494"/>
      <c r="T388" s="494"/>
      <c r="U388" s="494"/>
      <c r="V388" s="494"/>
      <c r="W388" s="494"/>
      <c r="X388" s="494"/>
      <c r="Y388" s="494"/>
      <c r="Z388" s="494"/>
      <c r="AA388" s="494"/>
      <c r="AB388" s="494"/>
      <c r="AC388" s="494"/>
      <c r="AD388" s="494"/>
      <c r="AE388" s="494"/>
      <c r="AF388" s="494"/>
      <c r="AG388" s="494"/>
      <c r="AH388" s="494"/>
      <c r="AI388" s="494"/>
      <c r="AJ388" s="494"/>
      <c r="AK388" s="494"/>
      <c r="AL388" s="494"/>
      <c r="AM388" s="494"/>
      <c r="AN388" s="494"/>
      <c r="AO388" s="494"/>
      <c r="AP388" s="494"/>
      <c r="AQ388" s="494"/>
      <c r="AR388" s="494"/>
      <c r="AS388" s="494"/>
      <c r="AT388" s="494"/>
      <c r="AU388" s="494"/>
      <c r="AV388" s="494"/>
      <c r="AW388" s="494"/>
      <c r="AX388" s="494"/>
    </row>
    <row r="389" spans="1:50" customFormat="1" x14ac:dyDescent="0.25">
      <c r="A389" s="492"/>
      <c r="B389" s="687" t="s">
        <v>681</v>
      </c>
      <c r="C389" s="687"/>
      <c r="D389" s="687"/>
      <c r="E389" s="687"/>
      <c r="F389" s="687"/>
      <c r="G389" s="687" t="s">
        <v>682</v>
      </c>
      <c r="H389" s="687"/>
      <c r="I389" s="687"/>
      <c r="J389" s="687"/>
      <c r="K389" s="687" t="s">
        <v>15</v>
      </c>
      <c r="L389" s="687"/>
      <c r="M389" s="687"/>
      <c r="N389" s="687"/>
      <c r="O389" s="687"/>
      <c r="P389" s="687"/>
      <c r="Q389" s="494"/>
      <c r="R389" s="494"/>
      <c r="S389" s="494"/>
      <c r="T389" s="494"/>
      <c r="U389" s="494"/>
      <c r="V389" s="494"/>
      <c r="W389" s="494"/>
      <c r="X389" s="494"/>
      <c r="Y389" s="494"/>
      <c r="Z389" s="494"/>
      <c r="AA389" s="494"/>
      <c r="AB389" s="494"/>
      <c r="AC389" s="494"/>
      <c r="AD389" s="494"/>
      <c r="AE389" s="494"/>
      <c r="AF389" s="494"/>
      <c r="AG389" s="494"/>
      <c r="AH389" s="494"/>
      <c r="AI389" s="494"/>
      <c r="AJ389" s="494"/>
      <c r="AK389" s="494"/>
      <c r="AL389" s="494"/>
      <c r="AM389" s="494"/>
      <c r="AN389" s="494"/>
      <c r="AO389" s="494"/>
      <c r="AP389" s="494"/>
      <c r="AQ389" s="494"/>
      <c r="AR389" s="494"/>
      <c r="AS389" s="494"/>
      <c r="AT389" s="494"/>
      <c r="AU389" s="494"/>
      <c r="AV389" s="494"/>
      <c r="AW389" s="494"/>
      <c r="AX389" s="494"/>
    </row>
    <row r="390" spans="1:50" customFormat="1" ht="40.9" customHeight="1" x14ac:dyDescent="0.25">
      <c r="A390" s="492"/>
      <c r="B390" s="687" t="s">
        <v>683</v>
      </c>
      <c r="C390" s="687"/>
      <c r="D390" s="687"/>
      <c r="E390" s="687"/>
      <c r="F390" s="687"/>
      <c r="G390" s="687" t="s">
        <v>684</v>
      </c>
      <c r="H390" s="687"/>
      <c r="I390" s="687"/>
      <c r="J390" s="687"/>
      <c r="K390" s="687" t="s">
        <v>15</v>
      </c>
      <c r="L390" s="687"/>
      <c r="M390" s="687"/>
      <c r="N390" s="687"/>
      <c r="O390" s="687"/>
      <c r="P390" s="687"/>
      <c r="Q390" s="494"/>
      <c r="R390" s="494"/>
      <c r="S390" s="494"/>
      <c r="T390" s="494"/>
      <c r="U390" s="494"/>
      <c r="V390" s="494"/>
      <c r="W390" s="494"/>
      <c r="X390" s="494"/>
      <c r="Y390" s="494"/>
      <c r="Z390" s="494"/>
      <c r="AA390" s="494"/>
      <c r="AB390" s="494"/>
      <c r="AC390" s="494"/>
      <c r="AD390" s="494"/>
      <c r="AE390" s="494"/>
      <c r="AF390" s="494"/>
      <c r="AG390" s="494"/>
      <c r="AH390" s="494"/>
      <c r="AI390" s="494"/>
      <c r="AJ390" s="494"/>
      <c r="AK390" s="494"/>
      <c r="AL390" s="494"/>
      <c r="AM390" s="494"/>
      <c r="AN390" s="494"/>
      <c r="AO390" s="494"/>
      <c r="AP390" s="494"/>
      <c r="AQ390" s="494"/>
      <c r="AR390" s="494"/>
      <c r="AS390" s="494"/>
      <c r="AT390" s="494"/>
      <c r="AU390" s="494"/>
      <c r="AV390" s="494"/>
      <c r="AW390" s="494"/>
      <c r="AX390" s="494"/>
    </row>
    <row r="391" spans="1:50" customFormat="1" ht="27.2" customHeight="1" x14ac:dyDescent="0.25">
      <c r="A391" s="492"/>
      <c r="B391" s="687" t="s">
        <v>793</v>
      </c>
      <c r="C391" s="687"/>
      <c r="D391" s="687"/>
      <c r="E391" s="687"/>
      <c r="F391" s="687"/>
      <c r="G391" s="687" t="s">
        <v>2253</v>
      </c>
      <c r="H391" s="687"/>
      <c r="I391" s="687"/>
      <c r="J391" s="687"/>
      <c r="K391" s="687" t="s">
        <v>15</v>
      </c>
      <c r="L391" s="687"/>
      <c r="M391" s="687"/>
      <c r="N391" s="687"/>
      <c r="O391" s="687"/>
      <c r="P391" s="687"/>
      <c r="Q391" s="494"/>
      <c r="R391" s="494"/>
      <c r="S391" s="494"/>
      <c r="T391" s="494"/>
      <c r="U391" s="494"/>
      <c r="V391" s="494"/>
      <c r="W391" s="494"/>
      <c r="X391" s="494"/>
      <c r="Y391" s="494"/>
      <c r="Z391" s="494"/>
      <c r="AA391" s="494"/>
      <c r="AB391" s="494"/>
      <c r="AC391" s="494"/>
      <c r="AD391" s="494"/>
      <c r="AE391" s="494"/>
      <c r="AF391" s="494"/>
      <c r="AG391" s="494"/>
      <c r="AH391" s="494"/>
      <c r="AI391" s="494"/>
      <c r="AJ391" s="494"/>
      <c r="AK391" s="494"/>
      <c r="AL391" s="494"/>
      <c r="AM391" s="494"/>
      <c r="AN391" s="494"/>
      <c r="AO391" s="494"/>
      <c r="AP391" s="494"/>
      <c r="AQ391" s="494"/>
      <c r="AR391" s="494"/>
      <c r="AS391" s="494"/>
      <c r="AT391" s="494"/>
      <c r="AU391" s="494"/>
      <c r="AV391" s="494"/>
      <c r="AW391" s="494"/>
      <c r="AX391" s="494"/>
    </row>
    <row r="392" spans="1:50" customFormat="1" x14ac:dyDescent="0.25">
      <c r="A392" s="690" t="s">
        <v>908</v>
      </c>
      <c r="B392" s="690"/>
      <c r="C392" s="690"/>
      <c r="D392" s="690"/>
      <c r="E392" s="690"/>
      <c r="F392" s="690"/>
      <c r="G392" s="690"/>
      <c r="H392" s="690"/>
      <c r="I392" s="690"/>
      <c r="J392" s="690"/>
      <c r="K392" s="690"/>
      <c r="L392" s="690"/>
      <c r="M392" s="690"/>
      <c r="N392" s="690"/>
      <c r="O392" s="690"/>
      <c r="P392" s="690"/>
      <c r="Q392" s="494"/>
      <c r="R392" s="494"/>
      <c r="S392" s="494"/>
      <c r="T392" s="494"/>
      <c r="U392" s="494"/>
      <c r="V392" s="494"/>
      <c r="W392" s="494"/>
      <c r="X392" s="494"/>
      <c r="Y392" s="494"/>
      <c r="Z392" s="494"/>
      <c r="AA392" s="494"/>
      <c r="AB392" s="494"/>
      <c r="AC392" s="494"/>
      <c r="AD392" s="494"/>
      <c r="AE392" s="494"/>
      <c r="AF392" s="494"/>
      <c r="AG392" s="494"/>
      <c r="AH392" s="494"/>
      <c r="AI392" s="494"/>
      <c r="AJ392" s="494"/>
      <c r="AK392" s="494"/>
      <c r="AL392" s="494"/>
      <c r="AM392" s="494"/>
      <c r="AN392" s="494"/>
      <c r="AO392" s="494"/>
      <c r="AP392" s="494"/>
      <c r="AQ392" s="494"/>
      <c r="AR392" s="494"/>
      <c r="AS392" s="494"/>
      <c r="AT392" s="494"/>
      <c r="AU392" s="494"/>
      <c r="AV392" s="494"/>
      <c r="AW392" s="494"/>
      <c r="AX392" s="494"/>
    </row>
    <row r="393" spans="1:50" customFormat="1" ht="135.94999999999999" customHeight="1" x14ac:dyDescent="0.25">
      <c r="A393" s="495" t="s">
        <v>909</v>
      </c>
      <c r="B393" s="692" t="s">
        <v>910</v>
      </c>
      <c r="C393" s="693"/>
      <c r="D393" s="693"/>
      <c r="E393" s="693"/>
      <c r="F393" s="693"/>
      <c r="G393" s="693" t="s">
        <v>911</v>
      </c>
      <c r="H393" s="693"/>
      <c r="I393" s="693"/>
      <c r="J393" s="693"/>
      <c r="K393" s="693" t="s">
        <v>2303</v>
      </c>
      <c r="L393" s="693"/>
      <c r="M393" s="693"/>
      <c r="N393" s="693"/>
      <c r="O393" s="694">
        <f>ROUND((114100 + 19581 * (0.4 * 200 + 0.6 * 1000)) * 1 * 1.56 * 0.6 * 0.7, 2)</f>
        <v>8798798.7400000002</v>
      </c>
      <c r="P393" s="693"/>
      <c r="Q393" s="494"/>
      <c r="R393" s="494"/>
      <c r="S393" s="494"/>
      <c r="T393" s="494"/>
      <c r="U393" s="494"/>
      <c r="V393" s="494"/>
      <c r="W393" s="494"/>
      <c r="X393" s="494"/>
      <c r="Y393" s="494"/>
      <c r="Z393" s="494"/>
      <c r="AA393" s="494"/>
      <c r="AB393" s="494"/>
      <c r="AC393" s="494"/>
      <c r="AD393" s="494"/>
      <c r="AE393" s="494"/>
      <c r="AF393" s="494"/>
      <c r="AG393" s="494"/>
      <c r="AH393" s="494"/>
      <c r="AI393" s="494"/>
      <c r="AJ393" s="494"/>
      <c r="AK393" s="494"/>
      <c r="AL393" s="494"/>
      <c r="AM393" s="494"/>
      <c r="AN393" s="494"/>
      <c r="AO393" s="494"/>
      <c r="AP393" s="494"/>
      <c r="AQ393" s="494"/>
      <c r="AR393" s="494"/>
      <c r="AS393" s="494"/>
      <c r="AT393" s="494"/>
      <c r="AU393" s="494"/>
      <c r="AV393" s="494"/>
      <c r="AW393" s="494"/>
      <c r="AX393" s="494"/>
    </row>
    <row r="394" spans="1:50" customFormat="1" x14ac:dyDescent="0.25">
      <c r="A394" s="496"/>
      <c r="B394" s="695" t="s">
        <v>564</v>
      </c>
      <c r="C394" s="695"/>
      <c r="D394" s="695"/>
      <c r="E394" s="695"/>
      <c r="F394" s="695"/>
      <c r="G394" s="695" t="s">
        <v>15</v>
      </c>
      <c r="H394" s="695"/>
      <c r="I394" s="695"/>
      <c r="J394" s="695"/>
      <c r="K394" s="695" t="s">
        <v>15</v>
      </c>
      <c r="L394" s="695"/>
      <c r="M394" s="695"/>
      <c r="N394" s="695"/>
      <c r="O394" s="695"/>
      <c r="P394" s="695"/>
      <c r="Q394" s="494"/>
      <c r="R394" s="494"/>
      <c r="S394" s="494"/>
      <c r="T394" s="494"/>
      <c r="U394" s="494"/>
      <c r="V394" s="494"/>
      <c r="W394" s="494"/>
      <c r="X394" s="494"/>
      <c r="Y394" s="494"/>
      <c r="Z394" s="494"/>
      <c r="AA394" s="494"/>
      <c r="AB394" s="494"/>
      <c r="AC394" s="494"/>
      <c r="AD394" s="494"/>
      <c r="AE394" s="494"/>
      <c r="AF394" s="494"/>
      <c r="AG394" s="494"/>
      <c r="AH394" s="494"/>
      <c r="AI394" s="494"/>
      <c r="AJ394" s="494"/>
      <c r="AK394" s="494"/>
      <c r="AL394" s="494"/>
      <c r="AM394" s="494"/>
      <c r="AN394" s="494"/>
      <c r="AO394" s="494"/>
      <c r="AP394" s="494"/>
      <c r="AQ394" s="494"/>
      <c r="AR394" s="494"/>
      <c r="AS394" s="494"/>
      <c r="AT394" s="494"/>
      <c r="AU394" s="494"/>
      <c r="AV394" s="494"/>
      <c r="AW394" s="494"/>
      <c r="AX394" s="494"/>
    </row>
    <row r="395" spans="1:50" customFormat="1" x14ac:dyDescent="0.25">
      <c r="A395" s="492"/>
      <c r="B395" s="687" t="s">
        <v>681</v>
      </c>
      <c r="C395" s="687"/>
      <c r="D395" s="687"/>
      <c r="E395" s="687"/>
      <c r="F395" s="687"/>
      <c r="G395" s="687" t="s">
        <v>682</v>
      </c>
      <c r="H395" s="687"/>
      <c r="I395" s="687"/>
      <c r="J395" s="687"/>
      <c r="K395" s="687" t="s">
        <v>15</v>
      </c>
      <c r="L395" s="687"/>
      <c r="M395" s="687"/>
      <c r="N395" s="687"/>
      <c r="O395" s="687"/>
      <c r="P395" s="687"/>
      <c r="Q395" s="494"/>
      <c r="R395" s="494"/>
      <c r="S395" s="494"/>
      <c r="T395" s="494"/>
      <c r="U395" s="494"/>
      <c r="V395" s="494"/>
      <c r="W395" s="494"/>
      <c r="X395" s="494"/>
      <c r="Y395" s="494"/>
      <c r="Z395" s="494"/>
      <c r="AA395" s="494"/>
      <c r="AB395" s="494"/>
      <c r="AC395" s="494"/>
      <c r="AD395" s="494"/>
      <c r="AE395" s="494"/>
      <c r="AF395" s="494"/>
      <c r="AG395" s="494"/>
      <c r="AH395" s="494"/>
      <c r="AI395" s="494"/>
      <c r="AJ395" s="494"/>
      <c r="AK395" s="494"/>
      <c r="AL395" s="494"/>
      <c r="AM395" s="494"/>
      <c r="AN395" s="494"/>
      <c r="AO395" s="494"/>
      <c r="AP395" s="494"/>
      <c r="AQ395" s="494"/>
      <c r="AR395" s="494"/>
      <c r="AS395" s="494"/>
      <c r="AT395" s="494"/>
      <c r="AU395" s="494"/>
      <c r="AV395" s="494"/>
      <c r="AW395" s="494"/>
      <c r="AX395" s="494"/>
    </row>
    <row r="396" spans="1:50" customFormat="1" ht="40.9" customHeight="1" x14ac:dyDescent="0.25">
      <c r="A396" s="492"/>
      <c r="B396" s="687" t="s">
        <v>683</v>
      </c>
      <c r="C396" s="687"/>
      <c r="D396" s="687"/>
      <c r="E396" s="687"/>
      <c r="F396" s="687"/>
      <c r="G396" s="687" t="s">
        <v>684</v>
      </c>
      <c r="H396" s="687"/>
      <c r="I396" s="687"/>
      <c r="J396" s="687"/>
      <c r="K396" s="687" t="s">
        <v>15</v>
      </c>
      <c r="L396" s="687"/>
      <c r="M396" s="687"/>
      <c r="N396" s="687"/>
      <c r="O396" s="687"/>
      <c r="P396" s="687"/>
      <c r="Q396" s="494"/>
      <c r="R396" s="494"/>
      <c r="S396" s="494"/>
      <c r="T396" s="494"/>
      <c r="U396" s="494"/>
      <c r="V396" s="494"/>
      <c r="W396" s="494"/>
      <c r="X396" s="494"/>
      <c r="Y396" s="494"/>
      <c r="Z396" s="494"/>
      <c r="AA396" s="494"/>
      <c r="AB396" s="494"/>
      <c r="AC396" s="494"/>
      <c r="AD396" s="494"/>
      <c r="AE396" s="494"/>
      <c r="AF396" s="494"/>
      <c r="AG396" s="494"/>
      <c r="AH396" s="494"/>
      <c r="AI396" s="494"/>
      <c r="AJ396" s="494"/>
      <c r="AK396" s="494"/>
      <c r="AL396" s="494"/>
      <c r="AM396" s="494"/>
      <c r="AN396" s="494"/>
      <c r="AO396" s="494"/>
      <c r="AP396" s="494"/>
      <c r="AQ396" s="494"/>
      <c r="AR396" s="494"/>
      <c r="AS396" s="494"/>
      <c r="AT396" s="494"/>
      <c r="AU396" s="494"/>
      <c r="AV396" s="494"/>
      <c r="AW396" s="494"/>
      <c r="AX396" s="494"/>
    </row>
    <row r="397" spans="1:50" customFormat="1" ht="27.2" customHeight="1" x14ac:dyDescent="0.25">
      <c r="A397" s="492"/>
      <c r="B397" s="687" t="s">
        <v>793</v>
      </c>
      <c r="C397" s="687"/>
      <c r="D397" s="687"/>
      <c r="E397" s="687"/>
      <c r="F397" s="687"/>
      <c r="G397" s="687" t="s">
        <v>2253</v>
      </c>
      <c r="H397" s="687"/>
      <c r="I397" s="687"/>
      <c r="J397" s="687"/>
      <c r="K397" s="687" t="s">
        <v>15</v>
      </c>
      <c r="L397" s="687"/>
      <c r="M397" s="687"/>
      <c r="N397" s="687"/>
      <c r="O397" s="687"/>
      <c r="P397" s="687"/>
      <c r="Q397" s="494"/>
      <c r="R397" s="494"/>
      <c r="S397" s="494"/>
      <c r="T397" s="494"/>
      <c r="U397" s="494"/>
      <c r="V397" s="494"/>
      <c r="W397" s="494"/>
      <c r="X397" s="494"/>
      <c r="Y397" s="494"/>
      <c r="Z397" s="494"/>
      <c r="AA397" s="494"/>
      <c r="AB397" s="494"/>
      <c r="AC397" s="494"/>
      <c r="AD397" s="494"/>
      <c r="AE397" s="494"/>
      <c r="AF397" s="494"/>
      <c r="AG397" s="494"/>
      <c r="AH397" s="494"/>
      <c r="AI397" s="494"/>
      <c r="AJ397" s="494"/>
      <c r="AK397" s="494"/>
      <c r="AL397" s="494"/>
      <c r="AM397" s="494"/>
      <c r="AN397" s="494"/>
      <c r="AO397" s="494"/>
      <c r="AP397" s="494"/>
      <c r="AQ397" s="494"/>
      <c r="AR397" s="494"/>
      <c r="AS397" s="494"/>
      <c r="AT397" s="494"/>
      <c r="AU397" s="494"/>
      <c r="AV397" s="494"/>
      <c r="AW397" s="494"/>
      <c r="AX397" s="494"/>
    </row>
    <row r="398" spans="1:50" customFormat="1" x14ac:dyDescent="0.25">
      <c r="A398" s="690" t="s">
        <v>912</v>
      </c>
      <c r="B398" s="690"/>
      <c r="C398" s="690"/>
      <c r="D398" s="690"/>
      <c r="E398" s="690"/>
      <c r="F398" s="690"/>
      <c r="G398" s="690"/>
      <c r="H398" s="690"/>
      <c r="I398" s="690"/>
      <c r="J398" s="690"/>
      <c r="K398" s="690"/>
      <c r="L398" s="690"/>
      <c r="M398" s="690"/>
      <c r="N398" s="690"/>
      <c r="O398" s="690"/>
      <c r="P398" s="690"/>
      <c r="Q398" s="494"/>
      <c r="R398" s="494"/>
      <c r="S398" s="494"/>
      <c r="T398" s="494"/>
      <c r="U398" s="494"/>
      <c r="V398" s="494"/>
      <c r="W398" s="494"/>
      <c r="X398" s="494"/>
      <c r="Y398" s="494"/>
      <c r="Z398" s="494"/>
      <c r="AA398" s="494"/>
      <c r="AB398" s="494"/>
      <c r="AC398" s="494"/>
      <c r="AD398" s="494"/>
      <c r="AE398" s="494"/>
      <c r="AF398" s="494"/>
      <c r="AG398" s="494"/>
      <c r="AH398" s="494"/>
      <c r="AI398" s="494"/>
      <c r="AJ398" s="494"/>
      <c r="AK398" s="494"/>
      <c r="AL398" s="494"/>
      <c r="AM398" s="494"/>
      <c r="AN398" s="494"/>
      <c r="AO398" s="494"/>
      <c r="AP398" s="494"/>
      <c r="AQ398" s="494"/>
      <c r="AR398" s="494"/>
      <c r="AS398" s="494"/>
      <c r="AT398" s="494"/>
      <c r="AU398" s="494"/>
      <c r="AV398" s="494"/>
      <c r="AW398" s="494"/>
      <c r="AX398" s="494"/>
    </row>
    <row r="399" spans="1:50" customFormat="1" ht="135.94999999999999" customHeight="1" x14ac:dyDescent="0.25">
      <c r="A399" s="495" t="s">
        <v>913</v>
      </c>
      <c r="B399" s="692" t="s">
        <v>796</v>
      </c>
      <c r="C399" s="693"/>
      <c r="D399" s="693"/>
      <c r="E399" s="693"/>
      <c r="F399" s="693"/>
      <c r="G399" s="693" t="s">
        <v>914</v>
      </c>
      <c r="H399" s="693"/>
      <c r="I399" s="693"/>
      <c r="J399" s="693"/>
      <c r="K399" s="693" t="s">
        <v>2304</v>
      </c>
      <c r="L399" s="693"/>
      <c r="M399" s="693"/>
      <c r="N399" s="693"/>
      <c r="O399" s="694">
        <f>ROUND((467700 + 398 * (0.4 * 50 + 0.6 * (50 / 2))) * 1 * 0.4 * 1.56 * 0.6 * 0.7, 2)</f>
        <v>126225.59</v>
      </c>
      <c r="P399" s="693"/>
      <c r="Q399" s="494"/>
      <c r="R399" s="494"/>
      <c r="S399" s="494"/>
      <c r="T399" s="494"/>
      <c r="U399" s="494"/>
      <c r="V399" s="494"/>
      <c r="W399" s="494"/>
      <c r="X399" s="494"/>
      <c r="Y399" s="494"/>
      <c r="Z399" s="494"/>
      <c r="AA399" s="494"/>
      <c r="AB399" s="494"/>
      <c r="AC399" s="494"/>
      <c r="AD399" s="494"/>
      <c r="AE399" s="494"/>
      <c r="AF399" s="494"/>
      <c r="AG399" s="494"/>
      <c r="AH399" s="494"/>
      <c r="AI399" s="494"/>
      <c r="AJ399" s="494"/>
      <c r="AK399" s="494"/>
      <c r="AL399" s="494"/>
      <c r="AM399" s="494"/>
      <c r="AN399" s="494"/>
      <c r="AO399" s="494"/>
      <c r="AP399" s="494"/>
      <c r="AQ399" s="494"/>
      <c r="AR399" s="494"/>
      <c r="AS399" s="494"/>
      <c r="AT399" s="494"/>
      <c r="AU399" s="494"/>
      <c r="AV399" s="494"/>
      <c r="AW399" s="494"/>
      <c r="AX399" s="494"/>
    </row>
    <row r="400" spans="1:50" customFormat="1" x14ac:dyDescent="0.25">
      <c r="A400" s="496"/>
      <c r="B400" s="695" t="s">
        <v>564</v>
      </c>
      <c r="C400" s="695"/>
      <c r="D400" s="695"/>
      <c r="E400" s="695"/>
      <c r="F400" s="695"/>
      <c r="G400" s="695" t="s">
        <v>15</v>
      </c>
      <c r="H400" s="695"/>
      <c r="I400" s="695"/>
      <c r="J400" s="695"/>
      <c r="K400" s="695" t="s">
        <v>15</v>
      </c>
      <c r="L400" s="695"/>
      <c r="M400" s="695"/>
      <c r="N400" s="695"/>
      <c r="O400" s="695"/>
      <c r="P400" s="695"/>
      <c r="Q400" s="494"/>
      <c r="R400" s="494"/>
      <c r="S400" s="494"/>
      <c r="T400" s="494"/>
      <c r="U400" s="494"/>
      <c r="V400" s="494"/>
      <c r="W400" s="494"/>
      <c r="X400" s="494"/>
      <c r="Y400" s="494"/>
      <c r="Z400" s="494"/>
      <c r="AA400" s="494"/>
      <c r="AB400" s="494"/>
      <c r="AC400" s="494"/>
      <c r="AD400" s="494"/>
      <c r="AE400" s="494"/>
      <c r="AF400" s="494"/>
      <c r="AG400" s="494"/>
      <c r="AH400" s="494"/>
      <c r="AI400" s="494"/>
      <c r="AJ400" s="494"/>
      <c r="AK400" s="494"/>
      <c r="AL400" s="494"/>
      <c r="AM400" s="494"/>
      <c r="AN400" s="494"/>
      <c r="AO400" s="494"/>
      <c r="AP400" s="494"/>
      <c r="AQ400" s="494"/>
      <c r="AR400" s="494"/>
      <c r="AS400" s="494"/>
      <c r="AT400" s="494"/>
      <c r="AU400" s="494"/>
      <c r="AV400" s="494"/>
      <c r="AW400" s="494"/>
      <c r="AX400" s="494"/>
    </row>
    <row r="401" spans="1:50" customFormat="1" x14ac:dyDescent="0.25">
      <c r="A401" s="492"/>
      <c r="B401" s="687" t="s">
        <v>681</v>
      </c>
      <c r="C401" s="687"/>
      <c r="D401" s="687"/>
      <c r="E401" s="687"/>
      <c r="F401" s="687"/>
      <c r="G401" s="687" t="s">
        <v>682</v>
      </c>
      <c r="H401" s="687"/>
      <c r="I401" s="687"/>
      <c r="J401" s="687"/>
      <c r="K401" s="687" t="s">
        <v>15</v>
      </c>
      <c r="L401" s="687"/>
      <c r="M401" s="687"/>
      <c r="N401" s="687"/>
      <c r="O401" s="687"/>
      <c r="P401" s="687"/>
      <c r="Q401" s="494"/>
      <c r="R401" s="494"/>
      <c r="S401" s="494"/>
      <c r="T401" s="494"/>
      <c r="U401" s="494"/>
      <c r="V401" s="494"/>
      <c r="W401" s="494"/>
      <c r="X401" s="494"/>
      <c r="Y401" s="494"/>
      <c r="Z401" s="494"/>
      <c r="AA401" s="494"/>
      <c r="AB401" s="494"/>
      <c r="AC401" s="494"/>
      <c r="AD401" s="494"/>
      <c r="AE401" s="494"/>
      <c r="AF401" s="494"/>
      <c r="AG401" s="494"/>
      <c r="AH401" s="494"/>
      <c r="AI401" s="494"/>
      <c r="AJ401" s="494"/>
      <c r="AK401" s="494"/>
      <c r="AL401" s="494"/>
      <c r="AM401" s="494"/>
      <c r="AN401" s="494"/>
      <c r="AO401" s="494"/>
      <c r="AP401" s="494"/>
      <c r="AQ401" s="494"/>
      <c r="AR401" s="494"/>
      <c r="AS401" s="494"/>
      <c r="AT401" s="494"/>
      <c r="AU401" s="494"/>
      <c r="AV401" s="494"/>
      <c r="AW401" s="494"/>
      <c r="AX401" s="494"/>
    </row>
    <row r="402" spans="1:50" customFormat="1" ht="40.9" customHeight="1" x14ac:dyDescent="0.25">
      <c r="A402" s="492"/>
      <c r="B402" s="687" t="s">
        <v>683</v>
      </c>
      <c r="C402" s="687"/>
      <c r="D402" s="687"/>
      <c r="E402" s="687"/>
      <c r="F402" s="687"/>
      <c r="G402" s="687" t="s">
        <v>684</v>
      </c>
      <c r="H402" s="687"/>
      <c r="I402" s="687"/>
      <c r="J402" s="687"/>
      <c r="K402" s="687" t="s">
        <v>15</v>
      </c>
      <c r="L402" s="687"/>
      <c r="M402" s="687"/>
      <c r="N402" s="687"/>
      <c r="O402" s="687"/>
      <c r="P402" s="687"/>
      <c r="Q402" s="494"/>
      <c r="R402" s="494"/>
      <c r="S402" s="494"/>
      <c r="T402" s="494"/>
      <c r="U402" s="494"/>
      <c r="V402" s="494"/>
      <c r="W402" s="494"/>
      <c r="X402" s="494"/>
      <c r="Y402" s="494"/>
      <c r="Z402" s="494"/>
      <c r="AA402" s="494"/>
      <c r="AB402" s="494"/>
      <c r="AC402" s="494"/>
      <c r="AD402" s="494"/>
      <c r="AE402" s="494"/>
      <c r="AF402" s="494"/>
      <c r="AG402" s="494"/>
      <c r="AH402" s="494"/>
      <c r="AI402" s="494"/>
      <c r="AJ402" s="494"/>
      <c r="AK402" s="494"/>
      <c r="AL402" s="494"/>
      <c r="AM402" s="494"/>
      <c r="AN402" s="494"/>
      <c r="AO402" s="494"/>
      <c r="AP402" s="494"/>
      <c r="AQ402" s="494"/>
      <c r="AR402" s="494"/>
      <c r="AS402" s="494"/>
      <c r="AT402" s="494"/>
      <c r="AU402" s="494"/>
      <c r="AV402" s="494"/>
      <c r="AW402" s="494"/>
      <c r="AX402" s="494"/>
    </row>
    <row r="403" spans="1:50" customFormat="1" ht="95.25" customHeight="1" x14ac:dyDescent="0.25">
      <c r="A403" s="492"/>
      <c r="B403" s="687" t="s">
        <v>778</v>
      </c>
      <c r="C403" s="687"/>
      <c r="D403" s="687"/>
      <c r="E403" s="687"/>
      <c r="F403" s="687"/>
      <c r="G403" s="687" t="s">
        <v>915</v>
      </c>
      <c r="H403" s="687"/>
      <c r="I403" s="687"/>
      <c r="J403" s="687"/>
      <c r="K403" s="687" t="s">
        <v>15</v>
      </c>
      <c r="L403" s="687"/>
      <c r="M403" s="687"/>
      <c r="N403" s="687"/>
      <c r="O403" s="687"/>
      <c r="P403" s="687"/>
      <c r="Q403" s="494"/>
      <c r="R403" s="494"/>
      <c r="S403" s="494"/>
      <c r="T403" s="494"/>
      <c r="U403" s="494"/>
      <c r="V403" s="494"/>
      <c r="W403" s="494"/>
      <c r="X403" s="494"/>
      <c r="Y403" s="494"/>
      <c r="Z403" s="494"/>
      <c r="AA403" s="494"/>
      <c r="AB403" s="494"/>
      <c r="AC403" s="494"/>
      <c r="AD403" s="494"/>
      <c r="AE403" s="494"/>
      <c r="AF403" s="494"/>
      <c r="AG403" s="494"/>
      <c r="AH403" s="494"/>
      <c r="AI403" s="494"/>
      <c r="AJ403" s="494"/>
      <c r="AK403" s="494"/>
      <c r="AL403" s="494"/>
      <c r="AM403" s="494"/>
      <c r="AN403" s="494"/>
      <c r="AO403" s="494"/>
      <c r="AP403" s="494"/>
      <c r="AQ403" s="494"/>
      <c r="AR403" s="494"/>
      <c r="AS403" s="494"/>
      <c r="AT403" s="494"/>
      <c r="AU403" s="494"/>
      <c r="AV403" s="494"/>
      <c r="AW403" s="494"/>
      <c r="AX403" s="494"/>
    </row>
    <row r="404" spans="1:50" customFormat="1" ht="27.2" customHeight="1" x14ac:dyDescent="0.25">
      <c r="A404" s="492"/>
      <c r="B404" s="687" t="s">
        <v>793</v>
      </c>
      <c r="C404" s="687"/>
      <c r="D404" s="687"/>
      <c r="E404" s="687"/>
      <c r="F404" s="687"/>
      <c r="G404" s="687" t="s">
        <v>2253</v>
      </c>
      <c r="H404" s="687"/>
      <c r="I404" s="687"/>
      <c r="J404" s="687"/>
      <c r="K404" s="687" t="s">
        <v>15</v>
      </c>
      <c r="L404" s="687"/>
      <c r="M404" s="687"/>
      <c r="N404" s="687"/>
      <c r="O404" s="687"/>
      <c r="P404" s="687"/>
      <c r="Q404" s="494"/>
      <c r="R404" s="494"/>
      <c r="S404" s="494"/>
      <c r="T404" s="494"/>
      <c r="U404" s="494"/>
      <c r="V404" s="494"/>
      <c r="W404" s="494"/>
      <c r="X404" s="494"/>
      <c r="Y404" s="494"/>
      <c r="Z404" s="494"/>
      <c r="AA404" s="494"/>
      <c r="AB404" s="494"/>
      <c r="AC404" s="494"/>
      <c r="AD404" s="494"/>
      <c r="AE404" s="494"/>
      <c r="AF404" s="494"/>
      <c r="AG404" s="494"/>
      <c r="AH404" s="494"/>
      <c r="AI404" s="494"/>
      <c r="AJ404" s="494"/>
      <c r="AK404" s="494"/>
      <c r="AL404" s="494"/>
      <c r="AM404" s="494"/>
      <c r="AN404" s="494"/>
      <c r="AO404" s="494"/>
      <c r="AP404" s="494"/>
      <c r="AQ404" s="494"/>
      <c r="AR404" s="494"/>
      <c r="AS404" s="494"/>
      <c r="AT404" s="494"/>
      <c r="AU404" s="494"/>
      <c r="AV404" s="494"/>
      <c r="AW404" s="494"/>
      <c r="AX404" s="494"/>
    </row>
    <row r="405" spans="1:50" customFormat="1" x14ac:dyDescent="0.25">
      <c r="A405" s="690" t="s">
        <v>916</v>
      </c>
      <c r="B405" s="690"/>
      <c r="C405" s="690"/>
      <c r="D405" s="690"/>
      <c r="E405" s="690"/>
      <c r="F405" s="690"/>
      <c r="G405" s="690"/>
      <c r="H405" s="690"/>
      <c r="I405" s="690"/>
      <c r="J405" s="690"/>
      <c r="K405" s="690"/>
      <c r="L405" s="690"/>
      <c r="M405" s="690"/>
      <c r="N405" s="690"/>
      <c r="O405" s="690"/>
      <c r="P405" s="690"/>
      <c r="Q405" s="494"/>
      <c r="R405" s="494"/>
      <c r="S405" s="494"/>
      <c r="T405" s="494"/>
      <c r="U405" s="494"/>
      <c r="V405" s="494"/>
      <c r="W405" s="494"/>
      <c r="X405" s="494"/>
      <c r="Y405" s="494"/>
      <c r="Z405" s="494"/>
      <c r="AA405" s="494"/>
      <c r="AB405" s="494"/>
      <c r="AC405" s="494"/>
      <c r="AD405" s="494"/>
      <c r="AE405" s="494"/>
      <c r="AF405" s="494"/>
      <c r="AG405" s="494"/>
      <c r="AH405" s="494"/>
      <c r="AI405" s="494"/>
      <c r="AJ405" s="494"/>
      <c r="AK405" s="494"/>
      <c r="AL405" s="494"/>
      <c r="AM405" s="494"/>
      <c r="AN405" s="494"/>
      <c r="AO405" s="494"/>
      <c r="AP405" s="494"/>
      <c r="AQ405" s="494"/>
      <c r="AR405" s="494"/>
      <c r="AS405" s="494"/>
      <c r="AT405" s="494"/>
      <c r="AU405" s="494"/>
      <c r="AV405" s="494"/>
      <c r="AW405" s="494"/>
      <c r="AX405" s="494"/>
    </row>
    <row r="406" spans="1:50" customFormat="1" ht="108.75" customHeight="1" x14ac:dyDescent="0.25">
      <c r="A406" s="495" t="s">
        <v>917</v>
      </c>
      <c r="B406" s="692" t="s">
        <v>918</v>
      </c>
      <c r="C406" s="693"/>
      <c r="D406" s="693"/>
      <c r="E406" s="693"/>
      <c r="F406" s="693"/>
      <c r="G406" s="693" t="s">
        <v>919</v>
      </c>
      <c r="H406" s="693"/>
      <c r="I406" s="693"/>
      <c r="J406" s="693"/>
      <c r="K406" s="693" t="s">
        <v>2305</v>
      </c>
      <c r="L406" s="693"/>
      <c r="M406" s="693"/>
      <c r="N406" s="693"/>
      <c r="O406" s="694">
        <f>ROUND((1007200 + 1085 * 907.2) * 1 * 1.56 * 0.6 * 0.7, 2)</f>
        <v>1304838.6599999999</v>
      </c>
      <c r="P406" s="693"/>
      <c r="Q406" s="494"/>
      <c r="R406" s="494"/>
      <c r="S406" s="494"/>
      <c r="T406" s="494"/>
      <c r="U406" s="494"/>
      <c r="V406" s="494"/>
      <c r="W406" s="494"/>
      <c r="X406" s="494"/>
      <c r="Y406" s="494"/>
      <c r="Z406" s="494"/>
      <c r="AA406" s="494"/>
      <c r="AB406" s="494"/>
      <c r="AC406" s="494"/>
      <c r="AD406" s="494"/>
      <c r="AE406" s="494"/>
      <c r="AF406" s="494"/>
      <c r="AG406" s="494"/>
      <c r="AH406" s="494"/>
      <c r="AI406" s="494"/>
      <c r="AJ406" s="494"/>
      <c r="AK406" s="494"/>
      <c r="AL406" s="494"/>
      <c r="AM406" s="494"/>
      <c r="AN406" s="494"/>
      <c r="AO406" s="494"/>
      <c r="AP406" s="494"/>
      <c r="AQ406" s="494"/>
      <c r="AR406" s="494"/>
      <c r="AS406" s="494"/>
      <c r="AT406" s="494"/>
      <c r="AU406" s="494"/>
      <c r="AV406" s="494"/>
      <c r="AW406" s="494"/>
      <c r="AX406" s="494"/>
    </row>
    <row r="407" spans="1:50" customFormat="1" x14ac:dyDescent="0.25">
      <c r="A407" s="496"/>
      <c r="B407" s="695" t="s">
        <v>564</v>
      </c>
      <c r="C407" s="695"/>
      <c r="D407" s="695"/>
      <c r="E407" s="695"/>
      <c r="F407" s="695"/>
      <c r="G407" s="695" t="s">
        <v>15</v>
      </c>
      <c r="H407" s="695"/>
      <c r="I407" s="695"/>
      <c r="J407" s="695"/>
      <c r="K407" s="695" t="s">
        <v>15</v>
      </c>
      <c r="L407" s="695"/>
      <c r="M407" s="695"/>
      <c r="N407" s="695"/>
      <c r="O407" s="695"/>
      <c r="P407" s="695"/>
      <c r="Q407" s="494"/>
      <c r="R407" s="494"/>
      <c r="S407" s="494"/>
      <c r="T407" s="494"/>
      <c r="U407" s="494"/>
      <c r="V407" s="494"/>
      <c r="W407" s="494"/>
      <c r="X407" s="494"/>
      <c r="Y407" s="494"/>
      <c r="Z407" s="494"/>
      <c r="AA407" s="494"/>
      <c r="AB407" s="494"/>
      <c r="AC407" s="494"/>
      <c r="AD407" s="494"/>
      <c r="AE407" s="494"/>
      <c r="AF407" s="494"/>
      <c r="AG407" s="494"/>
      <c r="AH407" s="494"/>
      <c r="AI407" s="494"/>
      <c r="AJ407" s="494"/>
      <c r="AK407" s="494"/>
      <c r="AL407" s="494"/>
      <c r="AM407" s="494"/>
      <c r="AN407" s="494"/>
      <c r="AO407" s="494"/>
      <c r="AP407" s="494"/>
      <c r="AQ407" s="494"/>
      <c r="AR407" s="494"/>
      <c r="AS407" s="494"/>
      <c r="AT407" s="494"/>
      <c r="AU407" s="494"/>
      <c r="AV407" s="494"/>
      <c r="AW407" s="494"/>
      <c r="AX407" s="494"/>
    </row>
    <row r="408" spans="1:50" customFormat="1" x14ac:dyDescent="0.25">
      <c r="A408" s="492"/>
      <c r="B408" s="687" t="s">
        <v>681</v>
      </c>
      <c r="C408" s="687"/>
      <c r="D408" s="687"/>
      <c r="E408" s="687"/>
      <c r="F408" s="687"/>
      <c r="G408" s="687" t="s">
        <v>682</v>
      </c>
      <c r="H408" s="687"/>
      <c r="I408" s="687"/>
      <c r="J408" s="687"/>
      <c r="K408" s="687" t="s">
        <v>15</v>
      </c>
      <c r="L408" s="687"/>
      <c r="M408" s="687"/>
      <c r="N408" s="687"/>
      <c r="O408" s="687"/>
      <c r="P408" s="687"/>
      <c r="Q408" s="494"/>
      <c r="R408" s="494"/>
      <c r="S408" s="494"/>
      <c r="T408" s="494"/>
      <c r="U408" s="494"/>
      <c r="V408" s="494"/>
      <c r="W408" s="494"/>
      <c r="X408" s="494"/>
      <c r="Y408" s="494"/>
      <c r="Z408" s="494"/>
      <c r="AA408" s="494"/>
      <c r="AB408" s="494"/>
      <c r="AC408" s="494"/>
      <c r="AD408" s="494"/>
      <c r="AE408" s="494"/>
      <c r="AF408" s="494"/>
      <c r="AG408" s="494"/>
      <c r="AH408" s="494"/>
      <c r="AI408" s="494"/>
      <c r="AJ408" s="494"/>
      <c r="AK408" s="494"/>
      <c r="AL408" s="494"/>
      <c r="AM408" s="494"/>
      <c r="AN408" s="494"/>
      <c r="AO408" s="494"/>
      <c r="AP408" s="494"/>
      <c r="AQ408" s="494"/>
      <c r="AR408" s="494"/>
      <c r="AS408" s="494"/>
      <c r="AT408" s="494"/>
      <c r="AU408" s="494"/>
      <c r="AV408" s="494"/>
      <c r="AW408" s="494"/>
      <c r="AX408" s="494"/>
    </row>
    <row r="409" spans="1:50" customFormat="1" ht="40.9" customHeight="1" x14ac:dyDescent="0.25">
      <c r="A409" s="492"/>
      <c r="B409" s="687" t="s">
        <v>683</v>
      </c>
      <c r="C409" s="687"/>
      <c r="D409" s="687"/>
      <c r="E409" s="687"/>
      <c r="F409" s="687"/>
      <c r="G409" s="687" t="s">
        <v>684</v>
      </c>
      <c r="H409" s="687"/>
      <c r="I409" s="687"/>
      <c r="J409" s="687"/>
      <c r="K409" s="687" t="s">
        <v>15</v>
      </c>
      <c r="L409" s="687"/>
      <c r="M409" s="687"/>
      <c r="N409" s="687"/>
      <c r="O409" s="687"/>
      <c r="P409" s="687"/>
      <c r="Q409" s="494"/>
      <c r="R409" s="494"/>
      <c r="S409" s="494"/>
      <c r="T409" s="494"/>
      <c r="U409" s="494"/>
      <c r="V409" s="494"/>
      <c r="W409" s="494"/>
      <c r="X409" s="494"/>
      <c r="Y409" s="494"/>
      <c r="Z409" s="494"/>
      <c r="AA409" s="494"/>
      <c r="AB409" s="494"/>
      <c r="AC409" s="494"/>
      <c r="AD409" s="494"/>
      <c r="AE409" s="494"/>
      <c r="AF409" s="494"/>
      <c r="AG409" s="494"/>
      <c r="AH409" s="494"/>
      <c r="AI409" s="494"/>
      <c r="AJ409" s="494"/>
      <c r="AK409" s="494"/>
      <c r="AL409" s="494"/>
      <c r="AM409" s="494"/>
      <c r="AN409" s="494"/>
      <c r="AO409" s="494"/>
      <c r="AP409" s="494"/>
      <c r="AQ409" s="494"/>
      <c r="AR409" s="494"/>
      <c r="AS409" s="494"/>
      <c r="AT409" s="494"/>
      <c r="AU409" s="494"/>
      <c r="AV409" s="494"/>
      <c r="AW409" s="494"/>
      <c r="AX409" s="494"/>
    </row>
    <row r="410" spans="1:50" customFormat="1" ht="27.2" customHeight="1" x14ac:dyDescent="0.25">
      <c r="A410" s="492"/>
      <c r="B410" s="687" t="s">
        <v>793</v>
      </c>
      <c r="C410" s="687"/>
      <c r="D410" s="687"/>
      <c r="E410" s="687"/>
      <c r="F410" s="687"/>
      <c r="G410" s="687" t="s">
        <v>2253</v>
      </c>
      <c r="H410" s="687"/>
      <c r="I410" s="687"/>
      <c r="J410" s="687"/>
      <c r="K410" s="687" t="s">
        <v>15</v>
      </c>
      <c r="L410" s="687"/>
      <c r="M410" s="687"/>
      <c r="N410" s="687"/>
      <c r="O410" s="687"/>
      <c r="P410" s="687"/>
      <c r="Q410" s="494"/>
      <c r="R410" s="494"/>
      <c r="S410" s="494"/>
      <c r="T410" s="494"/>
      <c r="U410" s="494"/>
      <c r="V410" s="494"/>
      <c r="W410" s="494"/>
      <c r="X410" s="494"/>
      <c r="Y410" s="494"/>
      <c r="Z410" s="494"/>
      <c r="AA410" s="494"/>
      <c r="AB410" s="494"/>
      <c r="AC410" s="494"/>
      <c r="AD410" s="494"/>
      <c r="AE410" s="494"/>
      <c r="AF410" s="494"/>
      <c r="AG410" s="494"/>
      <c r="AH410" s="494"/>
      <c r="AI410" s="494"/>
      <c r="AJ410" s="494"/>
      <c r="AK410" s="494"/>
      <c r="AL410" s="494"/>
      <c r="AM410" s="494"/>
      <c r="AN410" s="494"/>
      <c r="AO410" s="494"/>
      <c r="AP410" s="494"/>
      <c r="AQ410" s="494"/>
      <c r="AR410" s="494"/>
      <c r="AS410" s="494"/>
      <c r="AT410" s="494"/>
      <c r="AU410" s="494"/>
      <c r="AV410" s="494"/>
      <c r="AW410" s="494"/>
      <c r="AX410" s="494"/>
    </row>
    <row r="411" spans="1:50" customFormat="1" x14ac:dyDescent="0.25">
      <c r="A411" s="690" t="s">
        <v>920</v>
      </c>
      <c r="B411" s="690"/>
      <c r="C411" s="690"/>
      <c r="D411" s="690"/>
      <c r="E411" s="690"/>
      <c r="F411" s="690"/>
      <c r="G411" s="690"/>
      <c r="H411" s="690"/>
      <c r="I411" s="690"/>
      <c r="J411" s="690"/>
      <c r="K411" s="690"/>
      <c r="L411" s="690"/>
      <c r="M411" s="690"/>
      <c r="N411" s="690"/>
      <c r="O411" s="690"/>
      <c r="P411" s="690"/>
      <c r="Q411" s="494"/>
      <c r="R411" s="494"/>
      <c r="S411" s="494"/>
      <c r="T411" s="494"/>
      <c r="U411" s="494"/>
      <c r="V411" s="494"/>
      <c r="W411" s="494"/>
      <c r="X411" s="494"/>
      <c r="Y411" s="494"/>
      <c r="Z411" s="494"/>
      <c r="AA411" s="494"/>
      <c r="AB411" s="494"/>
      <c r="AC411" s="494"/>
      <c r="AD411" s="494"/>
      <c r="AE411" s="494"/>
      <c r="AF411" s="494"/>
      <c r="AG411" s="494"/>
      <c r="AH411" s="494"/>
      <c r="AI411" s="494"/>
      <c r="AJ411" s="494"/>
      <c r="AK411" s="494"/>
      <c r="AL411" s="494"/>
      <c r="AM411" s="494"/>
      <c r="AN411" s="494"/>
      <c r="AO411" s="494"/>
      <c r="AP411" s="494"/>
      <c r="AQ411" s="494"/>
      <c r="AR411" s="494"/>
      <c r="AS411" s="494"/>
      <c r="AT411" s="494"/>
      <c r="AU411" s="494"/>
      <c r="AV411" s="494"/>
      <c r="AW411" s="494"/>
      <c r="AX411" s="494"/>
    </row>
    <row r="412" spans="1:50" customFormat="1" ht="135.94999999999999" customHeight="1" x14ac:dyDescent="0.25">
      <c r="A412" s="495" t="s">
        <v>921</v>
      </c>
      <c r="B412" s="692" t="s">
        <v>782</v>
      </c>
      <c r="C412" s="693"/>
      <c r="D412" s="693"/>
      <c r="E412" s="693"/>
      <c r="F412" s="693"/>
      <c r="G412" s="693" t="s">
        <v>922</v>
      </c>
      <c r="H412" s="693"/>
      <c r="I412" s="693"/>
      <c r="J412" s="693"/>
      <c r="K412" s="693" t="s">
        <v>2306</v>
      </c>
      <c r="L412" s="693"/>
      <c r="M412" s="693"/>
      <c r="N412" s="693"/>
      <c r="O412" s="694">
        <f>ROUND((1320800 + 9459 * (0.4 * 7.5 + 0.6 * 4.7088)) * 1 * 1.56 * 0.6 * 0.7, 2)</f>
        <v>901490.55</v>
      </c>
      <c r="P412" s="693"/>
      <c r="Q412" s="494"/>
      <c r="R412" s="494"/>
      <c r="S412" s="494"/>
      <c r="T412" s="494"/>
      <c r="U412" s="494"/>
      <c r="V412" s="494"/>
      <c r="W412" s="494"/>
      <c r="X412" s="494"/>
      <c r="Y412" s="494"/>
      <c r="Z412" s="494"/>
      <c r="AA412" s="494"/>
      <c r="AB412" s="494"/>
      <c r="AC412" s="494"/>
      <c r="AD412" s="494"/>
      <c r="AE412" s="494"/>
      <c r="AF412" s="494"/>
      <c r="AG412" s="494"/>
      <c r="AH412" s="494"/>
      <c r="AI412" s="494"/>
      <c r="AJ412" s="494"/>
      <c r="AK412" s="494"/>
      <c r="AL412" s="494"/>
      <c r="AM412" s="494"/>
      <c r="AN412" s="494"/>
      <c r="AO412" s="494"/>
      <c r="AP412" s="494"/>
      <c r="AQ412" s="494"/>
      <c r="AR412" s="494"/>
      <c r="AS412" s="494"/>
      <c r="AT412" s="494"/>
      <c r="AU412" s="494"/>
      <c r="AV412" s="494"/>
      <c r="AW412" s="494"/>
      <c r="AX412" s="494"/>
    </row>
    <row r="413" spans="1:50" customFormat="1" x14ac:dyDescent="0.25">
      <c r="A413" s="496"/>
      <c r="B413" s="695" t="s">
        <v>564</v>
      </c>
      <c r="C413" s="695"/>
      <c r="D413" s="695"/>
      <c r="E413" s="695"/>
      <c r="F413" s="695"/>
      <c r="G413" s="695" t="s">
        <v>15</v>
      </c>
      <c r="H413" s="695"/>
      <c r="I413" s="695"/>
      <c r="J413" s="695"/>
      <c r="K413" s="695" t="s">
        <v>15</v>
      </c>
      <c r="L413" s="695"/>
      <c r="M413" s="695"/>
      <c r="N413" s="695"/>
      <c r="O413" s="695"/>
      <c r="P413" s="695"/>
      <c r="Q413" s="494"/>
      <c r="R413" s="494"/>
      <c r="S413" s="494"/>
      <c r="T413" s="494"/>
      <c r="U413" s="494"/>
      <c r="V413" s="494"/>
      <c r="W413" s="494"/>
      <c r="X413" s="494"/>
      <c r="Y413" s="494"/>
      <c r="Z413" s="494"/>
      <c r="AA413" s="494"/>
      <c r="AB413" s="494"/>
      <c r="AC413" s="494"/>
      <c r="AD413" s="494"/>
      <c r="AE413" s="494"/>
      <c r="AF413" s="494"/>
      <c r="AG413" s="494"/>
      <c r="AH413" s="494"/>
      <c r="AI413" s="494"/>
      <c r="AJ413" s="494"/>
      <c r="AK413" s="494"/>
      <c r="AL413" s="494"/>
      <c r="AM413" s="494"/>
      <c r="AN413" s="494"/>
      <c r="AO413" s="494"/>
      <c r="AP413" s="494"/>
      <c r="AQ413" s="494"/>
      <c r="AR413" s="494"/>
      <c r="AS413" s="494"/>
      <c r="AT413" s="494"/>
      <c r="AU413" s="494"/>
      <c r="AV413" s="494"/>
      <c r="AW413" s="494"/>
      <c r="AX413" s="494"/>
    </row>
    <row r="414" spans="1:50" customFormat="1" x14ac:dyDescent="0.25">
      <c r="A414" s="492"/>
      <c r="B414" s="687" t="s">
        <v>681</v>
      </c>
      <c r="C414" s="687"/>
      <c r="D414" s="687"/>
      <c r="E414" s="687"/>
      <c r="F414" s="687"/>
      <c r="G414" s="687" t="s">
        <v>682</v>
      </c>
      <c r="H414" s="687"/>
      <c r="I414" s="687"/>
      <c r="J414" s="687"/>
      <c r="K414" s="687" t="s">
        <v>15</v>
      </c>
      <c r="L414" s="687"/>
      <c r="M414" s="687"/>
      <c r="N414" s="687"/>
      <c r="O414" s="687"/>
      <c r="P414" s="687"/>
      <c r="Q414" s="494"/>
      <c r="R414" s="494"/>
      <c r="S414" s="494"/>
      <c r="T414" s="494"/>
      <c r="U414" s="494"/>
      <c r="V414" s="494"/>
      <c r="W414" s="494"/>
      <c r="X414" s="494"/>
      <c r="Y414" s="494"/>
      <c r="Z414" s="494"/>
      <c r="AA414" s="494"/>
      <c r="AB414" s="494"/>
      <c r="AC414" s="494"/>
      <c r="AD414" s="494"/>
      <c r="AE414" s="494"/>
      <c r="AF414" s="494"/>
      <c r="AG414" s="494"/>
      <c r="AH414" s="494"/>
      <c r="AI414" s="494"/>
      <c r="AJ414" s="494"/>
      <c r="AK414" s="494"/>
      <c r="AL414" s="494"/>
      <c r="AM414" s="494"/>
      <c r="AN414" s="494"/>
      <c r="AO414" s="494"/>
      <c r="AP414" s="494"/>
      <c r="AQ414" s="494"/>
      <c r="AR414" s="494"/>
      <c r="AS414" s="494"/>
      <c r="AT414" s="494"/>
      <c r="AU414" s="494"/>
      <c r="AV414" s="494"/>
      <c r="AW414" s="494"/>
      <c r="AX414" s="494"/>
    </row>
    <row r="415" spans="1:50" customFormat="1" ht="40.9" customHeight="1" x14ac:dyDescent="0.25">
      <c r="A415" s="492"/>
      <c r="B415" s="687" t="s">
        <v>683</v>
      </c>
      <c r="C415" s="687"/>
      <c r="D415" s="687"/>
      <c r="E415" s="687"/>
      <c r="F415" s="687"/>
      <c r="G415" s="687" t="s">
        <v>684</v>
      </c>
      <c r="H415" s="687"/>
      <c r="I415" s="687"/>
      <c r="J415" s="687"/>
      <c r="K415" s="687" t="s">
        <v>15</v>
      </c>
      <c r="L415" s="687"/>
      <c r="M415" s="687"/>
      <c r="N415" s="687"/>
      <c r="O415" s="687"/>
      <c r="P415" s="687"/>
      <c r="Q415" s="494"/>
      <c r="R415" s="494"/>
      <c r="S415" s="494"/>
      <c r="T415" s="494"/>
      <c r="U415" s="494"/>
      <c r="V415" s="494"/>
      <c r="W415" s="494"/>
      <c r="X415" s="494"/>
      <c r="Y415" s="494"/>
      <c r="Z415" s="494"/>
      <c r="AA415" s="494"/>
      <c r="AB415" s="494"/>
      <c r="AC415" s="494"/>
      <c r="AD415" s="494"/>
      <c r="AE415" s="494"/>
      <c r="AF415" s="494"/>
      <c r="AG415" s="494"/>
      <c r="AH415" s="494"/>
      <c r="AI415" s="494"/>
      <c r="AJ415" s="494"/>
      <c r="AK415" s="494"/>
      <c r="AL415" s="494"/>
      <c r="AM415" s="494"/>
      <c r="AN415" s="494"/>
      <c r="AO415" s="494"/>
      <c r="AP415" s="494"/>
      <c r="AQ415" s="494"/>
      <c r="AR415" s="494"/>
      <c r="AS415" s="494"/>
      <c r="AT415" s="494"/>
      <c r="AU415" s="494"/>
      <c r="AV415" s="494"/>
      <c r="AW415" s="494"/>
      <c r="AX415" s="494"/>
    </row>
    <row r="416" spans="1:50" customFormat="1" ht="27.2" customHeight="1" x14ac:dyDescent="0.25">
      <c r="A416" s="492"/>
      <c r="B416" s="687" t="s">
        <v>793</v>
      </c>
      <c r="C416" s="687"/>
      <c r="D416" s="687"/>
      <c r="E416" s="687"/>
      <c r="F416" s="687"/>
      <c r="G416" s="687" t="s">
        <v>2253</v>
      </c>
      <c r="H416" s="687"/>
      <c r="I416" s="687"/>
      <c r="J416" s="687"/>
      <c r="K416" s="687" t="s">
        <v>15</v>
      </c>
      <c r="L416" s="687"/>
      <c r="M416" s="687"/>
      <c r="N416" s="687"/>
      <c r="O416" s="687"/>
      <c r="P416" s="687"/>
      <c r="Q416" s="494"/>
      <c r="R416" s="494"/>
      <c r="S416" s="494"/>
      <c r="T416" s="494"/>
      <c r="U416" s="494"/>
      <c r="V416" s="494"/>
      <c r="W416" s="494"/>
      <c r="X416" s="494"/>
      <c r="Y416" s="494"/>
      <c r="Z416" s="494"/>
      <c r="AA416" s="494"/>
      <c r="AB416" s="494"/>
      <c r="AC416" s="494"/>
      <c r="AD416" s="494"/>
      <c r="AE416" s="494"/>
      <c r="AF416" s="494"/>
      <c r="AG416" s="494"/>
      <c r="AH416" s="494"/>
      <c r="AI416" s="494"/>
      <c r="AJ416" s="494"/>
      <c r="AK416" s="494"/>
      <c r="AL416" s="494"/>
      <c r="AM416" s="494"/>
      <c r="AN416" s="494"/>
      <c r="AO416" s="494"/>
      <c r="AP416" s="494"/>
      <c r="AQ416" s="494"/>
      <c r="AR416" s="494"/>
      <c r="AS416" s="494"/>
      <c r="AT416" s="494"/>
      <c r="AU416" s="494"/>
      <c r="AV416" s="494"/>
      <c r="AW416" s="494"/>
      <c r="AX416" s="494"/>
    </row>
    <row r="417" spans="1:50" customFormat="1" x14ac:dyDescent="0.25">
      <c r="A417" s="690" t="s">
        <v>923</v>
      </c>
      <c r="B417" s="690"/>
      <c r="C417" s="690"/>
      <c r="D417" s="690"/>
      <c r="E417" s="690"/>
      <c r="F417" s="690"/>
      <c r="G417" s="690"/>
      <c r="H417" s="690"/>
      <c r="I417" s="690"/>
      <c r="J417" s="690"/>
      <c r="K417" s="690"/>
      <c r="L417" s="690"/>
      <c r="M417" s="690"/>
      <c r="N417" s="690"/>
      <c r="O417" s="690"/>
      <c r="P417" s="690"/>
      <c r="Q417" s="494"/>
      <c r="R417" s="494"/>
      <c r="S417" s="494"/>
      <c r="T417" s="494"/>
      <c r="U417" s="494"/>
      <c r="V417" s="494"/>
      <c r="W417" s="494"/>
      <c r="X417" s="494"/>
      <c r="Y417" s="494"/>
      <c r="Z417" s="494"/>
      <c r="AA417" s="494"/>
      <c r="AB417" s="494"/>
      <c r="AC417" s="494"/>
      <c r="AD417" s="494"/>
      <c r="AE417" s="494"/>
      <c r="AF417" s="494"/>
      <c r="AG417" s="494"/>
      <c r="AH417" s="494"/>
      <c r="AI417" s="494"/>
      <c r="AJ417" s="494"/>
      <c r="AK417" s="494"/>
      <c r="AL417" s="494"/>
      <c r="AM417" s="494"/>
      <c r="AN417" s="494"/>
      <c r="AO417" s="494"/>
      <c r="AP417" s="494"/>
      <c r="AQ417" s="494"/>
      <c r="AR417" s="494"/>
      <c r="AS417" s="494"/>
      <c r="AT417" s="494"/>
      <c r="AU417" s="494"/>
      <c r="AV417" s="494"/>
      <c r="AW417" s="494"/>
      <c r="AX417" s="494"/>
    </row>
    <row r="418" spans="1:50" customFormat="1" ht="135.94999999999999" customHeight="1" x14ac:dyDescent="0.25">
      <c r="A418" s="495" t="s">
        <v>924</v>
      </c>
      <c r="B418" s="692" t="s">
        <v>785</v>
      </c>
      <c r="C418" s="693"/>
      <c r="D418" s="693"/>
      <c r="E418" s="693"/>
      <c r="F418" s="693"/>
      <c r="G418" s="693" t="s">
        <v>925</v>
      </c>
      <c r="H418" s="693"/>
      <c r="I418" s="693"/>
      <c r="J418" s="693"/>
      <c r="K418" s="693" t="s">
        <v>2307</v>
      </c>
      <c r="L418" s="693"/>
      <c r="M418" s="693"/>
      <c r="N418" s="693"/>
      <c r="O418" s="694">
        <f>ROUND((415600 + 32687 * (0.4 * 7.5 + 0.6 * 4.7088)) * 1 * 1.56 * 0.6 * 0.7, 2)</f>
        <v>397058.36</v>
      </c>
      <c r="P418" s="693"/>
      <c r="Q418" s="494"/>
      <c r="R418" s="494"/>
      <c r="S418" s="494"/>
      <c r="T418" s="494"/>
      <c r="U418" s="494"/>
      <c r="V418" s="494"/>
      <c r="W418" s="494"/>
      <c r="X418" s="494"/>
      <c r="Y418" s="494"/>
      <c r="Z418" s="494"/>
      <c r="AA418" s="494"/>
      <c r="AB418" s="494"/>
      <c r="AC418" s="494"/>
      <c r="AD418" s="494"/>
      <c r="AE418" s="494"/>
      <c r="AF418" s="494"/>
      <c r="AG418" s="494"/>
      <c r="AH418" s="494"/>
      <c r="AI418" s="494"/>
      <c r="AJ418" s="494"/>
      <c r="AK418" s="494"/>
      <c r="AL418" s="494"/>
      <c r="AM418" s="494"/>
      <c r="AN418" s="494"/>
      <c r="AO418" s="494"/>
      <c r="AP418" s="494"/>
      <c r="AQ418" s="494"/>
      <c r="AR418" s="494"/>
      <c r="AS418" s="494"/>
      <c r="AT418" s="494"/>
      <c r="AU418" s="494"/>
      <c r="AV418" s="494"/>
      <c r="AW418" s="494"/>
      <c r="AX418" s="494"/>
    </row>
    <row r="419" spans="1:50" customFormat="1" x14ac:dyDescent="0.25">
      <c r="A419" s="496"/>
      <c r="B419" s="695" t="s">
        <v>564</v>
      </c>
      <c r="C419" s="695"/>
      <c r="D419" s="695"/>
      <c r="E419" s="695"/>
      <c r="F419" s="695"/>
      <c r="G419" s="695" t="s">
        <v>15</v>
      </c>
      <c r="H419" s="695"/>
      <c r="I419" s="695"/>
      <c r="J419" s="695"/>
      <c r="K419" s="695" t="s">
        <v>15</v>
      </c>
      <c r="L419" s="695"/>
      <c r="M419" s="695"/>
      <c r="N419" s="695"/>
      <c r="O419" s="695"/>
      <c r="P419" s="695"/>
      <c r="Q419" s="494"/>
      <c r="R419" s="494"/>
      <c r="S419" s="494"/>
      <c r="T419" s="494"/>
      <c r="U419" s="494"/>
      <c r="V419" s="494"/>
      <c r="W419" s="494"/>
      <c r="X419" s="494"/>
      <c r="Y419" s="494"/>
      <c r="Z419" s="494"/>
      <c r="AA419" s="494"/>
      <c r="AB419" s="494"/>
      <c r="AC419" s="494"/>
      <c r="AD419" s="494"/>
      <c r="AE419" s="494"/>
      <c r="AF419" s="494"/>
      <c r="AG419" s="494"/>
      <c r="AH419" s="494"/>
      <c r="AI419" s="494"/>
      <c r="AJ419" s="494"/>
      <c r="AK419" s="494"/>
      <c r="AL419" s="494"/>
      <c r="AM419" s="494"/>
      <c r="AN419" s="494"/>
      <c r="AO419" s="494"/>
      <c r="AP419" s="494"/>
      <c r="AQ419" s="494"/>
      <c r="AR419" s="494"/>
      <c r="AS419" s="494"/>
      <c r="AT419" s="494"/>
      <c r="AU419" s="494"/>
      <c r="AV419" s="494"/>
      <c r="AW419" s="494"/>
      <c r="AX419" s="494"/>
    </row>
    <row r="420" spans="1:50" customFormat="1" x14ac:dyDescent="0.25">
      <c r="A420" s="492"/>
      <c r="B420" s="687" t="s">
        <v>681</v>
      </c>
      <c r="C420" s="687"/>
      <c r="D420" s="687"/>
      <c r="E420" s="687"/>
      <c r="F420" s="687"/>
      <c r="G420" s="687" t="s">
        <v>682</v>
      </c>
      <c r="H420" s="687"/>
      <c r="I420" s="687"/>
      <c r="J420" s="687"/>
      <c r="K420" s="687" t="s">
        <v>15</v>
      </c>
      <c r="L420" s="687"/>
      <c r="M420" s="687"/>
      <c r="N420" s="687"/>
      <c r="O420" s="687"/>
      <c r="P420" s="687"/>
      <c r="Q420" s="494"/>
      <c r="R420" s="494"/>
      <c r="S420" s="494"/>
      <c r="T420" s="494"/>
      <c r="U420" s="494"/>
      <c r="V420" s="494"/>
      <c r="W420" s="494"/>
      <c r="X420" s="494"/>
      <c r="Y420" s="494"/>
      <c r="Z420" s="494"/>
      <c r="AA420" s="494"/>
      <c r="AB420" s="494"/>
      <c r="AC420" s="494"/>
      <c r="AD420" s="494"/>
      <c r="AE420" s="494"/>
      <c r="AF420" s="494"/>
      <c r="AG420" s="494"/>
      <c r="AH420" s="494"/>
      <c r="AI420" s="494"/>
      <c r="AJ420" s="494"/>
      <c r="AK420" s="494"/>
      <c r="AL420" s="494"/>
      <c r="AM420" s="494"/>
      <c r="AN420" s="494"/>
      <c r="AO420" s="494"/>
      <c r="AP420" s="494"/>
      <c r="AQ420" s="494"/>
      <c r="AR420" s="494"/>
      <c r="AS420" s="494"/>
      <c r="AT420" s="494"/>
      <c r="AU420" s="494"/>
      <c r="AV420" s="494"/>
      <c r="AW420" s="494"/>
      <c r="AX420" s="494"/>
    </row>
    <row r="421" spans="1:50" customFormat="1" ht="40.9" customHeight="1" x14ac:dyDescent="0.25">
      <c r="A421" s="492"/>
      <c r="B421" s="687" t="s">
        <v>683</v>
      </c>
      <c r="C421" s="687"/>
      <c r="D421" s="687"/>
      <c r="E421" s="687"/>
      <c r="F421" s="687"/>
      <c r="G421" s="687" t="s">
        <v>684</v>
      </c>
      <c r="H421" s="687"/>
      <c r="I421" s="687"/>
      <c r="J421" s="687"/>
      <c r="K421" s="687" t="s">
        <v>15</v>
      </c>
      <c r="L421" s="687"/>
      <c r="M421" s="687"/>
      <c r="N421" s="687"/>
      <c r="O421" s="687"/>
      <c r="P421" s="687"/>
      <c r="Q421" s="494"/>
      <c r="R421" s="494"/>
      <c r="S421" s="494"/>
      <c r="T421" s="494"/>
      <c r="U421" s="494"/>
      <c r="V421" s="494"/>
      <c r="W421" s="494"/>
      <c r="X421" s="494"/>
      <c r="Y421" s="494"/>
      <c r="Z421" s="494"/>
      <c r="AA421" s="494"/>
      <c r="AB421" s="494"/>
      <c r="AC421" s="494"/>
      <c r="AD421" s="494"/>
      <c r="AE421" s="494"/>
      <c r="AF421" s="494"/>
      <c r="AG421" s="494"/>
      <c r="AH421" s="494"/>
      <c r="AI421" s="494"/>
      <c r="AJ421" s="494"/>
      <c r="AK421" s="494"/>
      <c r="AL421" s="494"/>
      <c r="AM421" s="494"/>
      <c r="AN421" s="494"/>
      <c r="AO421" s="494"/>
      <c r="AP421" s="494"/>
      <c r="AQ421" s="494"/>
      <c r="AR421" s="494"/>
      <c r="AS421" s="494"/>
      <c r="AT421" s="494"/>
      <c r="AU421" s="494"/>
      <c r="AV421" s="494"/>
      <c r="AW421" s="494"/>
      <c r="AX421" s="494"/>
    </row>
    <row r="422" spans="1:50" customFormat="1" ht="27.2" customHeight="1" x14ac:dyDescent="0.25">
      <c r="A422" s="492"/>
      <c r="B422" s="687" t="s">
        <v>793</v>
      </c>
      <c r="C422" s="687"/>
      <c r="D422" s="687"/>
      <c r="E422" s="687"/>
      <c r="F422" s="687"/>
      <c r="G422" s="687" t="s">
        <v>2253</v>
      </c>
      <c r="H422" s="687"/>
      <c r="I422" s="687"/>
      <c r="J422" s="687"/>
      <c r="K422" s="687" t="s">
        <v>15</v>
      </c>
      <c r="L422" s="687"/>
      <c r="M422" s="687"/>
      <c r="N422" s="687"/>
      <c r="O422" s="687"/>
      <c r="P422" s="687"/>
      <c r="Q422" s="494"/>
      <c r="R422" s="494"/>
      <c r="S422" s="494"/>
      <c r="T422" s="494"/>
      <c r="U422" s="494"/>
      <c r="V422" s="494"/>
      <c r="W422" s="494"/>
      <c r="X422" s="494"/>
      <c r="Y422" s="494"/>
      <c r="Z422" s="494"/>
      <c r="AA422" s="494"/>
      <c r="AB422" s="494"/>
      <c r="AC422" s="494"/>
      <c r="AD422" s="494"/>
      <c r="AE422" s="494"/>
      <c r="AF422" s="494"/>
      <c r="AG422" s="494"/>
      <c r="AH422" s="494"/>
      <c r="AI422" s="494"/>
      <c r="AJ422" s="494"/>
      <c r="AK422" s="494"/>
      <c r="AL422" s="494"/>
      <c r="AM422" s="494"/>
      <c r="AN422" s="494"/>
      <c r="AO422" s="494"/>
      <c r="AP422" s="494"/>
      <c r="AQ422" s="494"/>
      <c r="AR422" s="494"/>
      <c r="AS422" s="494"/>
      <c r="AT422" s="494"/>
      <c r="AU422" s="494"/>
      <c r="AV422" s="494"/>
      <c r="AW422" s="494"/>
      <c r="AX422" s="494"/>
    </row>
    <row r="423" spans="1:50" customFormat="1" x14ac:dyDescent="0.25">
      <c r="A423" s="690" t="s">
        <v>926</v>
      </c>
      <c r="B423" s="690"/>
      <c r="C423" s="690"/>
      <c r="D423" s="690"/>
      <c r="E423" s="690"/>
      <c r="F423" s="690"/>
      <c r="G423" s="690"/>
      <c r="H423" s="690"/>
      <c r="I423" s="690"/>
      <c r="J423" s="690"/>
      <c r="K423" s="690"/>
      <c r="L423" s="690"/>
      <c r="M423" s="690"/>
      <c r="N423" s="690"/>
      <c r="O423" s="690"/>
      <c r="P423" s="690"/>
      <c r="Q423" s="494"/>
      <c r="R423" s="494"/>
      <c r="S423" s="494"/>
      <c r="T423" s="494"/>
      <c r="U423" s="494"/>
      <c r="V423" s="494"/>
      <c r="W423" s="494"/>
      <c r="X423" s="494"/>
      <c r="Y423" s="494"/>
      <c r="Z423" s="494"/>
      <c r="AA423" s="494"/>
      <c r="AB423" s="494"/>
      <c r="AC423" s="494"/>
      <c r="AD423" s="494"/>
      <c r="AE423" s="494"/>
      <c r="AF423" s="494"/>
      <c r="AG423" s="494"/>
      <c r="AH423" s="494"/>
      <c r="AI423" s="494"/>
      <c r="AJ423" s="494"/>
      <c r="AK423" s="494"/>
      <c r="AL423" s="494"/>
      <c r="AM423" s="494"/>
      <c r="AN423" s="494"/>
      <c r="AO423" s="494"/>
      <c r="AP423" s="494"/>
      <c r="AQ423" s="494"/>
      <c r="AR423" s="494"/>
      <c r="AS423" s="494"/>
      <c r="AT423" s="494"/>
      <c r="AU423" s="494"/>
      <c r="AV423" s="494"/>
      <c r="AW423" s="494"/>
      <c r="AX423" s="494"/>
    </row>
    <row r="424" spans="1:50" customFormat="1" ht="135.94999999999999" customHeight="1" x14ac:dyDescent="0.25">
      <c r="A424" s="495" t="s">
        <v>927</v>
      </c>
      <c r="B424" s="692" t="s">
        <v>791</v>
      </c>
      <c r="C424" s="693"/>
      <c r="D424" s="693"/>
      <c r="E424" s="693"/>
      <c r="F424" s="693"/>
      <c r="G424" s="693" t="s">
        <v>928</v>
      </c>
      <c r="H424" s="693"/>
      <c r="I424" s="693"/>
      <c r="J424" s="693"/>
      <c r="K424" s="693" t="s">
        <v>2274</v>
      </c>
      <c r="L424" s="693"/>
      <c r="M424" s="693"/>
      <c r="N424" s="693"/>
      <c r="O424" s="694">
        <f>ROUND((6131100 + 4907 * (0.4 * 500 + 0.6 * (500 / 2))) * 1 * 0.6 * 1.56 * 0.6 * 0.7, 2)</f>
        <v>3085421.98</v>
      </c>
      <c r="P424" s="693"/>
      <c r="Q424" s="494"/>
      <c r="R424" s="494"/>
      <c r="S424" s="494"/>
      <c r="T424" s="494"/>
      <c r="U424" s="494"/>
      <c r="V424" s="494"/>
      <c r="W424" s="494"/>
      <c r="X424" s="494"/>
      <c r="Y424" s="494"/>
      <c r="Z424" s="494"/>
      <c r="AA424" s="494"/>
      <c r="AB424" s="494"/>
      <c r="AC424" s="494"/>
      <c r="AD424" s="494"/>
      <c r="AE424" s="494"/>
      <c r="AF424" s="494"/>
      <c r="AG424" s="494"/>
      <c r="AH424" s="494"/>
      <c r="AI424" s="494"/>
      <c r="AJ424" s="494"/>
      <c r="AK424" s="494"/>
      <c r="AL424" s="494"/>
      <c r="AM424" s="494"/>
      <c r="AN424" s="494"/>
      <c r="AO424" s="494"/>
      <c r="AP424" s="494"/>
      <c r="AQ424" s="494"/>
      <c r="AR424" s="494"/>
      <c r="AS424" s="494"/>
      <c r="AT424" s="494"/>
      <c r="AU424" s="494"/>
      <c r="AV424" s="494"/>
      <c r="AW424" s="494"/>
      <c r="AX424" s="494"/>
    </row>
    <row r="425" spans="1:50" customFormat="1" x14ac:dyDescent="0.25">
      <c r="A425" s="496"/>
      <c r="B425" s="695" t="s">
        <v>564</v>
      </c>
      <c r="C425" s="695"/>
      <c r="D425" s="695"/>
      <c r="E425" s="695"/>
      <c r="F425" s="695"/>
      <c r="G425" s="695" t="s">
        <v>15</v>
      </c>
      <c r="H425" s="695"/>
      <c r="I425" s="695"/>
      <c r="J425" s="695"/>
      <c r="K425" s="695" t="s">
        <v>15</v>
      </c>
      <c r="L425" s="695"/>
      <c r="M425" s="695"/>
      <c r="N425" s="695"/>
      <c r="O425" s="695"/>
      <c r="P425" s="695"/>
      <c r="Q425" s="494"/>
      <c r="R425" s="494"/>
      <c r="S425" s="494"/>
      <c r="T425" s="494"/>
      <c r="U425" s="494"/>
      <c r="V425" s="494"/>
      <c r="W425" s="494"/>
      <c r="X425" s="494"/>
      <c r="Y425" s="494"/>
      <c r="Z425" s="494"/>
      <c r="AA425" s="494"/>
      <c r="AB425" s="494"/>
      <c r="AC425" s="494"/>
      <c r="AD425" s="494"/>
      <c r="AE425" s="494"/>
      <c r="AF425" s="494"/>
      <c r="AG425" s="494"/>
      <c r="AH425" s="494"/>
      <c r="AI425" s="494"/>
      <c r="AJ425" s="494"/>
      <c r="AK425" s="494"/>
      <c r="AL425" s="494"/>
      <c r="AM425" s="494"/>
      <c r="AN425" s="494"/>
      <c r="AO425" s="494"/>
      <c r="AP425" s="494"/>
      <c r="AQ425" s="494"/>
      <c r="AR425" s="494"/>
      <c r="AS425" s="494"/>
      <c r="AT425" s="494"/>
      <c r="AU425" s="494"/>
      <c r="AV425" s="494"/>
      <c r="AW425" s="494"/>
      <c r="AX425" s="494"/>
    </row>
    <row r="426" spans="1:50" customFormat="1" x14ac:dyDescent="0.25">
      <c r="A426" s="492"/>
      <c r="B426" s="687" t="s">
        <v>681</v>
      </c>
      <c r="C426" s="687"/>
      <c r="D426" s="687"/>
      <c r="E426" s="687"/>
      <c r="F426" s="687"/>
      <c r="G426" s="687" t="s">
        <v>682</v>
      </c>
      <c r="H426" s="687"/>
      <c r="I426" s="687"/>
      <c r="J426" s="687"/>
      <c r="K426" s="687" t="s">
        <v>15</v>
      </c>
      <c r="L426" s="687"/>
      <c r="M426" s="687"/>
      <c r="N426" s="687"/>
      <c r="O426" s="687"/>
      <c r="P426" s="687"/>
      <c r="Q426" s="494"/>
      <c r="R426" s="494"/>
      <c r="S426" s="494"/>
      <c r="T426" s="494"/>
      <c r="U426" s="494"/>
      <c r="V426" s="494"/>
      <c r="W426" s="494"/>
      <c r="X426" s="494"/>
      <c r="Y426" s="494"/>
      <c r="Z426" s="494"/>
      <c r="AA426" s="494"/>
      <c r="AB426" s="494"/>
      <c r="AC426" s="494"/>
      <c r="AD426" s="494"/>
      <c r="AE426" s="494"/>
      <c r="AF426" s="494"/>
      <c r="AG426" s="494"/>
      <c r="AH426" s="494"/>
      <c r="AI426" s="494"/>
      <c r="AJ426" s="494"/>
      <c r="AK426" s="494"/>
      <c r="AL426" s="494"/>
      <c r="AM426" s="494"/>
      <c r="AN426" s="494"/>
      <c r="AO426" s="494"/>
      <c r="AP426" s="494"/>
      <c r="AQ426" s="494"/>
      <c r="AR426" s="494"/>
      <c r="AS426" s="494"/>
      <c r="AT426" s="494"/>
      <c r="AU426" s="494"/>
      <c r="AV426" s="494"/>
      <c r="AW426" s="494"/>
      <c r="AX426" s="494"/>
    </row>
    <row r="427" spans="1:50" customFormat="1" ht="40.9" customHeight="1" x14ac:dyDescent="0.25">
      <c r="A427" s="492"/>
      <c r="B427" s="687" t="s">
        <v>683</v>
      </c>
      <c r="C427" s="687"/>
      <c r="D427" s="687"/>
      <c r="E427" s="687"/>
      <c r="F427" s="687"/>
      <c r="G427" s="687" t="s">
        <v>684</v>
      </c>
      <c r="H427" s="687"/>
      <c r="I427" s="687"/>
      <c r="J427" s="687"/>
      <c r="K427" s="687" t="s">
        <v>15</v>
      </c>
      <c r="L427" s="687"/>
      <c r="M427" s="687"/>
      <c r="N427" s="687"/>
      <c r="O427" s="687"/>
      <c r="P427" s="687"/>
      <c r="Q427" s="494"/>
      <c r="R427" s="494"/>
      <c r="S427" s="494"/>
      <c r="T427" s="494"/>
      <c r="U427" s="494"/>
      <c r="V427" s="494"/>
      <c r="W427" s="494"/>
      <c r="X427" s="494"/>
      <c r="Y427" s="494"/>
      <c r="Z427" s="494"/>
      <c r="AA427" s="494"/>
      <c r="AB427" s="494"/>
      <c r="AC427" s="494"/>
      <c r="AD427" s="494"/>
      <c r="AE427" s="494"/>
      <c r="AF427" s="494"/>
      <c r="AG427" s="494"/>
      <c r="AH427" s="494"/>
      <c r="AI427" s="494"/>
      <c r="AJ427" s="494"/>
      <c r="AK427" s="494"/>
      <c r="AL427" s="494"/>
      <c r="AM427" s="494"/>
      <c r="AN427" s="494"/>
      <c r="AO427" s="494"/>
      <c r="AP427" s="494"/>
      <c r="AQ427" s="494"/>
      <c r="AR427" s="494"/>
      <c r="AS427" s="494"/>
      <c r="AT427" s="494"/>
      <c r="AU427" s="494"/>
      <c r="AV427" s="494"/>
      <c r="AW427" s="494"/>
      <c r="AX427" s="494"/>
    </row>
    <row r="428" spans="1:50" customFormat="1" ht="95.25" customHeight="1" x14ac:dyDescent="0.25">
      <c r="A428" s="492"/>
      <c r="B428" s="687" t="s">
        <v>778</v>
      </c>
      <c r="C428" s="687"/>
      <c r="D428" s="687"/>
      <c r="E428" s="687"/>
      <c r="F428" s="687"/>
      <c r="G428" s="687" t="s">
        <v>798</v>
      </c>
      <c r="H428" s="687"/>
      <c r="I428" s="687"/>
      <c r="J428" s="687"/>
      <c r="K428" s="687" t="s">
        <v>15</v>
      </c>
      <c r="L428" s="687"/>
      <c r="M428" s="687"/>
      <c r="N428" s="687"/>
      <c r="O428" s="687"/>
      <c r="P428" s="687"/>
      <c r="Q428" s="494"/>
      <c r="R428" s="494"/>
      <c r="S428" s="494"/>
      <c r="T428" s="494"/>
      <c r="U428" s="494"/>
      <c r="V428" s="494"/>
      <c r="W428" s="494"/>
      <c r="X428" s="494"/>
      <c r="Y428" s="494"/>
      <c r="Z428" s="494"/>
      <c r="AA428" s="494"/>
      <c r="AB428" s="494"/>
      <c r="AC428" s="494"/>
      <c r="AD428" s="494"/>
      <c r="AE428" s="494"/>
      <c r="AF428" s="494"/>
      <c r="AG428" s="494"/>
      <c r="AH428" s="494"/>
      <c r="AI428" s="494"/>
      <c r="AJ428" s="494"/>
      <c r="AK428" s="494"/>
      <c r="AL428" s="494"/>
      <c r="AM428" s="494"/>
      <c r="AN428" s="494"/>
      <c r="AO428" s="494"/>
      <c r="AP428" s="494"/>
      <c r="AQ428" s="494"/>
      <c r="AR428" s="494"/>
      <c r="AS428" s="494"/>
      <c r="AT428" s="494"/>
      <c r="AU428" s="494"/>
      <c r="AV428" s="494"/>
      <c r="AW428" s="494"/>
      <c r="AX428" s="494"/>
    </row>
    <row r="429" spans="1:50" customFormat="1" ht="27.2" customHeight="1" x14ac:dyDescent="0.25">
      <c r="A429" s="492"/>
      <c r="B429" s="687" t="s">
        <v>793</v>
      </c>
      <c r="C429" s="687"/>
      <c r="D429" s="687"/>
      <c r="E429" s="687"/>
      <c r="F429" s="687"/>
      <c r="G429" s="687" t="s">
        <v>2253</v>
      </c>
      <c r="H429" s="687"/>
      <c r="I429" s="687"/>
      <c r="J429" s="687"/>
      <c r="K429" s="687" t="s">
        <v>15</v>
      </c>
      <c r="L429" s="687"/>
      <c r="M429" s="687"/>
      <c r="N429" s="687"/>
      <c r="O429" s="687"/>
      <c r="P429" s="687"/>
      <c r="Q429" s="494"/>
      <c r="R429" s="494"/>
      <c r="S429" s="494"/>
      <c r="T429" s="494"/>
      <c r="U429" s="494"/>
      <c r="V429" s="494"/>
      <c r="W429" s="494"/>
      <c r="X429" s="494"/>
      <c r="Y429" s="494"/>
      <c r="Z429" s="494"/>
      <c r="AA429" s="494"/>
      <c r="AB429" s="494"/>
      <c r="AC429" s="494"/>
      <c r="AD429" s="494"/>
      <c r="AE429" s="494"/>
      <c r="AF429" s="494"/>
      <c r="AG429" s="494"/>
      <c r="AH429" s="494"/>
      <c r="AI429" s="494"/>
      <c r="AJ429" s="494"/>
      <c r="AK429" s="494"/>
      <c r="AL429" s="494"/>
      <c r="AM429" s="494"/>
      <c r="AN429" s="494"/>
      <c r="AO429" s="494"/>
      <c r="AP429" s="494"/>
      <c r="AQ429" s="494"/>
      <c r="AR429" s="494"/>
      <c r="AS429" s="494"/>
      <c r="AT429" s="494"/>
      <c r="AU429" s="494"/>
      <c r="AV429" s="494"/>
      <c r="AW429" s="494"/>
      <c r="AX429" s="494"/>
    </row>
    <row r="430" spans="1:50" customFormat="1" x14ac:dyDescent="0.25">
      <c r="A430" s="690" t="s">
        <v>929</v>
      </c>
      <c r="B430" s="690"/>
      <c r="C430" s="690"/>
      <c r="D430" s="690"/>
      <c r="E430" s="690"/>
      <c r="F430" s="690"/>
      <c r="G430" s="690"/>
      <c r="H430" s="690"/>
      <c r="I430" s="690"/>
      <c r="J430" s="690"/>
      <c r="K430" s="690"/>
      <c r="L430" s="690"/>
      <c r="M430" s="690"/>
      <c r="N430" s="690"/>
      <c r="O430" s="690"/>
      <c r="P430" s="690"/>
      <c r="Q430" s="494"/>
      <c r="R430" s="494"/>
      <c r="S430" s="494"/>
      <c r="T430" s="494"/>
      <c r="U430" s="494"/>
      <c r="V430" s="494"/>
      <c r="W430" s="494"/>
      <c r="X430" s="494"/>
      <c r="Y430" s="494"/>
      <c r="Z430" s="494"/>
      <c r="AA430" s="494"/>
      <c r="AB430" s="494"/>
      <c r="AC430" s="494"/>
      <c r="AD430" s="494"/>
      <c r="AE430" s="494"/>
      <c r="AF430" s="494"/>
      <c r="AG430" s="494"/>
      <c r="AH430" s="494"/>
      <c r="AI430" s="494"/>
      <c r="AJ430" s="494"/>
      <c r="AK430" s="494"/>
      <c r="AL430" s="494"/>
      <c r="AM430" s="494"/>
      <c r="AN430" s="494"/>
      <c r="AO430" s="494"/>
      <c r="AP430" s="494"/>
      <c r="AQ430" s="494"/>
      <c r="AR430" s="494"/>
      <c r="AS430" s="494"/>
      <c r="AT430" s="494"/>
      <c r="AU430" s="494"/>
      <c r="AV430" s="494"/>
      <c r="AW430" s="494"/>
      <c r="AX430" s="494"/>
    </row>
    <row r="431" spans="1:50" customFormat="1" ht="122.45" customHeight="1" x14ac:dyDescent="0.25">
      <c r="A431" s="495" t="s">
        <v>930</v>
      </c>
      <c r="B431" s="692" t="s">
        <v>931</v>
      </c>
      <c r="C431" s="693"/>
      <c r="D431" s="693"/>
      <c r="E431" s="693"/>
      <c r="F431" s="693"/>
      <c r="G431" s="693" t="s">
        <v>932</v>
      </c>
      <c r="H431" s="693"/>
      <c r="I431" s="693"/>
      <c r="J431" s="693"/>
      <c r="K431" s="693" t="s">
        <v>2308</v>
      </c>
      <c r="L431" s="693"/>
      <c r="M431" s="693"/>
      <c r="N431" s="693"/>
      <c r="O431" s="694">
        <f>ROUND((3051800 + 946944 * 1.17) * 1 * 1.56 * 0.6 * 0.7, 2)</f>
        <v>2725451.48</v>
      </c>
      <c r="P431" s="693"/>
      <c r="Q431" s="494"/>
      <c r="R431" s="494"/>
      <c r="S431" s="494"/>
      <c r="T431" s="494"/>
      <c r="U431" s="494"/>
      <c r="V431" s="494"/>
      <c r="W431" s="494"/>
      <c r="X431" s="494"/>
      <c r="Y431" s="494"/>
      <c r="Z431" s="494"/>
      <c r="AA431" s="494"/>
      <c r="AB431" s="494"/>
      <c r="AC431" s="494"/>
      <c r="AD431" s="494"/>
      <c r="AE431" s="494"/>
      <c r="AF431" s="494"/>
      <c r="AG431" s="494"/>
      <c r="AH431" s="494"/>
      <c r="AI431" s="494"/>
      <c r="AJ431" s="494"/>
      <c r="AK431" s="494"/>
      <c r="AL431" s="494"/>
      <c r="AM431" s="494"/>
      <c r="AN431" s="494"/>
      <c r="AO431" s="494"/>
      <c r="AP431" s="494"/>
      <c r="AQ431" s="494"/>
      <c r="AR431" s="494"/>
      <c r="AS431" s="494"/>
      <c r="AT431" s="494"/>
      <c r="AU431" s="494"/>
      <c r="AV431" s="494"/>
      <c r="AW431" s="494"/>
      <c r="AX431" s="494"/>
    </row>
    <row r="432" spans="1:50" customFormat="1" x14ac:dyDescent="0.25">
      <c r="A432" s="496"/>
      <c r="B432" s="695" t="s">
        <v>564</v>
      </c>
      <c r="C432" s="695"/>
      <c r="D432" s="695"/>
      <c r="E432" s="695"/>
      <c r="F432" s="695"/>
      <c r="G432" s="695" t="s">
        <v>15</v>
      </c>
      <c r="H432" s="695"/>
      <c r="I432" s="695"/>
      <c r="J432" s="695"/>
      <c r="K432" s="695" t="s">
        <v>15</v>
      </c>
      <c r="L432" s="695"/>
      <c r="M432" s="695"/>
      <c r="N432" s="695"/>
      <c r="O432" s="695"/>
      <c r="P432" s="695"/>
      <c r="Q432" s="494"/>
      <c r="R432" s="494"/>
      <c r="S432" s="494"/>
      <c r="T432" s="494"/>
      <c r="U432" s="494"/>
      <c r="V432" s="494"/>
      <c r="W432" s="494"/>
      <c r="X432" s="494"/>
      <c r="Y432" s="494"/>
      <c r="Z432" s="494"/>
      <c r="AA432" s="494"/>
      <c r="AB432" s="494"/>
      <c r="AC432" s="494"/>
      <c r="AD432" s="494"/>
      <c r="AE432" s="494"/>
      <c r="AF432" s="494"/>
      <c r="AG432" s="494"/>
      <c r="AH432" s="494"/>
      <c r="AI432" s="494"/>
      <c r="AJ432" s="494"/>
      <c r="AK432" s="494"/>
      <c r="AL432" s="494"/>
      <c r="AM432" s="494"/>
      <c r="AN432" s="494"/>
      <c r="AO432" s="494"/>
      <c r="AP432" s="494"/>
      <c r="AQ432" s="494"/>
      <c r="AR432" s="494"/>
      <c r="AS432" s="494"/>
      <c r="AT432" s="494"/>
      <c r="AU432" s="494"/>
      <c r="AV432" s="494"/>
      <c r="AW432" s="494"/>
      <c r="AX432" s="494"/>
    </row>
    <row r="433" spans="1:50" customFormat="1" x14ac:dyDescent="0.25">
      <c r="A433" s="492"/>
      <c r="B433" s="687" t="s">
        <v>681</v>
      </c>
      <c r="C433" s="687"/>
      <c r="D433" s="687"/>
      <c r="E433" s="687"/>
      <c r="F433" s="687"/>
      <c r="G433" s="687" t="s">
        <v>682</v>
      </c>
      <c r="H433" s="687"/>
      <c r="I433" s="687"/>
      <c r="J433" s="687"/>
      <c r="K433" s="687" t="s">
        <v>15</v>
      </c>
      <c r="L433" s="687"/>
      <c r="M433" s="687"/>
      <c r="N433" s="687"/>
      <c r="O433" s="687"/>
      <c r="P433" s="687"/>
      <c r="Q433" s="494"/>
      <c r="R433" s="494"/>
      <c r="S433" s="494"/>
      <c r="T433" s="494"/>
      <c r="U433" s="494"/>
      <c r="V433" s="494"/>
      <c r="W433" s="494"/>
      <c r="X433" s="494"/>
      <c r="Y433" s="494"/>
      <c r="Z433" s="494"/>
      <c r="AA433" s="494"/>
      <c r="AB433" s="494"/>
      <c r="AC433" s="494"/>
      <c r="AD433" s="494"/>
      <c r="AE433" s="494"/>
      <c r="AF433" s="494"/>
      <c r="AG433" s="494"/>
      <c r="AH433" s="494"/>
      <c r="AI433" s="494"/>
      <c r="AJ433" s="494"/>
      <c r="AK433" s="494"/>
      <c r="AL433" s="494"/>
      <c r="AM433" s="494"/>
      <c r="AN433" s="494"/>
      <c r="AO433" s="494"/>
      <c r="AP433" s="494"/>
      <c r="AQ433" s="494"/>
      <c r="AR433" s="494"/>
      <c r="AS433" s="494"/>
      <c r="AT433" s="494"/>
      <c r="AU433" s="494"/>
      <c r="AV433" s="494"/>
      <c r="AW433" s="494"/>
      <c r="AX433" s="494"/>
    </row>
    <row r="434" spans="1:50" customFormat="1" ht="40.9" customHeight="1" x14ac:dyDescent="0.25">
      <c r="A434" s="492"/>
      <c r="B434" s="687" t="s">
        <v>683</v>
      </c>
      <c r="C434" s="687"/>
      <c r="D434" s="687"/>
      <c r="E434" s="687"/>
      <c r="F434" s="687"/>
      <c r="G434" s="687" t="s">
        <v>684</v>
      </c>
      <c r="H434" s="687"/>
      <c r="I434" s="687"/>
      <c r="J434" s="687"/>
      <c r="K434" s="687" t="s">
        <v>15</v>
      </c>
      <c r="L434" s="687"/>
      <c r="M434" s="687"/>
      <c r="N434" s="687"/>
      <c r="O434" s="687"/>
      <c r="P434" s="687"/>
      <c r="Q434" s="494"/>
      <c r="R434" s="494"/>
      <c r="S434" s="494"/>
      <c r="T434" s="494"/>
      <c r="U434" s="494"/>
      <c r="V434" s="494"/>
      <c r="W434" s="494"/>
      <c r="X434" s="494"/>
      <c r="Y434" s="494"/>
      <c r="Z434" s="494"/>
      <c r="AA434" s="494"/>
      <c r="AB434" s="494"/>
      <c r="AC434" s="494"/>
      <c r="AD434" s="494"/>
      <c r="AE434" s="494"/>
      <c r="AF434" s="494"/>
      <c r="AG434" s="494"/>
      <c r="AH434" s="494"/>
      <c r="AI434" s="494"/>
      <c r="AJ434" s="494"/>
      <c r="AK434" s="494"/>
      <c r="AL434" s="494"/>
      <c r="AM434" s="494"/>
      <c r="AN434" s="494"/>
      <c r="AO434" s="494"/>
      <c r="AP434" s="494"/>
      <c r="AQ434" s="494"/>
      <c r="AR434" s="494"/>
      <c r="AS434" s="494"/>
      <c r="AT434" s="494"/>
      <c r="AU434" s="494"/>
      <c r="AV434" s="494"/>
      <c r="AW434" s="494"/>
      <c r="AX434" s="494"/>
    </row>
    <row r="435" spans="1:50" customFormat="1" ht="27.2" customHeight="1" x14ac:dyDescent="0.25">
      <c r="A435" s="492"/>
      <c r="B435" s="687" t="s">
        <v>793</v>
      </c>
      <c r="C435" s="687"/>
      <c r="D435" s="687"/>
      <c r="E435" s="687"/>
      <c r="F435" s="687"/>
      <c r="G435" s="687" t="s">
        <v>2253</v>
      </c>
      <c r="H435" s="687"/>
      <c r="I435" s="687"/>
      <c r="J435" s="687"/>
      <c r="K435" s="687" t="s">
        <v>15</v>
      </c>
      <c r="L435" s="687"/>
      <c r="M435" s="687"/>
      <c r="N435" s="687"/>
      <c r="O435" s="687"/>
      <c r="P435" s="687"/>
      <c r="Q435" s="494"/>
      <c r="R435" s="494"/>
      <c r="S435" s="494"/>
      <c r="T435" s="494"/>
      <c r="U435" s="494"/>
      <c r="V435" s="494"/>
      <c r="W435" s="494"/>
      <c r="X435" s="494"/>
      <c r="Y435" s="494"/>
      <c r="Z435" s="494"/>
      <c r="AA435" s="494"/>
      <c r="AB435" s="494"/>
      <c r="AC435" s="494"/>
      <c r="AD435" s="494"/>
      <c r="AE435" s="494"/>
      <c r="AF435" s="494"/>
      <c r="AG435" s="494"/>
      <c r="AH435" s="494"/>
      <c r="AI435" s="494"/>
      <c r="AJ435" s="494"/>
      <c r="AK435" s="494"/>
      <c r="AL435" s="494"/>
      <c r="AM435" s="494"/>
      <c r="AN435" s="494"/>
      <c r="AO435" s="494"/>
      <c r="AP435" s="494"/>
      <c r="AQ435" s="494"/>
      <c r="AR435" s="494"/>
      <c r="AS435" s="494"/>
      <c r="AT435" s="494"/>
      <c r="AU435" s="494"/>
      <c r="AV435" s="494"/>
      <c r="AW435" s="494"/>
      <c r="AX435" s="494"/>
    </row>
    <row r="436" spans="1:50" customFormat="1" x14ac:dyDescent="0.25">
      <c r="A436" s="690" t="s">
        <v>933</v>
      </c>
      <c r="B436" s="690"/>
      <c r="C436" s="690"/>
      <c r="D436" s="690"/>
      <c r="E436" s="690"/>
      <c r="F436" s="690"/>
      <c r="G436" s="690"/>
      <c r="H436" s="690"/>
      <c r="I436" s="690"/>
      <c r="J436" s="690"/>
      <c r="K436" s="690"/>
      <c r="L436" s="690"/>
      <c r="M436" s="690"/>
      <c r="N436" s="690"/>
      <c r="O436" s="690"/>
      <c r="P436" s="690"/>
      <c r="Q436" s="494"/>
      <c r="R436" s="494"/>
      <c r="S436" s="494"/>
      <c r="T436" s="494"/>
      <c r="U436" s="494"/>
      <c r="V436" s="494"/>
      <c r="W436" s="494"/>
      <c r="X436" s="494"/>
      <c r="Y436" s="494"/>
      <c r="Z436" s="494"/>
      <c r="AA436" s="494"/>
      <c r="AB436" s="494"/>
      <c r="AC436" s="494"/>
      <c r="AD436" s="494"/>
      <c r="AE436" s="494"/>
      <c r="AF436" s="494"/>
      <c r="AG436" s="494"/>
      <c r="AH436" s="494"/>
      <c r="AI436" s="494"/>
      <c r="AJ436" s="494"/>
      <c r="AK436" s="494"/>
      <c r="AL436" s="494"/>
      <c r="AM436" s="494"/>
      <c r="AN436" s="494"/>
      <c r="AO436" s="494"/>
      <c r="AP436" s="494"/>
      <c r="AQ436" s="494"/>
      <c r="AR436" s="494"/>
      <c r="AS436" s="494"/>
      <c r="AT436" s="494"/>
      <c r="AU436" s="494"/>
      <c r="AV436" s="494"/>
      <c r="AW436" s="494"/>
      <c r="AX436" s="494"/>
    </row>
    <row r="437" spans="1:50" customFormat="1" x14ac:dyDescent="0.25">
      <c r="A437" s="690" t="s">
        <v>934</v>
      </c>
      <c r="B437" s="690"/>
      <c r="C437" s="690"/>
      <c r="D437" s="690"/>
      <c r="E437" s="690"/>
      <c r="F437" s="690"/>
      <c r="G437" s="690"/>
      <c r="H437" s="690"/>
      <c r="I437" s="690"/>
      <c r="J437" s="690"/>
      <c r="K437" s="690"/>
      <c r="L437" s="690"/>
      <c r="M437" s="690"/>
      <c r="N437" s="690"/>
      <c r="O437" s="690"/>
      <c r="P437" s="690"/>
      <c r="Q437" s="494"/>
      <c r="R437" s="494"/>
      <c r="S437" s="494"/>
      <c r="T437" s="494"/>
      <c r="U437" s="494"/>
      <c r="V437" s="494"/>
      <c r="W437" s="494"/>
      <c r="X437" s="494"/>
      <c r="Y437" s="494"/>
      <c r="Z437" s="494"/>
      <c r="AA437" s="494"/>
      <c r="AB437" s="494"/>
      <c r="AC437" s="494"/>
      <c r="AD437" s="494"/>
      <c r="AE437" s="494"/>
      <c r="AF437" s="494"/>
      <c r="AG437" s="494"/>
      <c r="AH437" s="494"/>
      <c r="AI437" s="494"/>
      <c r="AJ437" s="494"/>
      <c r="AK437" s="494"/>
      <c r="AL437" s="494"/>
      <c r="AM437" s="494"/>
      <c r="AN437" s="494"/>
      <c r="AO437" s="494"/>
      <c r="AP437" s="494"/>
      <c r="AQ437" s="494"/>
      <c r="AR437" s="494"/>
      <c r="AS437" s="494"/>
      <c r="AT437" s="494"/>
      <c r="AU437" s="494"/>
      <c r="AV437" s="494"/>
      <c r="AW437" s="494"/>
      <c r="AX437" s="494"/>
    </row>
    <row r="438" spans="1:50" customFormat="1" ht="122.45" customHeight="1" x14ac:dyDescent="0.25">
      <c r="A438" s="495" t="s">
        <v>935</v>
      </c>
      <c r="B438" s="692" t="s">
        <v>826</v>
      </c>
      <c r="C438" s="693"/>
      <c r="D438" s="693"/>
      <c r="E438" s="693"/>
      <c r="F438" s="693"/>
      <c r="G438" s="693" t="s">
        <v>936</v>
      </c>
      <c r="H438" s="693"/>
      <c r="I438" s="693"/>
      <c r="J438" s="693"/>
      <c r="K438" s="693" t="s">
        <v>2309</v>
      </c>
      <c r="L438" s="693"/>
      <c r="M438" s="693"/>
      <c r="N438" s="693"/>
      <c r="O438" s="694">
        <f>ROUND((61900 + 15484 * 1.485) * 1 * 1.56 * 0.6 * 0.7, 2)</f>
        <v>55622.38</v>
      </c>
      <c r="P438" s="693"/>
      <c r="Q438" s="494"/>
      <c r="R438" s="494"/>
      <c r="S438" s="494"/>
      <c r="T438" s="494"/>
      <c r="U438" s="494"/>
      <c r="V438" s="494"/>
      <c r="W438" s="494"/>
      <c r="X438" s="494"/>
      <c r="Y438" s="494"/>
      <c r="Z438" s="494"/>
      <c r="AA438" s="494"/>
      <c r="AB438" s="494"/>
      <c r="AC438" s="494"/>
      <c r="AD438" s="494"/>
      <c r="AE438" s="494"/>
      <c r="AF438" s="494"/>
      <c r="AG438" s="494"/>
      <c r="AH438" s="494"/>
      <c r="AI438" s="494"/>
      <c r="AJ438" s="494"/>
      <c r="AK438" s="494"/>
      <c r="AL438" s="494"/>
      <c r="AM438" s="494"/>
      <c r="AN438" s="494"/>
      <c r="AO438" s="494"/>
      <c r="AP438" s="494"/>
      <c r="AQ438" s="494"/>
      <c r="AR438" s="494"/>
      <c r="AS438" s="494"/>
      <c r="AT438" s="494"/>
      <c r="AU438" s="494"/>
      <c r="AV438" s="494"/>
      <c r="AW438" s="494"/>
      <c r="AX438" s="494"/>
    </row>
    <row r="439" spans="1:50" customFormat="1" x14ac:dyDescent="0.25">
      <c r="A439" s="496"/>
      <c r="B439" s="695" t="s">
        <v>564</v>
      </c>
      <c r="C439" s="695"/>
      <c r="D439" s="695"/>
      <c r="E439" s="695"/>
      <c r="F439" s="695"/>
      <c r="G439" s="695" t="s">
        <v>15</v>
      </c>
      <c r="H439" s="695"/>
      <c r="I439" s="695"/>
      <c r="J439" s="695"/>
      <c r="K439" s="695" t="s">
        <v>15</v>
      </c>
      <c r="L439" s="695"/>
      <c r="M439" s="695"/>
      <c r="N439" s="695"/>
      <c r="O439" s="695"/>
      <c r="P439" s="695"/>
      <c r="Q439" s="494"/>
      <c r="R439" s="494"/>
      <c r="S439" s="494"/>
      <c r="T439" s="494"/>
      <c r="U439" s="494"/>
      <c r="V439" s="494"/>
      <c r="W439" s="494"/>
      <c r="X439" s="494"/>
      <c r="Y439" s="494"/>
      <c r="Z439" s="494"/>
      <c r="AA439" s="494"/>
      <c r="AB439" s="494"/>
      <c r="AC439" s="494"/>
      <c r="AD439" s="494"/>
      <c r="AE439" s="494"/>
      <c r="AF439" s="494"/>
      <c r="AG439" s="494"/>
      <c r="AH439" s="494"/>
      <c r="AI439" s="494"/>
      <c r="AJ439" s="494"/>
      <c r="AK439" s="494"/>
      <c r="AL439" s="494"/>
      <c r="AM439" s="494"/>
      <c r="AN439" s="494"/>
      <c r="AO439" s="494"/>
      <c r="AP439" s="494"/>
      <c r="AQ439" s="494"/>
      <c r="AR439" s="494"/>
      <c r="AS439" s="494"/>
      <c r="AT439" s="494"/>
      <c r="AU439" s="494"/>
      <c r="AV439" s="494"/>
      <c r="AW439" s="494"/>
      <c r="AX439" s="494"/>
    </row>
    <row r="440" spans="1:50" customFormat="1" x14ac:dyDescent="0.25">
      <c r="A440" s="492"/>
      <c r="B440" s="687" t="s">
        <v>681</v>
      </c>
      <c r="C440" s="687"/>
      <c r="D440" s="687"/>
      <c r="E440" s="687"/>
      <c r="F440" s="687"/>
      <c r="G440" s="687" t="s">
        <v>682</v>
      </c>
      <c r="H440" s="687"/>
      <c r="I440" s="687"/>
      <c r="J440" s="687"/>
      <c r="K440" s="687" t="s">
        <v>15</v>
      </c>
      <c r="L440" s="687"/>
      <c r="M440" s="687"/>
      <c r="N440" s="687"/>
      <c r="O440" s="687"/>
      <c r="P440" s="687"/>
      <c r="Q440" s="494"/>
      <c r="R440" s="494"/>
      <c r="S440" s="494"/>
      <c r="T440" s="494"/>
      <c r="U440" s="494"/>
      <c r="V440" s="494"/>
      <c r="W440" s="494"/>
      <c r="X440" s="494"/>
      <c r="Y440" s="494"/>
      <c r="Z440" s="494"/>
      <c r="AA440" s="494"/>
      <c r="AB440" s="494"/>
      <c r="AC440" s="494"/>
      <c r="AD440" s="494"/>
      <c r="AE440" s="494"/>
      <c r="AF440" s="494"/>
      <c r="AG440" s="494"/>
      <c r="AH440" s="494"/>
      <c r="AI440" s="494"/>
      <c r="AJ440" s="494"/>
      <c r="AK440" s="494"/>
      <c r="AL440" s="494"/>
      <c r="AM440" s="494"/>
      <c r="AN440" s="494"/>
      <c r="AO440" s="494"/>
      <c r="AP440" s="494"/>
      <c r="AQ440" s="494"/>
      <c r="AR440" s="494"/>
      <c r="AS440" s="494"/>
      <c r="AT440" s="494"/>
      <c r="AU440" s="494"/>
      <c r="AV440" s="494"/>
      <c r="AW440" s="494"/>
      <c r="AX440" s="494"/>
    </row>
    <row r="441" spans="1:50" customFormat="1" ht="40.9" customHeight="1" x14ac:dyDescent="0.25">
      <c r="A441" s="492"/>
      <c r="B441" s="687" t="s">
        <v>683</v>
      </c>
      <c r="C441" s="687"/>
      <c r="D441" s="687"/>
      <c r="E441" s="687"/>
      <c r="F441" s="687"/>
      <c r="G441" s="687" t="s">
        <v>684</v>
      </c>
      <c r="H441" s="687"/>
      <c r="I441" s="687"/>
      <c r="J441" s="687"/>
      <c r="K441" s="687" t="s">
        <v>15</v>
      </c>
      <c r="L441" s="687"/>
      <c r="M441" s="687"/>
      <c r="N441" s="687"/>
      <c r="O441" s="687"/>
      <c r="P441" s="687"/>
      <c r="Q441" s="494"/>
      <c r="R441" s="494"/>
      <c r="S441" s="494"/>
      <c r="T441" s="494"/>
      <c r="U441" s="494"/>
      <c r="V441" s="494"/>
      <c r="W441" s="494"/>
      <c r="X441" s="494"/>
      <c r="Y441" s="494"/>
      <c r="Z441" s="494"/>
      <c r="AA441" s="494"/>
      <c r="AB441" s="494"/>
      <c r="AC441" s="494"/>
      <c r="AD441" s="494"/>
      <c r="AE441" s="494"/>
      <c r="AF441" s="494"/>
      <c r="AG441" s="494"/>
      <c r="AH441" s="494"/>
      <c r="AI441" s="494"/>
      <c r="AJ441" s="494"/>
      <c r="AK441" s="494"/>
      <c r="AL441" s="494"/>
      <c r="AM441" s="494"/>
      <c r="AN441" s="494"/>
      <c r="AO441" s="494"/>
      <c r="AP441" s="494"/>
      <c r="AQ441" s="494"/>
      <c r="AR441" s="494"/>
      <c r="AS441" s="494"/>
      <c r="AT441" s="494"/>
      <c r="AU441" s="494"/>
      <c r="AV441" s="494"/>
      <c r="AW441" s="494"/>
      <c r="AX441" s="494"/>
    </row>
    <row r="442" spans="1:50" customFormat="1" ht="27.2" customHeight="1" x14ac:dyDescent="0.25">
      <c r="A442" s="492"/>
      <c r="B442" s="687" t="s">
        <v>793</v>
      </c>
      <c r="C442" s="687"/>
      <c r="D442" s="687"/>
      <c r="E442" s="687"/>
      <c r="F442" s="687"/>
      <c r="G442" s="687" t="s">
        <v>2253</v>
      </c>
      <c r="H442" s="687"/>
      <c r="I442" s="687"/>
      <c r="J442" s="687"/>
      <c r="K442" s="687" t="s">
        <v>15</v>
      </c>
      <c r="L442" s="687"/>
      <c r="M442" s="687"/>
      <c r="N442" s="687"/>
      <c r="O442" s="687"/>
      <c r="P442" s="687"/>
      <c r="Q442" s="494"/>
      <c r="R442" s="494"/>
      <c r="S442" s="494"/>
      <c r="T442" s="494"/>
      <c r="U442" s="494"/>
      <c r="V442" s="494"/>
      <c r="W442" s="494"/>
      <c r="X442" s="494"/>
      <c r="Y442" s="494"/>
      <c r="Z442" s="494"/>
      <c r="AA442" s="494"/>
      <c r="AB442" s="494"/>
      <c r="AC442" s="494"/>
      <c r="AD442" s="494"/>
      <c r="AE442" s="494"/>
      <c r="AF442" s="494"/>
      <c r="AG442" s="494"/>
      <c r="AH442" s="494"/>
      <c r="AI442" s="494"/>
      <c r="AJ442" s="494"/>
      <c r="AK442" s="494"/>
      <c r="AL442" s="494"/>
      <c r="AM442" s="494"/>
      <c r="AN442" s="494"/>
      <c r="AO442" s="494"/>
      <c r="AP442" s="494"/>
      <c r="AQ442" s="494"/>
      <c r="AR442" s="494"/>
      <c r="AS442" s="494"/>
      <c r="AT442" s="494"/>
      <c r="AU442" s="494"/>
      <c r="AV442" s="494"/>
      <c r="AW442" s="494"/>
      <c r="AX442" s="494"/>
    </row>
    <row r="443" spans="1:50" customFormat="1" x14ac:dyDescent="0.25">
      <c r="A443" s="690" t="s">
        <v>937</v>
      </c>
      <c r="B443" s="690"/>
      <c r="C443" s="690"/>
      <c r="D443" s="690"/>
      <c r="E443" s="690"/>
      <c r="F443" s="690"/>
      <c r="G443" s="690"/>
      <c r="H443" s="690"/>
      <c r="I443" s="690"/>
      <c r="J443" s="690"/>
      <c r="K443" s="690"/>
      <c r="L443" s="690"/>
      <c r="M443" s="690"/>
      <c r="N443" s="690"/>
      <c r="O443" s="690"/>
      <c r="P443" s="690"/>
      <c r="Q443" s="494"/>
      <c r="R443" s="494"/>
      <c r="S443" s="494"/>
      <c r="T443" s="494"/>
      <c r="U443" s="494"/>
      <c r="V443" s="494"/>
      <c r="W443" s="494"/>
      <c r="X443" s="494"/>
      <c r="Y443" s="494"/>
      <c r="Z443" s="494"/>
      <c r="AA443" s="494"/>
      <c r="AB443" s="494"/>
      <c r="AC443" s="494"/>
      <c r="AD443" s="494"/>
      <c r="AE443" s="494"/>
      <c r="AF443" s="494"/>
      <c r="AG443" s="494"/>
      <c r="AH443" s="494"/>
      <c r="AI443" s="494"/>
      <c r="AJ443" s="494"/>
      <c r="AK443" s="494"/>
      <c r="AL443" s="494"/>
      <c r="AM443" s="494"/>
      <c r="AN443" s="494"/>
      <c r="AO443" s="494"/>
      <c r="AP443" s="494"/>
      <c r="AQ443" s="494"/>
      <c r="AR443" s="494"/>
      <c r="AS443" s="494"/>
      <c r="AT443" s="494"/>
      <c r="AU443" s="494"/>
      <c r="AV443" s="494"/>
      <c r="AW443" s="494"/>
      <c r="AX443" s="494"/>
    </row>
    <row r="444" spans="1:50" customFormat="1" x14ac:dyDescent="0.25">
      <c r="A444" s="690" t="s">
        <v>938</v>
      </c>
      <c r="B444" s="690"/>
      <c r="C444" s="690"/>
      <c r="D444" s="690"/>
      <c r="E444" s="690"/>
      <c r="F444" s="690"/>
      <c r="G444" s="690"/>
      <c r="H444" s="690"/>
      <c r="I444" s="690"/>
      <c r="J444" s="690"/>
      <c r="K444" s="690"/>
      <c r="L444" s="690"/>
      <c r="M444" s="690"/>
      <c r="N444" s="690"/>
      <c r="O444" s="690"/>
      <c r="P444" s="690"/>
      <c r="Q444" s="494"/>
      <c r="R444" s="494"/>
      <c r="S444" s="494"/>
      <c r="T444" s="494"/>
      <c r="U444" s="494"/>
      <c r="V444" s="494"/>
      <c r="W444" s="494"/>
      <c r="X444" s="494"/>
      <c r="Y444" s="494"/>
      <c r="Z444" s="494"/>
      <c r="AA444" s="494"/>
      <c r="AB444" s="494"/>
      <c r="AC444" s="494"/>
      <c r="AD444" s="494"/>
      <c r="AE444" s="494"/>
      <c r="AF444" s="494"/>
      <c r="AG444" s="494"/>
      <c r="AH444" s="494"/>
      <c r="AI444" s="494"/>
      <c r="AJ444" s="494"/>
      <c r="AK444" s="494"/>
      <c r="AL444" s="494"/>
      <c r="AM444" s="494"/>
      <c r="AN444" s="494"/>
      <c r="AO444" s="494"/>
      <c r="AP444" s="494"/>
      <c r="AQ444" s="494"/>
      <c r="AR444" s="494"/>
      <c r="AS444" s="494"/>
      <c r="AT444" s="494"/>
      <c r="AU444" s="494"/>
      <c r="AV444" s="494"/>
      <c r="AW444" s="494"/>
      <c r="AX444" s="494"/>
    </row>
    <row r="445" spans="1:50" customFormat="1" ht="122.45" customHeight="1" x14ac:dyDescent="0.25">
      <c r="A445" s="495" t="s">
        <v>939</v>
      </c>
      <c r="B445" s="692" t="s">
        <v>826</v>
      </c>
      <c r="C445" s="693"/>
      <c r="D445" s="693"/>
      <c r="E445" s="693"/>
      <c r="F445" s="693"/>
      <c r="G445" s="693" t="s">
        <v>940</v>
      </c>
      <c r="H445" s="693"/>
      <c r="I445" s="693"/>
      <c r="J445" s="693"/>
      <c r="K445" s="693" t="s">
        <v>2310</v>
      </c>
      <c r="L445" s="693"/>
      <c r="M445" s="693"/>
      <c r="N445" s="693"/>
      <c r="O445" s="694">
        <f>ROUND((61900 + 15484 * 2.42) * 1 * 1.56 * 0.6 * 0.7, 2)</f>
        <v>65108.06</v>
      </c>
      <c r="P445" s="693"/>
      <c r="Q445" s="494"/>
      <c r="R445" s="494"/>
      <c r="S445" s="494"/>
      <c r="T445" s="494"/>
      <c r="U445" s="494"/>
      <c r="V445" s="494"/>
      <c r="W445" s="494"/>
      <c r="X445" s="494"/>
      <c r="Y445" s="494"/>
      <c r="Z445" s="494"/>
      <c r="AA445" s="494"/>
      <c r="AB445" s="494"/>
      <c r="AC445" s="494"/>
      <c r="AD445" s="494"/>
      <c r="AE445" s="494"/>
      <c r="AF445" s="494"/>
      <c r="AG445" s="494"/>
      <c r="AH445" s="494"/>
      <c r="AI445" s="494"/>
      <c r="AJ445" s="494"/>
      <c r="AK445" s="494"/>
      <c r="AL445" s="494"/>
      <c r="AM445" s="494"/>
      <c r="AN445" s="494"/>
      <c r="AO445" s="494"/>
      <c r="AP445" s="494"/>
      <c r="AQ445" s="494"/>
      <c r="AR445" s="494"/>
      <c r="AS445" s="494"/>
      <c r="AT445" s="494"/>
      <c r="AU445" s="494"/>
      <c r="AV445" s="494"/>
      <c r="AW445" s="494"/>
      <c r="AX445" s="494"/>
    </row>
    <row r="446" spans="1:50" customFormat="1" x14ac:dyDescent="0.25">
      <c r="A446" s="496"/>
      <c r="B446" s="695" t="s">
        <v>564</v>
      </c>
      <c r="C446" s="695"/>
      <c r="D446" s="695"/>
      <c r="E446" s="695"/>
      <c r="F446" s="695"/>
      <c r="G446" s="695" t="s">
        <v>15</v>
      </c>
      <c r="H446" s="695"/>
      <c r="I446" s="695"/>
      <c r="J446" s="695"/>
      <c r="K446" s="695" t="s">
        <v>15</v>
      </c>
      <c r="L446" s="695"/>
      <c r="M446" s="695"/>
      <c r="N446" s="695"/>
      <c r="O446" s="695"/>
      <c r="P446" s="695"/>
      <c r="Q446" s="494"/>
      <c r="R446" s="494"/>
      <c r="S446" s="494"/>
      <c r="T446" s="494"/>
      <c r="U446" s="494"/>
      <c r="V446" s="494"/>
      <c r="W446" s="494"/>
      <c r="X446" s="494"/>
      <c r="Y446" s="494"/>
      <c r="Z446" s="494"/>
      <c r="AA446" s="494"/>
      <c r="AB446" s="494"/>
      <c r="AC446" s="494"/>
      <c r="AD446" s="494"/>
      <c r="AE446" s="494"/>
      <c r="AF446" s="494"/>
      <c r="AG446" s="494"/>
      <c r="AH446" s="494"/>
      <c r="AI446" s="494"/>
      <c r="AJ446" s="494"/>
      <c r="AK446" s="494"/>
      <c r="AL446" s="494"/>
      <c r="AM446" s="494"/>
      <c r="AN446" s="494"/>
      <c r="AO446" s="494"/>
      <c r="AP446" s="494"/>
      <c r="AQ446" s="494"/>
      <c r="AR446" s="494"/>
      <c r="AS446" s="494"/>
      <c r="AT446" s="494"/>
      <c r="AU446" s="494"/>
      <c r="AV446" s="494"/>
      <c r="AW446" s="494"/>
      <c r="AX446" s="494"/>
    </row>
    <row r="447" spans="1:50" customFormat="1" x14ac:dyDescent="0.25">
      <c r="A447" s="492"/>
      <c r="B447" s="687" t="s">
        <v>681</v>
      </c>
      <c r="C447" s="687"/>
      <c r="D447" s="687"/>
      <c r="E447" s="687"/>
      <c r="F447" s="687"/>
      <c r="G447" s="687" t="s">
        <v>682</v>
      </c>
      <c r="H447" s="687"/>
      <c r="I447" s="687"/>
      <c r="J447" s="687"/>
      <c r="K447" s="687" t="s">
        <v>15</v>
      </c>
      <c r="L447" s="687"/>
      <c r="M447" s="687"/>
      <c r="N447" s="687"/>
      <c r="O447" s="687"/>
      <c r="P447" s="687"/>
      <c r="Q447" s="494"/>
      <c r="R447" s="494"/>
      <c r="S447" s="494"/>
      <c r="T447" s="494"/>
      <c r="U447" s="494"/>
      <c r="V447" s="494"/>
      <c r="W447" s="494"/>
      <c r="X447" s="494"/>
      <c r="Y447" s="494"/>
      <c r="Z447" s="494"/>
      <c r="AA447" s="494"/>
      <c r="AB447" s="494"/>
      <c r="AC447" s="494"/>
      <c r="AD447" s="494"/>
      <c r="AE447" s="494"/>
      <c r="AF447" s="494"/>
      <c r="AG447" s="494"/>
      <c r="AH447" s="494"/>
      <c r="AI447" s="494"/>
      <c r="AJ447" s="494"/>
      <c r="AK447" s="494"/>
      <c r="AL447" s="494"/>
      <c r="AM447" s="494"/>
      <c r="AN447" s="494"/>
      <c r="AO447" s="494"/>
      <c r="AP447" s="494"/>
      <c r="AQ447" s="494"/>
      <c r="AR447" s="494"/>
      <c r="AS447" s="494"/>
      <c r="AT447" s="494"/>
      <c r="AU447" s="494"/>
      <c r="AV447" s="494"/>
      <c r="AW447" s="494"/>
      <c r="AX447" s="494"/>
    </row>
    <row r="448" spans="1:50" customFormat="1" ht="40.9" customHeight="1" x14ac:dyDescent="0.25">
      <c r="A448" s="492"/>
      <c r="B448" s="687" t="s">
        <v>683</v>
      </c>
      <c r="C448" s="687"/>
      <c r="D448" s="687"/>
      <c r="E448" s="687"/>
      <c r="F448" s="687"/>
      <c r="G448" s="687" t="s">
        <v>684</v>
      </c>
      <c r="H448" s="687"/>
      <c r="I448" s="687"/>
      <c r="J448" s="687"/>
      <c r="K448" s="687" t="s">
        <v>15</v>
      </c>
      <c r="L448" s="687"/>
      <c r="M448" s="687"/>
      <c r="N448" s="687"/>
      <c r="O448" s="687"/>
      <c r="P448" s="687"/>
      <c r="Q448" s="494"/>
      <c r="R448" s="494"/>
      <c r="S448" s="494"/>
      <c r="T448" s="494"/>
      <c r="U448" s="494"/>
      <c r="V448" s="494"/>
      <c r="W448" s="494"/>
      <c r="X448" s="494"/>
      <c r="Y448" s="494"/>
      <c r="Z448" s="494"/>
      <c r="AA448" s="494"/>
      <c r="AB448" s="494"/>
      <c r="AC448" s="494"/>
      <c r="AD448" s="494"/>
      <c r="AE448" s="494"/>
      <c r="AF448" s="494"/>
      <c r="AG448" s="494"/>
      <c r="AH448" s="494"/>
      <c r="AI448" s="494"/>
      <c r="AJ448" s="494"/>
      <c r="AK448" s="494"/>
      <c r="AL448" s="494"/>
      <c r="AM448" s="494"/>
      <c r="AN448" s="494"/>
      <c r="AO448" s="494"/>
      <c r="AP448" s="494"/>
      <c r="AQ448" s="494"/>
      <c r="AR448" s="494"/>
      <c r="AS448" s="494"/>
      <c r="AT448" s="494"/>
      <c r="AU448" s="494"/>
      <c r="AV448" s="494"/>
      <c r="AW448" s="494"/>
      <c r="AX448" s="494"/>
    </row>
    <row r="449" spans="1:50" customFormat="1" ht="27.2" customHeight="1" x14ac:dyDescent="0.25">
      <c r="A449" s="492"/>
      <c r="B449" s="687" t="s">
        <v>793</v>
      </c>
      <c r="C449" s="687"/>
      <c r="D449" s="687"/>
      <c r="E449" s="687"/>
      <c r="F449" s="687"/>
      <c r="G449" s="687" t="s">
        <v>2253</v>
      </c>
      <c r="H449" s="687"/>
      <c r="I449" s="687"/>
      <c r="J449" s="687"/>
      <c r="K449" s="687" t="s">
        <v>15</v>
      </c>
      <c r="L449" s="687"/>
      <c r="M449" s="687"/>
      <c r="N449" s="687"/>
      <c r="O449" s="687"/>
      <c r="P449" s="687"/>
      <c r="Q449" s="494"/>
      <c r="R449" s="494"/>
      <c r="S449" s="494"/>
      <c r="T449" s="494"/>
      <c r="U449" s="494"/>
      <c r="V449" s="494"/>
      <c r="W449" s="494"/>
      <c r="X449" s="494"/>
      <c r="Y449" s="494"/>
      <c r="Z449" s="494"/>
      <c r="AA449" s="494"/>
      <c r="AB449" s="494"/>
      <c r="AC449" s="494"/>
      <c r="AD449" s="494"/>
      <c r="AE449" s="494"/>
      <c r="AF449" s="494"/>
      <c r="AG449" s="494"/>
      <c r="AH449" s="494"/>
      <c r="AI449" s="494"/>
      <c r="AJ449" s="494"/>
      <c r="AK449" s="494"/>
      <c r="AL449" s="494"/>
      <c r="AM449" s="494"/>
      <c r="AN449" s="494"/>
      <c r="AO449" s="494"/>
      <c r="AP449" s="494"/>
      <c r="AQ449" s="494"/>
      <c r="AR449" s="494"/>
      <c r="AS449" s="494"/>
      <c r="AT449" s="494"/>
      <c r="AU449" s="494"/>
      <c r="AV449" s="494"/>
      <c r="AW449" s="494"/>
      <c r="AX449" s="494"/>
    </row>
    <row r="450" spans="1:50" customFormat="1" x14ac:dyDescent="0.25">
      <c r="A450" s="690" t="s">
        <v>941</v>
      </c>
      <c r="B450" s="690"/>
      <c r="C450" s="690"/>
      <c r="D450" s="690"/>
      <c r="E450" s="690"/>
      <c r="F450" s="690"/>
      <c r="G450" s="690"/>
      <c r="H450" s="690"/>
      <c r="I450" s="690"/>
      <c r="J450" s="690"/>
      <c r="K450" s="690"/>
      <c r="L450" s="690"/>
      <c r="M450" s="690"/>
      <c r="N450" s="690"/>
      <c r="O450" s="690"/>
      <c r="P450" s="690"/>
      <c r="Q450" s="494"/>
      <c r="R450" s="494"/>
      <c r="S450" s="494"/>
      <c r="T450" s="494"/>
      <c r="U450" s="494"/>
      <c r="V450" s="494"/>
      <c r="W450" s="494"/>
      <c r="X450" s="494"/>
      <c r="Y450" s="494"/>
      <c r="Z450" s="494"/>
      <c r="AA450" s="494"/>
      <c r="AB450" s="494"/>
      <c r="AC450" s="494"/>
      <c r="AD450" s="494"/>
      <c r="AE450" s="494"/>
      <c r="AF450" s="494"/>
      <c r="AG450" s="494"/>
      <c r="AH450" s="494"/>
      <c r="AI450" s="494"/>
      <c r="AJ450" s="494"/>
      <c r="AK450" s="494"/>
      <c r="AL450" s="494"/>
      <c r="AM450" s="494"/>
      <c r="AN450" s="494"/>
      <c r="AO450" s="494"/>
      <c r="AP450" s="494"/>
      <c r="AQ450" s="494"/>
      <c r="AR450" s="494"/>
      <c r="AS450" s="494"/>
      <c r="AT450" s="494"/>
      <c r="AU450" s="494"/>
      <c r="AV450" s="494"/>
      <c r="AW450" s="494"/>
      <c r="AX450" s="494"/>
    </row>
    <row r="451" spans="1:50" customFormat="1" x14ac:dyDescent="0.25">
      <c r="A451" s="690" t="s">
        <v>942</v>
      </c>
      <c r="B451" s="690"/>
      <c r="C451" s="690"/>
      <c r="D451" s="690"/>
      <c r="E451" s="690"/>
      <c r="F451" s="690"/>
      <c r="G451" s="690"/>
      <c r="H451" s="690"/>
      <c r="I451" s="690"/>
      <c r="J451" s="690"/>
      <c r="K451" s="690"/>
      <c r="L451" s="690"/>
      <c r="M451" s="690"/>
      <c r="N451" s="690"/>
      <c r="O451" s="690"/>
      <c r="P451" s="690"/>
      <c r="Q451" s="494"/>
      <c r="R451" s="494"/>
      <c r="S451" s="494"/>
      <c r="T451" s="494"/>
      <c r="U451" s="494"/>
      <c r="V451" s="494"/>
      <c r="W451" s="494"/>
      <c r="X451" s="494"/>
      <c r="Y451" s="494"/>
      <c r="Z451" s="494"/>
      <c r="AA451" s="494"/>
      <c r="AB451" s="494"/>
      <c r="AC451" s="494"/>
      <c r="AD451" s="494"/>
      <c r="AE451" s="494"/>
      <c r="AF451" s="494"/>
      <c r="AG451" s="494"/>
      <c r="AH451" s="494"/>
      <c r="AI451" s="494"/>
      <c r="AJ451" s="494"/>
      <c r="AK451" s="494"/>
      <c r="AL451" s="494"/>
      <c r="AM451" s="494"/>
      <c r="AN451" s="494"/>
      <c r="AO451" s="494"/>
      <c r="AP451" s="494"/>
      <c r="AQ451" s="494"/>
      <c r="AR451" s="494"/>
      <c r="AS451" s="494"/>
      <c r="AT451" s="494"/>
      <c r="AU451" s="494"/>
      <c r="AV451" s="494"/>
      <c r="AW451" s="494"/>
      <c r="AX451" s="494"/>
    </row>
    <row r="452" spans="1:50" customFormat="1" ht="135.94999999999999" customHeight="1" x14ac:dyDescent="0.25">
      <c r="A452" s="495" t="s">
        <v>943</v>
      </c>
      <c r="B452" s="692" t="s">
        <v>826</v>
      </c>
      <c r="C452" s="693"/>
      <c r="D452" s="693"/>
      <c r="E452" s="693"/>
      <c r="F452" s="693"/>
      <c r="G452" s="693" t="s">
        <v>944</v>
      </c>
      <c r="H452" s="693"/>
      <c r="I452" s="693"/>
      <c r="J452" s="693"/>
      <c r="K452" s="693" t="s">
        <v>2311</v>
      </c>
      <c r="L452" s="693"/>
      <c r="M452" s="693"/>
      <c r="N452" s="693"/>
      <c r="O452" s="694">
        <f>ROUND((61900 + 15484 * (0.4 * 1 + 0.6 * (1 / 2))) * 1 * 0.47 * 1.56 * 0.6 * 0.7, 2)</f>
        <v>22399.48</v>
      </c>
      <c r="P452" s="693"/>
      <c r="Q452" s="494"/>
      <c r="R452" s="494"/>
      <c r="S452" s="494"/>
      <c r="T452" s="494"/>
      <c r="U452" s="494"/>
      <c r="V452" s="494"/>
      <c r="W452" s="494"/>
      <c r="X452" s="494"/>
      <c r="Y452" s="494"/>
      <c r="Z452" s="494"/>
      <c r="AA452" s="494"/>
      <c r="AB452" s="494"/>
      <c r="AC452" s="494"/>
      <c r="AD452" s="494"/>
      <c r="AE452" s="494"/>
      <c r="AF452" s="494"/>
      <c r="AG452" s="494"/>
      <c r="AH452" s="494"/>
      <c r="AI452" s="494"/>
      <c r="AJ452" s="494"/>
      <c r="AK452" s="494"/>
      <c r="AL452" s="494"/>
      <c r="AM452" s="494"/>
      <c r="AN452" s="494"/>
      <c r="AO452" s="494"/>
      <c r="AP452" s="494"/>
      <c r="AQ452" s="494"/>
      <c r="AR452" s="494"/>
      <c r="AS452" s="494"/>
      <c r="AT452" s="494"/>
      <c r="AU452" s="494"/>
      <c r="AV452" s="494"/>
      <c r="AW452" s="494"/>
      <c r="AX452" s="494"/>
    </row>
    <row r="453" spans="1:50" customFormat="1" x14ac:dyDescent="0.25">
      <c r="A453" s="496"/>
      <c r="B453" s="695" t="s">
        <v>564</v>
      </c>
      <c r="C453" s="695"/>
      <c r="D453" s="695"/>
      <c r="E453" s="695"/>
      <c r="F453" s="695"/>
      <c r="G453" s="695" t="s">
        <v>15</v>
      </c>
      <c r="H453" s="695"/>
      <c r="I453" s="695"/>
      <c r="J453" s="695"/>
      <c r="K453" s="695" t="s">
        <v>15</v>
      </c>
      <c r="L453" s="695"/>
      <c r="M453" s="695"/>
      <c r="N453" s="695"/>
      <c r="O453" s="695"/>
      <c r="P453" s="695"/>
      <c r="Q453" s="494"/>
      <c r="R453" s="494"/>
      <c r="S453" s="494"/>
      <c r="T453" s="494"/>
      <c r="U453" s="494"/>
      <c r="V453" s="494"/>
      <c r="W453" s="494"/>
      <c r="X453" s="494"/>
      <c r="Y453" s="494"/>
      <c r="Z453" s="494"/>
      <c r="AA453" s="494"/>
      <c r="AB453" s="494"/>
      <c r="AC453" s="494"/>
      <c r="AD453" s="494"/>
      <c r="AE453" s="494"/>
      <c r="AF453" s="494"/>
      <c r="AG453" s="494"/>
      <c r="AH453" s="494"/>
      <c r="AI453" s="494"/>
      <c r="AJ453" s="494"/>
      <c r="AK453" s="494"/>
      <c r="AL453" s="494"/>
      <c r="AM453" s="494"/>
      <c r="AN453" s="494"/>
      <c r="AO453" s="494"/>
      <c r="AP453" s="494"/>
      <c r="AQ453" s="494"/>
      <c r="AR453" s="494"/>
      <c r="AS453" s="494"/>
      <c r="AT453" s="494"/>
      <c r="AU453" s="494"/>
      <c r="AV453" s="494"/>
      <c r="AW453" s="494"/>
      <c r="AX453" s="494"/>
    </row>
    <row r="454" spans="1:50" customFormat="1" x14ac:dyDescent="0.25">
      <c r="A454" s="492"/>
      <c r="B454" s="687" t="s">
        <v>681</v>
      </c>
      <c r="C454" s="687"/>
      <c r="D454" s="687"/>
      <c r="E454" s="687"/>
      <c r="F454" s="687"/>
      <c r="G454" s="687" t="s">
        <v>682</v>
      </c>
      <c r="H454" s="687"/>
      <c r="I454" s="687"/>
      <c r="J454" s="687"/>
      <c r="K454" s="687" t="s">
        <v>15</v>
      </c>
      <c r="L454" s="687"/>
      <c r="M454" s="687"/>
      <c r="N454" s="687"/>
      <c r="O454" s="687"/>
      <c r="P454" s="687"/>
      <c r="Q454" s="494"/>
      <c r="R454" s="494"/>
      <c r="S454" s="494"/>
      <c r="T454" s="494"/>
      <c r="U454" s="494"/>
      <c r="V454" s="494"/>
      <c r="W454" s="494"/>
      <c r="X454" s="494"/>
      <c r="Y454" s="494"/>
      <c r="Z454" s="494"/>
      <c r="AA454" s="494"/>
      <c r="AB454" s="494"/>
      <c r="AC454" s="494"/>
      <c r="AD454" s="494"/>
      <c r="AE454" s="494"/>
      <c r="AF454" s="494"/>
      <c r="AG454" s="494"/>
      <c r="AH454" s="494"/>
      <c r="AI454" s="494"/>
      <c r="AJ454" s="494"/>
      <c r="AK454" s="494"/>
      <c r="AL454" s="494"/>
      <c r="AM454" s="494"/>
      <c r="AN454" s="494"/>
      <c r="AO454" s="494"/>
      <c r="AP454" s="494"/>
      <c r="AQ454" s="494"/>
      <c r="AR454" s="494"/>
      <c r="AS454" s="494"/>
      <c r="AT454" s="494"/>
      <c r="AU454" s="494"/>
      <c r="AV454" s="494"/>
      <c r="AW454" s="494"/>
      <c r="AX454" s="494"/>
    </row>
    <row r="455" spans="1:50" customFormat="1" ht="40.9" customHeight="1" x14ac:dyDescent="0.25">
      <c r="A455" s="492"/>
      <c r="B455" s="687" t="s">
        <v>683</v>
      </c>
      <c r="C455" s="687"/>
      <c r="D455" s="687"/>
      <c r="E455" s="687"/>
      <c r="F455" s="687"/>
      <c r="G455" s="687" t="s">
        <v>684</v>
      </c>
      <c r="H455" s="687"/>
      <c r="I455" s="687"/>
      <c r="J455" s="687"/>
      <c r="K455" s="687" t="s">
        <v>15</v>
      </c>
      <c r="L455" s="687"/>
      <c r="M455" s="687"/>
      <c r="N455" s="687"/>
      <c r="O455" s="687"/>
      <c r="P455" s="687"/>
      <c r="Q455" s="494"/>
      <c r="R455" s="494"/>
      <c r="S455" s="494"/>
      <c r="T455" s="494"/>
      <c r="U455" s="494"/>
      <c r="V455" s="494"/>
      <c r="W455" s="494"/>
      <c r="X455" s="494"/>
      <c r="Y455" s="494"/>
      <c r="Z455" s="494"/>
      <c r="AA455" s="494"/>
      <c r="AB455" s="494"/>
      <c r="AC455" s="494"/>
      <c r="AD455" s="494"/>
      <c r="AE455" s="494"/>
      <c r="AF455" s="494"/>
      <c r="AG455" s="494"/>
      <c r="AH455" s="494"/>
      <c r="AI455" s="494"/>
      <c r="AJ455" s="494"/>
      <c r="AK455" s="494"/>
      <c r="AL455" s="494"/>
      <c r="AM455" s="494"/>
      <c r="AN455" s="494"/>
      <c r="AO455" s="494"/>
      <c r="AP455" s="494"/>
      <c r="AQ455" s="494"/>
      <c r="AR455" s="494"/>
      <c r="AS455" s="494"/>
      <c r="AT455" s="494"/>
      <c r="AU455" s="494"/>
      <c r="AV455" s="494"/>
      <c r="AW455" s="494"/>
      <c r="AX455" s="494"/>
    </row>
    <row r="456" spans="1:50" customFormat="1" ht="95.25" customHeight="1" x14ac:dyDescent="0.25">
      <c r="A456" s="492"/>
      <c r="B456" s="687" t="s">
        <v>778</v>
      </c>
      <c r="C456" s="687"/>
      <c r="D456" s="687"/>
      <c r="E456" s="687"/>
      <c r="F456" s="687"/>
      <c r="G456" s="687" t="s">
        <v>945</v>
      </c>
      <c r="H456" s="687"/>
      <c r="I456" s="687"/>
      <c r="J456" s="687"/>
      <c r="K456" s="687" t="s">
        <v>15</v>
      </c>
      <c r="L456" s="687"/>
      <c r="M456" s="687"/>
      <c r="N456" s="687"/>
      <c r="O456" s="687"/>
      <c r="P456" s="687"/>
      <c r="Q456" s="494"/>
      <c r="R456" s="494"/>
      <c r="S456" s="494"/>
      <c r="T456" s="494"/>
      <c r="U456" s="494"/>
      <c r="V456" s="494"/>
      <c r="W456" s="494"/>
      <c r="X456" s="494"/>
      <c r="Y456" s="494"/>
      <c r="Z456" s="494"/>
      <c r="AA456" s="494"/>
      <c r="AB456" s="494"/>
      <c r="AC456" s="494"/>
      <c r="AD456" s="494"/>
      <c r="AE456" s="494"/>
      <c r="AF456" s="494"/>
      <c r="AG456" s="494"/>
      <c r="AH456" s="494"/>
      <c r="AI456" s="494"/>
      <c r="AJ456" s="494"/>
      <c r="AK456" s="494"/>
      <c r="AL456" s="494"/>
      <c r="AM456" s="494"/>
      <c r="AN456" s="494"/>
      <c r="AO456" s="494"/>
      <c r="AP456" s="494"/>
      <c r="AQ456" s="494"/>
      <c r="AR456" s="494"/>
      <c r="AS456" s="494"/>
      <c r="AT456" s="494"/>
      <c r="AU456" s="494"/>
      <c r="AV456" s="494"/>
      <c r="AW456" s="494"/>
      <c r="AX456" s="494"/>
    </row>
    <row r="457" spans="1:50" customFormat="1" ht="27.2" customHeight="1" x14ac:dyDescent="0.25">
      <c r="A457" s="492"/>
      <c r="B457" s="687" t="s">
        <v>793</v>
      </c>
      <c r="C457" s="687"/>
      <c r="D457" s="687"/>
      <c r="E457" s="687"/>
      <c r="F457" s="687"/>
      <c r="G457" s="687" t="s">
        <v>2253</v>
      </c>
      <c r="H457" s="687"/>
      <c r="I457" s="687"/>
      <c r="J457" s="687"/>
      <c r="K457" s="687" t="s">
        <v>15</v>
      </c>
      <c r="L457" s="687"/>
      <c r="M457" s="687"/>
      <c r="N457" s="687"/>
      <c r="O457" s="687"/>
      <c r="P457" s="687"/>
      <c r="Q457" s="494"/>
      <c r="R457" s="494"/>
      <c r="S457" s="494"/>
      <c r="T457" s="494"/>
      <c r="U457" s="494"/>
      <c r="V457" s="494"/>
      <c r="W457" s="494"/>
      <c r="X457" s="494"/>
      <c r="Y457" s="494"/>
      <c r="Z457" s="494"/>
      <c r="AA457" s="494"/>
      <c r="AB457" s="494"/>
      <c r="AC457" s="494"/>
      <c r="AD457" s="494"/>
      <c r="AE457" s="494"/>
      <c r="AF457" s="494"/>
      <c r="AG457" s="494"/>
      <c r="AH457" s="494"/>
      <c r="AI457" s="494"/>
      <c r="AJ457" s="494"/>
      <c r="AK457" s="494"/>
      <c r="AL457" s="494"/>
      <c r="AM457" s="494"/>
      <c r="AN457" s="494"/>
      <c r="AO457" s="494"/>
      <c r="AP457" s="494"/>
      <c r="AQ457" s="494"/>
      <c r="AR457" s="494"/>
      <c r="AS457" s="494"/>
      <c r="AT457" s="494"/>
      <c r="AU457" s="494"/>
      <c r="AV457" s="494"/>
      <c r="AW457" s="494"/>
      <c r="AX457" s="494"/>
    </row>
    <row r="458" spans="1:50" customFormat="1" x14ac:dyDescent="0.25">
      <c r="A458" s="690" t="s">
        <v>946</v>
      </c>
      <c r="B458" s="690"/>
      <c r="C458" s="690"/>
      <c r="D458" s="690"/>
      <c r="E458" s="690"/>
      <c r="F458" s="690"/>
      <c r="G458" s="690"/>
      <c r="H458" s="690"/>
      <c r="I458" s="690"/>
      <c r="J458" s="690"/>
      <c r="K458" s="690"/>
      <c r="L458" s="690"/>
      <c r="M458" s="690"/>
      <c r="N458" s="690"/>
      <c r="O458" s="690"/>
      <c r="P458" s="690"/>
      <c r="Q458" s="494"/>
      <c r="R458" s="494"/>
      <c r="S458" s="494"/>
      <c r="T458" s="494"/>
      <c r="U458" s="494"/>
      <c r="V458" s="494"/>
      <c r="W458" s="494"/>
      <c r="X458" s="494"/>
      <c r="Y458" s="494"/>
      <c r="Z458" s="494"/>
      <c r="AA458" s="494"/>
      <c r="AB458" s="494"/>
      <c r="AC458" s="494"/>
      <c r="AD458" s="494"/>
      <c r="AE458" s="494"/>
      <c r="AF458" s="494"/>
      <c r="AG458" s="494"/>
      <c r="AH458" s="494"/>
      <c r="AI458" s="494"/>
      <c r="AJ458" s="494"/>
      <c r="AK458" s="494"/>
      <c r="AL458" s="494"/>
      <c r="AM458" s="494"/>
      <c r="AN458" s="494"/>
      <c r="AO458" s="494"/>
      <c r="AP458" s="494"/>
      <c r="AQ458" s="494"/>
      <c r="AR458" s="494"/>
      <c r="AS458" s="494"/>
      <c r="AT458" s="494"/>
      <c r="AU458" s="494"/>
      <c r="AV458" s="494"/>
      <c r="AW458" s="494"/>
      <c r="AX458" s="494"/>
    </row>
    <row r="459" spans="1:50" customFormat="1" ht="122.45" customHeight="1" x14ac:dyDescent="0.25">
      <c r="A459" s="495" t="s">
        <v>947</v>
      </c>
      <c r="B459" s="692" t="s">
        <v>826</v>
      </c>
      <c r="C459" s="693"/>
      <c r="D459" s="693"/>
      <c r="E459" s="693"/>
      <c r="F459" s="693"/>
      <c r="G459" s="693" t="s">
        <v>948</v>
      </c>
      <c r="H459" s="693"/>
      <c r="I459" s="693"/>
      <c r="J459" s="693"/>
      <c r="K459" s="693" t="s">
        <v>2312</v>
      </c>
      <c r="L459" s="693"/>
      <c r="M459" s="693"/>
      <c r="N459" s="693"/>
      <c r="O459" s="694">
        <f>ROUND((61900 + 15484 * 2) * 1 * 1.56 * 0.6 * 0.7, 2)</f>
        <v>60847.11</v>
      </c>
      <c r="P459" s="693"/>
      <c r="Q459" s="494"/>
      <c r="R459" s="494"/>
      <c r="S459" s="494"/>
      <c r="T459" s="494"/>
      <c r="U459" s="494"/>
      <c r="V459" s="494"/>
      <c r="W459" s="494"/>
      <c r="X459" s="494"/>
      <c r="Y459" s="494"/>
      <c r="Z459" s="494"/>
      <c r="AA459" s="494"/>
      <c r="AB459" s="494"/>
      <c r="AC459" s="494"/>
      <c r="AD459" s="494"/>
      <c r="AE459" s="494"/>
      <c r="AF459" s="494"/>
      <c r="AG459" s="494"/>
      <c r="AH459" s="494"/>
      <c r="AI459" s="494"/>
      <c r="AJ459" s="494"/>
      <c r="AK459" s="494"/>
      <c r="AL459" s="494"/>
      <c r="AM459" s="494"/>
      <c r="AN459" s="494"/>
      <c r="AO459" s="494"/>
      <c r="AP459" s="494"/>
      <c r="AQ459" s="494"/>
      <c r="AR459" s="494"/>
      <c r="AS459" s="494"/>
      <c r="AT459" s="494"/>
      <c r="AU459" s="494"/>
      <c r="AV459" s="494"/>
      <c r="AW459" s="494"/>
      <c r="AX459" s="494"/>
    </row>
    <row r="460" spans="1:50" customFormat="1" x14ac:dyDescent="0.25">
      <c r="A460" s="496"/>
      <c r="B460" s="695" t="s">
        <v>564</v>
      </c>
      <c r="C460" s="695"/>
      <c r="D460" s="695"/>
      <c r="E460" s="695"/>
      <c r="F460" s="695"/>
      <c r="G460" s="695" t="s">
        <v>15</v>
      </c>
      <c r="H460" s="695"/>
      <c r="I460" s="695"/>
      <c r="J460" s="695"/>
      <c r="K460" s="695" t="s">
        <v>15</v>
      </c>
      <c r="L460" s="695"/>
      <c r="M460" s="695"/>
      <c r="N460" s="695"/>
      <c r="O460" s="695"/>
      <c r="P460" s="695"/>
      <c r="Q460" s="494"/>
      <c r="R460" s="494"/>
      <c r="S460" s="494"/>
      <c r="T460" s="494"/>
      <c r="U460" s="494"/>
      <c r="V460" s="494"/>
      <c r="W460" s="494"/>
      <c r="X460" s="494"/>
      <c r="Y460" s="494"/>
      <c r="Z460" s="494"/>
      <c r="AA460" s="494"/>
      <c r="AB460" s="494"/>
      <c r="AC460" s="494"/>
      <c r="AD460" s="494"/>
      <c r="AE460" s="494"/>
      <c r="AF460" s="494"/>
      <c r="AG460" s="494"/>
      <c r="AH460" s="494"/>
      <c r="AI460" s="494"/>
      <c r="AJ460" s="494"/>
      <c r="AK460" s="494"/>
      <c r="AL460" s="494"/>
      <c r="AM460" s="494"/>
      <c r="AN460" s="494"/>
      <c r="AO460" s="494"/>
      <c r="AP460" s="494"/>
      <c r="AQ460" s="494"/>
      <c r="AR460" s="494"/>
      <c r="AS460" s="494"/>
      <c r="AT460" s="494"/>
      <c r="AU460" s="494"/>
      <c r="AV460" s="494"/>
      <c r="AW460" s="494"/>
      <c r="AX460" s="494"/>
    </row>
    <row r="461" spans="1:50" customFormat="1" x14ac:dyDescent="0.25">
      <c r="A461" s="492"/>
      <c r="B461" s="687" t="s">
        <v>681</v>
      </c>
      <c r="C461" s="687"/>
      <c r="D461" s="687"/>
      <c r="E461" s="687"/>
      <c r="F461" s="687"/>
      <c r="G461" s="687" t="s">
        <v>682</v>
      </c>
      <c r="H461" s="687"/>
      <c r="I461" s="687"/>
      <c r="J461" s="687"/>
      <c r="K461" s="687" t="s">
        <v>15</v>
      </c>
      <c r="L461" s="687"/>
      <c r="M461" s="687"/>
      <c r="N461" s="687"/>
      <c r="O461" s="687"/>
      <c r="P461" s="687"/>
      <c r="Q461" s="494"/>
      <c r="R461" s="494"/>
      <c r="S461" s="494"/>
      <c r="T461" s="494"/>
      <c r="U461" s="494"/>
      <c r="V461" s="494"/>
      <c r="W461" s="494"/>
      <c r="X461" s="494"/>
      <c r="Y461" s="494"/>
      <c r="Z461" s="494"/>
      <c r="AA461" s="494"/>
      <c r="AB461" s="494"/>
      <c r="AC461" s="494"/>
      <c r="AD461" s="494"/>
      <c r="AE461" s="494"/>
      <c r="AF461" s="494"/>
      <c r="AG461" s="494"/>
      <c r="AH461" s="494"/>
      <c r="AI461" s="494"/>
      <c r="AJ461" s="494"/>
      <c r="AK461" s="494"/>
      <c r="AL461" s="494"/>
      <c r="AM461" s="494"/>
      <c r="AN461" s="494"/>
      <c r="AO461" s="494"/>
      <c r="AP461" s="494"/>
      <c r="AQ461" s="494"/>
      <c r="AR461" s="494"/>
      <c r="AS461" s="494"/>
      <c r="AT461" s="494"/>
      <c r="AU461" s="494"/>
      <c r="AV461" s="494"/>
      <c r="AW461" s="494"/>
      <c r="AX461" s="494"/>
    </row>
    <row r="462" spans="1:50" customFormat="1" ht="40.9" customHeight="1" x14ac:dyDescent="0.25">
      <c r="A462" s="492"/>
      <c r="B462" s="687" t="s">
        <v>683</v>
      </c>
      <c r="C462" s="687"/>
      <c r="D462" s="687"/>
      <c r="E462" s="687"/>
      <c r="F462" s="687"/>
      <c r="G462" s="687" t="s">
        <v>684</v>
      </c>
      <c r="H462" s="687"/>
      <c r="I462" s="687"/>
      <c r="J462" s="687"/>
      <c r="K462" s="687" t="s">
        <v>15</v>
      </c>
      <c r="L462" s="687"/>
      <c r="M462" s="687"/>
      <c r="N462" s="687"/>
      <c r="O462" s="687"/>
      <c r="P462" s="687"/>
      <c r="Q462" s="494"/>
      <c r="R462" s="494"/>
      <c r="S462" s="494"/>
      <c r="T462" s="494"/>
      <c r="U462" s="494"/>
      <c r="V462" s="494"/>
      <c r="W462" s="494"/>
      <c r="X462" s="494"/>
      <c r="Y462" s="494"/>
      <c r="Z462" s="494"/>
      <c r="AA462" s="494"/>
      <c r="AB462" s="494"/>
      <c r="AC462" s="494"/>
      <c r="AD462" s="494"/>
      <c r="AE462" s="494"/>
      <c r="AF462" s="494"/>
      <c r="AG462" s="494"/>
      <c r="AH462" s="494"/>
      <c r="AI462" s="494"/>
      <c r="AJ462" s="494"/>
      <c r="AK462" s="494"/>
      <c r="AL462" s="494"/>
      <c r="AM462" s="494"/>
      <c r="AN462" s="494"/>
      <c r="AO462" s="494"/>
      <c r="AP462" s="494"/>
      <c r="AQ462" s="494"/>
      <c r="AR462" s="494"/>
      <c r="AS462" s="494"/>
      <c r="AT462" s="494"/>
      <c r="AU462" s="494"/>
      <c r="AV462" s="494"/>
      <c r="AW462" s="494"/>
      <c r="AX462" s="494"/>
    </row>
    <row r="463" spans="1:50" customFormat="1" ht="27.2" customHeight="1" x14ac:dyDescent="0.25">
      <c r="A463" s="492"/>
      <c r="B463" s="687" t="s">
        <v>793</v>
      </c>
      <c r="C463" s="687"/>
      <c r="D463" s="687"/>
      <c r="E463" s="687"/>
      <c r="F463" s="687"/>
      <c r="G463" s="687" t="s">
        <v>2253</v>
      </c>
      <c r="H463" s="687"/>
      <c r="I463" s="687"/>
      <c r="J463" s="687"/>
      <c r="K463" s="687" t="s">
        <v>15</v>
      </c>
      <c r="L463" s="687"/>
      <c r="M463" s="687"/>
      <c r="N463" s="687"/>
      <c r="O463" s="687"/>
      <c r="P463" s="687"/>
      <c r="Q463" s="494"/>
      <c r="R463" s="494"/>
      <c r="S463" s="494"/>
      <c r="T463" s="494"/>
      <c r="U463" s="494"/>
      <c r="V463" s="494"/>
      <c r="W463" s="494"/>
      <c r="X463" s="494"/>
      <c r="Y463" s="494"/>
      <c r="Z463" s="494"/>
      <c r="AA463" s="494"/>
      <c r="AB463" s="494"/>
      <c r="AC463" s="494"/>
      <c r="AD463" s="494"/>
      <c r="AE463" s="494"/>
      <c r="AF463" s="494"/>
      <c r="AG463" s="494"/>
      <c r="AH463" s="494"/>
      <c r="AI463" s="494"/>
      <c r="AJ463" s="494"/>
      <c r="AK463" s="494"/>
      <c r="AL463" s="494"/>
      <c r="AM463" s="494"/>
      <c r="AN463" s="494"/>
      <c r="AO463" s="494"/>
      <c r="AP463" s="494"/>
      <c r="AQ463" s="494"/>
      <c r="AR463" s="494"/>
      <c r="AS463" s="494"/>
      <c r="AT463" s="494"/>
      <c r="AU463" s="494"/>
      <c r="AV463" s="494"/>
      <c r="AW463" s="494"/>
      <c r="AX463" s="494"/>
    </row>
    <row r="464" spans="1:50" customFormat="1" x14ac:dyDescent="0.25">
      <c r="A464" s="690" t="s">
        <v>949</v>
      </c>
      <c r="B464" s="690"/>
      <c r="C464" s="690"/>
      <c r="D464" s="690"/>
      <c r="E464" s="690"/>
      <c r="F464" s="690"/>
      <c r="G464" s="690"/>
      <c r="H464" s="690"/>
      <c r="I464" s="690"/>
      <c r="J464" s="690"/>
      <c r="K464" s="690"/>
      <c r="L464" s="690"/>
      <c r="M464" s="690"/>
      <c r="N464" s="690"/>
      <c r="O464" s="690"/>
      <c r="P464" s="690"/>
      <c r="Q464" s="494"/>
      <c r="R464" s="494"/>
      <c r="S464" s="494"/>
      <c r="T464" s="494"/>
      <c r="U464" s="494"/>
      <c r="V464" s="494"/>
      <c r="W464" s="494"/>
      <c r="X464" s="494"/>
      <c r="Y464" s="494"/>
      <c r="Z464" s="494"/>
      <c r="AA464" s="494"/>
      <c r="AB464" s="494"/>
      <c r="AC464" s="494"/>
      <c r="AD464" s="494"/>
      <c r="AE464" s="494"/>
      <c r="AF464" s="494"/>
      <c r="AG464" s="494"/>
      <c r="AH464" s="494"/>
      <c r="AI464" s="494"/>
      <c r="AJ464" s="494"/>
      <c r="AK464" s="494"/>
      <c r="AL464" s="494"/>
      <c r="AM464" s="494"/>
      <c r="AN464" s="494"/>
      <c r="AO464" s="494"/>
      <c r="AP464" s="494"/>
      <c r="AQ464" s="494"/>
      <c r="AR464" s="494"/>
      <c r="AS464" s="494"/>
      <c r="AT464" s="494"/>
      <c r="AU464" s="494"/>
      <c r="AV464" s="494"/>
      <c r="AW464" s="494"/>
      <c r="AX464" s="494"/>
    </row>
    <row r="465" spans="1:50" customFormat="1" ht="122.45" customHeight="1" x14ac:dyDescent="0.25">
      <c r="A465" s="495" t="s">
        <v>950</v>
      </c>
      <c r="B465" s="692" t="s">
        <v>826</v>
      </c>
      <c r="C465" s="693"/>
      <c r="D465" s="693"/>
      <c r="E465" s="693"/>
      <c r="F465" s="693"/>
      <c r="G465" s="693" t="s">
        <v>948</v>
      </c>
      <c r="H465" s="693"/>
      <c r="I465" s="693"/>
      <c r="J465" s="693"/>
      <c r="K465" s="693" t="s">
        <v>2312</v>
      </c>
      <c r="L465" s="693"/>
      <c r="M465" s="693"/>
      <c r="N465" s="693"/>
      <c r="O465" s="694">
        <f>ROUND((61900 + 15484 * 2) * 1 * 1.56 * 0.6 * 0.7, 2)</f>
        <v>60847.11</v>
      </c>
      <c r="P465" s="693"/>
      <c r="Q465" s="494"/>
      <c r="R465" s="494"/>
      <c r="S465" s="494"/>
      <c r="T465" s="494"/>
      <c r="U465" s="494"/>
      <c r="V465" s="494"/>
      <c r="W465" s="494"/>
      <c r="X465" s="494"/>
      <c r="Y465" s="494"/>
      <c r="Z465" s="494"/>
      <c r="AA465" s="494"/>
      <c r="AB465" s="494"/>
      <c r="AC465" s="494"/>
      <c r="AD465" s="494"/>
      <c r="AE465" s="494"/>
      <c r="AF465" s="494"/>
      <c r="AG465" s="494"/>
      <c r="AH465" s="494"/>
      <c r="AI465" s="494"/>
      <c r="AJ465" s="494"/>
      <c r="AK465" s="494"/>
      <c r="AL465" s="494"/>
      <c r="AM465" s="494"/>
      <c r="AN465" s="494"/>
      <c r="AO465" s="494"/>
      <c r="AP465" s="494"/>
      <c r="AQ465" s="494"/>
      <c r="AR465" s="494"/>
      <c r="AS465" s="494"/>
      <c r="AT465" s="494"/>
      <c r="AU465" s="494"/>
      <c r="AV465" s="494"/>
      <c r="AW465" s="494"/>
      <c r="AX465" s="494"/>
    </row>
    <row r="466" spans="1:50" customFormat="1" x14ac:dyDescent="0.25">
      <c r="A466" s="496"/>
      <c r="B466" s="695" t="s">
        <v>564</v>
      </c>
      <c r="C466" s="695"/>
      <c r="D466" s="695"/>
      <c r="E466" s="695"/>
      <c r="F466" s="695"/>
      <c r="G466" s="695" t="s">
        <v>15</v>
      </c>
      <c r="H466" s="695"/>
      <c r="I466" s="695"/>
      <c r="J466" s="695"/>
      <c r="K466" s="695" t="s">
        <v>15</v>
      </c>
      <c r="L466" s="695"/>
      <c r="M466" s="695"/>
      <c r="N466" s="695"/>
      <c r="O466" s="695"/>
      <c r="P466" s="695"/>
      <c r="Q466" s="494"/>
      <c r="R466" s="494"/>
      <c r="S466" s="494"/>
      <c r="T466" s="494"/>
      <c r="U466" s="494"/>
      <c r="V466" s="494"/>
      <c r="W466" s="494"/>
      <c r="X466" s="494"/>
      <c r="Y466" s="494"/>
      <c r="Z466" s="494"/>
      <c r="AA466" s="494"/>
      <c r="AB466" s="494"/>
      <c r="AC466" s="494"/>
      <c r="AD466" s="494"/>
      <c r="AE466" s="494"/>
      <c r="AF466" s="494"/>
      <c r="AG466" s="494"/>
      <c r="AH466" s="494"/>
      <c r="AI466" s="494"/>
      <c r="AJ466" s="494"/>
      <c r="AK466" s="494"/>
      <c r="AL466" s="494"/>
      <c r="AM466" s="494"/>
      <c r="AN466" s="494"/>
      <c r="AO466" s="494"/>
      <c r="AP466" s="494"/>
      <c r="AQ466" s="494"/>
      <c r="AR466" s="494"/>
      <c r="AS466" s="494"/>
      <c r="AT466" s="494"/>
      <c r="AU466" s="494"/>
      <c r="AV466" s="494"/>
      <c r="AW466" s="494"/>
      <c r="AX466" s="494"/>
    </row>
    <row r="467" spans="1:50" customFormat="1" x14ac:dyDescent="0.25">
      <c r="A467" s="492"/>
      <c r="B467" s="687" t="s">
        <v>681</v>
      </c>
      <c r="C467" s="687"/>
      <c r="D467" s="687"/>
      <c r="E467" s="687"/>
      <c r="F467" s="687"/>
      <c r="G467" s="687" t="s">
        <v>682</v>
      </c>
      <c r="H467" s="687"/>
      <c r="I467" s="687"/>
      <c r="J467" s="687"/>
      <c r="K467" s="687" t="s">
        <v>15</v>
      </c>
      <c r="L467" s="687"/>
      <c r="M467" s="687"/>
      <c r="N467" s="687"/>
      <c r="O467" s="687"/>
      <c r="P467" s="687"/>
      <c r="Q467" s="494"/>
      <c r="R467" s="494"/>
      <c r="S467" s="494"/>
      <c r="T467" s="494"/>
      <c r="U467" s="494"/>
      <c r="V467" s="494"/>
      <c r="W467" s="494"/>
      <c r="X467" s="494"/>
      <c r="Y467" s="494"/>
      <c r="Z467" s="494"/>
      <c r="AA467" s="494"/>
      <c r="AB467" s="494"/>
      <c r="AC467" s="494"/>
      <c r="AD467" s="494"/>
      <c r="AE467" s="494"/>
      <c r="AF467" s="494"/>
      <c r="AG467" s="494"/>
      <c r="AH467" s="494"/>
      <c r="AI467" s="494"/>
      <c r="AJ467" s="494"/>
      <c r="AK467" s="494"/>
      <c r="AL467" s="494"/>
      <c r="AM467" s="494"/>
      <c r="AN467" s="494"/>
      <c r="AO467" s="494"/>
      <c r="AP467" s="494"/>
      <c r="AQ467" s="494"/>
      <c r="AR467" s="494"/>
      <c r="AS467" s="494"/>
      <c r="AT467" s="494"/>
      <c r="AU467" s="494"/>
      <c r="AV467" s="494"/>
      <c r="AW467" s="494"/>
      <c r="AX467" s="494"/>
    </row>
    <row r="468" spans="1:50" customFormat="1" ht="40.9" customHeight="1" x14ac:dyDescent="0.25">
      <c r="A468" s="492"/>
      <c r="B468" s="687" t="s">
        <v>683</v>
      </c>
      <c r="C468" s="687"/>
      <c r="D468" s="687"/>
      <c r="E468" s="687"/>
      <c r="F468" s="687"/>
      <c r="G468" s="687" t="s">
        <v>684</v>
      </c>
      <c r="H468" s="687"/>
      <c r="I468" s="687"/>
      <c r="J468" s="687"/>
      <c r="K468" s="687" t="s">
        <v>15</v>
      </c>
      <c r="L468" s="687"/>
      <c r="M468" s="687"/>
      <c r="N468" s="687"/>
      <c r="O468" s="687"/>
      <c r="P468" s="687"/>
      <c r="Q468" s="494"/>
      <c r="R468" s="494"/>
      <c r="S468" s="494"/>
      <c r="T468" s="494"/>
      <c r="U468" s="494"/>
      <c r="V468" s="494"/>
      <c r="W468" s="494"/>
      <c r="X468" s="494"/>
      <c r="Y468" s="494"/>
      <c r="Z468" s="494"/>
      <c r="AA468" s="494"/>
      <c r="AB468" s="494"/>
      <c r="AC468" s="494"/>
      <c r="AD468" s="494"/>
      <c r="AE468" s="494"/>
      <c r="AF468" s="494"/>
      <c r="AG468" s="494"/>
      <c r="AH468" s="494"/>
      <c r="AI468" s="494"/>
      <c r="AJ468" s="494"/>
      <c r="AK468" s="494"/>
      <c r="AL468" s="494"/>
      <c r="AM468" s="494"/>
      <c r="AN468" s="494"/>
      <c r="AO468" s="494"/>
      <c r="AP468" s="494"/>
      <c r="AQ468" s="494"/>
      <c r="AR468" s="494"/>
      <c r="AS468" s="494"/>
      <c r="AT468" s="494"/>
      <c r="AU468" s="494"/>
      <c r="AV468" s="494"/>
      <c r="AW468" s="494"/>
      <c r="AX468" s="494"/>
    </row>
    <row r="469" spans="1:50" customFormat="1" ht="27.2" customHeight="1" x14ac:dyDescent="0.25">
      <c r="A469" s="492"/>
      <c r="B469" s="687" t="s">
        <v>793</v>
      </c>
      <c r="C469" s="687"/>
      <c r="D469" s="687"/>
      <c r="E469" s="687"/>
      <c r="F469" s="687"/>
      <c r="G469" s="687" t="s">
        <v>2253</v>
      </c>
      <c r="H469" s="687"/>
      <c r="I469" s="687"/>
      <c r="J469" s="687"/>
      <c r="K469" s="687" t="s">
        <v>15</v>
      </c>
      <c r="L469" s="687"/>
      <c r="M469" s="687"/>
      <c r="N469" s="687"/>
      <c r="O469" s="687"/>
      <c r="P469" s="687"/>
      <c r="Q469" s="494"/>
      <c r="R469" s="494"/>
      <c r="S469" s="494"/>
      <c r="T469" s="494"/>
      <c r="U469" s="494"/>
      <c r="V469" s="494"/>
      <c r="W469" s="494"/>
      <c r="X469" s="494"/>
      <c r="Y469" s="494"/>
      <c r="Z469" s="494"/>
      <c r="AA469" s="494"/>
      <c r="AB469" s="494"/>
      <c r="AC469" s="494"/>
      <c r="AD469" s="494"/>
      <c r="AE469" s="494"/>
      <c r="AF469" s="494"/>
      <c r="AG469" s="494"/>
      <c r="AH469" s="494"/>
      <c r="AI469" s="494"/>
      <c r="AJ469" s="494"/>
      <c r="AK469" s="494"/>
      <c r="AL469" s="494"/>
      <c r="AM469" s="494"/>
      <c r="AN469" s="494"/>
      <c r="AO469" s="494"/>
      <c r="AP469" s="494"/>
      <c r="AQ469" s="494"/>
      <c r="AR469" s="494"/>
      <c r="AS469" s="494"/>
      <c r="AT469" s="494"/>
      <c r="AU469" s="494"/>
      <c r="AV469" s="494"/>
      <c r="AW469" s="494"/>
      <c r="AX469" s="494"/>
    </row>
    <row r="470" spans="1:50" customFormat="1" x14ac:dyDescent="0.25">
      <c r="A470" s="690" t="s">
        <v>951</v>
      </c>
      <c r="B470" s="690"/>
      <c r="C470" s="690"/>
      <c r="D470" s="690"/>
      <c r="E470" s="690"/>
      <c r="F470" s="690"/>
      <c r="G470" s="690"/>
      <c r="H470" s="690"/>
      <c r="I470" s="690"/>
      <c r="J470" s="690"/>
      <c r="K470" s="690"/>
      <c r="L470" s="690"/>
      <c r="M470" s="690"/>
      <c r="N470" s="690"/>
      <c r="O470" s="690"/>
      <c r="P470" s="690"/>
      <c r="Q470" s="494"/>
      <c r="R470" s="494"/>
      <c r="S470" s="494"/>
      <c r="T470" s="494"/>
      <c r="U470" s="494"/>
      <c r="V470" s="494"/>
      <c r="W470" s="494"/>
      <c r="X470" s="494"/>
      <c r="Y470" s="494"/>
      <c r="Z470" s="494"/>
      <c r="AA470" s="494"/>
      <c r="AB470" s="494"/>
      <c r="AC470" s="494"/>
      <c r="AD470" s="494"/>
      <c r="AE470" s="494"/>
      <c r="AF470" s="494"/>
      <c r="AG470" s="494"/>
      <c r="AH470" s="494"/>
      <c r="AI470" s="494"/>
      <c r="AJ470" s="494"/>
      <c r="AK470" s="494"/>
      <c r="AL470" s="494"/>
      <c r="AM470" s="494"/>
      <c r="AN470" s="494"/>
      <c r="AO470" s="494"/>
      <c r="AP470" s="494"/>
      <c r="AQ470" s="494"/>
      <c r="AR470" s="494"/>
      <c r="AS470" s="494"/>
      <c r="AT470" s="494"/>
      <c r="AU470" s="494"/>
      <c r="AV470" s="494"/>
      <c r="AW470" s="494"/>
      <c r="AX470" s="494"/>
    </row>
    <row r="471" spans="1:50" customFormat="1" ht="122.45" customHeight="1" x14ac:dyDescent="0.25">
      <c r="A471" s="495" t="s">
        <v>952</v>
      </c>
      <c r="B471" s="692" t="s">
        <v>826</v>
      </c>
      <c r="C471" s="693"/>
      <c r="D471" s="693"/>
      <c r="E471" s="693"/>
      <c r="F471" s="693"/>
      <c r="G471" s="693" t="s">
        <v>948</v>
      </c>
      <c r="H471" s="693"/>
      <c r="I471" s="693"/>
      <c r="J471" s="693"/>
      <c r="K471" s="693" t="s">
        <v>2312</v>
      </c>
      <c r="L471" s="693"/>
      <c r="M471" s="693"/>
      <c r="N471" s="693"/>
      <c r="O471" s="694">
        <f>ROUND((61900 + 15484 * 2) * 1 * 1.56 * 0.6 * 0.7, 2)</f>
        <v>60847.11</v>
      </c>
      <c r="P471" s="693"/>
      <c r="Q471" s="494"/>
      <c r="R471" s="494"/>
      <c r="S471" s="494"/>
      <c r="T471" s="494"/>
      <c r="U471" s="494"/>
      <c r="V471" s="494"/>
      <c r="W471" s="494"/>
      <c r="X471" s="494"/>
      <c r="Y471" s="494"/>
      <c r="Z471" s="494"/>
      <c r="AA471" s="494"/>
      <c r="AB471" s="494"/>
      <c r="AC471" s="494"/>
      <c r="AD471" s="494"/>
      <c r="AE471" s="494"/>
      <c r="AF471" s="494"/>
      <c r="AG471" s="494"/>
      <c r="AH471" s="494"/>
      <c r="AI471" s="494"/>
      <c r="AJ471" s="494"/>
      <c r="AK471" s="494"/>
      <c r="AL471" s="494"/>
      <c r="AM471" s="494"/>
      <c r="AN471" s="494"/>
      <c r="AO471" s="494"/>
      <c r="AP471" s="494"/>
      <c r="AQ471" s="494"/>
      <c r="AR471" s="494"/>
      <c r="AS471" s="494"/>
      <c r="AT471" s="494"/>
      <c r="AU471" s="494"/>
      <c r="AV471" s="494"/>
      <c r="AW471" s="494"/>
      <c r="AX471" s="494"/>
    </row>
    <row r="472" spans="1:50" customFormat="1" x14ac:dyDescent="0.25">
      <c r="A472" s="496"/>
      <c r="B472" s="695" t="s">
        <v>564</v>
      </c>
      <c r="C472" s="695"/>
      <c r="D472" s="695"/>
      <c r="E472" s="695"/>
      <c r="F472" s="695"/>
      <c r="G472" s="695" t="s">
        <v>15</v>
      </c>
      <c r="H472" s="695"/>
      <c r="I472" s="695"/>
      <c r="J472" s="695"/>
      <c r="K472" s="695" t="s">
        <v>15</v>
      </c>
      <c r="L472" s="695"/>
      <c r="M472" s="695"/>
      <c r="N472" s="695"/>
      <c r="O472" s="695"/>
      <c r="P472" s="695"/>
      <c r="Q472" s="494"/>
      <c r="R472" s="494"/>
      <c r="S472" s="494"/>
      <c r="T472" s="494"/>
      <c r="U472" s="494"/>
      <c r="V472" s="494"/>
      <c r="W472" s="494"/>
      <c r="X472" s="494"/>
      <c r="Y472" s="494"/>
      <c r="Z472" s="494"/>
      <c r="AA472" s="494"/>
      <c r="AB472" s="494"/>
      <c r="AC472" s="494"/>
      <c r="AD472" s="494"/>
      <c r="AE472" s="494"/>
      <c r="AF472" s="494"/>
      <c r="AG472" s="494"/>
      <c r="AH472" s="494"/>
      <c r="AI472" s="494"/>
      <c r="AJ472" s="494"/>
      <c r="AK472" s="494"/>
      <c r="AL472" s="494"/>
      <c r="AM472" s="494"/>
      <c r="AN472" s="494"/>
      <c r="AO472" s="494"/>
      <c r="AP472" s="494"/>
      <c r="AQ472" s="494"/>
      <c r="AR472" s="494"/>
      <c r="AS472" s="494"/>
      <c r="AT472" s="494"/>
      <c r="AU472" s="494"/>
      <c r="AV472" s="494"/>
      <c r="AW472" s="494"/>
      <c r="AX472" s="494"/>
    </row>
    <row r="473" spans="1:50" customFormat="1" x14ac:dyDescent="0.25">
      <c r="A473" s="492"/>
      <c r="B473" s="687" t="s">
        <v>681</v>
      </c>
      <c r="C473" s="687"/>
      <c r="D473" s="687"/>
      <c r="E473" s="687"/>
      <c r="F473" s="687"/>
      <c r="G473" s="687" t="s">
        <v>682</v>
      </c>
      <c r="H473" s="687"/>
      <c r="I473" s="687"/>
      <c r="J473" s="687"/>
      <c r="K473" s="687" t="s">
        <v>15</v>
      </c>
      <c r="L473" s="687"/>
      <c r="M473" s="687"/>
      <c r="N473" s="687"/>
      <c r="O473" s="687"/>
      <c r="P473" s="687"/>
      <c r="Q473" s="494"/>
      <c r="R473" s="494"/>
      <c r="S473" s="494"/>
      <c r="T473" s="494"/>
      <c r="U473" s="494"/>
      <c r="V473" s="494"/>
      <c r="W473" s="494"/>
      <c r="X473" s="494"/>
      <c r="Y473" s="494"/>
      <c r="Z473" s="494"/>
      <c r="AA473" s="494"/>
      <c r="AB473" s="494"/>
      <c r="AC473" s="494"/>
      <c r="AD473" s="494"/>
      <c r="AE473" s="494"/>
      <c r="AF473" s="494"/>
      <c r="AG473" s="494"/>
      <c r="AH473" s="494"/>
      <c r="AI473" s="494"/>
      <c r="AJ473" s="494"/>
      <c r="AK473" s="494"/>
      <c r="AL473" s="494"/>
      <c r="AM473" s="494"/>
      <c r="AN473" s="494"/>
      <c r="AO473" s="494"/>
      <c r="AP473" s="494"/>
      <c r="AQ473" s="494"/>
      <c r="AR473" s="494"/>
      <c r="AS473" s="494"/>
      <c r="AT473" s="494"/>
      <c r="AU473" s="494"/>
      <c r="AV473" s="494"/>
      <c r="AW473" s="494"/>
      <c r="AX473" s="494"/>
    </row>
    <row r="474" spans="1:50" customFormat="1" ht="40.9" customHeight="1" x14ac:dyDescent="0.25">
      <c r="A474" s="492"/>
      <c r="B474" s="687" t="s">
        <v>683</v>
      </c>
      <c r="C474" s="687"/>
      <c r="D474" s="687"/>
      <c r="E474" s="687"/>
      <c r="F474" s="687"/>
      <c r="G474" s="687" t="s">
        <v>684</v>
      </c>
      <c r="H474" s="687"/>
      <c r="I474" s="687"/>
      <c r="J474" s="687"/>
      <c r="K474" s="687" t="s">
        <v>15</v>
      </c>
      <c r="L474" s="687"/>
      <c r="M474" s="687"/>
      <c r="N474" s="687"/>
      <c r="O474" s="687"/>
      <c r="P474" s="687"/>
      <c r="Q474" s="494"/>
      <c r="R474" s="494"/>
      <c r="S474" s="494"/>
      <c r="T474" s="494"/>
      <c r="U474" s="494"/>
      <c r="V474" s="494"/>
      <c r="W474" s="494"/>
      <c r="X474" s="494"/>
      <c r="Y474" s="494"/>
      <c r="Z474" s="494"/>
      <c r="AA474" s="494"/>
      <c r="AB474" s="494"/>
      <c r="AC474" s="494"/>
      <c r="AD474" s="494"/>
      <c r="AE474" s="494"/>
      <c r="AF474" s="494"/>
      <c r="AG474" s="494"/>
      <c r="AH474" s="494"/>
      <c r="AI474" s="494"/>
      <c r="AJ474" s="494"/>
      <c r="AK474" s="494"/>
      <c r="AL474" s="494"/>
      <c r="AM474" s="494"/>
      <c r="AN474" s="494"/>
      <c r="AO474" s="494"/>
      <c r="AP474" s="494"/>
      <c r="AQ474" s="494"/>
      <c r="AR474" s="494"/>
      <c r="AS474" s="494"/>
      <c r="AT474" s="494"/>
      <c r="AU474" s="494"/>
      <c r="AV474" s="494"/>
      <c r="AW474" s="494"/>
      <c r="AX474" s="494"/>
    </row>
    <row r="475" spans="1:50" customFormat="1" ht="27.2" customHeight="1" x14ac:dyDescent="0.25">
      <c r="A475" s="492"/>
      <c r="B475" s="687" t="s">
        <v>793</v>
      </c>
      <c r="C475" s="687"/>
      <c r="D475" s="687"/>
      <c r="E475" s="687"/>
      <c r="F475" s="687"/>
      <c r="G475" s="687" t="s">
        <v>2253</v>
      </c>
      <c r="H475" s="687"/>
      <c r="I475" s="687"/>
      <c r="J475" s="687"/>
      <c r="K475" s="687" t="s">
        <v>15</v>
      </c>
      <c r="L475" s="687"/>
      <c r="M475" s="687"/>
      <c r="N475" s="687"/>
      <c r="O475" s="687"/>
      <c r="P475" s="687"/>
      <c r="Q475" s="494"/>
      <c r="R475" s="494"/>
      <c r="S475" s="494"/>
      <c r="T475" s="494"/>
      <c r="U475" s="494"/>
      <c r="V475" s="494"/>
      <c r="W475" s="494"/>
      <c r="X475" s="494"/>
      <c r="Y475" s="494"/>
      <c r="Z475" s="494"/>
      <c r="AA475" s="494"/>
      <c r="AB475" s="494"/>
      <c r="AC475" s="494"/>
      <c r="AD475" s="494"/>
      <c r="AE475" s="494"/>
      <c r="AF475" s="494"/>
      <c r="AG475" s="494"/>
      <c r="AH475" s="494"/>
      <c r="AI475" s="494"/>
      <c r="AJ475" s="494"/>
      <c r="AK475" s="494"/>
      <c r="AL475" s="494"/>
      <c r="AM475" s="494"/>
      <c r="AN475" s="494"/>
      <c r="AO475" s="494"/>
      <c r="AP475" s="494"/>
      <c r="AQ475" s="494"/>
      <c r="AR475" s="494"/>
      <c r="AS475" s="494"/>
      <c r="AT475" s="494"/>
      <c r="AU475" s="494"/>
      <c r="AV475" s="494"/>
      <c r="AW475" s="494"/>
      <c r="AX475" s="494"/>
    </row>
    <row r="476" spans="1:50" customFormat="1" x14ac:dyDescent="0.25">
      <c r="A476" s="497" t="s">
        <v>953</v>
      </c>
      <c r="B476" s="688" t="s">
        <v>604</v>
      </c>
      <c r="C476" s="688"/>
      <c r="D476" s="688"/>
      <c r="E476" s="688"/>
      <c r="F476" s="688"/>
      <c r="G476" s="688"/>
      <c r="H476" s="688"/>
      <c r="I476" s="688"/>
      <c r="J476" s="688"/>
      <c r="K476" s="688" t="s">
        <v>15</v>
      </c>
      <c r="L476" s="688"/>
      <c r="M476" s="688"/>
      <c r="N476" s="688"/>
      <c r="O476" s="689">
        <f>ROUND(SUM($O$16:$O$471),2)</f>
        <v>73415807.129999995</v>
      </c>
      <c r="P476" s="688"/>
      <c r="Q476" s="494"/>
      <c r="R476" s="494"/>
      <c r="S476" s="494"/>
      <c r="T476" s="494"/>
      <c r="U476" s="494"/>
      <c r="V476" s="494"/>
      <c r="W476" s="494"/>
      <c r="X476" s="494"/>
      <c r="Y476" s="494"/>
      <c r="Z476" s="494"/>
      <c r="AA476" s="494"/>
      <c r="AB476" s="494"/>
      <c r="AC476" s="494"/>
      <c r="AD476" s="494"/>
      <c r="AE476" s="494"/>
      <c r="AF476" s="494"/>
      <c r="AG476" s="494"/>
      <c r="AH476" s="494"/>
      <c r="AI476" s="494"/>
      <c r="AJ476" s="494"/>
      <c r="AK476" s="494"/>
      <c r="AL476" s="494"/>
      <c r="AM476" s="494"/>
      <c r="AN476" s="494"/>
      <c r="AO476" s="494"/>
      <c r="AP476" s="494"/>
      <c r="AQ476" s="494"/>
      <c r="AR476" s="494"/>
      <c r="AS476" s="494"/>
      <c r="AT476" s="494"/>
      <c r="AU476" s="494"/>
      <c r="AV476" s="494"/>
      <c r="AW476" s="494"/>
      <c r="AX476" s="494"/>
    </row>
    <row r="477" spans="1:50" customFormat="1" ht="108.75" customHeight="1" x14ac:dyDescent="0.25">
      <c r="A477" s="497" t="s">
        <v>954</v>
      </c>
      <c r="B477" s="690" t="s">
        <v>606</v>
      </c>
      <c r="C477" s="690"/>
      <c r="D477" s="690"/>
      <c r="E477" s="690"/>
      <c r="F477" s="690"/>
      <c r="G477" s="690" t="s">
        <v>607</v>
      </c>
      <c r="H477" s="690"/>
      <c r="I477" s="690"/>
      <c r="J477" s="690"/>
      <c r="K477" s="690" t="s">
        <v>2313</v>
      </c>
      <c r="L477" s="690"/>
      <c r="M477" s="690"/>
      <c r="N477" s="690"/>
      <c r="O477" s="691">
        <f>ROUND(($O$476) * 1  * 0.8,2)</f>
        <v>58732645.700000003</v>
      </c>
      <c r="P477" s="690"/>
      <c r="Q477" s="494"/>
      <c r="R477" s="494"/>
      <c r="S477" s="494"/>
      <c r="T477" s="494"/>
      <c r="U477" s="494"/>
      <c r="V477" s="494"/>
      <c r="W477" s="494"/>
      <c r="X477" s="494"/>
      <c r="Y477" s="494"/>
      <c r="Z477" s="494"/>
      <c r="AA477" s="494"/>
      <c r="AB477" s="494"/>
      <c r="AC477" s="494"/>
      <c r="AD477" s="494"/>
      <c r="AE477" s="494"/>
      <c r="AF477" s="494"/>
      <c r="AG477" s="494"/>
      <c r="AH477" s="494"/>
      <c r="AI477" s="494"/>
      <c r="AJ477" s="494"/>
      <c r="AK477" s="494"/>
      <c r="AL477" s="494"/>
      <c r="AM477" s="494"/>
      <c r="AN477" s="494"/>
      <c r="AO477" s="494"/>
      <c r="AP477" s="494"/>
      <c r="AQ477" s="494"/>
      <c r="AR477" s="494"/>
      <c r="AS477" s="494"/>
      <c r="AT477" s="494"/>
      <c r="AU477" s="494"/>
      <c r="AV477" s="494"/>
      <c r="AW477" s="494"/>
      <c r="AX477" s="494"/>
    </row>
    <row r="478" spans="1:50" customFormat="1" x14ac:dyDescent="0.25">
      <c r="A478" s="497" t="s">
        <v>955</v>
      </c>
      <c r="B478" s="688" t="s">
        <v>613</v>
      </c>
      <c r="C478" s="688"/>
      <c r="D478" s="688"/>
      <c r="E478" s="688"/>
      <c r="F478" s="688"/>
      <c r="G478" s="688"/>
      <c r="H478" s="688"/>
      <c r="I478" s="688"/>
      <c r="J478" s="688"/>
      <c r="K478" s="688" t="s">
        <v>15</v>
      </c>
      <c r="L478" s="688"/>
      <c r="M478" s="688"/>
      <c r="N478" s="688"/>
      <c r="O478" s="689">
        <f>ROUND(($O$477),2)</f>
        <v>58732645.700000003</v>
      </c>
      <c r="P478" s="688"/>
      <c r="Q478" s="494"/>
      <c r="R478" s="498">
        <f>O478</f>
        <v>58732645.700000003</v>
      </c>
      <c r="S478" s="494"/>
      <c r="T478" s="494"/>
      <c r="U478" s="494"/>
      <c r="V478" s="494"/>
      <c r="W478" s="494"/>
      <c r="X478" s="494"/>
      <c r="Y478" s="494"/>
      <c r="Z478" s="494"/>
      <c r="AA478" s="494"/>
      <c r="AB478" s="494"/>
      <c r="AC478" s="494"/>
      <c r="AD478" s="494"/>
      <c r="AE478" s="494"/>
      <c r="AF478" s="494"/>
      <c r="AG478" s="494"/>
      <c r="AH478" s="494"/>
      <c r="AI478" s="494"/>
      <c r="AJ478" s="494"/>
      <c r="AK478" s="494"/>
      <c r="AL478" s="494"/>
      <c r="AM478" s="494"/>
      <c r="AN478" s="494"/>
      <c r="AO478" s="494"/>
      <c r="AP478" s="494"/>
      <c r="AQ478" s="494"/>
      <c r="AR478" s="494"/>
      <c r="AS478" s="494"/>
      <c r="AT478" s="494"/>
      <c r="AU478" s="494"/>
      <c r="AV478" s="494"/>
      <c r="AW478" s="494"/>
      <c r="AX478" s="494"/>
    </row>
    <row r="479" spans="1:50" customFormat="1" x14ac:dyDescent="0.25">
      <c r="A479" s="494"/>
      <c r="B479" s="494"/>
      <c r="C479" s="494"/>
      <c r="D479" s="494"/>
      <c r="E479" s="494"/>
      <c r="F479" s="494"/>
      <c r="G479" s="494"/>
      <c r="H479" s="494"/>
      <c r="I479" s="494"/>
      <c r="J479" s="494"/>
      <c r="K479" s="494"/>
      <c r="L479" s="494"/>
      <c r="M479" s="494"/>
      <c r="N479" s="494"/>
      <c r="O479" s="494"/>
      <c r="P479" s="494"/>
      <c r="Q479" s="494"/>
      <c r="R479" s="494"/>
      <c r="S479" s="494"/>
      <c r="T479" s="494"/>
      <c r="U479" s="494"/>
      <c r="V479" s="494"/>
      <c r="W479" s="494"/>
      <c r="X479" s="494"/>
      <c r="Y479" s="494"/>
      <c r="Z479" s="494"/>
      <c r="AA479" s="494"/>
      <c r="AB479" s="494"/>
      <c r="AC479" s="494"/>
      <c r="AD479" s="494"/>
      <c r="AE479" s="494"/>
      <c r="AF479" s="494"/>
      <c r="AG479" s="494"/>
      <c r="AH479" s="494"/>
      <c r="AI479" s="494"/>
      <c r="AJ479" s="494"/>
      <c r="AK479" s="494"/>
      <c r="AL479" s="494"/>
      <c r="AM479" s="494"/>
      <c r="AN479" s="494"/>
      <c r="AO479" s="494"/>
      <c r="AP479" s="494"/>
      <c r="AQ479" s="494"/>
      <c r="AR479" s="494"/>
      <c r="AS479" s="494"/>
      <c r="AT479" s="494"/>
      <c r="AU479" s="494"/>
      <c r="AV479" s="494"/>
      <c r="AW479" s="494"/>
      <c r="AX479" s="494"/>
    </row>
  </sheetData>
  <mergeCells count="1617">
    <mergeCell ref="A1:D1"/>
    <mergeCell ref="E1:P1"/>
    <mergeCell ref="A3:P3"/>
    <mergeCell ref="A4:P4"/>
    <mergeCell ref="A6:E6"/>
    <mergeCell ref="F6:P6"/>
    <mergeCell ref="A8:E8"/>
    <mergeCell ref="F8:P8"/>
    <mergeCell ref="A10:E10"/>
    <mergeCell ref="F10:P10"/>
    <mergeCell ref="B12:F12"/>
    <mergeCell ref="G12:J12"/>
    <mergeCell ref="K12:N12"/>
    <mergeCell ref="O12:P12"/>
    <mergeCell ref="B13:F13"/>
    <mergeCell ref="G13:J13"/>
    <mergeCell ref="K13:N13"/>
    <mergeCell ref="O13:P13"/>
    <mergeCell ref="A14:P14"/>
    <mergeCell ref="A15:P15"/>
    <mergeCell ref="B16:F16"/>
    <mergeCell ref="G16:J16"/>
    <mergeCell ref="K16:N16"/>
    <mergeCell ref="O16:P16"/>
    <mergeCell ref="B17:F17"/>
    <mergeCell ref="G17:J17"/>
    <mergeCell ref="K17:N17"/>
    <mergeCell ref="O17:P17"/>
    <mergeCell ref="B18:F18"/>
    <mergeCell ref="G18:J18"/>
    <mergeCell ref="K18:N18"/>
    <mergeCell ref="O18:P18"/>
    <mergeCell ref="B19:F19"/>
    <mergeCell ref="G19:J19"/>
    <mergeCell ref="K19:N19"/>
    <mergeCell ref="O19:P19"/>
    <mergeCell ref="B20:F20"/>
    <mergeCell ref="G20:J20"/>
    <mergeCell ref="K20:N20"/>
    <mergeCell ref="O20:P20"/>
    <mergeCell ref="B21:F21"/>
    <mergeCell ref="G21:J21"/>
    <mergeCell ref="K21:N21"/>
    <mergeCell ref="O21:P21"/>
    <mergeCell ref="A22:P22"/>
    <mergeCell ref="B23:F23"/>
    <mergeCell ref="G23:J23"/>
    <mergeCell ref="K23:N23"/>
    <mergeCell ref="O23:P23"/>
    <mergeCell ref="B24:F24"/>
    <mergeCell ref="G24:J24"/>
    <mergeCell ref="K24:N24"/>
    <mergeCell ref="O24:P24"/>
    <mergeCell ref="B25:F25"/>
    <mergeCell ref="G25:J25"/>
    <mergeCell ref="K25:N25"/>
    <mergeCell ref="O25:P25"/>
    <mergeCell ref="B26:F26"/>
    <mergeCell ref="G26:J26"/>
    <mergeCell ref="K26:N26"/>
    <mergeCell ref="O26:P26"/>
    <mergeCell ref="B27:F27"/>
    <mergeCell ref="G27:J27"/>
    <mergeCell ref="K27:N27"/>
    <mergeCell ref="O27:P27"/>
    <mergeCell ref="B28:F28"/>
    <mergeCell ref="G28:J28"/>
    <mergeCell ref="K28:N28"/>
    <mergeCell ref="O28:P28"/>
    <mergeCell ref="A29:P29"/>
    <mergeCell ref="B30:F30"/>
    <mergeCell ref="G30:J30"/>
    <mergeCell ref="K30:N30"/>
    <mergeCell ref="O30:P30"/>
    <mergeCell ref="B31:F31"/>
    <mergeCell ref="G31:J31"/>
    <mergeCell ref="K31:N31"/>
    <mergeCell ref="O31:P31"/>
    <mergeCell ref="B32:F32"/>
    <mergeCell ref="G32:J32"/>
    <mergeCell ref="K32:N32"/>
    <mergeCell ref="O32:P32"/>
    <mergeCell ref="B33:F33"/>
    <mergeCell ref="G33:J33"/>
    <mergeCell ref="K33:N33"/>
    <mergeCell ref="O33:P33"/>
    <mergeCell ref="B34:F34"/>
    <mergeCell ref="G34:J34"/>
    <mergeCell ref="K34:N34"/>
    <mergeCell ref="O34:P34"/>
    <mergeCell ref="A35:P35"/>
    <mergeCell ref="A36:P36"/>
    <mergeCell ref="B37:F37"/>
    <mergeCell ref="G37:J37"/>
    <mergeCell ref="K37:N37"/>
    <mergeCell ref="O37:P37"/>
    <mergeCell ref="B38:F38"/>
    <mergeCell ref="G38:J38"/>
    <mergeCell ref="K38:N38"/>
    <mergeCell ref="O38:P38"/>
    <mergeCell ref="B39:F39"/>
    <mergeCell ref="G39:J39"/>
    <mergeCell ref="K39:N39"/>
    <mergeCell ref="O39:P39"/>
    <mergeCell ref="B40:F40"/>
    <mergeCell ref="G40:J40"/>
    <mergeCell ref="K40:N40"/>
    <mergeCell ref="O40:P40"/>
    <mergeCell ref="B41:F41"/>
    <mergeCell ref="G41:J41"/>
    <mergeCell ref="K41:N41"/>
    <mergeCell ref="O41:P41"/>
    <mergeCell ref="A42:P42"/>
    <mergeCell ref="B43:F43"/>
    <mergeCell ref="G43:J43"/>
    <mergeCell ref="K43:N43"/>
    <mergeCell ref="O43:P43"/>
    <mergeCell ref="B44:F44"/>
    <mergeCell ref="G44:J44"/>
    <mergeCell ref="K44:N44"/>
    <mergeCell ref="O44:P44"/>
    <mergeCell ref="B45:F45"/>
    <mergeCell ref="G45:J45"/>
    <mergeCell ref="K45:N45"/>
    <mergeCell ref="O45:P45"/>
    <mergeCell ref="B46:F46"/>
    <mergeCell ref="G46:J46"/>
    <mergeCell ref="K46:N46"/>
    <mergeCell ref="O46:P46"/>
    <mergeCell ref="B47:F47"/>
    <mergeCell ref="G47:J47"/>
    <mergeCell ref="K47:N47"/>
    <mergeCell ref="O47:P47"/>
    <mergeCell ref="A48:P48"/>
    <mergeCell ref="B49:F49"/>
    <mergeCell ref="G49:J49"/>
    <mergeCell ref="K49:N49"/>
    <mergeCell ref="O49:P49"/>
    <mergeCell ref="B50:F50"/>
    <mergeCell ref="G50:J50"/>
    <mergeCell ref="K50:N50"/>
    <mergeCell ref="O50:P50"/>
    <mergeCell ref="B51:F51"/>
    <mergeCell ref="G51:J51"/>
    <mergeCell ref="K51:N51"/>
    <mergeCell ref="O51:P51"/>
    <mergeCell ref="B52:F52"/>
    <mergeCell ref="G52:J52"/>
    <mergeCell ref="K52:N52"/>
    <mergeCell ref="O52:P52"/>
    <mergeCell ref="B53:F53"/>
    <mergeCell ref="G53:J53"/>
    <mergeCell ref="K53:N53"/>
    <mergeCell ref="O53:P53"/>
    <mergeCell ref="A54:P54"/>
    <mergeCell ref="B55:F55"/>
    <mergeCell ref="G55:J55"/>
    <mergeCell ref="K55:N55"/>
    <mergeCell ref="O55:P55"/>
    <mergeCell ref="B56:F56"/>
    <mergeCell ref="G56:J56"/>
    <mergeCell ref="K56:N56"/>
    <mergeCell ref="O56:P56"/>
    <mergeCell ref="B57:F57"/>
    <mergeCell ref="G57:J57"/>
    <mergeCell ref="K57:N57"/>
    <mergeCell ref="O57:P57"/>
    <mergeCell ref="B58:F58"/>
    <mergeCell ref="G58:J58"/>
    <mergeCell ref="K58:N58"/>
    <mergeCell ref="O58:P58"/>
    <mergeCell ref="B59:F59"/>
    <mergeCell ref="G59:J59"/>
    <mergeCell ref="K59:N59"/>
    <mergeCell ref="O59:P59"/>
    <mergeCell ref="A60:P60"/>
    <mergeCell ref="B61:F61"/>
    <mergeCell ref="G61:J61"/>
    <mergeCell ref="K61:N61"/>
    <mergeCell ref="O61:P61"/>
    <mergeCell ref="B62:F62"/>
    <mergeCell ref="G62:J62"/>
    <mergeCell ref="K62:N62"/>
    <mergeCell ref="O62:P62"/>
    <mergeCell ref="B63:F63"/>
    <mergeCell ref="G63:J63"/>
    <mergeCell ref="K63:N63"/>
    <mergeCell ref="O63:P63"/>
    <mergeCell ref="B64:F64"/>
    <mergeCell ref="G64:J64"/>
    <mergeCell ref="K64:N64"/>
    <mergeCell ref="O64:P64"/>
    <mergeCell ref="B65:F65"/>
    <mergeCell ref="G65:J65"/>
    <mergeCell ref="K65:N65"/>
    <mergeCell ref="O65:P65"/>
    <mergeCell ref="A66:P66"/>
    <mergeCell ref="B67:F67"/>
    <mergeCell ref="G67:J67"/>
    <mergeCell ref="K67:N67"/>
    <mergeCell ref="O67:P67"/>
    <mergeCell ref="B68:F68"/>
    <mergeCell ref="G68:J68"/>
    <mergeCell ref="K68:N68"/>
    <mergeCell ref="O68:P68"/>
    <mergeCell ref="B69:F69"/>
    <mergeCell ref="G69:J69"/>
    <mergeCell ref="K69:N69"/>
    <mergeCell ref="O69:P69"/>
    <mergeCell ref="B70:F70"/>
    <mergeCell ref="G70:J70"/>
    <mergeCell ref="K70:N70"/>
    <mergeCell ref="O70:P70"/>
    <mergeCell ref="B71:F71"/>
    <mergeCell ref="G71:J71"/>
    <mergeCell ref="K71:N71"/>
    <mergeCell ref="O71:P71"/>
    <mergeCell ref="A72:P72"/>
    <mergeCell ref="B73:F73"/>
    <mergeCell ref="G73:J73"/>
    <mergeCell ref="K73:N73"/>
    <mergeCell ref="O73:P73"/>
    <mergeCell ref="B74:F74"/>
    <mergeCell ref="G74:J74"/>
    <mergeCell ref="K74:N74"/>
    <mergeCell ref="O74:P74"/>
    <mergeCell ref="B75:F75"/>
    <mergeCell ref="G75:J75"/>
    <mergeCell ref="K75:N75"/>
    <mergeCell ref="O75:P75"/>
    <mergeCell ref="B76:F76"/>
    <mergeCell ref="G76:J76"/>
    <mergeCell ref="K76:N76"/>
    <mergeCell ref="O76:P76"/>
    <mergeCell ref="B77:F77"/>
    <mergeCell ref="G77:J77"/>
    <mergeCell ref="K77:N77"/>
    <mergeCell ref="O77:P77"/>
    <mergeCell ref="B78:F78"/>
    <mergeCell ref="G78:J78"/>
    <mergeCell ref="K78:N78"/>
    <mergeCell ref="O78:P78"/>
    <mergeCell ref="A79:P79"/>
    <mergeCell ref="B80:F80"/>
    <mergeCell ref="G80:J80"/>
    <mergeCell ref="K80:N80"/>
    <mergeCell ref="O80:P80"/>
    <mergeCell ref="B81:F81"/>
    <mergeCell ref="G81:J81"/>
    <mergeCell ref="K81:N81"/>
    <mergeCell ref="O81:P81"/>
    <mergeCell ref="B82:F82"/>
    <mergeCell ref="G82:J82"/>
    <mergeCell ref="K82:N82"/>
    <mergeCell ref="O82:P82"/>
    <mergeCell ref="B83:F83"/>
    <mergeCell ref="G83:J83"/>
    <mergeCell ref="K83:N83"/>
    <mergeCell ref="O83:P83"/>
    <mergeCell ref="B84:F84"/>
    <mergeCell ref="G84:J84"/>
    <mergeCell ref="K84:N84"/>
    <mergeCell ref="O84:P84"/>
    <mergeCell ref="A85:P85"/>
    <mergeCell ref="B86:F86"/>
    <mergeCell ref="G86:J86"/>
    <mergeCell ref="K86:N86"/>
    <mergeCell ref="O86:P86"/>
    <mergeCell ref="B87:F87"/>
    <mergeCell ref="G87:J87"/>
    <mergeCell ref="K87:N87"/>
    <mergeCell ref="O87:P87"/>
    <mergeCell ref="B88:F88"/>
    <mergeCell ref="G88:J88"/>
    <mergeCell ref="K88:N88"/>
    <mergeCell ref="O88:P88"/>
    <mergeCell ref="B89:F89"/>
    <mergeCell ref="G89:J89"/>
    <mergeCell ref="K89:N89"/>
    <mergeCell ref="O89:P89"/>
    <mergeCell ref="B90:F90"/>
    <mergeCell ref="G90:J90"/>
    <mergeCell ref="K90:N90"/>
    <mergeCell ref="O90:P90"/>
    <mergeCell ref="B91:F91"/>
    <mergeCell ref="G91:J91"/>
    <mergeCell ref="K91:N91"/>
    <mergeCell ref="O91:P91"/>
    <mergeCell ref="A92:P92"/>
    <mergeCell ref="B93:F93"/>
    <mergeCell ref="G93:J93"/>
    <mergeCell ref="K93:N93"/>
    <mergeCell ref="O93:P93"/>
    <mergeCell ref="B94:F94"/>
    <mergeCell ref="G94:J94"/>
    <mergeCell ref="K94:N94"/>
    <mergeCell ref="O94:P94"/>
    <mergeCell ref="B95:F95"/>
    <mergeCell ref="G95:J95"/>
    <mergeCell ref="K95:N95"/>
    <mergeCell ref="O95:P95"/>
    <mergeCell ref="B96:F96"/>
    <mergeCell ref="G96:J96"/>
    <mergeCell ref="K96:N96"/>
    <mergeCell ref="O96:P96"/>
    <mergeCell ref="B97:F97"/>
    <mergeCell ref="G97:J97"/>
    <mergeCell ref="K97:N97"/>
    <mergeCell ref="O97:P97"/>
    <mergeCell ref="B98:F98"/>
    <mergeCell ref="G98:J98"/>
    <mergeCell ref="K98:N98"/>
    <mergeCell ref="O98:P98"/>
    <mergeCell ref="A99:P99"/>
    <mergeCell ref="B100:F100"/>
    <mergeCell ref="G100:J100"/>
    <mergeCell ref="K100:N100"/>
    <mergeCell ref="O100:P100"/>
    <mergeCell ref="B101:F101"/>
    <mergeCell ref="G101:J101"/>
    <mergeCell ref="K101:N101"/>
    <mergeCell ref="O101:P101"/>
    <mergeCell ref="B102:F102"/>
    <mergeCell ref="G102:J102"/>
    <mergeCell ref="K102:N102"/>
    <mergeCell ref="O102:P102"/>
    <mergeCell ref="B103:F103"/>
    <mergeCell ref="G103:J103"/>
    <mergeCell ref="K103:N103"/>
    <mergeCell ref="O103:P103"/>
    <mergeCell ref="B104:F104"/>
    <mergeCell ref="G104:J104"/>
    <mergeCell ref="K104:N104"/>
    <mergeCell ref="O104:P104"/>
    <mergeCell ref="A105:P105"/>
    <mergeCell ref="B106:F106"/>
    <mergeCell ref="G106:J106"/>
    <mergeCell ref="K106:N106"/>
    <mergeCell ref="O106:P106"/>
    <mergeCell ref="B107:F107"/>
    <mergeCell ref="G107:J107"/>
    <mergeCell ref="K107:N107"/>
    <mergeCell ref="O107:P107"/>
    <mergeCell ref="B108:F108"/>
    <mergeCell ref="G108:J108"/>
    <mergeCell ref="K108:N108"/>
    <mergeCell ref="O108:P108"/>
    <mergeCell ref="B109:F109"/>
    <mergeCell ref="G109:J109"/>
    <mergeCell ref="K109:N109"/>
    <mergeCell ref="O109:P109"/>
    <mergeCell ref="B110:F110"/>
    <mergeCell ref="G110:J110"/>
    <mergeCell ref="K110:N110"/>
    <mergeCell ref="O110:P110"/>
    <mergeCell ref="B113:F113"/>
    <mergeCell ref="G113:J113"/>
    <mergeCell ref="K113:N113"/>
    <mergeCell ref="O113:P113"/>
    <mergeCell ref="B114:F114"/>
    <mergeCell ref="G114:J114"/>
    <mergeCell ref="K114:N114"/>
    <mergeCell ref="O114:P114"/>
    <mergeCell ref="B115:F115"/>
    <mergeCell ref="G115:J115"/>
    <mergeCell ref="K115:N115"/>
    <mergeCell ref="O115:P115"/>
    <mergeCell ref="A111:P111"/>
    <mergeCell ref="B112:F112"/>
    <mergeCell ref="G112:J112"/>
    <mergeCell ref="K112:N112"/>
    <mergeCell ref="O112:P112"/>
    <mergeCell ref="B116:F116"/>
    <mergeCell ref="G116:J116"/>
    <mergeCell ref="K116:N116"/>
    <mergeCell ref="O116:P116"/>
    <mergeCell ref="B118:F118"/>
    <mergeCell ref="G118:J118"/>
    <mergeCell ref="K118:N118"/>
    <mergeCell ref="O118:P118"/>
    <mergeCell ref="B120:F120"/>
    <mergeCell ref="G120:J120"/>
    <mergeCell ref="K120:N120"/>
    <mergeCell ref="O120:P120"/>
    <mergeCell ref="A117:P117"/>
    <mergeCell ref="B119:F119"/>
    <mergeCell ref="G119:J119"/>
    <mergeCell ref="K119:N119"/>
    <mergeCell ref="O119:P119"/>
    <mergeCell ref="B121:F121"/>
    <mergeCell ref="G121:J121"/>
    <mergeCell ref="K121:N121"/>
    <mergeCell ref="O121:P121"/>
    <mergeCell ref="B122:F122"/>
    <mergeCell ref="G122:J122"/>
    <mergeCell ref="K122:N122"/>
    <mergeCell ref="O122:P122"/>
    <mergeCell ref="B123:F123"/>
    <mergeCell ref="G123:J123"/>
    <mergeCell ref="K123:N123"/>
    <mergeCell ref="O123:P123"/>
    <mergeCell ref="B125:F125"/>
    <mergeCell ref="G125:J125"/>
    <mergeCell ref="K125:N125"/>
    <mergeCell ref="O125:P125"/>
    <mergeCell ref="A124:P124"/>
    <mergeCell ref="B127:F127"/>
    <mergeCell ref="G127:J127"/>
    <mergeCell ref="K127:N127"/>
    <mergeCell ref="O127:P127"/>
    <mergeCell ref="B128:F128"/>
    <mergeCell ref="G128:J128"/>
    <mergeCell ref="K128:N128"/>
    <mergeCell ref="O128:P128"/>
    <mergeCell ref="B129:F129"/>
    <mergeCell ref="G129:J129"/>
    <mergeCell ref="K129:N129"/>
    <mergeCell ref="O129:P129"/>
    <mergeCell ref="B126:F126"/>
    <mergeCell ref="G126:J126"/>
    <mergeCell ref="K126:N126"/>
    <mergeCell ref="O126:P126"/>
    <mergeCell ref="A130:P130"/>
    <mergeCell ref="B134:F134"/>
    <mergeCell ref="G134:J134"/>
    <mergeCell ref="K134:N134"/>
    <mergeCell ref="O134:P134"/>
    <mergeCell ref="B135:F135"/>
    <mergeCell ref="G135:J135"/>
    <mergeCell ref="K135:N135"/>
    <mergeCell ref="O135:P135"/>
    <mergeCell ref="B136:F136"/>
    <mergeCell ref="G136:J136"/>
    <mergeCell ref="K136:N136"/>
    <mergeCell ref="O136:P136"/>
    <mergeCell ref="A131:P131"/>
    <mergeCell ref="B132:F132"/>
    <mergeCell ref="G132:J132"/>
    <mergeCell ref="K132:N132"/>
    <mergeCell ref="O132:P132"/>
    <mergeCell ref="B133:F133"/>
    <mergeCell ref="G133:J133"/>
    <mergeCell ref="K133:N133"/>
    <mergeCell ref="O133:P133"/>
    <mergeCell ref="B138:F138"/>
    <mergeCell ref="G138:J138"/>
    <mergeCell ref="K138:N138"/>
    <mergeCell ref="O138:P138"/>
    <mergeCell ref="B140:F140"/>
    <mergeCell ref="G140:J140"/>
    <mergeCell ref="K140:N140"/>
    <mergeCell ref="O140:P140"/>
    <mergeCell ref="B141:F141"/>
    <mergeCell ref="G141:J141"/>
    <mergeCell ref="K141:N141"/>
    <mergeCell ref="O141:P141"/>
    <mergeCell ref="A137:P137"/>
    <mergeCell ref="B139:F139"/>
    <mergeCell ref="G139:J139"/>
    <mergeCell ref="K139:N139"/>
    <mergeCell ref="O139:P139"/>
    <mergeCell ref="B142:F142"/>
    <mergeCell ref="G142:J142"/>
    <mergeCell ref="K142:N142"/>
    <mergeCell ref="O142:P142"/>
    <mergeCell ref="B143:F143"/>
    <mergeCell ref="G143:J143"/>
    <mergeCell ref="K143:N143"/>
    <mergeCell ref="O143:P143"/>
    <mergeCell ref="B145:F145"/>
    <mergeCell ref="G145:J145"/>
    <mergeCell ref="K145:N145"/>
    <mergeCell ref="O145:P145"/>
    <mergeCell ref="A144:P144"/>
    <mergeCell ref="B146:F146"/>
    <mergeCell ref="G146:J146"/>
    <mergeCell ref="K146:N146"/>
    <mergeCell ref="O146:P146"/>
    <mergeCell ref="B147:F147"/>
    <mergeCell ref="G147:J147"/>
    <mergeCell ref="K147:N147"/>
    <mergeCell ref="O147:P147"/>
    <mergeCell ref="B148:F148"/>
    <mergeCell ref="G148:J148"/>
    <mergeCell ref="K148:N148"/>
    <mergeCell ref="O148:P148"/>
    <mergeCell ref="B149:F149"/>
    <mergeCell ref="G149:J149"/>
    <mergeCell ref="K149:N149"/>
    <mergeCell ref="O149:P149"/>
    <mergeCell ref="B150:F150"/>
    <mergeCell ref="G150:J150"/>
    <mergeCell ref="K150:N150"/>
    <mergeCell ref="O150:P150"/>
    <mergeCell ref="A151:P151"/>
    <mergeCell ref="B152:F152"/>
    <mergeCell ref="G152:J152"/>
    <mergeCell ref="K152:N152"/>
    <mergeCell ref="O152:P152"/>
    <mergeCell ref="B154:F154"/>
    <mergeCell ref="G154:J154"/>
    <mergeCell ref="K154:N154"/>
    <mergeCell ref="O154:P154"/>
    <mergeCell ref="B155:F155"/>
    <mergeCell ref="G155:J155"/>
    <mergeCell ref="K155:N155"/>
    <mergeCell ref="O155:P155"/>
    <mergeCell ref="B156:F156"/>
    <mergeCell ref="G156:J156"/>
    <mergeCell ref="K156:N156"/>
    <mergeCell ref="O156:P156"/>
    <mergeCell ref="B153:F153"/>
    <mergeCell ref="G153:J153"/>
    <mergeCell ref="K153:N153"/>
    <mergeCell ref="O153:P153"/>
    <mergeCell ref="A172:P172"/>
    <mergeCell ref="B162:F162"/>
    <mergeCell ref="G162:J162"/>
    <mergeCell ref="K162:N162"/>
    <mergeCell ref="O162:P162"/>
    <mergeCell ref="B163:F163"/>
    <mergeCell ref="G163:J163"/>
    <mergeCell ref="K163:N163"/>
    <mergeCell ref="O163:P163"/>
    <mergeCell ref="B164:F164"/>
    <mergeCell ref="G164:J164"/>
    <mergeCell ref="K164:N164"/>
    <mergeCell ref="O164:P164"/>
    <mergeCell ref="A165:P165"/>
    <mergeCell ref="A166:P166"/>
    <mergeCell ref="B157:F157"/>
    <mergeCell ref="G157:J157"/>
    <mergeCell ref="K157:N157"/>
    <mergeCell ref="O157:P157"/>
    <mergeCell ref="B159:F159"/>
    <mergeCell ref="G159:J159"/>
    <mergeCell ref="K159:N159"/>
    <mergeCell ref="O159:P159"/>
    <mergeCell ref="B161:F161"/>
    <mergeCell ref="G161:J161"/>
    <mergeCell ref="K161:N161"/>
    <mergeCell ref="O161:P161"/>
    <mergeCell ref="A158:P158"/>
    <mergeCell ref="B160:F160"/>
    <mergeCell ref="G160:J160"/>
    <mergeCell ref="K160:N160"/>
    <mergeCell ref="O160:P160"/>
    <mergeCell ref="B169:F169"/>
    <mergeCell ref="G169:J169"/>
    <mergeCell ref="K169:N169"/>
    <mergeCell ref="O169:P169"/>
    <mergeCell ref="B170:F170"/>
    <mergeCell ref="G170:J170"/>
    <mergeCell ref="K170:N170"/>
    <mergeCell ref="O170:P170"/>
    <mergeCell ref="B171:F171"/>
    <mergeCell ref="G171:J171"/>
    <mergeCell ref="K171:N171"/>
    <mergeCell ref="O171:P171"/>
    <mergeCell ref="B167:F167"/>
    <mergeCell ref="G167:J167"/>
    <mergeCell ref="K167:N167"/>
    <mergeCell ref="O167:P167"/>
    <mergeCell ref="B168:F168"/>
    <mergeCell ref="G168:J168"/>
    <mergeCell ref="K168:N168"/>
    <mergeCell ref="O168:P168"/>
    <mergeCell ref="B176:F176"/>
    <mergeCell ref="G176:J176"/>
    <mergeCell ref="K176:N176"/>
    <mergeCell ref="O176:P176"/>
    <mergeCell ref="B177:F177"/>
    <mergeCell ref="G177:J177"/>
    <mergeCell ref="K177:N177"/>
    <mergeCell ref="O177:P177"/>
    <mergeCell ref="B179:F179"/>
    <mergeCell ref="G179:J179"/>
    <mergeCell ref="K179:N179"/>
    <mergeCell ref="O179:P179"/>
    <mergeCell ref="B173:F173"/>
    <mergeCell ref="G173:J173"/>
    <mergeCell ref="K173:N173"/>
    <mergeCell ref="O173:P173"/>
    <mergeCell ref="B174:F174"/>
    <mergeCell ref="G174:J174"/>
    <mergeCell ref="K174:N174"/>
    <mergeCell ref="O174:P174"/>
    <mergeCell ref="B175:F175"/>
    <mergeCell ref="G175:J175"/>
    <mergeCell ref="K175:N175"/>
    <mergeCell ref="O175:P175"/>
    <mergeCell ref="A178:P178"/>
    <mergeCell ref="B185:F185"/>
    <mergeCell ref="G185:J185"/>
    <mergeCell ref="K185:N185"/>
    <mergeCell ref="O185:P185"/>
    <mergeCell ref="B181:F181"/>
    <mergeCell ref="G181:J181"/>
    <mergeCell ref="K181:N181"/>
    <mergeCell ref="O181:P181"/>
    <mergeCell ref="B182:F182"/>
    <mergeCell ref="G182:J182"/>
    <mergeCell ref="K182:N182"/>
    <mergeCell ref="O182:P182"/>
    <mergeCell ref="B183:F183"/>
    <mergeCell ref="G183:J183"/>
    <mergeCell ref="K183:N183"/>
    <mergeCell ref="O183:P183"/>
    <mergeCell ref="B180:F180"/>
    <mergeCell ref="G180:J180"/>
    <mergeCell ref="K180:N180"/>
    <mergeCell ref="O180:P180"/>
    <mergeCell ref="A184:P184"/>
    <mergeCell ref="B190:F190"/>
    <mergeCell ref="G190:J190"/>
    <mergeCell ref="K190:N190"/>
    <mergeCell ref="O190:P190"/>
    <mergeCell ref="A191:P191"/>
    <mergeCell ref="B186:F186"/>
    <mergeCell ref="G186:J186"/>
    <mergeCell ref="K186:N186"/>
    <mergeCell ref="O186:P186"/>
    <mergeCell ref="B187:F187"/>
    <mergeCell ref="G187:J187"/>
    <mergeCell ref="K187:N187"/>
    <mergeCell ref="O187:P187"/>
    <mergeCell ref="B188:F188"/>
    <mergeCell ref="G188:J188"/>
    <mergeCell ref="K188:N188"/>
    <mergeCell ref="O188:P188"/>
    <mergeCell ref="B189:F189"/>
    <mergeCell ref="G189:J189"/>
    <mergeCell ref="K189:N189"/>
    <mergeCell ref="O189:P189"/>
    <mergeCell ref="B195:F195"/>
    <mergeCell ref="G195:J195"/>
    <mergeCell ref="K195:N195"/>
    <mergeCell ref="O195:P195"/>
    <mergeCell ref="B197:F197"/>
    <mergeCell ref="G197:J197"/>
    <mergeCell ref="K197:N197"/>
    <mergeCell ref="O197:P197"/>
    <mergeCell ref="B196:F196"/>
    <mergeCell ref="G196:J196"/>
    <mergeCell ref="K196:N196"/>
    <mergeCell ref="O196:P196"/>
    <mergeCell ref="A198:P198"/>
    <mergeCell ref="A199:P199"/>
    <mergeCell ref="B192:F192"/>
    <mergeCell ref="G192:J192"/>
    <mergeCell ref="K192:N192"/>
    <mergeCell ref="O192:P192"/>
    <mergeCell ref="B193:F193"/>
    <mergeCell ref="G193:J193"/>
    <mergeCell ref="K193:N193"/>
    <mergeCell ref="O193:P193"/>
    <mergeCell ref="B194:F194"/>
    <mergeCell ref="G194:J194"/>
    <mergeCell ref="K194:N194"/>
    <mergeCell ref="O194:P194"/>
    <mergeCell ref="A206:P206"/>
    <mergeCell ref="B207:F207"/>
    <mergeCell ref="G207:J207"/>
    <mergeCell ref="K207:N207"/>
    <mergeCell ref="O207:P207"/>
    <mergeCell ref="B208:F208"/>
    <mergeCell ref="G208:J208"/>
    <mergeCell ref="K208:N208"/>
    <mergeCell ref="O208:P208"/>
    <mergeCell ref="B209:F209"/>
    <mergeCell ref="G209:J209"/>
    <mergeCell ref="K209:N209"/>
    <mergeCell ref="O209:P209"/>
    <mergeCell ref="A205:P205"/>
    <mergeCell ref="B200:F200"/>
    <mergeCell ref="G200:J200"/>
    <mergeCell ref="K200:N200"/>
    <mergeCell ref="O200:P200"/>
    <mergeCell ref="B202:F202"/>
    <mergeCell ref="G202:J202"/>
    <mergeCell ref="K202:N202"/>
    <mergeCell ref="O202:P202"/>
    <mergeCell ref="B203:F203"/>
    <mergeCell ref="G203:J203"/>
    <mergeCell ref="K203:N203"/>
    <mergeCell ref="O203:P203"/>
    <mergeCell ref="B201:F201"/>
    <mergeCell ref="G201:J201"/>
    <mergeCell ref="K201:N201"/>
    <mergeCell ref="O201:P201"/>
    <mergeCell ref="A204:P204"/>
    <mergeCell ref="B210:F210"/>
    <mergeCell ref="G210:J210"/>
    <mergeCell ref="K210:N210"/>
    <mergeCell ref="O210:P210"/>
    <mergeCell ref="B211:F211"/>
    <mergeCell ref="G211:J211"/>
    <mergeCell ref="K211:N211"/>
    <mergeCell ref="O211:P211"/>
    <mergeCell ref="A212:P212"/>
    <mergeCell ref="B214:F214"/>
    <mergeCell ref="G214:J214"/>
    <mergeCell ref="K214:N214"/>
    <mergeCell ref="O214:P214"/>
    <mergeCell ref="B215:F215"/>
    <mergeCell ref="G215:J215"/>
    <mergeCell ref="K215:N215"/>
    <mergeCell ref="O215:P215"/>
    <mergeCell ref="B213:F213"/>
    <mergeCell ref="G213:J213"/>
    <mergeCell ref="K213:N213"/>
    <mergeCell ref="O213:P213"/>
    <mergeCell ref="B216:F216"/>
    <mergeCell ref="G216:J216"/>
    <mergeCell ref="K216:N216"/>
    <mergeCell ref="O216:P216"/>
    <mergeCell ref="B217:F217"/>
    <mergeCell ref="G217:J217"/>
    <mergeCell ref="K217:N217"/>
    <mergeCell ref="O217:P217"/>
    <mergeCell ref="B219:F219"/>
    <mergeCell ref="G219:J219"/>
    <mergeCell ref="K219:N219"/>
    <mergeCell ref="O219:P219"/>
    <mergeCell ref="A218:P218"/>
    <mergeCell ref="B220:F220"/>
    <mergeCell ref="G220:J220"/>
    <mergeCell ref="K220:N220"/>
    <mergeCell ref="O220:P220"/>
    <mergeCell ref="B222:F222"/>
    <mergeCell ref="G222:J222"/>
    <mergeCell ref="K222:N222"/>
    <mergeCell ref="O222:P222"/>
    <mergeCell ref="B223:F223"/>
    <mergeCell ref="G223:J223"/>
    <mergeCell ref="K223:N223"/>
    <mergeCell ref="O223:P223"/>
    <mergeCell ref="B225:F225"/>
    <mergeCell ref="G225:J225"/>
    <mergeCell ref="K225:N225"/>
    <mergeCell ref="O225:P225"/>
    <mergeCell ref="B221:F221"/>
    <mergeCell ref="G221:J221"/>
    <mergeCell ref="K221:N221"/>
    <mergeCell ref="O221:P221"/>
    <mergeCell ref="A224:P224"/>
    <mergeCell ref="B226:F226"/>
    <mergeCell ref="G226:J226"/>
    <mergeCell ref="K226:N226"/>
    <mergeCell ref="O226:P226"/>
    <mergeCell ref="B227:F227"/>
    <mergeCell ref="G227:J227"/>
    <mergeCell ref="K227:N227"/>
    <mergeCell ref="O227:P227"/>
    <mergeCell ref="B229:F229"/>
    <mergeCell ref="G229:J229"/>
    <mergeCell ref="K229:N229"/>
    <mergeCell ref="O229:P229"/>
    <mergeCell ref="B230:F230"/>
    <mergeCell ref="G230:J230"/>
    <mergeCell ref="K230:N230"/>
    <mergeCell ref="O230:P230"/>
    <mergeCell ref="B228:F228"/>
    <mergeCell ref="G228:J228"/>
    <mergeCell ref="K228:N228"/>
    <mergeCell ref="O228:P228"/>
    <mergeCell ref="B232:F232"/>
    <mergeCell ref="G232:J232"/>
    <mergeCell ref="K232:N232"/>
    <mergeCell ref="O232:P232"/>
    <mergeCell ref="B233:F233"/>
    <mergeCell ref="G233:J233"/>
    <mergeCell ref="K233:N233"/>
    <mergeCell ref="O233:P233"/>
    <mergeCell ref="B235:F235"/>
    <mergeCell ref="G235:J235"/>
    <mergeCell ref="K235:N235"/>
    <mergeCell ref="O235:P235"/>
    <mergeCell ref="A231:P231"/>
    <mergeCell ref="B234:F234"/>
    <mergeCell ref="G234:J234"/>
    <mergeCell ref="K234:N234"/>
    <mergeCell ref="O234:P234"/>
    <mergeCell ref="B236:F236"/>
    <mergeCell ref="G236:J236"/>
    <mergeCell ref="K236:N236"/>
    <mergeCell ref="O236:P236"/>
    <mergeCell ref="B238:F238"/>
    <mergeCell ref="G238:J238"/>
    <mergeCell ref="K238:N238"/>
    <mergeCell ref="O238:P238"/>
    <mergeCell ref="B239:F239"/>
    <mergeCell ref="G239:J239"/>
    <mergeCell ref="K239:N239"/>
    <mergeCell ref="O239:P239"/>
    <mergeCell ref="A237:P237"/>
    <mergeCell ref="B240:F240"/>
    <mergeCell ref="G240:J240"/>
    <mergeCell ref="K240:N240"/>
    <mergeCell ref="O240:P240"/>
    <mergeCell ref="B241:F241"/>
    <mergeCell ref="G241:J241"/>
    <mergeCell ref="K241:N241"/>
    <mergeCell ref="O241:P241"/>
    <mergeCell ref="B242:F242"/>
    <mergeCell ref="G242:J242"/>
    <mergeCell ref="K242:N242"/>
    <mergeCell ref="O242:P242"/>
    <mergeCell ref="B244:F244"/>
    <mergeCell ref="G244:J244"/>
    <mergeCell ref="K244:N244"/>
    <mergeCell ref="O244:P244"/>
    <mergeCell ref="B245:F245"/>
    <mergeCell ref="G245:J245"/>
    <mergeCell ref="K245:N245"/>
    <mergeCell ref="O245:P245"/>
    <mergeCell ref="A243:P243"/>
    <mergeCell ref="A251:P251"/>
    <mergeCell ref="B253:F253"/>
    <mergeCell ref="G253:J253"/>
    <mergeCell ref="K253:N253"/>
    <mergeCell ref="O253:P253"/>
    <mergeCell ref="B246:F246"/>
    <mergeCell ref="G246:J246"/>
    <mergeCell ref="K246:N246"/>
    <mergeCell ref="O246:P246"/>
    <mergeCell ref="B248:F248"/>
    <mergeCell ref="G248:J248"/>
    <mergeCell ref="K248:N248"/>
    <mergeCell ref="O248:P248"/>
    <mergeCell ref="B249:F249"/>
    <mergeCell ref="G249:J249"/>
    <mergeCell ref="K249:N249"/>
    <mergeCell ref="O249:P249"/>
    <mergeCell ref="B247:F247"/>
    <mergeCell ref="G247:J247"/>
    <mergeCell ref="K247:N247"/>
    <mergeCell ref="O247:P247"/>
    <mergeCell ref="A250:P250"/>
    <mergeCell ref="B256:F256"/>
    <mergeCell ref="G256:J256"/>
    <mergeCell ref="K256:N256"/>
    <mergeCell ref="O256:P256"/>
    <mergeCell ref="B257:F257"/>
    <mergeCell ref="G257:J257"/>
    <mergeCell ref="K257:N257"/>
    <mergeCell ref="O257:P257"/>
    <mergeCell ref="A259:P259"/>
    <mergeCell ref="B260:F260"/>
    <mergeCell ref="G260:J260"/>
    <mergeCell ref="K260:N260"/>
    <mergeCell ref="O260:P260"/>
    <mergeCell ref="A258:P258"/>
    <mergeCell ref="B252:F252"/>
    <mergeCell ref="G252:J252"/>
    <mergeCell ref="K252:N252"/>
    <mergeCell ref="O252:P252"/>
    <mergeCell ref="B254:F254"/>
    <mergeCell ref="G254:J254"/>
    <mergeCell ref="K254:N254"/>
    <mergeCell ref="O254:P254"/>
    <mergeCell ref="B255:F255"/>
    <mergeCell ref="G255:J255"/>
    <mergeCell ref="K255:N255"/>
    <mergeCell ref="O255:P255"/>
    <mergeCell ref="B261:F261"/>
    <mergeCell ref="G261:J261"/>
    <mergeCell ref="K261:N261"/>
    <mergeCell ref="O261:P261"/>
    <mergeCell ref="B262:F262"/>
    <mergeCell ref="G262:J262"/>
    <mergeCell ref="K262:N262"/>
    <mergeCell ref="O262:P262"/>
    <mergeCell ref="B263:F263"/>
    <mergeCell ref="G263:J263"/>
    <mergeCell ref="K263:N263"/>
    <mergeCell ref="O263:P263"/>
    <mergeCell ref="B264:F264"/>
    <mergeCell ref="G264:J264"/>
    <mergeCell ref="K264:N264"/>
    <mergeCell ref="O264:P264"/>
    <mergeCell ref="B265:F265"/>
    <mergeCell ref="G265:J265"/>
    <mergeCell ref="K265:N265"/>
    <mergeCell ref="O265:P265"/>
    <mergeCell ref="B267:F267"/>
    <mergeCell ref="G267:J267"/>
    <mergeCell ref="K267:N267"/>
    <mergeCell ref="O267:P267"/>
    <mergeCell ref="B268:F268"/>
    <mergeCell ref="G268:J268"/>
    <mergeCell ref="K268:N268"/>
    <mergeCell ref="O268:P268"/>
    <mergeCell ref="B269:F269"/>
    <mergeCell ref="G269:J269"/>
    <mergeCell ref="K269:N269"/>
    <mergeCell ref="O269:P269"/>
    <mergeCell ref="B270:F270"/>
    <mergeCell ref="G270:J270"/>
    <mergeCell ref="K270:N270"/>
    <mergeCell ref="O270:P270"/>
    <mergeCell ref="A266:P266"/>
    <mergeCell ref="B273:F273"/>
    <mergeCell ref="G273:J273"/>
    <mergeCell ref="K273:N273"/>
    <mergeCell ref="O273:P273"/>
    <mergeCell ref="B274:F274"/>
    <mergeCell ref="G274:J274"/>
    <mergeCell ref="K274:N274"/>
    <mergeCell ref="O274:P274"/>
    <mergeCell ref="B275:F275"/>
    <mergeCell ref="G275:J275"/>
    <mergeCell ref="K275:N275"/>
    <mergeCell ref="O275:P275"/>
    <mergeCell ref="B271:F271"/>
    <mergeCell ref="G271:J271"/>
    <mergeCell ref="K271:N271"/>
    <mergeCell ref="O271:P271"/>
    <mergeCell ref="A272:P272"/>
    <mergeCell ref="B276:F276"/>
    <mergeCell ref="G276:J276"/>
    <mergeCell ref="K276:N276"/>
    <mergeCell ref="O276:P276"/>
    <mergeCell ref="B279:F279"/>
    <mergeCell ref="G279:J279"/>
    <mergeCell ref="K279:N279"/>
    <mergeCell ref="O279:P279"/>
    <mergeCell ref="B280:F280"/>
    <mergeCell ref="G280:J280"/>
    <mergeCell ref="K280:N280"/>
    <mergeCell ref="O280:P280"/>
    <mergeCell ref="B277:F277"/>
    <mergeCell ref="G277:J277"/>
    <mergeCell ref="K277:N277"/>
    <mergeCell ref="O277:P277"/>
    <mergeCell ref="A278:P278"/>
    <mergeCell ref="B281:F281"/>
    <mergeCell ref="G281:J281"/>
    <mergeCell ref="K281:N281"/>
    <mergeCell ref="O281:P281"/>
    <mergeCell ref="B282:F282"/>
    <mergeCell ref="G282:J282"/>
    <mergeCell ref="K282:N282"/>
    <mergeCell ref="O282:P282"/>
    <mergeCell ref="A284:P284"/>
    <mergeCell ref="B285:F285"/>
    <mergeCell ref="G285:J285"/>
    <mergeCell ref="K285:N285"/>
    <mergeCell ref="O285:P285"/>
    <mergeCell ref="B286:F286"/>
    <mergeCell ref="G286:J286"/>
    <mergeCell ref="K286:N286"/>
    <mergeCell ref="O286:P286"/>
    <mergeCell ref="B283:F283"/>
    <mergeCell ref="G283:J283"/>
    <mergeCell ref="K283:N283"/>
    <mergeCell ref="O283:P283"/>
    <mergeCell ref="B287:F287"/>
    <mergeCell ref="G287:J287"/>
    <mergeCell ref="K287:N287"/>
    <mergeCell ref="O287:P287"/>
    <mergeCell ref="B288:F288"/>
    <mergeCell ref="G288:J288"/>
    <mergeCell ref="K288:N288"/>
    <mergeCell ref="O288:P288"/>
    <mergeCell ref="B289:F289"/>
    <mergeCell ref="G289:J289"/>
    <mergeCell ref="K289:N289"/>
    <mergeCell ref="O289:P289"/>
    <mergeCell ref="B290:F290"/>
    <mergeCell ref="G290:J290"/>
    <mergeCell ref="K290:N290"/>
    <mergeCell ref="O290:P290"/>
    <mergeCell ref="A291:P291"/>
    <mergeCell ref="A297:P297"/>
    <mergeCell ref="B292:F292"/>
    <mergeCell ref="G292:J292"/>
    <mergeCell ref="K292:N292"/>
    <mergeCell ref="O292:P292"/>
    <mergeCell ref="B293:F293"/>
    <mergeCell ref="G293:J293"/>
    <mergeCell ref="K293:N293"/>
    <mergeCell ref="O293:P293"/>
    <mergeCell ref="B294:F294"/>
    <mergeCell ref="G294:J294"/>
    <mergeCell ref="K294:N294"/>
    <mergeCell ref="O294:P294"/>
    <mergeCell ref="B295:F295"/>
    <mergeCell ref="G295:J295"/>
    <mergeCell ref="K295:N295"/>
    <mergeCell ref="O295:P295"/>
    <mergeCell ref="B296:F296"/>
    <mergeCell ref="G296:J296"/>
    <mergeCell ref="K296:N296"/>
    <mergeCell ref="O296:P296"/>
    <mergeCell ref="B302:F302"/>
    <mergeCell ref="G302:J302"/>
    <mergeCell ref="K302:N302"/>
    <mergeCell ref="O302:P302"/>
    <mergeCell ref="B298:F298"/>
    <mergeCell ref="G298:J298"/>
    <mergeCell ref="K298:N298"/>
    <mergeCell ref="O298:P298"/>
    <mergeCell ref="B299:F299"/>
    <mergeCell ref="G299:J299"/>
    <mergeCell ref="K299:N299"/>
    <mergeCell ref="O299:P299"/>
    <mergeCell ref="B300:F300"/>
    <mergeCell ref="G300:J300"/>
    <mergeCell ref="K300:N300"/>
    <mergeCell ref="O300:P300"/>
    <mergeCell ref="B301:F301"/>
    <mergeCell ref="G301:J301"/>
    <mergeCell ref="K301:N301"/>
    <mergeCell ref="O301:P301"/>
    <mergeCell ref="A303:P303"/>
    <mergeCell ref="B304:F304"/>
    <mergeCell ref="G304:J304"/>
    <mergeCell ref="K304:N304"/>
    <mergeCell ref="O304:P304"/>
    <mergeCell ref="B305:F305"/>
    <mergeCell ref="G305:J305"/>
    <mergeCell ref="K305:N305"/>
    <mergeCell ref="O305:P305"/>
    <mergeCell ref="B306:F306"/>
    <mergeCell ref="G306:J306"/>
    <mergeCell ref="K306:N306"/>
    <mergeCell ref="O306:P306"/>
    <mergeCell ref="B307:F307"/>
    <mergeCell ref="G307:J307"/>
    <mergeCell ref="K307:N307"/>
    <mergeCell ref="O307:P307"/>
    <mergeCell ref="B308:F308"/>
    <mergeCell ref="G308:J308"/>
    <mergeCell ref="K308:N308"/>
    <mergeCell ref="O308:P308"/>
    <mergeCell ref="B311:F311"/>
    <mergeCell ref="G311:J311"/>
    <mergeCell ref="K311:N311"/>
    <mergeCell ref="O311:P311"/>
    <mergeCell ref="B312:F312"/>
    <mergeCell ref="G312:J312"/>
    <mergeCell ref="K312:N312"/>
    <mergeCell ref="O312:P312"/>
    <mergeCell ref="A309:P309"/>
    <mergeCell ref="B310:F310"/>
    <mergeCell ref="G310:J310"/>
    <mergeCell ref="K310:N310"/>
    <mergeCell ref="O310:P310"/>
    <mergeCell ref="B313:F313"/>
    <mergeCell ref="G313:J313"/>
    <mergeCell ref="K313:N313"/>
    <mergeCell ref="O313:P313"/>
    <mergeCell ref="B314:F314"/>
    <mergeCell ref="G314:J314"/>
    <mergeCell ref="K314:N314"/>
    <mergeCell ref="O314:P314"/>
    <mergeCell ref="B319:F319"/>
    <mergeCell ref="G319:J319"/>
    <mergeCell ref="K319:N319"/>
    <mergeCell ref="O319:P319"/>
    <mergeCell ref="A315:P315"/>
    <mergeCell ref="B316:F316"/>
    <mergeCell ref="G316:J316"/>
    <mergeCell ref="K316:N316"/>
    <mergeCell ref="O316:P316"/>
    <mergeCell ref="B317:F317"/>
    <mergeCell ref="G317:J317"/>
    <mergeCell ref="K317:N317"/>
    <mergeCell ref="O317:P317"/>
    <mergeCell ref="B318:F318"/>
    <mergeCell ref="G318:J318"/>
    <mergeCell ref="K318:N318"/>
    <mergeCell ref="O318:P318"/>
    <mergeCell ref="B325:F325"/>
    <mergeCell ref="G325:J325"/>
    <mergeCell ref="K325:N325"/>
    <mergeCell ref="O325:P325"/>
    <mergeCell ref="B326:F326"/>
    <mergeCell ref="G326:J326"/>
    <mergeCell ref="K326:N326"/>
    <mergeCell ref="O326:P326"/>
    <mergeCell ref="A328:P328"/>
    <mergeCell ref="B329:F329"/>
    <mergeCell ref="G329:J329"/>
    <mergeCell ref="K329:N329"/>
    <mergeCell ref="O329:P329"/>
    <mergeCell ref="A327:P327"/>
    <mergeCell ref="B320:F320"/>
    <mergeCell ref="G320:J320"/>
    <mergeCell ref="K320:N320"/>
    <mergeCell ref="O320:P320"/>
    <mergeCell ref="B322:F322"/>
    <mergeCell ref="G322:J322"/>
    <mergeCell ref="K322:N322"/>
    <mergeCell ref="O322:P322"/>
    <mergeCell ref="B324:F324"/>
    <mergeCell ref="G324:J324"/>
    <mergeCell ref="K324:N324"/>
    <mergeCell ref="O324:P324"/>
    <mergeCell ref="A321:P321"/>
    <mergeCell ref="B323:F323"/>
    <mergeCell ref="G323:J323"/>
    <mergeCell ref="K323:N323"/>
    <mergeCell ref="O323:P323"/>
    <mergeCell ref="B330:F330"/>
    <mergeCell ref="G330:J330"/>
    <mergeCell ref="K330:N330"/>
    <mergeCell ref="O330:P330"/>
    <mergeCell ref="B331:F331"/>
    <mergeCell ref="G331:J331"/>
    <mergeCell ref="K331:N331"/>
    <mergeCell ref="O331:P331"/>
    <mergeCell ref="B332:F332"/>
    <mergeCell ref="G332:J332"/>
    <mergeCell ref="K332:N332"/>
    <mergeCell ref="O332:P332"/>
    <mergeCell ref="B333:F333"/>
    <mergeCell ref="G333:J333"/>
    <mergeCell ref="K333:N333"/>
    <mergeCell ref="O333:P333"/>
    <mergeCell ref="A334:P334"/>
    <mergeCell ref="A340:P340"/>
    <mergeCell ref="B343:F343"/>
    <mergeCell ref="G343:J343"/>
    <mergeCell ref="K343:N343"/>
    <mergeCell ref="O343:P343"/>
    <mergeCell ref="B335:F335"/>
    <mergeCell ref="G335:J335"/>
    <mergeCell ref="K335:N335"/>
    <mergeCell ref="O335:P335"/>
    <mergeCell ref="B336:F336"/>
    <mergeCell ref="G336:J336"/>
    <mergeCell ref="K336:N336"/>
    <mergeCell ref="O336:P336"/>
    <mergeCell ref="B337:F337"/>
    <mergeCell ref="G337:J337"/>
    <mergeCell ref="K337:N337"/>
    <mergeCell ref="O337:P337"/>
    <mergeCell ref="B339:F339"/>
    <mergeCell ref="G339:J339"/>
    <mergeCell ref="K339:N339"/>
    <mergeCell ref="O339:P339"/>
    <mergeCell ref="B338:F338"/>
    <mergeCell ref="G338:J338"/>
    <mergeCell ref="K338:N338"/>
    <mergeCell ref="O338:P338"/>
    <mergeCell ref="B345:F345"/>
    <mergeCell ref="G345:J345"/>
    <mergeCell ref="K345:N345"/>
    <mergeCell ref="O345:P345"/>
    <mergeCell ref="B349:F349"/>
    <mergeCell ref="G349:J349"/>
    <mergeCell ref="K349:N349"/>
    <mergeCell ref="O349:P349"/>
    <mergeCell ref="A346:P346"/>
    <mergeCell ref="A347:P347"/>
    <mergeCell ref="B348:F348"/>
    <mergeCell ref="G348:J348"/>
    <mergeCell ref="K348:N348"/>
    <mergeCell ref="O348:P348"/>
    <mergeCell ref="B341:F341"/>
    <mergeCell ref="G341:J341"/>
    <mergeCell ref="K341:N341"/>
    <mergeCell ref="O341:P341"/>
    <mergeCell ref="B342:F342"/>
    <mergeCell ref="G342:J342"/>
    <mergeCell ref="K342:N342"/>
    <mergeCell ref="O342:P342"/>
    <mergeCell ref="B344:F344"/>
    <mergeCell ref="G344:J344"/>
    <mergeCell ref="K344:N344"/>
    <mergeCell ref="O344:P344"/>
    <mergeCell ref="B350:F350"/>
    <mergeCell ref="G350:J350"/>
    <mergeCell ref="K350:N350"/>
    <mergeCell ref="O350:P350"/>
    <mergeCell ref="B351:F351"/>
    <mergeCell ref="G351:J351"/>
    <mergeCell ref="K351:N351"/>
    <mergeCell ref="O351:P351"/>
    <mergeCell ref="B352:F352"/>
    <mergeCell ref="G352:J352"/>
    <mergeCell ref="K352:N352"/>
    <mergeCell ref="O352:P352"/>
    <mergeCell ref="B353:F353"/>
    <mergeCell ref="G353:J353"/>
    <mergeCell ref="K353:N353"/>
    <mergeCell ref="O353:P353"/>
    <mergeCell ref="A354:P354"/>
    <mergeCell ref="B363:F363"/>
    <mergeCell ref="G363:J363"/>
    <mergeCell ref="K363:N363"/>
    <mergeCell ref="O363:P363"/>
    <mergeCell ref="A360:P360"/>
    <mergeCell ref="A361:P361"/>
    <mergeCell ref="A362:P362"/>
    <mergeCell ref="B364:F364"/>
    <mergeCell ref="G364:J364"/>
    <mergeCell ref="K364:N364"/>
    <mergeCell ref="O364:P364"/>
    <mergeCell ref="B355:F355"/>
    <mergeCell ref="G355:J355"/>
    <mergeCell ref="K355:N355"/>
    <mergeCell ref="O355:P355"/>
    <mergeCell ref="B356:F356"/>
    <mergeCell ref="G356:J356"/>
    <mergeCell ref="K356:N356"/>
    <mergeCell ref="O356:P356"/>
    <mergeCell ref="B357:F357"/>
    <mergeCell ref="G357:J357"/>
    <mergeCell ref="K357:N357"/>
    <mergeCell ref="O357:P357"/>
    <mergeCell ref="B358:F358"/>
    <mergeCell ref="G358:J358"/>
    <mergeCell ref="K358:N358"/>
    <mergeCell ref="O358:P358"/>
    <mergeCell ref="B359:F359"/>
    <mergeCell ref="G359:J359"/>
    <mergeCell ref="K359:N359"/>
    <mergeCell ref="O359:P359"/>
    <mergeCell ref="B365:F365"/>
    <mergeCell ref="G365:J365"/>
    <mergeCell ref="K365:N365"/>
    <mergeCell ref="O365:P365"/>
    <mergeCell ref="B366:F366"/>
    <mergeCell ref="G366:J366"/>
    <mergeCell ref="K366:N366"/>
    <mergeCell ref="O366:P366"/>
    <mergeCell ref="B367:F367"/>
    <mergeCell ref="G367:J367"/>
    <mergeCell ref="K367:N367"/>
    <mergeCell ref="O367:P367"/>
    <mergeCell ref="A368:P368"/>
    <mergeCell ref="B369:F369"/>
    <mergeCell ref="G369:J369"/>
    <mergeCell ref="K369:N369"/>
    <mergeCell ref="O369:P369"/>
    <mergeCell ref="B370:F370"/>
    <mergeCell ref="G370:J370"/>
    <mergeCell ref="K370:N370"/>
    <mergeCell ref="O370:P370"/>
    <mergeCell ref="B371:F371"/>
    <mergeCell ref="G371:J371"/>
    <mergeCell ref="K371:N371"/>
    <mergeCell ref="O371:P371"/>
    <mergeCell ref="B372:F372"/>
    <mergeCell ref="G372:J372"/>
    <mergeCell ref="K372:N372"/>
    <mergeCell ref="O372:P372"/>
    <mergeCell ref="B373:F373"/>
    <mergeCell ref="G373:J373"/>
    <mergeCell ref="K373:N373"/>
    <mergeCell ref="O373:P373"/>
    <mergeCell ref="A374:P374"/>
    <mergeCell ref="B376:F376"/>
    <mergeCell ref="G376:J376"/>
    <mergeCell ref="K376:N376"/>
    <mergeCell ref="O376:P376"/>
    <mergeCell ref="B377:F377"/>
    <mergeCell ref="G377:J377"/>
    <mergeCell ref="K377:N377"/>
    <mergeCell ref="O377:P377"/>
    <mergeCell ref="B378:F378"/>
    <mergeCell ref="G378:J378"/>
    <mergeCell ref="K378:N378"/>
    <mergeCell ref="O378:P378"/>
    <mergeCell ref="B379:F379"/>
    <mergeCell ref="G379:J379"/>
    <mergeCell ref="K379:N379"/>
    <mergeCell ref="O379:P379"/>
    <mergeCell ref="B375:F375"/>
    <mergeCell ref="G375:J375"/>
    <mergeCell ref="K375:N375"/>
    <mergeCell ref="O375:P375"/>
    <mergeCell ref="A380:P380"/>
    <mergeCell ref="B382:F382"/>
    <mergeCell ref="G382:J382"/>
    <mergeCell ref="K382:N382"/>
    <mergeCell ref="O382:P382"/>
    <mergeCell ref="B383:F383"/>
    <mergeCell ref="G383:J383"/>
    <mergeCell ref="K383:N383"/>
    <mergeCell ref="O383:P383"/>
    <mergeCell ref="B384:F384"/>
    <mergeCell ref="G384:J384"/>
    <mergeCell ref="K384:N384"/>
    <mergeCell ref="O384:P384"/>
    <mergeCell ref="B385:F385"/>
    <mergeCell ref="G385:J385"/>
    <mergeCell ref="K385:N385"/>
    <mergeCell ref="O385:P385"/>
    <mergeCell ref="B381:F381"/>
    <mergeCell ref="G381:J381"/>
    <mergeCell ref="K381:N381"/>
    <mergeCell ref="O381:P381"/>
    <mergeCell ref="A386:P386"/>
    <mergeCell ref="B388:F388"/>
    <mergeCell ref="G388:J388"/>
    <mergeCell ref="K388:N388"/>
    <mergeCell ref="O388:P388"/>
    <mergeCell ref="B389:F389"/>
    <mergeCell ref="G389:J389"/>
    <mergeCell ref="K389:N389"/>
    <mergeCell ref="O389:P389"/>
    <mergeCell ref="B390:F390"/>
    <mergeCell ref="G390:J390"/>
    <mergeCell ref="K390:N390"/>
    <mergeCell ref="O390:P390"/>
    <mergeCell ref="B391:F391"/>
    <mergeCell ref="G391:J391"/>
    <mergeCell ref="K391:N391"/>
    <mergeCell ref="O391:P391"/>
    <mergeCell ref="B387:F387"/>
    <mergeCell ref="G387:J387"/>
    <mergeCell ref="K387:N387"/>
    <mergeCell ref="O387:P387"/>
    <mergeCell ref="A392:P392"/>
    <mergeCell ref="B394:F394"/>
    <mergeCell ref="G394:J394"/>
    <mergeCell ref="K394:N394"/>
    <mergeCell ref="O394:P394"/>
    <mergeCell ref="B395:F395"/>
    <mergeCell ref="G395:J395"/>
    <mergeCell ref="K395:N395"/>
    <mergeCell ref="O395:P395"/>
    <mergeCell ref="B396:F396"/>
    <mergeCell ref="G396:J396"/>
    <mergeCell ref="K396:N396"/>
    <mergeCell ref="O396:P396"/>
    <mergeCell ref="B397:F397"/>
    <mergeCell ref="G397:J397"/>
    <mergeCell ref="K397:N397"/>
    <mergeCell ref="O397:P397"/>
    <mergeCell ref="B393:F393"/>
    <mergeCell ref="G393:J393"/>
    <mergeCell ref="K393:N393"/>
    <mergeCell ref="O393:P393"/>
    <mergeCell ref="B400:F400"/>
    <mergeCell ref="G400:J400"/>
    <mergeCell ref="K400:N400"/>
    <mergeCell ref="O400:P400"/>
    <mergeCell ref="B401:F401"/>
    <mergeCell ref="G401:J401"/>
    <mergeCell ref="K401:N401"/>
    <mergeCell ref="O401:P401"/>
    <mergeCell ref="B402:F402"/>
    <mergeCell ref="G402:J402"/>
    <mergeCell ref="K402:N402"/>
    <mergeCell ref="O402:P402"/>
    <mergeCell ref="A398:P398"/>
    <mergeCell ref="B399:F399"/>
    <mergeCell ref="G399:J399"/>
    <mergeCell ref="K399:N399"/>
    <mergeCell ref="O399:P399"/>
    <mergeCell ref="B403:F403"/>
    <mergeCell ref="G403:J403"/>
    <mergeCell ref="K403:N403"/>
    <mergeCell ref="O403:P403"/>
    <mergeCell ref="B406:F406"/>
    <mergeCell ref="G406:J406"/>
    <mergeCell ref="K406:N406"/>
    <mergeCell ref="O406:P406"/>
    <mergeCell ref="B407:F407"/>
    <mergeCell ref="G407:J407"/>
    <mergeCell ref="K407:N407"/>
    <mergeCell ref="O407:P407"/>
    <mergeCell ref="B404:F404"/>
    <mergeCell ref="G404:J404"/>
    <mergeCell ref="K404:N404"/>
    <mergeCell ref="O404:P404"/>
    <mergeCell ref="A405:P405"/>
    <mergeCell ref="B408:F408"/>
    <mergeCell ref="G408:J408"/>
    <mergeCell ref="K408:N408"/>
    <mergeCell ref="O408:P408"/>
    <mergeCell ref="B410:F410"/>
    <mergeCell ref="G410:J410"/>
    <mergeCell ref="K410:N410"/>
    <mergeCell ref="O410:P410"/>
    <mergeCell ref="B412:F412"/>
    <mergeCell ref="G412:J412"/>
    <mergeCell ref="K412:N412"/>
    <mergeCell ref="O412:P412"/>
    <mergeCell ref="B409:F409"/>
    <mergeCell ref="G409:J409"/>
    <mergeCell ref="K409:N409"/>
    <mergeCell ref="O409:P409"/>
    <mergeCell ref="A411:P411"/>
    <mergeCell ref="B413:F413"/>
    <mergeCell ref="G413:J413"/>
    <mergeCell ref="K413:N413"/>
    <mergeCell ref="O413:P413"/>
    <mergeCell ref="B414:F414"/>
    <mergeCell ref="G414:J414"/>
    <mergeCell ref="K414:N414"/>
    <mergeCell ref="O414:P414"/>
    <mergeCell ref="B415:F415"/>
    <mergeCell ref="G415:J415"/>
    <mergeCell ref="K415:N415"/>
    <mergeCell ref="O415:P415"/>
    <mergeCell ref="B416:F416"/>
    <mergeCell ref="G416:J416"/>
    <mergeCell ref="K416:N416"/>
    <mergeCell ref="O416:P416"/>
    <mergeCell ref="A417:P417"/>
    <mergeCell ref="B418:F418"/>
    <mergeCell ref="G418:J418"/>
    <mergeCell ref="K418:N418"/>
    <mergeCell ref="O418:P418"/>
    <mergeCell ref="B419:F419"/>
    <mergeCell ref="G419:J419"/>
    <mergeCell ref="K419:N419"/>
    <mergeCell ref="O419:P419"/>
    <mergeCell ref="B420:F420"/>
    <mergeCell ref="G420:J420"/>
    <mergeCell ref="K420:N420"/>
    <mergeCell ref="O420:P420"/>
    <mergeCell ref="B421:F421"/>
    <mergeCell ref="G421:J421"/>
    <mergeCell ref="K421:N421"/>
    <mergeCell ref="O421:P421"/>
    <mergeCell ref="B422:F422"/>
    <mergeCell ref="G422:J422"/>
    <mergeCell ref="K422:N422"/>
    <mergeCell ref="O422:P422"/>
    <mergeCell ref="A423:P423"/>
    <mergeCell ref="B424:F424"/>
    <mergeCell ref="G424:J424"/>
    <mergeCell ref="K424:N424"/>
    <mergeCell ref="O424:P424"/>
    <mergeCell ref="B425:F425"/>
    <mergeCell ref="G425:J425"/>
    <mergeCell ref="K425:N425"/>
    <mergeCell ref="O425:P425"/>
    <mergeCell ref="B426:F426"/>
    <mergeCell ref="G426:J426"/>
    <mergeCell ref="K426:N426"/>
    <mergeCell ref="O426:P426"/>
    <mergeCell ref="B427:F427"/>
    <mergeCell ref="G427:J427"/>
    <mergeCell ref="K427:N427"/>
    <mergeCell ref="O427:P427"/>
    <mergeCell ref="B428:F428"/>
    <mergeCell ref="G428:J428"/>
    <mergeCell ref="K428:N428"/>
    <mergeCell ref="O428:P428"/>
    <mergeCell ref="B429:F429"/>
    <mergeCell ref="G429:J429"/>
    <mergeCell ref="K429:N429"/>
    <mergeCell ref="O429:P429"/>
    <mergeCell ref="A430:P430"/>
    <mergeCell ref="B431:F431"/>
    <mergeCell ref="G431:J431"/>
    <mergeCell ref="K431:N431"/>
    <mergeCell ref="O431:P431"/>
    <mergeCell ref="B432:F432"/>
    <mergeCell ref="G432:J432"/>
    <mergeCell ref="K432:N432"/>
    <mergeCell ref="O432:P432"/>
    <mergeCell ref="B433:F433"/>
    <mergeCell ref="G433:J433"/>
    <mergeCell ref="K433:N433"/>
    <mergeCell ref="O433:P433"/>
    <mergeCell ref="B434:F434"/>
    <mergeCell ref="G434:J434"/>
    <mergeCell ref="K434:N434"/>
    <mergeCell ref="O434:P434"/>
    <mergeCell ref="B435:F435"/>
    <mergeCell ref="G435:J435"/>
    <mergeCell ref="K435:N435"/>
    <mergeCell ref="O435:P435"/>
    <mergeCell ref="A436:P436"/>
    <mergeCell ref="A437:P437"/>
    <mergeCell ref="B438:F438"/>
    <mergeCell ref="G438:J438"/>
    <mergeCell ref="K438:N438"/>
    <mergeCell ref="O438:P438"/>
    <mergeCell ref="B439:F439"/>
    <mergeCell ref="G439:J439"/>
    <mergeCell ref="K439:N439"/>
    <mergeCell ref="O439:P439"/>
    <mergeCell ref="B440:F440"/>
    <mergeCell ref="G440:J440"/>
    <mergeCell ref="K440:N440"/>
    <mergeCell ref="O440:P440"/>
    <mergeCell ref="B441:F441"/>
    <mergeCell ref="G441:J441"/>
    <mergeCell ref="K441:N441"/>
    <mergeCell ref="O441:P441"/>
    <mergeCell ref="B442:F442"/>
    <mergeCell ref="G442:J442"/>
    <mergeCell ref="K442:N442"/>
    <mergeCell ref="O442:P442"/>
    <mergeCell ref="A443:P443"/>
    <mergeCell ref="A444:P444"/>
    <mergeCell ref="B445:F445"/>
    <mergeCell ref="G445:J445"/>
    <mergeCell ref="K445:N445"/>
    <mergeCell ref="O445:P445"/>
    <mergeCell ref="B446:F446"/>
    <mergeCell ref="G446:J446"/>
    <mergeCell ref="K446:N446"/>
    <mergeCell ref="O446:P446"/>
    <mergeCell ref="B447:F447"/>
    <mergeCell ref="G447:J447"/>
    <mergeCell ref="K447:N447"/>
    <mergeCell ref="O447:P447"/>
    <mergeCell ref="B448:F448"/>
    <mergeCell ref="G448:J448"/>
    <mergeCell ref="K448:N448"/>
    <mergeCell ref="O448:P448"/>
    <mergeCell ref="B449:F449"/>
    <mergeCell ref="G449:J449"/>
    <mergeCell ref="K449:N449"/>
    <mergeCell ref="O449:P449"/>
    <mergeCell ref="A450:P450"/>
    <mergeCell ref="A451:P451"/>
    <mergeCell ref="B452:F452"/>
    <mergeCell ref="G452:J452"/>
    <mergeCell ref="K452:N452"/>
    <mergeCell ref="O452:P452"/>
    <mergeCell ref="B453:F453"/>
    <mergeCell ref="G453:J453"/>
    <mergeCell ref="K453:N453"/>
    <mergeCell ref="O453:P453"/>
    <mergeCell ref="B454:F454"/>
    <mergeCell ref="G454:J454"/>
    <mergeCell ref="K454:N454"/>
    <mergeCell ref="O454:P454"/>
    <mergeCell ref="B455:F455"/>
    <mergeCell ref="G455:J455"/>
    <mergeCell ref="K455:N455"/>
    <mergeCell ref="O455:P455"/>
    <mergeCell ref="B456:F456"/>
    <mergeCell ref="G456:J456"/>
    <mergeCell ref="K456:N456"/>
    <mergeCell ref="O456:P456"/>
    <mergeCell ref="B457:F457"/>
    <mergeCell ref="G457:J457"/>
    <mergeCell ref="K457:N457"/>
    <mergeCell ref="O457:P457"/>
    <mergeCell ref="A458:P458"/>
    <mergeCell ref="B459:F459"/>
    <mergeCell ref="G459:J459"/>
    <mergeCell ref="K459:N459"/>
    <mergeCell ref="O459:P459"/>
    <mergeCell ref="B460:F460"/>
    <mergeCell ref="G460:J460"/>
    <mergeCell ref="K460:N460"/>
    <mergeCell ref="O460:P460"/>
    <mergeCell ref="B461:F461"/>
    <mergeCell ref="G461:J461"/>
    <mergeCell ref="K461:N461"/>
    <mergeCell ref="O461:P461"/>
    <mergeCell ref="B462:F462"/>
    <mergeCell ref="G462:J462"/>
    <mergeCell ref="K462:N462"/>
    <mergeCell ref="O462:P462"/>
    <mergeCell ref="B463:F463"/>
    <mergeCell ref="G463:J463"/>
    <mergeCell ref="K463:N463"/>
    <mergeCell ref="O463:P463"/>
    <mergeCell ref="A464:P464"/>
    <mergeCell ref="O474:P474"/>
    <mergeCell ref="B465:F465"/>
    <mergeCell ref="G465:J465"/>
    <mergeCell ref="K465:N465"/>
    <mergeCell ref="O465:P465"/>
    <mergeCell ref="B466:F466"/>
    <mergeCell ref="G466:J466"/>
    <mergeCell ref="K466:N466"/>
    <mergeCell ref="O466:P466"/>
    <mergeCell ref="B467:F467"/>
    <mergeCell ref="G467:J467"/>
    <mergeCell ref="K467:N467"/>
    <mergeCell ref="O467:P467"/>
    <mergeCell ref="B468:F468"/>
    <mergeCell ref="G468:J468"/>
    <mergeCell ref="K468:N468"/>
    <mergeCell ref="O468:P468"/>
    <mergeCell ref="B469:F469"/>
    <mergeCell ref="G469:J469"/>
    <mergeCell ref="K469:N469"/>
    <mergeCell ref="O469:P469"/>
    <mergeCell ref="B475:F475"/>
    <mergeCell ref="G475:J475"/>
    <mergeCell ref="K475:N475"/>
    <mergeCell ref="O475:P475"/>
    <mergeCell ref="B476:F476"/>
    <mergeCell ref="G476:J476"/>
    <mergeCell ref="K476:N476"/>
    <mergeCell ref="O476:P476"/>
    <mergeCell ref="B477:F477"/>
    <mergeCell ref="G477:J477"/>
    <mergeCell ref="K477:N477"/>
    <mergeCell ref="O477:P477"/>
    <mergeCell ref="B478:F478"/>
    <mergeCell ref="G478:J478"/>
    <mergeCell ref="K478:N478"/>
    <mergeCell ref="O478:P478"/>
    <mergeCell ref="A470:P470"/>
    <mergeCell ref="B471:F471"/>
    <mergeCell ref="G471:J471"/>
    <mergeCell ref="K471:N471"/>
    <mergeCell ref="O471:P471"/>
    <mergeCell ref="B472:F472"/>
    <mergeCell ref="G472:J472"/>
    <mergeCell ref="K472:N472"/>
    <mergeCell ref="O472:P472"/>
    <mergeCell ref="B473:F473"/>
    <mergeCell ref="G473:J473"/>
    <mergeCell ref="K473:N473"/>
    <mergeCell ref="O473:P473"/>
    <mergeCell ref="B474:F474"/>
    <mergeCell ref="G474:J474"/>
    <mergeCell ref="K474:N474"/>
  </mergeCells>
  <conditionalFormatting sqref="A1:G1048576">
    <cfRule type="containsText" dxfId="48" priority="5" operator="containsText" text="Этап ">
      <formula>NOT(ISERROR(SEARCH("Этап ",A1)))</formula>
    </cfRule>
  </conditionalFormatting>
  <conditionalFormatting sqref="G1:J1048576">
    <cfRule type="containsText" dxfId="47" priority="4" operator="containsText" text="Кобъем = 0.7">
      <formula>NOT(ISERROR(SEARCH("Кобъем = 0.7",G1)))</formula>
    </cfRule>
  </conditionalFormatting>
  <conditionalFormatting sqref="B1:J1048576">
    <cfRule type="containsText" dxfId="46" priority="2" operator="containsText" text="Коэффициент на объём работ">
      <formula>NOT(ISERROR(SEARCH("Коэффициент на объём работ",B1)))</formula>
    </cfRule>
    <cfRule type="containsText" dxfId="45" priority="3" operator="containsText" text="K1 = 0.7">
      <formula>NOT(ISERROR(SEARCH("K1 = 0.7",B1)))</formula>
    </cfRule>
  </conditionalFormatting>
  <conditionalFormatting sqref="B1:V1048576">
    <cfRule type="containsText" dxfId="44" priority="1" operator="containsText" text="K2 = 0.7">
      <formula>NOT(ISERROR(SEARCH("K2 = 0.7",B1)))</formula>
    </cfRule>
  </conditionalFormatting>
  <pageMargins left="0.40000000000000008" right="0.40000000000000008" top="0.75" bottom="0.75" header="0.3" footer="0.3"/>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6"/>
  </sheetPr>
  <dimension ref="A1:AX186"/>
  <sheetViews>
    <sheetView topLeftCell="A170" zoomScale="70" zoomScaleNormal="70" workbookViewId="0">
      <selection activeCell="J197" sqref="J197"/>
    </sheetView>
  </sheetViews>
  <sheetFormatPr defaultRowHeight="15" x14ac:dyDescent="0.25"/>
  <cols>
    <col min="1" max="1" width="6.42578125" style="228" customWidth="1"/>
    <col min="2" max="6" width="8" style="228" customWidth="1"/>
    <col min="7" max="10" width="9.5703125" style="228" customWidth="1"/>
    <col min="11" max="17" width="8" style="228" customWidth="1"/>
    <col min="18" max="18" width="13.42578125" style="228" bestFit="1" customWidth="1"/>
    <col min="19" max="50" width="8" style="228" customWidth="1"/>
    <col min="51" max="16384" width="9.140625" style="227"/>
  </cols>
  <sheetData>
    <row r="1" spans="1:50" x14ac:dyDescent="0.25">
      <c r="A1" s="652"/>
      <c r="B1" s="652"/>
      <c r="C1" s="652"/>
      <c r="D1" s="652"/>
      <c r="E1" s="653" t="s">
        <v>676</v>
      </c>
      <c r="F1" s="653"/>
      <c r="G1" s="653"/>
      <c r="H1" s="653"/>
      <c r="I1" s="653"/>
      <c r="J1" s="653"/>
      <c r="K1" s="653"/>
      <c r="L1" s="653"/>
      <c r="M1" s="653"/>
      <c r="N1" s="653"/>
      <c r="O1" s="653"/>
      <c r="P1" s="653"/>
    </row>
    <row r="2" spans="1:50" ht="15" customHeight="1" x14ac:dyDescent="0.25"/>
    <row r="3" spans="1:50" ht="15" customHeight="1" x14ac:dyDescent="0.25">
      <c r="A3" s="646" t="s">
        <v>956</v>
      </c>
      <c r="B3" s="646"/>
      <c r="C3" s="646"/>
      <c r="D3" s="646"/>
      <c r="E3" s="646"/>
      <c r="F3" s="646"/>
      <c r="G3" s="646"/>
      <c r="H3" s="646"/>
      <c r="I3" s="646"/>
      <c r="J3" s="646"/>
      <c r="K3" s="646"/>
      <c r="L3" s="646"/>
      <c r="M3" s="646"/>
      <c r="N3" s="646"/>
      <c r="O3" s="646"/>
      <c r="P3" s="646"/>
    </row>
    <row r="4" spans="1:50" ht="15" customHeight="1" x14ac:dyDescent="0.25">
      <c r="A4" s="647" t="s">
        <v>559</v>
      </c>
      <c r="B4" s="647"/>
      <c r="C4" s="647"/>
      <c r="D4" s="647"/>
      <c r="E4" s="647"/>
      <c r="F4" s="647"/>
      <c r="G4" s="647"/>
      <c r="H4" s="647"/>
      <c r="I4" s="647"/>
      <c r="J4" s="647"/>
      <c r="K4" s="647"/>
      <c r="L4" s="647"/>
      <c r="M4" s="647"/>
      <c r="N4" s="647"/>
      <c r="O4" s="647"/>
      <c r="P4" s="647"/>
    </row>
    <row r="5" spans="1:50" ht="15" customHeight="1" x14ac:dyDescent="0.25"/>
    <row r="6" spans="1:50" ht="54.4" customHeight="1" x14ac:dyDescent="0.25">
      <c r="A6" s="648" t="s">
        <v>3</v>
      </c>
      <c r="B6" s="648"/>
      <c r="C6" s="648"/>
      <c r="D6" s="648"/>
      <c r="E6" s="648"/>
      <c r="F6" s="649" t="str">
        <f>СВОД!B37</f>
        <v>Отопление, вентиляция и кондиционирование</v>
      </c>
      <c r="G6" s="649"/>
      <c r="H6" s="649"/>
      <c r="I6" s="649"/>
      <c r="J6" s="649"/>
      <c r="K6" s="649"/>
      <c r="L6" s="649"/>
      <c r="M6" s="649"/>
      <c r="N6" s="649"/>
      <c r="O6" s="649"/>
      <c r="P6" s="649"/>
    </row>
    <row r="7" spans="1:50" ht="15" customHeight="1" x14ac:dyDescent="0.25"/>
    <row r="8" spans="1:50" ht="27.2" customHeight="1" x14ac:dyDescent="0.25">
      <c r="A8" s="648" t="s">
        <v>6</v>
      </c>
      <c r="B8" s="648"/>
      <c r="C8" s="648"/>
      <c r="D8" s="648"/>
      <c r="E8" s="648"/>
      <c r="F8" s="649" t="str">
        <f>СВОД!D14</f>
        <v>Определяется по итогам конкурентных процедур</v>
      </c>
      <c r="G8" s="649"/>
      <c r="H8" s="649"/>
      <c r="I8" s="649"/>
      <c r="J8" s="649"/>
      <c r="K8" s="649"/>
      <c r="L8" s="649"/>
      <c r="M8" s="649"/>
      <c r="N8" s="649"/>
      <c r="O8" s="649"/>
      <c r="P8" s="649"/>
    </row>
    <row r="9" spans="1:50" ht="15" customHeight="1" x14ac:dyDescent="0.25"/>
    <row r="10" spans="1:50" ht="15" customHeight="1" x14ac:dyDescent="0.25">
      <c r="A10" s="648" t="s">
        <v>8</v>
      </c>
      <c r="B10" s="648"/>
      <c r="C10" s="648"/>
      <c r="D10" s="648"/>
      <c r="E10" s="648"/>
      <c r="F10" s="649" t="str">
        <f>СВОД!D16</f>
        <v>ООО «Газпром проектирование»</v>
      </c>
      <c r="G10" s="649"/>
      <c r="H10" s="649"/>
      <c r="I10" s="649"/>
      <c r="J10" s="649"/>
      <c r="K10" s="649"/>
      <c r="L10" s="649"/>
      <c r="M10" s="649"/>
      <c r="N10" s="649"/>
      <c r="O10" s="649"/>
      <c r="P10" s="649"/>
    </row>
    <row r="11" spans="1:50" ht="15" customHeight="1" x14ac:dyDescent="0.25"/>
    <row r="12" spans="1:50" customFormat="1" ht="40.9" customHeight="1" x14ac:dyDescent="0.25">
      <c r="A12" s="493" t="s">
        <v>90</v>
      </c>
      <c r="B12" s="696" t="s">
        <v>560</v>
      </c>
      <c r="C12" s="696"/>
      <c r="D12" s="696"/>
      <c r="E12" s="696"/>
      <c r="F12" s="696"/>
      <c r="G12" s="696" t="s">
        <v>561</v>
      </c>
      <c r="H12" s="696"/>
      <c r="I12" s="696"/>
      <c r="J12" s="696"/>
      <c r="K12" s="696" t="s">
        <v>225</v>
      </c>
      <c r="L12" s="696"/>
      <c r="M12" s="696"/>
      <c r="N12" s="696"/>
      <c r="O12" s="696" t="s">
        <v>13</v>
      </c>
      <c r="P12" s="696"/>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row>
    <row r="13" spans="1:50" customFormat="1" ht="15" customHeight="1" x14ac:dyDescent="0.25">
      <c r="A13" s="493">
        <v>1</v>
      </c>
      <c r="B13" s="696">
        <v>2</v>
      </c>
      <c r="C13" s="696"/>
      <c r="D13" s="696"/>
      <c r="E13" s="696"/>
      <c r="F13" s="696"/>
      <c r="G13" s="696">
        <v>3</v>
      </c>
      <c r="H13" s="696"/>
      <c r="I13" s="696"/>
      <c r="J13" s="696"/>
      <c r="K13" s="696">
        <v>4</v>
      </c>
      <c r="L13" s="696"/>
      <c r="M13" s="696"/>
      <c r="N13" s="696"/>
      <c r="O13" s="696">
        <v>5</v>
      </c>
      <c r="P13" s="696"/>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row>
    <row r="14" spans="1:50" customFormat="1" ht="15" customHeight="1" x14ac:dyDescent="0.25">
      <c r="A14" s="690" t="s">
        <v>751</v>
      </c>
      <c r="B14" s="690"/>
      <c r="C14" s="690"/>
      <c r="D14" s="690"/>
      <c r="E14" s="690"/>
      <c r="F14" s="690"/>
      <c r="G14" s="690"/>
      <c r="H14" s="690"/>
      <c r="I14" s="690"/>
      <c r="J14" s="690"/>
      <c r="K14" s="690"/>
      <c r="L14" s="690"/>
      <c r="M14" s="690"/>
      <c r="N14" s="690"/>
      <c r="O14" s="690"/>
      <c r="P14" s="690"/>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row>
    <row r="15" spans="1:50" customFormat="1" ht="15" customHeight="1" x14ac:dyDescent="0.25">
      <c r="A15" s="690" t="s">
        <v>957</v>
      </c>
      <c r="B15" s="690"/>
      <c r="C15" s="690"/>
      <c r="D15" s="690"/>
      <c r="E15" s="690"/>
      <c r="F15" s="690"/>
      <c r="G15" s="690"/>
      <c r="H15" s="690"/>
      <c r="I15" s="690"/>
      <c r="J15" s="690"/>
      <c r="K15" s="690"/>
      <c r="L15" s="690"/>
      <c r="M15" s="690"/>
      <c r="N15" s="690"/>
      <c r="O15" s="690"/>
      <c r="P15" s="690"/>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row>
    <row r="16" spans="1:50" customFormat="1" ht="122.45" customHeight="1" x14ac:dyDescent="0.25">
      <c r="A16" s="495" t="s">
        <v>98</v>
      </c>
      <c r="B16" s="692" t="s">
        <v>958</v>
      </c>
      <c r="C16" s="693"/>
      <c r="D16" s="693"/>
      <c r="E16" s="693"/>
      <c r="F16" s="693"/>
      <c r="G16" s="693" t="s">
        <v>959</v>
      </c>
      <c r="H16" s="693"/>
      <c r="I16" s="693"/>
      <c r="J16" s="693"/>
      <c r="K16" s="693" t="s">
        <v>960</v>
      </c>
      <c r="L16" s="693"/>
      <c r="M16" s="693"/>
      <c r="N16" s="693"/>
      <c r="O16" s="694">
        <f>ROUND((770111 + 14840 * 20) * 1 * 7.22 * 0.6, 2)</f>
        <v>4621858.45</v>
      </c>
      <c r="P16" s="693"/>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row>
    <row r="17" spans="1:50" customFormat="1" ht="15" customHeight="1" x14ac:dyDescent="0.25">
      <c r="A17" s="496"/>
      <c r="B17" s="695" t="s">
        <v>564</v>
      </c>
      <c r="C17" s="695"/>
      <c r="D17" s="695"/>
      <c r="E17" s="695"/>
      <c r="F17" s="695"/>
      <c r="G17" s="695" t="s">
        <v>15</v>
      </c>
      <c r="H17" s="695"/>
      <c r="I17" s="695"/>
      <c r="J17" s="695"/>
      <c r="K17" s="695" t="s">
        <v>15</v>
      </c>
      <c r="L17" s="695"/>
      <c r="M17" s="695"/>
      <c r="N17" s="695"/>
      <c r="O17" s="695"/>
      <c r="P17" s="695"/>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0" customFormat="1" ht="15" customHeight="1" x14ac:dyDescent="0.25">
      <c r="A18" s="492"/>
      <c r="B18" s="687" t="s">
        <v>681</v>
      </c>
      <c r="C18" s="687"/>
      <c r="D18" s="687"/>
      <c r="E18" s="687"/>
      <c r="F18" s="687"/>
      <c r="G18" s="687" t="s">
        <v>682</v>
      </c>
      <c r="H18" s="687"/>
      <c r="I18" s="687"/>
      <c r="J18" s="687"/>
      <c r="K18" s="687" t="s">
        <v>15</v>
      </c>
      <c r="L18" s="687"/>
      <c r="M18" s="687"/>
      <c r="N18" s="687"/>
      <c r="O18" s="687"/>
      <c r="P18" s="687"/>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0" customFormat="1" ht="40.9" customHeight="1" x14ac:dyDescent="0.25">
      <c r="A19" s="492"/>
      <c r="B19" s="687" t="s">
        <v>565</v>
      </c>
      <c r="C19" s="687"/>
      <c r="D19" s="687"/>
      <c r="E19" s="687"/>
      <c r="F19" s="687"/>
      <c r="G19" s="687" t="s">
        <v>733</v>
      </c>
      <c r="H19" s="687"/>
      <c r="I19" s="687"/>
      <c r="J19" s="687"/>
      <c r="K19" s="687" t="s">
        <v>15</v>
      </c>
      <c r="L19" s="687"/>
      <c r="M19" s="687"/>
      <c r="N19" s="687"/>
      <c r="O19" s="687"/>
      <c r="P19" s="687"/>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row>
    <row r="20" spans="1:50" customFormat="1" ht="15" customHeight="1" x14ac:dyDescent="0.25">
      <c r="A20" s="690" t="s">
        <v>961</v>
      </c>
      <c r="B20" s="690"/>
      <c r="C20" s="690"/>
      <c r="D20" s="690"/>
      <c r="E20" s="690"/>
      <c r="F20" s="690"/>
      <c r="G20" s="690"/>
      <c r="H20" s="690"/>
      <c r="I20" s="690"/>
      <c r="J20" s="690"/>
      <c r="K20" s="690"/>
      <c r="L20" s="690"/>
      <c r="M20" s="690"/>
      <c r="N20" s="690"/>
      <c r="O20" s="690"/>
      <c r="P20" s="690"/>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row>
    <row r="21" spans="1:50" customFormat="1" ht="81.599999999999994" customHeight="1" x14ac:dyDescent="0.25">
      <c r="A21" s="495" t="s">
        <v>104</v>
      </c>
      <c r="B21" s="692" t="s">
        <v>859</v>
      </c>
      <c r="C21" s="693"/>
      <c r="D21" s="693"/>
      <c r="E21" s="693"/>
      <c r="F21" s="693"/>
      <c r="G21" s="693" t="s">
        <v>860</v>
      </c>
      <c r="H21" s="693"/>
      <c r="I21" s="693"/>
      <c r="J21" s="693"/>
      <c r="K21" s="693" t="s">
        <v>962</v>
      </c>
      <c r="L21" s="693"/>
      <c r="M21" s="693"/>
      <c r="N21" s="693"/>
      <c r="O21" s="694">
        <f>ROUND(556100 * 1 * 1.56 * 0.6, 2)</f>
        <v>520509.6</v>
      </c>
      <c r="P21" s="693"/>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row>
    <row r="22" spans="1:50" customFormat="1" ht="15" customHeight="1" x14ac:dyDescent="0.25">
      <c r="A22" s="496"/>
      <c r="B22" s="695" t="s">
        <v>564</v>
      </c>
      <c r="C22" s="695"/>
      <c r="D22" s="695"/>
      <c r="E22" s="695"/>
      <c r="F22" s="695"/>
      <c r="G22" s="695" t="s">
        <v>15</v>
      </c>
      <c r="H22" s="695"/>
      <c r="I22" s="695"/>
      <c r="J22" s="695"/>
      <c r="K22" s="695" t="s">
        <v>15</v>
      </c>
      <c r="L22" s="695"/>
      <c r="M22" s="695"/>
      <c r="N22" s="695"/>
      <c r="O22" s="695"/>
      <c r="P22" s="695"/>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row>
    <row r="23" spans="1:50" customFormat="1" ht="15" customHeight="1" x14ac:dyDescent="0.25">
      <c r="A23" s="492"/>
      <c r="B23" s="687" t="s">
        <v>681</v>
      </c>
      <c r="C23" s="687"/>
      <c r="D23" s="687"/>
      <c r="E23" s="687"/>
      <c r="F23" s="687"/>
      <c r="G23" s="687" t="s">
        <v>682</v>
      </c>
      <c r="H23" s="687"/>
      <c r="I23" s="687"/>
      <c r="J23" s="687"/>
      <c r="K23" s="687" t="s">
        <v>15</v>
      </c>
      <c r="L23" s="687"/>
      <c r="M23" s="687"/>
      <c r="N23" s="687"/>
      <c r="O23" s="687"/>
      <c r="P23" s="687"/>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row>
    <row r="24" spans="1:50" customFormat="1" ht="40.9" customHeight="1" x14ac:dyDescent="0.25">
      <c r="A24" s="492"/>
      <c r="B24" s="687" t="s">
        <v>683</v>
      </c>
      <c r="C24" s="687"/>
      <c r="D24" s="687"/>
      <c r="E24" s="687"/>
      <c r="F24" s="687"/>
      <c r="G24" s="687" t="s">
        <v>684</v>
      </c>
      <c r="H24" s="687"/>
      <c r="I24" s="687"/>
      <c r="J24" s="687"/>
      <c r="K24" s="687" t="s">
        <v>15</v>
      </c>
      <c r="L24" s="687"/>
      <c r="M24" s="687"/>
      <c r="N24" s="687"/>
      <c r="O24" s="687"/>
      <c r="P24" s="687"/>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row>
    <row r="25" spans="1:50" customFormat="1" ht="15" customHeight="1" x14ac:dyDescent="0.25">
      <c r="A25" s="690" t="s">
        <v>963</v>
      </c>
      <c r="B25" s="690"/>
      <c r="C25" s="690"/>
      <c r="D25" s="690"/>
      <c r="E25" s="690"/>
      <c r="F25" s="690"/>
      <c r="G25" s="690"/>
      <c r="H25" s="690"/>
      <c r="I25" s="690"/>
      <c r="J25" s="690"/>
      <c r="K25" s="690"/>
      <c r="L25" s="690"/>
      <c r="M25" s="690"/>
      <c r="N25" s="690"/>
      <c r="O25" s="690"/>
      <c r="P25" s="690"/>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0" customFormat="1" ht="122.45" customHeight="1" x14ac:dyDescent="0.25">
      <c r="A26" s="495" t="s">
        <v>110</v>
      </c>
      <c r="B26" s="692" t="s">
        <v>964</v>
      </c>
      <c r="C26" s="693"/>
      <c r="D26" s="693"/>
      <c r="E26" s="693"/>
      <c r="F26" s="693"/>
      <c r="G26" s="693" t="s">
        <v>965</v>
      </c>
      <c r="H26" s="693"/>
      <c r="I26" s="693"/>
      <c r="J26" s="693"/>
      <c r="K26" s="693" t="s">
        <v>966</v>
      </c>
      <c r="L26" s="693"/>
      <c r="M26" s="693"/>
      <c r="N26" s="693"/>
      <c r="O26" s="694">
        <f>ROUND((4367000 + 13577 * 50) * 1 * 1.56 * 0.6, 2)</f>
        <v>4722915.5999999996</v>
      </c>
      <c r="P26" s="693"/>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0" customFormat="1" ht="15" customHeight="1" x14ac:dyDescent="0.25">
      <c r="A27" s="496"/>
      <c r="B27" s="695" t="s">
        <v>564</v>
      </c>
      <c r="C27" s="695"/>
      <c r="D27" s="695"/>
      <c r="E27" s="695"/>
      <c r="F27" s="695"/>
      <c r="G27" s="695" t="s">
        <v>15</v>
      </c>
      <c r="H27" s="695"/>
      <c r="I27" s="695"/>
      <c r="J27" s="695"/>
      <c r="K27" s="695" t="s">
        <v>15</v>
      </c>
      <c r="L27" s="695"/>
      <c r="M27" s="695"/>
      <c r="N27" s="695"/>
      <c r="O27" s="695"/>
      <c r="P27" s="695"/>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row>
    <row r="28" spans="1:50" customFormat="1" ht="15" customHeight="1" x14ac:dyDescent="0.25">
      <c r="A28" s="492"/>
      <c r="B28" s="687" t="s">
        <v>681</v>
      </c>
      <c r="C28" s="687"/>
      <c r="D28" s="687"/>
      <c r="E28" s="687"/>
      <c r="F28" s="687"/>
      <c r="G28" s="687" t="s">
        <v>682</v>
      </c>
      <c r="H28" s="687"/>
      <c r="I28" s="687"/>
      <c r="J28" s="687"/>
      <c r="K28" s="687" t="s">
        <v>15</v>
      </c>
      <c r="L28" s="687"/>
      <c r="M28" s="687"/>
      <c r="N28" s="687"/>
      <c r="O28" s="687"/>
      <c r="P28" s="687"/>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row>
    <row r="29" spans="1:50" customFormat="1" ht="40.9" customHeight="1" x14ac:dyDescent="0.25">
      <c r="A29" s="492"/>
      <c r="B29" s="687" t="s">
        <v>683</v>
      </c>
      <c r="C29" s="687"/>
      <c r="D29" s="687"/>
      <c r="E29" s="687"/>
      <c r="F29" s="687"/>
      <c r="G29" s="687" t="s">
        <v>684</v>
      </c>
      <c r="H29" s="687"/>
      <c r="I29" s="687"/>
      <c r="J29" s="687"/>
      <c r="K29" s="687" t="s">
        <v>15</v>
      </c>
      <c r="L29" s="687"/>
      <c r="M29" s="687"/>
      <c r="N29" s="687"/>
      <c r="O29" s="687"/>
      <c r="P29" s="687"/>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0" customFormat="1" ht="15" customHeight="1" x14ac:dyDescent="0.25">
      <c r="A30" s="690" t="s">
        <v>761</v>
      </c>
      <c r="B30" s="690"/>
      <c r="C30" s="690"/>
      <c r="D30" s="690"/>
      <c r="E30" s="690"/>
      <c r="F30" s="690"/>
      <c r="G30" s="690"/>
      <c r="H30" s="690"/>
      <c r="I30" s="690"/>
      <c r="J30" s="690"/>
      <c r="K30" s="690"/>
      <c r="L30" s="690"/>
      <c r="M30" s="690"/>
      <c r="N30" s="690"/>
      <c r="O30" s="690"/>
      <c r="P30" s="690"/>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row>
    <row r="31" spans="1:50" customFormat="1" ht="15" customHeight="1" x14ac:dyDescent="0.25">
      <c r="A31" s="690" t="s">
        <v>967</v>
      </c>
      <c r="B31" s="690"/>
      <c r="C31" s="690"/>
      <c r="D31" s="690"/>
      <c r="E31" s="690"/>
      <c r="F31" s="690"/>
      <c r="G31" s="690"/>
      <c r="H31" s="690"/>
      <c r="I31" s="690"/>
      <c r="J31" s="690"/>
      <c r="K31" s="690"/>
      <c r="L31" s="690"/>
      <c r="M31" s="690"/>
      <c r="N31" s="690"/>
      <c r="O31" s="690"/>
      <c r="P31" s="690"/>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0" customFormat="1" ht="217.7" customHeight="1" x14ac:dyDescent="0.25">
      <c r="A32" s="495" t="s">
        <v>116</v>
      </c>
      <c r="B32" s="692" t="s">
        <v>968</v>
      </c>
      <c r="C32" s="693"/>
      <c r="D32" s="693"/>
      <c r="E32" s="693"/>
      <c r="F32" s="693"/>
      <c r="G32" s="693" t="s">
        <v>969</v>
      </c>
      <c r="H32" s="693"/>
      <c r="I32" s="693"/>
      <c r="J32" s="693"/>
      <c r="K32" s="693" t="s">
        <v>970</v>
      </c>
      <c r="L32" s="693"/>
      <c r="M32" s="693"/>
      <c r="N32" s="693"/>
      <c r="O32" s="694">
        <f>ROUND((1695180 + 1100960 * (0.4 * 0.1 + 0.6 * (0.1 / 2))) * 1 * 0.3 * 7.22 * 0.6 * 0.5 * 0.7, 2)</f>
        <v>806124.36</v>
      </c>
      <c r="P32" s="693"/>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row>
    <row r="33" spans="1:50" customFormat="1" ht="15" customHeight="1" x14ac:dyDescent="0.25">
      <c r="A33" s="496"/>
      <c r="B33" s="695" t="s">
        <v>564</v>
      </c>
      <c r="C33" s="695"/>
      <c r="D33" s="695"/>
      <c r="E33" s="695"/>
      <c r="F33" s="695"/>
      <c r="G33" s="695" t="s">
        <v>15</v>
      </c>
      <c r="H33" s="695"/>
      <c r="I33" s="695"/>
      <c r="J33" s="695"/>
      <c r="K33" s="695" t="s">
        <v>15</v>
      </c>
      <c r="L33" s="695"/>
      <c r="M33" s="695"/>
      <c r="N33" s="695"/>
      <c r="O33" s="695"/>
      <c r="P33" s="695"/>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customFormat="1" ht="15" customHeight="1" x14ac:dyDescent="0.25">
      <c r="A34" s="492"/>
      <c r="B34" s="687" t="s">
        <v>681</v>
      </c>
      <c r="C34" s="687"/>
      <c r="D34" s="687"/>
      <c r="E34" s="687"/>
      <c r="F34" s="687"/>
      <c r="G34" s="687" t="s">
        <v>682</v>
      </c>
      <c r="H34" s="687"/>
      <c r="I34" s="687"/>
      <c r="J34" s="687"/>
      <c r="K34" s="687" t="s">
        <v>15</v>
      </c>
      <c r="L34" s="687"/>
      <c r="M34" s="687"/>
      <c r="N34" s="687"/>
      <c r="O34" s="687"/>
      <c r="P34" s="687"/>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row>
    <row r="35" spans="1:50" customFormat="1" ht="40.9" customHeight="1" x14ac:dyDescent="0.25">
      <c r="A35" s="492"/>
      <c r="B35" s="687" t="s">
        <v>565</v>
      </c>
      <c r="C35" s="687"/>
      <c r="D35" s="687"/>
      <c r="E35" s="687"/>
      <c r="F35" s="687"/>
      <c r="G35" s="687" t="s">
        <v>733</v>
      </c>
      <c r="H35" s="687"/>
      <c r="I35" s="687"/>
      <c r="J35" s="687"/>
      <c r="K35" s="687" t="s">
        <v>15</v>
      </c>
      <c r="L35" s="687"/>
      <c r="M35" s="687"/>
      <c r="N35" s="687"/>
      <c r="O35" s="687"/>
      <c r="P35" s="687"/>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row>
    <row r="36" spans="1:50" customFormat="1" ht="95.25" customHeight="1" x14ac:dyDescent="0.25">
      <c r="A36" s="492"/>
      <c r="B36" s="687" t="s">
        <v>778</v>
      </c>
      <c r="C36" s="687"/>
      <c r="D36" s="687"/>
      <c r="E36" s="687"/>
      <c r="F36" s="687"/>
      <c r="G36" s="687" t="s">
        <v>971</v>
      </c>
      <c r="H36" s="687"/>
      <c r="I36" s="687"/>
      <c r="J36" s="687"/>
      <c r="K36" s="687" t="s">
        <v>15</v>
      </c>
      <c r="L36" s="687"/>
      <c r="M36" s="687"/>
      <c r="N36" s="687"/>
      <c r="O36" s="687"/>
      <c r="P36" s="687"/>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row>
    <row r="37" spans="1:50" customFormat="1" ht="40.9" customHeight="1" x14ac:dyDescent="0.25">
      <c r="A37" s="492"/>
      <c r="B37" s="687" t="s">
        <v>972</v>
      </c>
      <c r="C37" s="687"/>
      <c r="D37" s="687"/>
      <c r="E37" s="687"/>
      <c r="F37" s="687"/>
      <c r="G37" s="687" t="s">
        <v>973</v>
      </c>
      <c r="H37" s="687"/>
      <c r="I37" s="687"/>
      <c r="J37" s="687"/>
      <c r="K37" s="687" t="s">
        <v>15</v>
      </c>
      <c r="L37" s="687"/>
      <c r="M37" s="687"/>
      <c r="N37" s="687"/>
      <c r="O37" s="687"/>
      <c r="P37" s="687"/>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row>
    <row r="38" spans="1:50" customFormat="1" ht="15" customHeight="1" x14ac:dyDescent="0.25">
      <c r="A38" s="496"/>
      <c r="B38" s="695" t="s">
        <v>974</v>
      </c>
      <c r="C38" s="695"/>
      <c r="D38" s="695"/>
      <c r="E38" s="695"/>
      <c r="F38" s="695"/>
      <c r="G38" s="695" t="s">
        <v>15</v>
      </c>
      <c r="H38" s="695"/>
      <c r="I38" s="695"/>
      <c r="J38" s="695"/>
      <c r="K38" s="695" t="s">
        <v>15</v>
      </c>
      <c r="L38" s="695"/>
      <c r="M38" s="695"/>
      <c r="N38" s="695"/>
      <c r="O38" s="695"/>
      <c r="P38" s="695"/>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row>
    <row r="39" spans="1:50" customFormat="1" ht="27.2" customHeight="1" x14ac:dyDescent="0.25">
      <c r="A39" s="492"/>
      <c r="B39" s="687" t="s">
        <v>975</v>
      </c>
      <c r="C39" s="687"/>
      <c r="D39" s="687"/>
      <c r="E39" s="687"/>
      <c r="F39" s="687"/>
      <c r="G39" s="687" t="s">
        <v>976</v>
      </c>
      <c r="H39" s="687"/>
      <c r="I39" s="687"/>
      <c r="J39" s="687"/>
      <c r="K39" s="687" t="s">
        <v>15</v>
      </c>
      <c r="L39" s="687"/>
      <c r="M39" s="687"/>
      <c r="N39" s="687"/>
      <c r="O39" s="687"/>
      <c r="P39" s="687"/>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row>
    <row r="40" spans="1:50" customFormat="1" ht="27.2" customHeight="1" x14ac:dyDescent="0.25">
      <c r="A40" s="492"/>
      <c r="B40" s="687" t="s">
        <v>977</v>
      </c>
      <c r="C40" s="687"/>
      <c r="D40" s="687"/>
      <c r="E40" s="687"/>
      <c r="F40" s="687"/>
      <c r="G40" s="687" t="s">
        <v>978</v>
      </c>
      <c r="H40" s="687"/>
      <c r="I40" s="687"/>
      <c r="J40" s="687"/>
      <c r="K40" s="687" t="s">
        <v>15</v>
      </c>
      <c r="L40" s="687"/>
      <c r="M40" s="687"/>
      <c r="N40" s="687"/>
      <c r="O40" s="687"/>
      <c r="P40" s="687"/>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row>
    <row r="41" spans="1:50" customFormat="1" ht="15" customHeight="1" x14ac:dyDescent="0.25">
      <c r="A41" s="690" t="s">
        <v>979</v>
      </c>
      <c r="B41" s="690"/>
      <c r="C41" s="690"/>
      <c r="D41" s="690"/>
      <c r="E41" s="690"/>
      <c r="F41" s="690"/>
      <c r="G41" s="690"/>
      <c r="H41" s="690"/>
      <c r="I41" s="690"/>
      <c r="J41" s="690"/>
      <c r="K41" s="690"/>
      <c r="L41" s="690"/>
      <c r="M41" s="690"/>
      <c r="N41" s="690"/>
      <c r="O41" s="690"/>
      <c r="P41" s="690"/>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row>
    <row r="42" spans="1:50" customFormat="1" ht="217.7" customHeight="1" x14ac:dyDescent="0.25">
      <c r="A42" s="495" t="s">
        <v>122</v>
      </c>
      <c r="B42" s="692" t="s">
        <v>968</v>
      </c>
      <c r="C42" s="693"/>
      <c r="D42" s="693"/>
      <c r="E42" s="693"/>
      <c r="F42" s="693"/>
      <c r="G42" s="693" t="s">
        <v>969</v>
      </c>
      <c r="H42" s="693"/>
      <c r="I42" s="693"/>
      <c r="J42" s="693"/>
      <c r="K42" s="693" t="s">
        <v>970</v>
      </c>
      <c r="L42" s="693"/>
      <c r="M42" s="693"/>
      <c r="N42" s="693"/>
      <c r="O42" s="694">
        <f>ROUND((1695180 + 1100960 * (0.4 * 0.1 + 0.6 * (0.1 / 2))) * 1 * 0.3 * 7.22 * 0.6 * 0.5 * 0.7, 2)</f>
        <v>806124.36</v>
      </c>
      <c r="P42" s="693"/>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row>
    <row r="43" spans="1:50" customFormat="1" ht="15" customHeight="1" x14ac:dyDescent="0.25">
      <c r="A43" s="496"/>
      <c r="B43" s="695" t="s">
        <v>564</v>
      </c>
      <c r="C43" s="695"/>
      <c r="D43" s="695"/>
      <c r="E43" s="695"/>
      <c r="F43" s="695"/>
      <c r="G43" s="695" t="s">
        <v>15</v>
      </c>
      <c r="H43" s="695"/>
      <c r="I43" s="695"/>
      <c r="J43" s="695"/>
      <c r="K43" s="695" t="s">
        <v>15</v>
      </c>
      <c r="L43" s="695"/>
      <c r="M43" s="695"/>
      <c r="N43" s="695"/>
      <c r="O43" s="695"/>
      <c r="P43" s="695"/>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row>
    <row r="44" spans="1:50" customFormat="1" ht="15" customHeight="1" x14ac:dyDescent="0.25">
      <c r="A44" s="492"/>
      <c r="B44" s="687" t="s">
        <v>681</v>
      </c>
      <c r="C44" s="687"/>
      <c r="D44" s="687"/>
      <c r="E44" s="687"/>
      <c r="F44" s="687"/>
      <c r="G44" s="687" t="s">
        <v>682</v>
      </c>
      <c r="H44" s="687"/>
      <c r="I44" s="687"/>
      <c r="J44" s="687"/>
      <c r="K44" s="687" t="s">
        <v>15</v>
      </c>
      <c r="L44" s="687"/>
      <c r="M44" s="687"/>
      <c r="N44" s="687"/>
      <c r="O44" s="687"/>
      <c r="P44" s="687"/>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row>
    <row r="45" spans="1:50" customFormat="1" ht="40.9" customHeight="1" x14ac:dyDescent="0.25">
      <c r="A45" s="492"/>
      <c r="B45" s="687" t="s">
        <v>565</v>
      </c>
      <c r="C45" s="687"/>
      <c r="D45" s="687"/>
      <c r="E45" s="687"/>
      <c r="F45" s="687"/>
      <c r="G45" s="687" t="s">
        <v>733</v>
      </c>
      <c r="H45" s="687"/>
      <c r="I45" s="687"/>
      <c r="J45" s="687"/>
      <c r="K45" s="687" t="s">
        <v>15</v>
      </c>
      <c r="L45" s="687"/>
      <c r="M45" s="687"/>
      <c r="N45" s="687"/>
      <c r="O45" s="687"/>
      <c r="P45" s="687"/>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row>
    <row r="46" spans="1:50" customFormat="1" ht="95.25" customHeight="1" x14ac:dyDescent="0.25">
      <c r="A46" s="492"/>
      <c r="B46" s="687" t="s">
        <v>778</v>
      </c>
      <c r="C46" s="687"/>
      <c r="D46" s="687"/>
      <c r="E46" s="687"/>
      <c r="F46" s="687"/>
      <c r="G46" s="687" t="s">
        <v>971</v>
      </c>
      <c r="H46" s="687"/>
      <c r="I46" s="687"/>
      <c r="J46" s="687"/>
      <c r="K46" s="687" t="s">
        <v>15</v>
      </c>
      <c r="L46" s="687"/>
      <c r="M46" s="687"/>
      <c r="N46" s="687"/>
      <c r="O46" s="687"/>
      <c r="P46" s="687"/>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row>
    <row r="47" spans="1:50" customFormat="1" ht="40.9" customHeight="1" x14ac:dyDescent="0.25">
      <c r="A47" s="492"/>
      <c r="B47" s="687" t="s">
        <v>972</v>
      </c>
      <c r="C47" s="687"/>
      <c r="D47" s="687"/>
      <c r="E47" s="687"/>
      <c r="F47" s="687"/>
      <c r="G47" s="687" t="s">
        <v>973</v>
      </c>
      <c r="H47" s="687"/>
      <c r="I47" s="687"/>
      <c r="J47" s="687"/>
      <c r="K47" s="687" t="s">
        <v>15</v>
      </c>
      <c r="L47" s="687"/>
      <c r="M47" s="687"/>
      <c r="N47" s="687"/>
      <c r="O47" s="687"/>
      <c r="P47" s="687"/>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row>
    <row r="48" spans="1:50" customFormat="1" ht="15" customHeight="1" x14ac:dyDescent="0.25">
      <c r="A48" s="496"/>
      <c r="B48" s="695" t="s">
        <v>974</v>
      </c>
      <c r="C48" s="695"/>
      <c r="D48" s="695"/>
      <c r="E48" s="695"/>
      <c r="F48" s="695"/>
      <c r="G48" s="695" t="s">
        <v>15</v>
      </c>
      <c r="H48" s="695"/>
      <c r="I48" s="695"/>
      <c r="J48" s="695"/>
      <c r="K48" s="695" t="s">
        <v>15</v>
      </c>
      <c r="L48" s="695"/>
      <c r="M48" s="695"/>
      <c r="N48" s="695"/>
      <c r="O48" s="695"/>
      <c r="P48" s="695"/>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row>
    <row r="49" spans="1:50" customFormat="1" ht="27.2" customHeight="1" x14ac:dyDescent="0.25">
      <c r="A49" s="492"/>
      <c r="B49" s="687" t="s">
        <v>975</v>
      </c>
      <c r="C49" s="687"/>
      <c r="D49" s="687"/>
      <c r="E49" s="687"/>
      <c r="F49" s="687"/>
      <c r="G49" s="687" t="s">
        <v>976</v>
      </c>
      <c r="H49" s="687"/>
      <c r="I49" s="687"/>
      <c r="J49" s="687"/>
      <c r="K49" s="687" t="s">
        <v>15</v>
      </c>
      <c r="L49" s="687"/>
      <c r="M49" s="687"/>
      <c r="N49" s="687"/>
      <c r="O49" s="687"/>
      <c r="P49" s="687"/>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row>
    <row r="50" spans="1:50" customFormat="1" ht="27.2" customHeight="1" x14ac:dyDescent="0.25">
      <c r="A50" s="492"/>
      <c r="B50" s="687" t="s">
        <v>977</v>
      </c>
      <c r="C50" s="687"/>
      <c r="D50" s="687"/>
      <c r="E50" s="687"/>
      <c r="F50" s="687"/>
      <c r="G50" s="687" t="s">
        <v>978</v>
      </c>
      <c r="H50" s="687"/>
      <c r="I50" s="687"/>
      <c r="J50" s="687"/>
      <c r="K50" s="687" t="s">
        <v>15</v>
      </c>
      <c r="L50" s="687"/>
      <c r="M50" s="687"/>
      <c r="N50" s="687"/>
      <c r="O50" s="687"/>
      <c r="P50" s="687"/>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row>
    <row r="51" spans="1:50" customFormat="1" ht="15" customHeight="1" x14ac:dyDescent="0.25">
      <c r="A51" s="690" t="s">
        <v>980</v>
      </c>
      <c r="B51" s="690"/>
      <c r="C51" s="690"/>
      <c r="D51" s="690"/>
      <c r="E51" s="690"/>
      <c r="F51" s="690"/>
      <c r="G51" s="690"/>
      <c r="H51" s="690"/>
      <c r="I51" s="690"/>
      <c r="J51" s="690"/>
      <c r="K51" s="690"/>
      <c r="L51" s="690"/>
      <c r="M51" s="690"/>
      <c r="N51" s="690"/>
      <c r="O51" s="690"/>
      <c r="P51" s="690"/>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row>
    <row r="52" spans="1:50" customFormat="1" ht="204" customHeight="1" x14ac:dyDescent="0.25">
      <c r="A52" s="495" t="s">
        <v>129</v>
      </c>
      <c r="B52" s="692" t="s">
        <v>981</v>
      </c>
      <c r="C52" s="693"/>
      <c r="D52" s="693"/>
      <c r="E52" s="693"/>
      <c r="F52" s="693"/>
      <c r="G52" s="693" t="s">
        <v>982</v>
      </c>
      <c r="H52" s="693"/>
      <c r="I52" s="693"/>
      <c r="J52" s="693"/>
      <c r="K52" s="693" t="s">
        <v>983</v>
      </c>
      <c r="L52" s="693"/>
      <c r="M52" s="693"/>
      <c r="N52" s="693"/>
      <c r="O52" s="694">
        <f>ROUND((1700500 + 1047800 * 0.3) * 1 * 7.22 * 0.6 * 0.5 * 0.7, 2)</f>
        <v>3054900.41</v>
      </c>
      <c r="P52" s="693"/>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row>
    <row r="53" spans="1:50" customFormat="1" ht="15" customHeight="1" x14ac:dyDescent="0.25">
      <c r="A53" s="496"/>
      <c r="B53" s="695" t="s">
        <v>564</v>
      </c>
      <c r="C53" s="695"/>
      <c r="D53" s="695"/>
      <c r="E53" s="695"/>
      <c r="F53" s="695"/>
      <c r="G53" s="695" t="s">
        <v>15</v>
      </c>
      <c r="H53" s="695"/>
      <c r="I53" s="695"/>
      <c r="J53" s="695"/>
      <c r="K53" s="695" t="s">
        <v>15</v>
      </c>
      <c r="L53" s="695"/>
      <c r="M53" s="695"/>
      <c r="N53" s="695"/>
      <c r="O53" s="695"/>
      <c r="P53" s="695"/>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row>
    <row r="54" spans="1:50" customFormat="1" ht="15" customHeight="1" x14ac:dyDescent="0.25">
      <c r="A54" s="492"/>
      <c r="B54" s="687" t="s">
        <v>681</v>
      </c>
      <c r="C54" s="687"/>
      <c r="D54" s="687"/>
      <c r="E54" s="687"/>
      <c r="F54" s="687"/>
      <c r="G54" s="687" t="s">
        <v>682</v>
      </c>
      <c r="H54" s="687"/>
      <c r="I54" s="687"/>
      <c r="J54" s="687"/>
      <c r="K54" s="687" t="s">
        <v>15</v>
      </c>
      <c r="L54" s="687"/>
      <c r="M54" s="687"/>
      <c r="N54" s="687"/>
      <c r="O54" s="687"/>
      <c r="P54" s="687"/>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row>
    <row r="55" spans="1:50" customFormat="1" ht="40.9" customHeight="1" x14ac:dyDescent="0.25">
      <c r="A55" s="492"/>
      <c r="B55" s="687" t="s">
        <v>565</v>
      </c>
      <c r="C55" s="687"/>
      <c r="D55" s="687"/>
      <c r="E55" s="687"/>
      <c r="F55" s="687"/>
      <c r="G55" s="687" t="s">
        <v>733</v>
      </c>
      <c r="H55" s="687"/>
      <c r="I55" s="687"/>
      <c r="J55" s="687"/>
      <c r="K55" s="687" t="s">
        <v>15</v>
      </c>
      <c r="L55" s="687"/>
      <c r="M55" s="687"/>
      <c r="N55" s="687"/>
      <c r="O55" s="687"/>
      <c r="P55" s="687"/>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row>
    <row r="56" spans="1:50" customFormat="1" ht="40.9" customHeight="1" x14ac:dyDescent="0.25">
      <c r="A56" s="492"/>
      <c r="B56" s="687" t="s">
        <v>972</v>
      </c>
      <c r="C56" s="687"/>
      <c r="D56" s="687"/>
      <c r="E56" s="687"/>
      <c r="F56" s="687"/>
      <c r="G56" s="687" t="s">
        <v>973</v>
      </c>
      <c r="H56" s="687"/>
      <c r="I56" s="687"/>
      <c r="J56" s="687"/>
      <c r="K56" s="687" t="s">
        <v>15</v>
      </c>
      <c r="L56" s="687"/>
      <c r="M56" s="687"/>
      <c r="N56" s="687"/>
      <c r="O56" s="687"/>
      <c r="P56" s="687"/>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row>
    <row r="57" spans="1:50" customFormat="1" ht="15" customHeight="1" x14ac:dyDescent="0.25">
      <c r="A57" s="496"/>
      <c r="B57" s="695" t="s">
        <v>974</v>
      </c>
      <c r="C57" s="695"/>
      <c r="D57" s="695"/>
      <c r="E57" s="695"/>
      <c r="F57" s="695"/>
      <c r="G57" s="695" t="s">
        <v>15</v>
      </c>
      <c r="H57" s="695"/>
      <c r="I57" s="695"/>
      <c r="J57" s="695"/>
      <c r="K57" s="695" t="s">
        <v>15</v>
      </c>
      <c r="L57" s="695"/>
      <c r="M57" s="695"/>
      <c r="N57" s="695"/>
      <c r="O57" s="695"/>
      <c r="P57" s="695"/>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row>
    <row r="58" spans="1:50" customFormat="1" ht="27.2" customHeight="1" x14ac:dyDescent="0.25">
      <c r="A58" s="492"/>
      <c r="B58" s="687" t="s">
        <v>975</v>
      </c>
      <c r="C58" s="687"/>
      <c r="D58" s="687"/>
      <c r="E58" s="687"/>
      <c r="F58" s="687"/>
      <c r="G58" s="687" t="s">
        <v>976</v>
      </c>
      <c r="H58" s="687"/>
      <c r="I58" s="687"/>
      <c r="J58" s="687"/>
      <c r="K58" s="687" t="s">
        <v>15</v>
      </c>
      <c r="L58" s="687"/>
      <c r="M58" s="687"/>
      <c r="N58" s="687"/>
      <c r="O58" s="687"/>
      <c r="P58" s="687"/>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row>
    <row r="59" spans="1:50" customFormat="1" ht="27.2" customHeight="1" x14ac:dyDescent="0.25">
      <c r="A59" s="492"/>
      <c r="B59" s="687" t="s">
        <v>977</v>
      </c>
      <c r="C59" s="687"/>
      <c r="D59" s="687"/>
      <c r="E59" s="687"/>
      <c r="F59" s="687"/>
      <c r="G59" s="687" t="s">
        <v>978</v>
      </c>
      <c r="H59" s="687"/>
      <c r="I59" s="687"/>
      <c r="J59" s="687"/>
      <c r="K59" s="687" t="s">
        <v>15</v>
      </c>
      <c r="L59" s="687"/>
      <c r="M59" s="687"/>
      <c r="N59" s="687"/>
      <c r="O59" s="687"/>
      <c r="P59" s="687"/>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row>
    <row r="60" spans="1:50" customFormat="1" ht="15" customHeight="1" x14ac:dyDescent="0.25">
      <c r="A60" s="690" t="s">
        <v>984</v>
      </c>
      <c r="B60" s="690"/>
      <c r="C60" s="690"/>
      <c r="D60" s="690"/>
      <c r="E60" s="690"/>
      <c r="F60" s="690"/>
      <c r="G60" s="690"/>
      <c r="H60" s="690"/>
      <c r="I60" s="690"/>
      <c r="J60" s="690"/>
      <c r="K60" s="690"/>
      <c r="L60" s="690"/>
      <c r="M60" s="690"/>
      <c r="N60" s="690"/>
      <c r="O60" s="690"/>
      <c r="P60" s="690"/>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row>
    <row r="61" spans="1:50" customFormat="1" ht="15" customHeight="1" x14ac:dyDescent="0.25">
      <c r="A61" s="690" t="s">
        <v>985</v>
      </c>
      <c r="B61" s="690"/>
      <c r="C61" s="690"/>
      <c r="D61" s="690"/>
      <c r="E61" s="690"/>
      <c r="F61" s="690"/>
      <c r="G61" s="690"/>
      <c r="H61" s="690"/>
      <c r="I61" s="690"/>
      <c r="J61" s="690"/>
      <c r="K61" s="690"/>
      <c r="L61" s="690"/>
      <c r="M61" s="690"/>
      <c r="N61" s="690"/>
      <c r="O61" s="690"/>
      <c r="P61" s="690"/>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row>
    <row r="62" spans="1:50" customFormat="1" ht="217.7" customHeight="1" x14ac:dyDescent="0.25">
      <c r="A62" s="495" t="s">
        <v>138</v>
      </c>
      <c r="B62" s="692" t="s">
        <v>968</v>
      </c>
      <c r="C62" s="693"/>
      <c r="D62" s="693"/>
      <c r="E62" s="693"/>
      <c r="F62" s="693"/>
      <c r="G62" s="693" t="s">
        <v>986</v>
      </c>
      <c r="H62" s="693"/>
      <c r="I62" s="693"/>
      <c r="J62" s="693"/>
      <c r="K62" s="693" t="s">
        <v>987</v>
      </c>
      <c r="L62" s="693"/>
      <c r="M62" s="693"/>
      <c r="N62" s="693"/>
      <c r="O62" s="694">
        <f>ROUND((1695180 + 1100960 * (0.4 * 0.1 + 0.6 * 0.07)) * 1 * 7.22 * 0.6 * 0.5 * 0.7, 2)</f>
        <v>2707112.51</v>
      </c>
      <c r="P62" s="693"/>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row>
    <row r="63" spans="1:50" customFormat="1" ht="15" customHeight="1" x14ac:dyDescent="0.25">
      <c r="A63" s="496"/>
      <c r="B63" s="695" t="s">
        <v>564</v>
      </c>
      <c r="C63" s="695"/>
      <c r="D63" s="695"/>
      <c r="E63" s="695"/>
      <c r="F63" s="695"/>
      <c r="G63" s="695" t="s">
        <v>15</v>
      </c>
      <c r="H63" s="695"/>
      <c r="I63" s="695"/>
      <c r="J63" s="695"/>
      <c r="K63" s="695" t="s">
        <v>15</v>
      </c>
      <c r="L63" s="695"/>
      <c r="M63" s="695"/>
      <c r="N63" s="695"/>
      <c r="O63" s="695"/>
      <c r="P63" s="695"/>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row>
    <row r="64" spans="1:50" customFormat="1" ht="15" customHeight="1" x14ac:dyDescent="0.25">
      <c r="A64" s="492"/>
      <c r="B64" s="687" t="s">
        <v>681</v>
      </c>
      <c r="C64" s="687"/>
      <c r="D64" s="687"/>
      <c r="E64" s="687"/>
      <c r="F64" s="687"/>
      <c r="G64" s="687" t="s">
        <v>682</v>
      </c>
      <c r="H64" s="687"/>
      <c r="I64" s="687"/>
      <c r="J64" s="687"/>
      <c r="K64" s="687" t="s">
        <v>15</v>
      </c>
      <c r="L64" s="687"/>
      <c r="M64" s="687"/>
      <c r="N64" s="687"/>
      <c r="O64" s="687"/>
      <c r="P64" s="687"/>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row>
    <row r="65" spans="1:50" customFormat="1" ht="40.9" customHeight="1" x14ac:dyDescent="0.25">
      <c r="A65" s="492"/>
      <c r="B65" s="687" t="s">
        <v>565</v>
      </c>
      <c r="C65" s="687"/>
      <c r="D65" s="687"/>
      <c r="E65" s="687"/>
      <c r="F65" s="687"/>
      <c r="G65" s="687" t="s">
        <v>733</v>
      </c>
      <c r="H65" s="687"/>
      <c r="I65" s="687"/>
      <c r="J65" s="687"/>
      <c r="K65" s="687" t="s">
        <v>15</v>
      </c>
      <c r="L65" s="687"/>
      <c r="M65" s="687"/>
      <c r="N65" s="687"/>
      <c r="O65" s="687"/>
      <c r="P65" s="687"/>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row>
    <row r="66" spans="1:50" customFormat="1" ht="40.9" customHeight="1" x14ac:dyDescent="0.25">
      <c r="A66" s="492"/>
      <c r="B66" s="687" t="s">
        <v>972</v>
      </c>
      <c r="C66" s="687"/>
      <c r="D66" s="687"/>
      <c r="E66" s="687"/>
      <c r="F66" s="687"/>
      <c r="G66" s="687" t="s">
        <v>973</v>
      </c>
      <c r="H66" s="687"/>
      <c r="I66" s="687"/>
      <c r="J66" s="687"/>
      <c r="K66" s="687" t="s">
        <v>15</v>
      </c>
      <c r="L66" s="687"/>
      <c r="M66" s="687"/>
      <c r="N66" s="687"/>
      <c r="O66" s="687"/>
      <c r="P66" s="687"/>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row>
    <row r="67" spans="1:50" customFormat="1" ht="15" customHeight="1" x14ac:dyDescent="0.25">
      <c r="A67" s="496"/>
      <c r="B67" s="695" t="s">
        <v>974</v>
      </c>
      <c r="C67" s="695"/>
      <c r="D67" s="695"/>
      <c r="E67" s="695"/>
      <c r="F67" s="695"/>
      <c r="G67" s="695" t="s">
        <v>15</v>
      </c>
      <c r="H67" s="695"/>
      <c r="I67" s="695"/>
      <c r="J67" s="695"/>
      <c r="K67" s="695" t="s">
        <v>15</v>
      </c>
      <c r="L67" s="695"/>
      <c r="M67" s="695"/>
      <c r="N67" s="695"/>
      <c r="O67" s="695"/>
      <c r="P67" s="695"/>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row>
    <row r="68" spans="1:50" customFormat="1" ht="27.2" customHeight="1" x14ac:dyDescent="0.25">
      <c r="A68" s="492"/>
      <c r="B68" s="687" t="s">
        <v>975</v>
      </c>
      <c r="C68" s="687"/>
      <c r="D68" s="687"/>
      <c r="E68" s="687"/>
      <c r="F68" s="687"/>
      <c r="G68" s="687" t="s">
        <v>976</v>
      </c>
      <c r="H68" s="687"/>
      <c r="I68" s="687"/>
      <c r="J68" s="687"/>
      <c r="K68" s="687" t="s">
        <v>15</v>
      </c>
      <c r="L68" s="687"/>
      <c r="M68" s="687"/>
      <c r="N68" s="687"/>
      <c r="O68" s="687"/>
      <c r="P68" s="687"/>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row>
    <row r="69" spans="1:50" customFormat="1" ht="27.2" customHeight="1" x14ac:dyDescent="0.25">
      <c r="A69" s="492"/>
      <c r="B69" s="687" t="s">
        <v>977</v>
      </c>
      <c r="C69" s="687"/>
      <c r="D69" s="687"/>
      <c r="E69" s="687"/>
      <c r="F69" s="687"/>
      <c r="G69" s="687" t="s">
        <v>978</v>
      </c>
      <c r="H69" s="687"/>
      <c r="I69" s="687"/>
      <c r="J69" s="687"/>
      <c r="K69" s="687" t="s">
        <v>15</v>
      </c>
      <c r="L69" s="687"/>
      <c r="M69" s="687"/>
      <c r="N69" s="687"/>
      <c r="O69" s="687"/>
      <c r="P69" s="687"/>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row>
    <row r="70" spans="1:50" customFormat="1" ht="15" customHeight="1" x14ac:dyDescent="0.25">
      <c r="A70" s="690" t="s">
        <v>988</v>
      </c>
      <c r="B70" s="690"/>
      <c r="C70" s="690"/>
      <c r="D70" s="690"/>
      <c r="E70" s="690"/>
      <c r="F70" s="690"/>
      <c r="G70" s="690"/>
      <c r="H70" s="690"/>
      <c r="I70" s="690"/>
      <c r="J70" s="690"/>
      <c r="K70" s="690"/>
      <c r="L70" s="690"/>
      <c r="M70" s="690"/>
      <c r="N70" s="690"/>
      <c r="O70" s="690"/>
      <c r="P70" s="690"/>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row>
    <row r="71" spans="1:50" customFormat="1" ht="204" customHeight="1" x14ac:dyDescent="0.25">
      <c r="A71" s="495" t="s">
        <v>143</v>
      </c>
      <c r="B71" s="692" t="s">
        <v>989</v>
      </c>
      <c r="C71" s="693"/>
      <c r="D71" s="693"/>
      <c r="E71" s="693"/>
      <c r="F71" s="693"/>
      <c r="G71" s="693" t="s">
        <v>990</v>
      </c>
      <c r="H71" s="693"/>
      <c r="I71" s="693"/>
      <c r="J71" s="693"/>
      <c r="K71" s="693" t="s">
        <v>991</v>
      </c>
      <c r="L71" s="693"/>
      <c r="M71" s="693"/>
      <c r="N71" s="693"/>
      <c r="O71" s="694">
        <f>ROUND((1765510 + 901790 * 0.55) * 1 * 7.22 * 0.6 * 0.5 * 0.7, 2)</f>
        <v>3428877.96</v>
      </c>
      <c r="P71" s="693"/>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row>
    <row r="72" spans="1:50" customFormat="1" ht="15" customHeight="1" x14ac:dyDescent="0.25">
      <c r="A72" s="496"/>
      <c r="B72" s="695" t="s">
        <v>564</v>
      </c>
      <c r="C72" s="695"/>
      <c r="D72" s="695"/>
      <c r="E72" s="695"/>
      <c r="F72" s="695"/>
      <c r="G72" s="695" t="s">
        <v>15</v>
      </c>
      <c r="H72" s="695"/>
      <c r="I72" s="695"/>
      <c r="J72" s="695"/>
      <c r="K72" s="695" t="s">
        <v>15</v>
      </c>
      <c r="L72" s="695"/>
      <c r="M72" s="695"/>
      <c r="N72" s="695"/>
      <c r="O72" s="695"/>
      <c r="P72" s="695"/>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row>
    <row r="73" spans="1:50" customFormat="1" ht="15" customHeight="1" x14ac:dyDescent="0.25">
      <c r="A73" s="492"/>
      <c r="B73" s="687" t="s">
        <v>681</v>
      </c>
      <c r="C73" s="687"/>
      <c r="D73" s="687"/>
      <c r="E73" s="687"/>
      <c r="F73" s="687"/>
      <c r="G73" s="687" t="s">
        <v>682</v>
      </c>
      <c r="H73" s="687"/>
      <c r="I73" s="687"/>
      <c r="J73" s="687"/>
      <c r="K73" s="687" t="s">
        <v>15</v>
      </c>
      <c r="L73" s="687"/>
      <c r="M73" s="687"/>
      <c r="N73" s="687"/>
      <c r="O73" s="687"/>
      <c r="P73" s="687"/>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row>
    <row r="74" spans="1:50" customFormat="1" ht="40.9" customHeight="1" x14ac:dyDescent="0.25">
      <c r="A74" s="492"/>
      <c r="B74" s="687" t="s">
        <v>565</v>
      </c>
      <c r="C74" s="687"/>
      <c r="D74" s="687"/>
      <c r="E74" s="687"/>
      <c r="F74" s="687"/>
      <c r="G74" s="687" t="s">
        <v>733</v>
      </c>
      <c r="H74" s="687"/>
      <c r="I74" s="687"/>
      <c r="J74" s="687"/>
      <c r="K74" s="687" t="s">
        <v>15</v>
      </c>
      <c r="L74" s="687"/>
      <c r="M74" s="687"/>
      <c r="N74" s="687"/>
      <c r="O74" s="687"/>
      <c r="P74" s="687"/>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row>
    <row r="75" spans="1:50" customFormat="1" ht="40.9" customHeight="1" x14ac:dyDescent="0.25">
      <c r="A75" s="492"/>
      <c r="B75" s="687" t="s">
        <v>972</v>
      </c>
      <c r="C75" s="687"/>
      <c r="D75" s="687"/>
      <c r="E75" s="687"/>
      <c r="F75" s="687"/>
      <c r="G75" s="687" t="s">
        <v>973</v>
      </c>
      <c r="H75" s="687"/>
      <c r="I75" s="687"/>
      <c r="J75" s="687"/>
      <c r="K75" s="687" t="s">
        <v>15</v>
      </c>
      <c r="L75" s="687"/>
      <c r="M75" s="687"/>
      <c r="N75" s="687"/>
      <c r="O75" s="687"/>
      <c r="P75" s="687"/>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row>
    <row r="76" spans="1:50" customFormat="1" ht="15" customHeight="1" x14ac:dyDescent="0.25">
      <c r="A76" s="496"/>
      <c r="B76" s="695" t="s">
        <v>974</v>
      </c>
      <c r="C76" s="695"/>
      <c r="D76" s="695"/>
      <c r="E76" s="695"/>
      <c r="F76" s="695"/>
      <c r="G76" s="695" t="s">
        <v>15</v>
      </c>
      <c r="H76" s="695"/>
      <c r="I76" s="695"/>
      <c r="J76" s="695"/>
      <c r="K76" s="695" t="s">
        <v>15</v>
      </c>
      <c r="L76" s="695"/>
      <c r="M76" s="695"/>
      <c r="N76" s="695"/>
      <c r="O76" s="695"/>
      <c r="P76" s="695"/>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row>
    <row r="77" spans="1:50" customFormat="1" ht="27.2" customHeight="1" x14ac:dyDescent="0.25">
      <c r="A77" s="492"/>
      <c r="B77" s="687" t="s">
        <v>975</v>
      </c>
      <c r="C77" s="687"/>
      <c r="D77" s="687"/>
      <c r="E77" s="687"/>
      <c r="F77" s="687"/>
      <c r="G77" s="687" t="s">
        <v>976</v>
      </c>
      <c r="H77" s="687"/>
      <c r="I77" s="687"/>
      <c r="J77" s="687"/>
      <c r="K77" s="687" t="s">
        <v>15</v>
      </c>
      <c r="L77" s="687"/>
      <c r="M77" s="687"/>
      <c r="N77" s="687"/>
      <c r="O77" s="687"/>
      <c r="P77" s="687"/>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row>
    <row r="78" spans="1:50" customFormat="1" ht="27.2" customHeight="1" x14ac:dyDescent="0.25">
      <c r="A78" s="492"/>
      <c r="B78" s="687" t="s">
        <v>977</v>
      </c>
      <c r="C78" s="687"/>
      <c r="D78" s="687"/>
      <c r="E78" s="687"/>
      <c r="F78" s="687"/>
      <c r="G78" s="687" t="s">
        <v>978</v>
      </c>
      <c r="H78" s="687"/>
      <c r="I78" s="687"/>
      <c r="J78" s="687"/>
      <c r="K78" s="687" t="s">
        <v>15</v>
      </c>
      <c r="L78" s="687"/>
      <c r="M78" s="687"/>
      <c r="N78" s="687"/>
      <c r="O78" s="687"/>
      <c r="P78" s="687"/>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row>
    <row r="79" spans="1:50" customFormat="1" ht="15" customHeight="1" x14ac:dyDescent="0.25">
      <c r="A79" s="690" t="s">
        <v>992</v>
      </c>
      <c r="B79" s="690"/>
      <c r="C79" s="690"/>
      <c r="D79" s="690"/>
      <c r="E79" s="690"/>
      <c r="F79" s="690"/>
      <c r="G79" s="690"/>
      <c r="H79" s="690"/>
      <c r="I79" s="690"/>
      <c r="J79" s="690"/>
      <c r="K79" s="690"/>
      <c r="L79" s="690"/>
      <c r="M79" s="690"/>
      <c r="N79" s="690"/>
      <c r="O79" s="690"/>
      <c r="P79" s="690"/>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row>
    <row r="80" spans="1:50" customFormat="1" ht="204" customHeight="1" x14ac:dyDescent="0.25">
      <c r="A80" s="495" t="s">
        <v>147</v>
      </c>
      <c r="B80" s="692" t="s">
        <v>993</v>
      </c>
      <c r="C80" s="693"/>
      <c r="D80" s="693"/>
      <c r="E80" s="693"/>
      <c r="F80" s="693"/>
      <c r="G80" s="693" t="s">
        <v>994</v>
      </c>
      <c r="H80" s="693"/>
      <c r="I80" s="693"/>
      <c r="J80" s="693"/>
      <c r="K80" s="693" t="s">
        <v>995</v>
      </c>
      <c r="L80" s="693"/>
      <c r="M80" s="693"/>
      <c r="N80" s="693"/>
      <c r="O80" s="694">
        <f>ROUND((1712500 + 1007800 * 0.36) * 1 * 7.22 * 0.6 * 0.5 * 0.7, 2)</f>
        <v>3146581.99</v>
      </c>
      <c r="P80" s="693"/>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row>
    <row r="81" spans="1:50" customFormat="1" ht="15" customHeight="1" x14ac:dyDescent="0.25">
      <c r="A81" s="496"/>
      <c r="B81" s="695" t="s">
        <v>564</v>
      </c>
      <c r="C81" s="695"/>
      <c r="D81" s="695"/>
      <c r="E81" s="695"/>
      <c r="F81" s="695"/>
      <c r="G81" s="695" t="s">
        <v>15</v>
      </c>
      <c r="H81" s="695"/>
      <c r="I81" s="695"/>
      <c r="J81" s="695"/>
      <c r="K81" s="695" t="s">
        <v>15</v>
      </c>
      <c r="L81" s="695"/>
      <c r="M81" s="695"/>
      <c r="N81" s="695"/>
      <c r="O81" s="695"/>
      <c r="P81" s="695"/>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row>
    <row r="82" spans="1:50" customFormat="1" ht="15" customHeight="1" x14ac:dyDescent="0.25">
      <c r="A82" s="492"/>
      <c r="B82" s="687" t="s">
        <v>681</v>
      </c>
      <c r="C82" s="687"/>
      <c r="D82" s="687"/>
      <c r="E82" s="687"/>
      <c r="F82" s="687"/>
      <c r="G82" s="687" t="s">
        <v>682</v>
      </c>
      <c r="H82" s="687"/>
      <c r="I82" s="687"/>
      <c r="J82" s="687"/>
      <c r="K82" s="687" t="s">
        <v>15</v>
      </c>
      <c r="L82" s="687"/>
      <c r="M82" s="687"/>
      <c r="N82" s="687"/>
      <c r="O82" s="687"/>
      <c r="P82" s="687"/>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row>
    <row r="83" spans="1:50" customFormat="1" ht="40.9" customHeight="1" x14ac:dyDescent="0.25">
      <c r="A83" s="492"/>
      <c r="B83" s="687" t="s">
        <v>565</v>
      </c>
      <c r="C83" s="687"/>
      <c r="D83" s="687"/>
      <c r="E83" s="687"/>
      <c r="F83" s="687"/>
      <c r="G83" s="687" t="s">
        <v>733</v>
      </c>
      <c r="H83" s="687"/>
      <c r="I83" s="687"/>
      <c r="J83" s="687"/>
      <c r="K83" s="687" t="s">
        <v>15</v>
      </c>
      <c r="L83" s="687"/>
      <c r="M83" s="687"/>
      <c r="N83" s="687"/>
      <c r="O83" s="687"/>
      <c r="P83" s="687"/>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row>
    <row r="84" spans="1:50" customFormat="1" ht="40.9" customHeight="1" x14ac:dyDescent="0.25">
      <c r="A84" s="492"/>
      <c r="B84" s="687" t="s">
        <v>972</v>
      </c>
      <c r="C84" s="687"/>
      <c r="D84" s="687"/>
      <c r="E84" s="687"/>
      <c r="F84" s="687"/>
      <c r="G84" s="687" t="s">
        <v>973</v>
      </c>
      <c r="H84" s="687"/>
      <c r="I84" s="687"/>
      <c r="J84" s="687"/>
      <c r="K84" s="687" t="s">
        <v>15</v>
      </c>
      <c r="L84" s="687"/>
      <c r="M84" s="687"/>
      <c r="N84" s="687"/>
      <c r="O84" s="687"/>
      <c r="P84" s="687"/>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row>
    <row r="85" spans="1:50" customFormat="1" ht="15" customHeight="1" x14ac:dyDescent="0.25">
      <c r="A85" s="496"/>
      <c r="B85" s="695" t="s">
        <v>974</v>
      </c>
      <c r="C85" s="695"/>
      <c r="D85" s="695"/>
      <c r="E85" s="695"/>
      <c r="F85" s="695"/>
      <c r="G85" s="695" t="s">
        <v>15</v>
      </c>
      <c r="H85" s="695"/>
      <c r="I85" s="695"/>
      <c r="J85" s="695"/>
      <c r="K85" s="695" t="s">
        <v>15</v>
      </c>
      <c r="L85" s="695"/>
      <c r="M85" s="695"/>
      <c r="N85" s="695"/>
      <c r="O85" s="695"/>
      <c r="P85" s="695"/>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row>
    <row r="86" spans="1:50" customFormat="1" ht="27.2" customHeight="1" x14ac:dyDescent="0.25">
      <c r="A86" s="492"/>
      <c r="B86" s="687" t="s">
        <v>975</v>
      </c>
      <c r="C86" s="687"/>
      <c r="D86" s="687"/>
      <c r="E86" s="687"/>
      <c r="F86" s="687"/>
      <c r="G86" s="687" t="s">
        <v>976</v>
      </c>
      <c r="H86" s="687"/>
      <c r="I86" s="687"/>
      <c r="J86" s="687"/>
      <c r="K86" s="687" t="s">
        <v>15</v>
      </c>
      <c r="L86" s="687"/>
      <c r="M86" s="687"/>
      <c r="N86" s="687"/>
      <c r="O86" s="687"/>
      <c r="P86" s="687"/>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row>
    <row r="87" spans="1:50" customFormat="1" ht="27.2" customHeight="1" x14ac:dyDescent="0.25">
      <c r="A87" s="492"/>
      <c r="B87" s="687" t="s">
        <v>977</v>
      </c>
      <c r="C87" s="687"/>
      <c r="D87" s="687"/>
      <c r="E87" s="687"/>
      <c r="F87" s="687"/>
      <c r="G87" s="687" t="s">
        <v>978</v>
      </c>
      <c r="H87" s="687"/>
      <c r="I87" s="687"/>
      <c r="J87" s="687"/>
      <c r="K87" s="687" t="s">
        <v>15</v>
      </c>
      <c r="L87" s="687"/>
      <c r="M87" s="687"/>
      <c r="N87" s="687"/>
      <c r="O87" s="687"/>
      <c r="P87" s="687"/>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row>
    <row r="88" spans="1:50" customFormat="1" ht="15" customHeight="1" x14ac:dyDescent="0.25">
      <c r="A88" s="690" t="s">
        <v>996</v>
      </c>
      <c r="B88" s="690"/>
      <c r="C88" s="690"/>
      <c r="D88" s="690"/>
      <c r="E88" s="690"/>
      <c r="F88" s="690"/>
      <c r="G88" s="690"/>
      <c r="H88" s="690"/>
      <c r="I88" s="690"/>
      <c r="J88" s="690"/>
      <c r="K88" s="690"/>
      <c r="L88" s="690"/>
      <c r="M88" s="690"/>
      <c r="N88" s="690"/>
      <c r="O88" s="690"/>
      <c r="P88" s="690"/>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row>
    <row r="89" spans="1:50" customFormat="1" ht="204" customHeight="1" x14ac:dyDescent="0.25">
      <c r="A89" s="495" t="s">
        <v>157</v>
      </c>
      <c r="B89" s="692" t="s">
        <v>997</v>
      </c>
      <c r="C89" s="693"/>
      <c r="D89" s="693"/>
      <c r="E89" s="693"/>
      <c r="F89" s="693"/>
      <c r="G89" s="693" t="s">
        <v>998</v>
      </c>
      <c r="H89" s="693"/>
      <c r="I89" s="693"/>
      <c r="J89" s="693"/>
      <c r="K89" s="693" t="s">
        <v>999</v>
      </c>
      <c r="L89" s="693"/>
      <c r="M89" s="693"/>
      <c r="N89" s="693"/>
      <c r="O89" s="694">
        <f>ROUND((1959980 + 673000 * 2.2) * 1 * 7.22 * 0.6 * 0.5 * 0.7, 2)</f>
        <v>5216607.4000000004</v>
      </c>
      <c r="P89" s="693"/>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row>
    <row r="90" spans="1:50" customFormat="1" ht="15" customHeight="1" x14ac:dyDescent="0.25">
      <c r="A90" s="496"/>
      <c r="B90" s="695" t="s">
        <v>564</v>
      </c>
      <c r="C90" s="695"/>
      <c r="D90" s="695"/>
      <c r="E90" s="695"/>
      <c r="F90" s="695"/>
      <c r="G90" s="695" t="s">
        <v>15</v>
      </c>
      <c r="H90" s="695"/>
      <c r="I90" s="695"/>
      <c r="J90" s="695"/>
      <c r="K90" s="695" t="s">
        <v>15</v>
      </c>
      <c r="L90" s="695"/>
      <c r="M90" s="695"/>
      <c r="N90" s="695"/>
      <c r="O90" s="695"/>
      <c r="P90" s="695"/>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row>
    <row r="91" spans="1:50" customFormat="1" ht="15" customHeight="1" x14ac:dyDescent="0.25">
      <c r="A91" s="492"/>
      <c r="B91" s="687" t="s">
        <v>681</v>
      </c>
      <c r="C91" s="687"/>
      <c r="D91" s="687"/>
      <c r="E91" s="687"/>
      <c r="F91" s="687"/>
      <c r="G91" s="687" t="s">
        <v>682</v>
      </c>
      <c r="H91" s="687"/>
      <c r="I91" s="687"/>
      <c r="J91" s="687"/>
      <c r="K91" s="687" t="s">
        <v>15</v>
      </c>
      <c r="L91" s="687"/>
      <c r="M91" s="687"/>
      <c r="N91" s="687"/>
      <c r="O91" s="687"/>
      <c r="P91" s="687"/>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row>
    <row r="92" spans="1:50" customFormat="1" ht="40.9" customHeight="1" x14ac:dyDescent="0.25">
      <c r="A92" s="492"/>
      <c r="B92" s="687" t="s">
        <v>565</v>
      </c>
      <c r="C92" s="687"/>
      <c r="D92" s="687"/>
      <c r="E92" s="687"/>
      <c r="F92" s="687"/>
      <c r="G92" s="687" t="s">
        <v>733</v>
      </c>
      <c r="H92" s="687"/>
      <c r="I92" s="687"/>
      <c r="J92" s="687"/>
      <c r="K92" s="687" t="s">
        <v>15</v>
      </c>
      <c r="L92" s="687"/>
      <c r="M92" s="687"/>
      <c r="N92" s="687"/>
      <c r="O92" s="687"/>
      <c r="P92" s="687"/>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row>
    <row r="93" spans="1:50" customFormat="1" ht="40.9" customHeight="1" x14ac:dyDescent="0.25">
      <c r="A93" s="492"/>
      <c r="B93" s="687" t="s">
        <v>972</v>
      </c>
      <c r="C93" s="687"/>
      <c r="D93" s="687"/>
      <c r="E93" s="687"/>
      <c r="F93" s="687"/>
      <c r="G93" s="687" t="s">
        <v>973</v>
      </c>
      <c r="H93" s="687"/>
      <c r="I93" s="687"/>
      <c r="J93" s="687"/>
      <c r="K93" s="687" t="s">
        <v>15</v>
      </c>
      <c r="L93" s="687"/>
      <c r="M93" s="687"/>
      <c r="N93" s="687"/>
      <c r="O93" s="687"/>
      <c r="P93" s="687"/>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row>
    <row r="94" spans="1:50" customFormat="1" ht="15" customHeight="1" x14ac:dyDescent="0.25">
      <c r="A94" s="496"/>
      <c r="B94" s="695" t="s">
        <v>974</v>
      </c>
      <c r="C94" s="695"/>
      <c r="D94" s="695"/>
      <c r="E94" s="695"/>
      <c r="F94" s="695"/>
      <c r="G94" s="695" t="s">
        <v>15</v>
      </c>
      <c r="H94" s="695"/>
      <c r="I94" s="695"/>
      <c r="J94" s="695"/>
      <c r="K94" s="695" t="s">
        <v>15</v>
      </c>
      <c r="L94" s="695"/>
      <c r="M94" s="695"/>
      <c r="N94" s="695"/>
      <c r="O94" s="695"/>
      <c r="P94" s="695"/>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row>
    <row r="95" spans="1:50" customFormat="1" ht="27.2" customHeight="1" x14ac:dyDescent="0.25">
      <c r="A95" s="492"/>
      <c r="B95" s="687" t="s">
        <v>975</v>
      </c>
      <c r="C95" s="687"/>
      <c r="D95" s="687"/>
      <c r="E95" s="687"/>
      <c r="F95" s="687"/>
      <c r="G95" s="687" t="s">
        <v>976</v>
      </c>
      <c r="H95" s="687"/>
      <c r="I95" s="687"/>
      <c r="J95" s="687"/>
      <c r="K95" s="687" t="s">
        <v>15</v>
      </c>
      <c r="L95" s="687"/>
      <c r="M95" s="687"/>
      <c r="N95" s="687"/>
      <c r="O95" s="687"/>
      <c r="P95" s="687"/>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row>
    <row r="96" spans="1:50" customFormat="1" ht="27.2" customHeight="1" x14ac:dyDescent="0.25">
      <c r="A96" s="492"/>
      <c r="B96" s="687" t="s">
        <v>977</v>
      </c>
      <c r="C96" s="687"/>
      <c r="D96" s="687"/>
      <c r="E96" s="687"/>
      <c r="F96" s="687"/>
      <c r="G96" s="687" t="s">
        <v>978</v>
      </c>
      <c r="H96" s="687"/>
      <c r="I96" s="687"/>
      <c r="J96" s="687"/>
      <c r="K96" s="687" t="s">
        <v>15</v>
      </c>
      <c r="L96" s="687"/>
      <c r="M96" s="687"/>
      <c r="N96" s="687"/>
      <c r="O96" s="687"/>
      <c r="P96" s="687"/>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row>
    <row r="97" spans="1:50" customFormat="1" ht="15" customHeight="1" x14ac:dyDescent="0.25">
      <c r="A97" s="690" t="s">
        <v>802</v>
      </c>
      <c r="B97" s="690"/>
      <c r="C97" s="690"/>
      <c r="D97" s="690"/>
      <c r="E97" s="690"/>
      <c r="F97" s="690"/>
      <c r="G97" s="690"/>
      <c r="H97" s="690"/>
      <c r="I97" s="690"/>
      <c r="J97" s="690"/>
      <c r="K97" s="690"/>
      <c r="L97" s="690"/>
      <c r="M97" s="690"/>
      <c r="N97" s="690"/>
      <c r="O97" s="690"/>
      <c r="P97" s="690"/>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row>
    <row r="98" spans="1:50" customFormat="1" ht="15" customHeight="1" x14ac:dyDescent="0.25">
      <c r="A98" s="690" t="s">
        <v>1000</v>
      </c>
      <c r="B98" s="690"/>
      <c r="C98" s="690"/>
      <c r="D98" s="690"/>
      <c r="E98" s="690"/>
      <c r="F98" s="690"/>
      <c r="G98" s="690"/>
      <c r="H98" s="690"/>
      <c r="I98" s="690"/>
      <c r="J98" s="690"/>
      <c r="K98" s="690"/>
      <c r="L98" s="690"/>
      <c r="M98" s="690"/>
      <c r="N98" s="690"/>
      <c r="O98" s="690"/>
      <c r="P98" s="690"/>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row>
    <row r="99" spans="1:50" customFormat="1" ht="204" customHeight="1" x14ac:dyDescent="0.25">
      <c r="A99" s="495" t="s">
        <v>161</v>
      </c>
      <c r="B99" s="692" t="s">
        <v>989</v>
      </c>
      <c r="C99" s="693"/>
      <c r="D99" s="693"/>
      <c r="E99" s="693"/>
      <c r="F99" s="693"/>
      <c r="G99" s="693" t="s">
        <v>1001</v>
      </c>
      <c r="H99" s="693"/>
      <c r="I99" s="693"/>
      <c r="J99" s="693"/>
      <c r="K99" s="693" t="s">
        <v>1002</v>
      </c>
      <c r="L99" s="693"/>
      <c r="M99" s="693"/>
      <c r="N99" s="693"/>
      <c r="O99" s="694">
        <f>ROUND((1765510 + 901790 * 0.6) * 1 * 7.22 * 0.6 * 0.8 * 0.7, 2)</f>
        <v>5595588.2599999998</v>
      </c>
      <c r="P99" s="693"/>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row>
    <row r="100" spans="1:50" customFormat="1" ht="15" customHeight="1" x14ac:dyDescent="0.25">
      <c r="A100" s="496"/>
      <c r="B100" s="695" t="s">
        <v>564</v>
      </c>
      <c r="C100" s="695"/>
      <c r="D100" s="695"/>
      <c r="E100" s="695"/>
      <c r="F100" s="695"/>
      <c r="G100" s="695" t="s">
        <v>15</v>
      </c>
      <c r="H100" s="695"/>
      <c r="I100" s="695"/>
      <c r="J100" s="695"/>
      <c r="K100" s="695" t="s">
        <v>15</v>
      </c>
      <c r="L100" s="695"/>
      <c r="M100" s="695"/>
      <c r="N100" s="695"/>
      <c r="O100" s="695"/>
      <c r="P100" s="695"/>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row>
    <row r="101" spans="1:50" customFormat="1" ht="15" customHeight="1" x14ac:dyDescent="0.25">
      <c r="A101" s="492"/>
      <c r="B101" s="687" t="s">
        <v>681</v>
      </c>
      <c r="C101" s="687"/>
      <c r="D101" s="687"/>
      <c r="E101" s="687"/>
      <c r="F101" s="687"/>
      <c r="G101" s="687" t="s">
        <v>682</v>
      </c>
      <c r="H101" s="687"/>
      <c r="I101" s="687"/>
      <c r="J101" s="687"/>
      <c r="K101" s="687" t="s">
        <v>15</v>
      </c>
      <c r="L101" s="687"/>
      <c r="M101" s="687"/>
      <c r="N101" s="687"/>
      <c r="O101" s="687"/>
      <c r="P101" s="687"/>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row>
    <row r="102" spans="1:50" customFormat="1" ht="40.9" customHeight="1" x14ac:dyDescent="0.25">
      <c r="A102" s="492"/>
      <c r="B102" s="687" t="s">
        <v>565</v>
      </c>
      <c r="C102" s="687"/>
      <c r="D102" s="687"/>
      <c r="E102" s="687"/>
      <c r="F102" s="687"/>
      <c r="G102" s="687" t="s">
        <v>733</v>
      </c>
      <c r="H102" s="687"/>
      <c r="I102" s="687"/>
      <c r="J102" s="687"/>
      <c r="K102" s="687" t="s">
        <v>15</v>
      </c>
      <c r="L102" s="687"/>
      <c r="M102" s="687"/>
      <c r="N102" s="687"/>
      <c r="O102" s="687"/>
      <c r="P102" s="687"/>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row>
    <row r="103" spans="1:50" customFormat="1" ht="40.9" customHeight="1" x14ac:dyDescent="0.25">
      <c r="A103" s="492"/>
      <c r="B103" s="687" t="s">
        <v>1003</v>
      </c>
      <c r="C103" s="687"/>
      <c r="D103" s="687"/>
      <c r="E103" s="687"/>
      <c r="F103" s="687"/>
      <c r="G103" s="687" t="s">
        <v>1004</v>
      </c>
      <c r="H103" s="687"/>
      <c r="I103" s="687"/>
      <c r="J103" s="687"/>
      <c r="K103" s="687" t="s">
        <v>15</v>
      </c>
      <c r="L103" s="687"/>
      <c r="M103" s="687"/>
      <c r="N103" s="687"/>
      <c r="O103" s="687"/>
      <c r="P103" s="687"/>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row>
    <row r="104" spans="1:50" customFormat="1" ht="15" customHeight="1" x14ac:dyDescent="0.25">
      <c r="A104" s="496"/>
      <c r="B104" s="695" t="s">
        <v>974</v>
      </c>
      <c r="C104" s="695"/>
      <c r="D104" s="695"/>
      <c r="E104" s="695"/>
      <c r="F104" s="695"/>
      <c r="G104" s="695" t="s">
        <v>15</v>
      </c>
      <c r="H104" s="695"/>
      <c r="I104" s="695"/>
      <c r="J104" s="695"/>
      <c r="K104" s="695" t="s">
        <v>15</v>
      </c>
      <c r="L104" s="695"/>
      <c r="M104" s="695"/>
      <c r="N104" s="695"/>
      <c r="O104" s="695"/>
      <c r="P104" s="695"/>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row>
    <row r="105" spans="1:50" customFormat="1" ht="27.2" customHeight="1" x14ac:dyDescent="0.25">
      <c r="A105" s="492"/>
      <c r="B105" s="687" t="s">
        <v>975</v>
      </c>
      <c r="C105" s="687"/>
      <c r="D105" s="687"/>
      <c r="E105" s="687"/>
      <c r="F105" s="687"/>
      <c r="G105" s="687" t="s">
        <v>976</v>
      </c>
      <c r="H105" s="687"/>
      <c r="I105" s="687"/>
      <c r="J105" s="687"/>
      <c r="K105" s="687" t="s">
        <v>15</v>
      </c>
      <c r="L105" s="687"/>
      <c r="M105" s="687"/>
      <c r="N105" s="687"/>
      <c r="O105" s="687"/>
      <c r="P105" s="687"/>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row>
    <row r="106" spans="1:50" customFormat="1" ht="27.2" customHeight="1" x14ac:dyDescent="0.25">
      <c r="A106" s="492"/>
      <c r="B106" s="687" t="s">
        <v>977</v>
      </c>
      <c r="C106" s="687"/>
      <c r="D106" s="687"/>
      <c r="E106" s="687"/>
      <c r="F106" s="687"/>
      <c r="G106" s="687" t="s">
        <v>978</v>
      </c>
      <c r="H106" s="687"/>
      <c r="I106" s="687"/>
      <c r="J106" s="687"/>
      <c r="K106" s="687" t="s">
        <v>15</v>
      </c>
      <c r="L106" s="687"/>
      <c r="M106" s="687"/>
      <c r="N106" s="687"/>
      <c r="O106" s="687"/>
      <c r="P106" s="687"/>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row>
    <row r="107" spans="1:50" customFormat="1" ht="15" customHeight="1" x14ac:dyDescent="0.25">
      <c r="A107" s="690" t="s">
        <v>1005</v>
      </c>
      <c r="B107" s="690"/>
      <c r="C107" s="690"/>
      <c r="D107" s="690"/>
      <c r="E107" s="690"/>
      <c r="F107" s="690"/>
      <c r="G107" s="690"/>
      <c r="H107" s="690"/>
      <c r="I107" s="690"/>
      <c r="J107" s="690"/>
      <c r="K107" s="690"/>
      <c r="L107" s="690"/>
      <c r="M107" s="690"/>
      <c r="N107" s="690"/>
      <c r="O107" s="690"/>
      <c r="P107" s="690"/>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row>
    <row r="108" spans="1:50" customFormat="1" ht="217.7" customHeight="1" x14ac:dyDescent="0.25">
      <c r="A108" s="495" t="s">
        <v>166</v>
      </c>
      <c r="B108" s="692" t="s">
        <v>968</v>
      </c>
      <c r="C108" s="693"/>
      <c r="D108" s="693"/>
      <c r="E108" s="693"/>
      <c r="F108" s="693"/>
      <c r="G108" s="693" t="s">
        <v>1006</v>
      </c>
      <c r="H108" s="693"/>
      <c r="I108" s="693"/>
      <c r="J108" s="693"/>
      <c r="K108" s="693" t="s">
        <v>1007</v>
      </c>
      <c r="L108" s="693"/>
      <c r="M108" s="693"/>
      <c r="N108" s="693"/>
      <c r="O108" s="694">
        <f>ROUND((1695180 + 1100960 * (0.4 * 0.1 + 0.6 * (0.1 / 2))) * 1 * 0.8 * 7.22 * 0.6 * 0.5 * 0.7, 2)</f>
        <v>2149664.96</v>
      </c>
      <c r="P108" s="693"/>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row>
    <row r="109" spans="1:50" customFormat="1" ht="15" customHeight="1" x14ac:dyDescent="0.25">
      <c r="A109" s="496"/>
      <c r="B109" s="695" t="s">
        <v>564</v>
      </c>
      <c r="C109" s="695"/>
      <c r="D109" s="695"/>
      <c r="E109" s="695"/>
      <c r="F109" s="695"/>
      <c r="G109" s="695" t="s">
        <v>15</v>
      </c>
      <c r="H109" s="695"/>
      <c r="I109" s="695"/>
      <c r="J109" s="695"/>
      <c r="K109" s="695" t="s">
        <v>15</v>
      </c>
      <c r="L109" s="695"/>
      <c r="M109" s="695"/>
      <c r="N109" s="695"/>
      <c r="O109" s="695"/>
      <c r="P109" s="695"/>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row>
    <row r="110" spans="1:50" customFormat="1" ht="15" customHeight="1" x14ac:dyDescent="0.25">
      <c r="A110" s="492"/>
      <c r="B110" s="687" t="s">
        <v>681</v>
      </c>
      <c r="C110" s="687"/>
      <c r="D110" s="687"/>
      <c r="E110" s="687"/>
      <c r="F110" s="687"/>
      <c r="G110" s="687" t="s">
        <v>682</v>
      </c>
      <c r="H110" s="687"/>
      <c r="I110" s="687"/>
      <c r="J110" s="687"/>
      <c r="K110" s="687" t="s">
        <v>15</v>
      </c>
      <c r="L110" s="687"/>
      <c r="M110" s="687"/>
      <c r="N110" s="687"/>
      <c r="O110" s="687"/>
      <c r="P110" s="687"/>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row>
    <row r="111" spans="1:50" customFormat="1" ht="40.9" customHeight="1" x14ac:dyDescent="0.25">
      <c r="A111" s="492"/>
      <c r="B111" s="687" t="s">
        <v>565</v>
      </c>
      <c r="C111" s="687"/>
      <c r="D111" s="687"/>
      <c r="E111" s="687"/>
      <c r="F111" s="687"/>
      <c r="G111" s="687" t="s">
        <v>733</v>
      </c>
      <c r="H111" s="687"/>
      <c r="I111" s="687"/>
      <c r="J111" s="687"/>
      <c r="K111" s="687" t="s">
        <v>15</v>
      </c>
      <c r="L111" s="687"/>
      <c r="M111" s="687"/>
      <c r="N111" s="687"/>
      <c r="O111" s="687"/>
      <c r="P111" s="687"/>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row>
    <row r="112" spans="1:50" customFormat="1" ht="95.25" customHeight="1" x14ac:dyDescent="0.25">
      <c r="A112" s="492"/>
      <c r="B112" s="687" t="s">
        <v>778</v>
      </c>
      <c r="C112" s="687"/>
      <c r="D112" s="687"/>
      <c r="E112" s="687"/>
      <c r="F112" s="687"/>
      <c r="G112" s="687" t="s">
        <v>812</v>
      </c>
      <c r="H112" s="687"/>
      <c r="I112" s="687"/>
      <c r="J112" s="687"/>
      <c r="K112" s="687" t="s">
        <v>15</v>
      </c>
      <c r="L112" s="687"/>
      <c r="M112" s="687"/>
      <c r="N112" s="687"/>
      <c r="O112" s="687"/>
      <c r="P112" s="687"/>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row>
    <row r="113" spans="1:50" customFormat="1" ht="40.9" customHeight="1" x14ac:dyDescent="0.25">
      <c r="A113" s="492"/>
      <c r="B113" s="687" t="s">
        <v>972</v>
      </c>
      <c r="C113" s="687"/>
      <c r="D113" s="687"/>
      <c r="E113" s="687"/>
      <c r="F113" s="687"/>
      <c r="G113" s="687" t="s">
        <v>973</v>
      </c>
      <c r="H113" s="687"/>
      <c r="I113" s="687"/>
      <c r="J113" s="687"/>
      <c r="K113" s="687" t="s">
        <v>15</v>
      </c>
      <c r="L113" s="687"/>
      <c r="M113" s="687"/>
      <c r="N113" s="687"/>
      <c r="O113" s="687"/>
      <c r="P113" s="687"/>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row>
    <row r="114" spans="1:50" customFormat="1" ht="15" customHeight="1" x14ac:dyDescent="0.25">
      <c r="A114" s="496"/>
      <c r="B114" s="695" t="s">
        <v>974</v>
      </c>
      <c r="C114" s="695"/>
      <c r="D114" s="695"/>
      <c r="E114" s="695"/>
      <c r="F114" s="695"/>
      <c r="G114" s="695" t="s">
        <v>15</v>
      </c>
      <c r="H114" s="695"/>
      <c r="I114" s="695"/>
      <c r="J114" s="695"/>
      <c r="K114" s="695" t="s">
        <v>15</v>
      </c>
      <c r="L114" s="695"/>
      <c r="M114" s="695"/>
      <c r="N114" s="695"/>
      <c r="O114" s="695"/>
      <c r="P114" s="695"/>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row>
    <row r="115" spans="1:50" customFormat="1" ht="27.2" customHeight="1" x14ac:dyDescent="0.25">
      <c r="A115" s="492"/>
      <c r="B115" s="687" t="s">
        <v>975</v>
      </c>
      <c r="C115" s="687"/>
      <c r="D115" s="687"/>
      <c r="E115" s="687"/>
      <c r="F115" s="687"/>
      <c r="G115" s="687" t="s">
        <v>976</v>
      </c>
      <c r="H115" s="687"/>
      <c r="I115" s="687"/>
      <c r="J115" s="687"/>
      <c r="K115" s="687" t="s">
        <v>15</v>
      </c>
      <c r="L115" s="687"/>
      <c r="M115" s="687"/>
      <c r="N115" s="687"/>
      <c r="O115" s="687"/>
      <c r="P115" s="687"/>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row>
    <row r="116" spans="1:50" customFormat="1" ht="27.2" customHeight="1" x14ac:dyDescent="0.25">
      <c r="A116" s="492"/>
      <c r="B116" s="687" t="s">
        <v>977</v>
      </c>
      <c r="C116" s="687"/>
      <c r="D116" s="687"/>
      <c r="E116" s="687"/>
      <c r="F116" s="687"/>
      <c r="G116" s="687" t="s">
        <v>978</v>
      </c>
      <c r="H116" s="687"/>
      <c r="I116" s="687"/>
      <c r="J116" s="687"/>
      <c r="K116" s="687" t="s">
        <v>15</v>
      </c>
      <c r="L116" s="687"/>
      <c r="M116" s="687"/>
      <c r="N116" s="687"/>
      <c r="O116" s="687"/>
      <c r="P116" s="687"/>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row>
    <row r="117" spans="1:50" customFormat="1" ht="15" customHeight="1" x14ac:dyDescent="0.25">
      <c r="A117" s="690" t="s">
        <v>1008</v>
      </c>
      <c r="B117" s="690"/>
      <c r="C117" s="690"/>
      <c r="D117" s="690"/>
      <c r="E117" s="690"/>
      <c r="F117" s="690"/>
      <c r="G117" s="690"/>
      <c r="H117" s="690"/>
      <c r="I117" s="690"/>
      <c r="J117" s="690"/>
      <c r="K117" s="690"/>
      <c r="L117" s="690"/>
      <c r="M117" s="690"/>
      <c r="N117" s="690"/>
      <c r="O117" s="690"/>
      <c r="P117" s="690"/>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row>
    <row r="118" spans="1:50" customFormat="1" ht="149.65" customHeight="1" x14ac:dyDescent="0.25">
      <c r="A118" s="495" t="s">
        <v>171</v>
      </c>
      <c r="B118" s="692" t="s">
        <v>1009</v>
      </c>
      <c r="C118" s="693"/>
      <c r="D118" s="693"/>
      <c r="E118" s="693"/>
      <c r="F118" s="693"/>
      <c r="G118" s="693" t="s">
        <v>1010</v>
      </c>
      <c r="H118" s="693"/>
      <c r="I118" s="693"/>
      <c r="J118" s="693"/>
      <c r="K118" s="693" t="s">
        <v>1011</v>
      </c>
      <c r="L118" s="693"/>
      <c r="M118" s="693"/>
      <c r="N118" s="693"/>
      <c r="O118" s="694">
        <f>ROUND(162750 * 1 * 7.22 * 0.6, 2)</f>
        <v>705033</v>
      </c>
      <c r="P118" s="693"/>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row>
    <row r="119" spans="1:50" customFormat="1" ht="15" customHeight="1" x14ac:dyDescent="0.25">
      <c r="A119" s="496"/>
      <c r="B119" s="695" t="s">
        <v>564</v>
      </c>
      <c r="C119" s="695"/>
      <c r="D119" s="695"/>
      <c r="E119" s="695"/>
      <c r="F119" s="695"/>
      <c r="G119" s="695" t="s">
        <v>15</v>
      </c>
      <c r="H119" s="695"/>
      <c r="I119" s="695"/>
      <c r="J119" s="695"/>
      <c r="K119" s="695" t="s">
        <v>15</v>
      </c>
      <c r="L119" s="695"/>
      <c r="M119" s="695"/>
      <c r="N119" s="695"/>
      <c r="O119" s="695"/>
      <c r="P119" s="695"/>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row>
    <row r="120" spans="1:50" customFormat="1" ht="15" customHeight="1" x14ac:dyDescent="0.25">
      <c r="A120" s="492"/>
      <c r="B120" s="687" t="s">
        <v>681</v>
      </c>
      <c r="C120" s="687"/>
      <c r="D120" s="687"/>
      <c r="E120" s="687"/>
      <c r="F120" s="687"/>
      <c r="G120" s="687" t="s">
        <v>682</v>
      </c>
      <c r="H120" s="687"/>
      <c r="I120" s="687"/>
      <c r="J120" s="687"/>
      <c r="K120" s="687" t="s">
        <v>15</v>
      </c>
      <c r="L120" s="687"/>
      <c r="M120" s="687"/>
      <c r="N120" s="687"/>
      <c r="O120" s="687"/>
      <c r="P120" s="687"/>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row>
    <row r="121" spans="1:50" customFormat="1" ht="40.9" customHeight="1" x14ac:dyDescent="0.25">
      <c r="A121" s="492"/>
      <c r="B121" s="687" t="s">
        <v>565</v>
      </c>
      <c r="C121" s="687"/>
      <c r="D121" s="687"/>
      <c r="E121" s="687"/>
      <c r="F121" s="687"/>
      <c r="G121" s="687" t="s">
        <v>733</v>
      </c>
      <c r="H121" s="687"/>
      <c r="I121" s="687"/>
      <c r="J121" s="687"/>
      <c r="K121" s="687" t="s">
        <v>15</v>
      </c>
      <c r="L121" s="687"/>
      <c r="M121" s="687"/>
      <c r="N121" s="687"/>
      <c r="O121" s="687"/>
      <c r="P121" s="687"/>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row>
    <row r="122" spans="1:50" customFormat="1" ht="15" customHeight="1" x14ac:dyDescent="0.25">
      <c r="A122" s="690" t="s">
        <v>1012</v>
      </c>
      <c r="B122" s="690"/>
      <c r="C122" s="690"/>
      <c r="D122" s="690"/>
      <c r="E122" s="690"/>
      <c r="F122" s="690"/>
      <c r="G122" s="690"/>
      <c r="H122" s="690"/>
      <c r="I122" s="690"/>
      <c r="J122" s="690"/>
      <c r="K122" s="690"/>
      <c r="L122" s="690"/>
      <c r="M122" s="690"/>
      <c r="N122" s="690"/>
      <c r="O122" s="690"/>
      <c r="P122" s="690"/>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row>
    <row r="123" spans="1:50" customFormat="1" ht="15" customHeight="1" x14ac:dyDescent="0.25">
      <c r="A123" s="690" t="s">
        <v>1013</v>
      </c>
      <c r="B123" s="690"/>
      <c r="C123" s="690"/>
      <c r="D123" s="690"/>
      <c r="E123" s="690"/>
      <c r="F123" s="690"/>
      <c r="G123" s="690"/>
      <c r="H123" s="690"/>
      <c r="I123" s="690"/>
      <c r="J123" s="690"/>
      <c r="K123" s="690"/>
      <c r="L123" s="690"/>
      <c r="M123" s="690"/>
      <c r="N123" s="690"/>
      <c r="O123" s="690"/>
      <c r="P123" s="690"/>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row>
    <row r="124" spans="1:50" customFormat="1" ht="204" customHeight="1" x14ac:dyDescent="0.25">
      <c r="A124" s="495" t="s">
        <v>183</v>
      </c>
      <c r="B124" s="692" t="s">
        <v>997</v>
      </c>
      <c r="C124" s="693"/>
      <c r="D124" s="693"/>
      <c r="E124" s="693"/>
      <c r="F124" s="693"/>
      <c r="G124" s="693" t="s">
        <v>1014</v>
      </c>
      <c r="H124" s="693"/>
      <c r="I124" s="693"/>
      <c r="J124" s="693"/>
      <c r="K124" s="693" t="s">
        <v>1015</v>
      </c>
      <c r="L124" s="693"/>
      <c r="M124" s="693"/>
      <c r="N124" s="693"/>
      <c r="O124" s="694">
        <f>ROUND((1959980 + 673000 * 1.5) * 1 * 7.22 * 0.6 * 0.5 * 0.7, 2)</f>
        <v>4502325.58</v>
      </c>
      <c r="P124" s="693"/>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row>
    <row r="125" spans="1:50" customFormat="1" ht="15" customHeight="1" x14ac:dyDescent="0.25">
      <c r="A125" s="496"/>
      <c r="B125" s="695" t="s">
        <v>564</v>
      </c>
      <c r="C125" s="695"/>
      <c r="D125" s="695"/>
      <c r="E125" s="695"/>
      <c r="F125" s="695"/>
      <c r="G125" s="695" t="s">
        <v>15</v>
      </c>
      <c r="H125" s="695"/>
      <c r="I125" s="695"/>
      <c r="J125" s="695"/>
      <c r="K125" s="695" t="s">
        <v>15</v>
      </c>
      <c r="L125" s="695"/>
      <c r="M125" s="695"/>
      <c r="N125" s="695"/>
      <c r="O125" s="695"/>
      <c r="P125" s="695"/>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row>
    <row r="126" spans="1:50" customFormat="1" ht="15" customHeight="1" x14ac:dyDescent="0.25">
      <c r="A126" s="492"/>
      <c r="B126" s="687" t="s">
        <v>681</v>
      </c>
      <c r="C126" s="687"/>
      <c r="D126" s="687"/>
      <c r="E126" s="687"/>
      <c r="F126" s="687"/>
      <c r="G126" s="687" t="s">
        <v>682</v>
      </c>
      <c r="H126" s="687"/>
      <c r="I126" s="687"/>
      <c r="J126" s="687"/>
      <c r="K126" s="687" t="s">
        <v>15</v>
      </c>
      <c r="L126" s="687"/>
      <c r="M126" s="687"/>
      <c r="N126" s="687"/>
      <c r="O126" s="687"/>
      <c r="P126" s="687"/>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row>
    <row r="127" spans="1:50" customFormat="1" ht="40.9" customHeight="1" x14ac:dyDescent="0.25">
      <c r="A127" s="492"/>
      <c r="B127" s="687" t="s">
        <v>565</v>
      </c>
      <c r="C127" s="687"/>
      <c r="D127" s="687"/>
      <c r="E127" s="687"/>
      <c r="F127" s="687"/>
      <c r="G127" s="687" t="s">
        <v>733</v>
      </c>
      <c r="H127" s="687"/>
      <c r="I127" s="687"/>
      <c r="J127" s="687"/>
      <c r="K127" s="687" t="s">
        <v>15</v>
      </c>
      <c r="L127" s="687"/>
      <c r="M127" s="687"/>
      <c r="N127" s="687"/>
      <c r="O127" s="687"/>
      <c r="P127" s="687"/>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row>
    <row r="128" spans="1:50" customFormat="1" ht="40.9" customHeight="1" x14ac:dyDescent="0.25">
      <c r="A128" s="492"/>
      <c r="B128" s="687" t="s">
        <v>972</v>
      </c>
      <c r="C128" s="687"/>
      <c r="D128" s="687"/>
      <c r="E128" s="687"/>
      <c r="F128" s="687"/>
      <c r="G128" s="687" t="s">
        <v>973</v>
      </c>
      <c r="H128" s="687"/>
      <c r="I128" s="687"/>
      <c r="J128" s="687"/>
      <c r="K128" s="687" t="s">
        <v>15</v>
      </c>
      <c r="L128" s="687"/>
      <c r="M128" s="687"/>
      <c r="N128" s="687"/>
      <c r="O128" s="687"/>
      <c r="P128" s="687"/>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row>
    <row r="129" spans="1:50" customFormat="1" ht="15" customHeight="1" x14ac:dyDescent="0.25">
      <c r="A129" s="496"/>
      <c r="B129" s="695" t="s">
        <v>974</v>
      </c>
      <c r="C129" s="695"/>
      <c r="D129" s="695"/>
      <c r="E129" s="695"/>
      <c r="F129" s="695"/>
      <c r="G129" s="695" t="s">
        <v>15</v>
      </c>
      <c r="H129" s="695"/>
      <c r="I129" s="695"/>
      <c r="J129" s="695"/>
      <c r="K129" s="695" t="s">
        <v>15</v>
      </c>
      <c r="L129" s="695"/>
      <c r="M129" s="695"/>
      <c r="N129" s="695"/>
      <c r="O129" s="695"/>
      <c r="P129" s="695"/>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row>
    <row r="130" spans="1:50" customFormat="1" ht="27.2" customHeight="1" x14ac:dyDescent="0.25">
      <c r="A130" s="492"/>
      <c r="B130" s="687" t="s">
        <v>975</v>
      </c>
      <c r="C130" s="687"/>
      <c r="D130" s="687"/>
      <c r="E130" s="687"/>
      <c r="F130" s="687"/>
      <c r="G130" s="687" t="s">
        <v>976</v>
      </c>
      <c r="H130" s="687"/>
      <c r="I130" s="687"/>
      <c r="J130" s="687"/>
      <c r="K130" s="687" t="s">
        <v>15</v>
      </c>
      <c r="L130" s="687"/>
      <c r="M130" s="687"/>
      <c r="N130" s="687"/>
      <c r="O130" s="687"/>
      <c r="P130" s="687"/>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row>
    <row r="131" spans="1:50" customFormat="1" ht="27.2" customHeight="1" x14ac:dyDescent="0.25">
      <c r="A131" s="492"/>
      <c r="B131" s="687" t="s">
        <v>977</v>
      </c>
      <c r="C131" s="687"/>
      <c r="D131" s="687"/>
      <c r="E131" s="687"/>
      <c r="F131" s="687"/>
      <c r="G131" s="687" t="s">
        <v>978</v>
      </c>
      <c r="H131" s="687"/>
      <c r="I131" s="687"/>
      <c r="J131" s="687"/>
      <c r="K131" s="687" t="s">
        <v>15</v>
      </c>
      <c r="L131" s="687"/>
      <c r="M131" s="687"/>
      <c r="N131" s="687"/>
      <c r="O131" s="687"/>
      <c r="P131" s="687"/>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row>
    <row r="132" spans="1:50" customFormat="1" ht="15" customHeight="1" x14ac:dyDescent="0.25">
      <c r="A132" s="690" t="s">
        <v>1016</v>
      </c>
      <c r="B132" s="690"/>
      <c r="C132" s="690"/>
      <c r="D132" s="690"/>
      <c r="E132" s="690"/>
      <c r="F132" s="690"/>
      <c r="G132" s="690"/>
      <c r="H132" s="690"/>
      <c r="I132" s="690"/>
      <c r="J132" s="690"/>
      <c r="K132" s="690"/>
      <c r="L132" s="690"/>
      <c r="M132" s="690"/>
      <c r="N132" s="690"/>
      <c r="O132" s="690"/>
      <c r="P132" s="690"/>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row>
    <row r="133" spans="1:50" customFormat="1" ht="122.45" customHeight="1" x14ac:dyDescent="0.25">
      <c r="A133" s="495" t="s">
        <v>193</v>
      </c>
      <c r="B133" s="692" t="s">
        <v>1017</v>
      </c>
      <c r="C133" s="693"/>
      <c r="D133" s="693"/>
      <c r="E133" s="693"/>
      <c r="F133" s="693"/>
      <c r="G133" s="693" t="s">
        <v>1018</v>
      </c>
      <c r="H133" s="693"/>
      <c r="I133" s="693"/>
      <c r="J133" s="693"/>
      <c r="K133" s="693" t="s">
        <v>1019</v>
      </c>
      <c r="L133" s="693"/>
      <c r="M133" s="693"/>
      <c r="N133" s="693"/>
      <c r="O133" s="694">
        <f>ROUND((379281 + 76551 * 2.25) * 1 * 7.22 * 0.6, 2)</f>
        <v>2389187.89</v>
      </c>
      <c r="P133" s="693"/>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row>
    <row r="134" spans="1:50" customFormat="1" ht="15" customHeight="1" x14ac:dyDescent="0.25">
      <c r="A134" s="496"/>
      <c r="B134" s="695" t="s">
        <v>564</v>
      </c>
      <c r="C134" s="695"/>
      <c r="D134" s="695"/>
      <c r="E134" s="695"/>
      <c r="F134" s="695"/>
      <c r="G134" s="695" t="s">
        <v>15</v>
      </c>
      <c r="H134" s="695"/>
      <c r="I134" s="695"/>
      <c r="J134" s="695"/>
      <c r="K134" s="695" t="s">
        <v>15</v>
      </c>
      <c r="L134" s="695"/>
      <c r="M134" s="695"/>
      <c r="N134" s="695"/>
      <c r="O134" s="695"/>
      <c r="P134" s="695"/>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row>
    <row r="135" spans="1:50" customFormat="1" ht="15" customHeight="1" x14ac:dyDescent="0.25">
      <c r="A135" s="492"/>
      <c r="B135" s="687" t="s">
        <v>681</v>
      </c>
      <c r="C135" s="687"/>
      <c r="D135" s="687"/>
      <c r="E135" s="687"/>
      <c r="F135" s="687"/>
      <c r="G135" s="687" t="s">
        <v>682</v>
      </c>
      <c r="H135" s="687"/>
      <c r="I135" s="687"/>
      <c r="J135" s="687"/>
      <c r="K135" s="687" t="s">
        <v>15</v>
      </c>
      <c r="L135" s="687"/>
      <c r="M135" s="687"/>
      <c r="N135" s="687"/>
      <c r="O135" s="687"/>
      <c r="P135" s="687"/>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row>
    <row r="136" spans="1:50" customFormat="1" ht="40.9" customHeight="1" x14ac:dyDescent="0.25">
      <c r="A136" s="492"/>
      <c r="B136" s="687" t="s">
        <v>565</v>
      </c>
      <c r="C136" s="687"/>
      <c r="D136" s="687"/>
      <c r="E136" s="687"/>
      <c r="F136" s="687"/>
      <c r="G136" s="687" t="s">
        <v>733</v>
      </c>
      <c r="H136" s="687"/>
      <c r="I136" s="687"/>
      <c r="J136" s="687"/>
      <c r="K136" s="687" t="s">
        <v>15</v>
      </c>
      <c r="L136" s="687"/>
      <c r="M136" s="687"/>
      <c r="N136" s="687"/>
      <c r="O136" s="687"/>
      <c r="P136" s="687"/>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row>
    <row r="137" spans="1:50" customFormat="1" ht="15" customHeight="1" x14ac:dyDescent="0.25">
      <c r="A137" s="690" t="s">
        <v>703</v>
      </c>
      <c r="B137" s="690"/>
      <c r="C137" s="690"/>
      <c r="D137" s="690"/>
      <c r="E137" s="690"/>
      <c r="F137" s="690"/>
      <c r="G137" s="690"/>
      <c r="H137" s="690"/>
      <c r="I137" s="690"/>
      <c r="J137" s="690"/>
      <c r="K137" s="690"/>
      <c r="L137" s="690"/>
      <c r="M137" s="690"/>
      <c r="N137" s="690"/>
      <c r="O137" s="690"/>
      <c r="P137" s="690"/>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row>
    <row r="138" spans="1:50" customFormat="1" ht="15" customHeight="1" x14ac:dyDescent="0.25">
      <c r="A138" s="690" t="s">
        <v>892</v>
      </c>
      <c r="B138" s="690"/>
      <c r="C138" s="690"/>
      <c r="D138" s="690"/>
      <c r="E138" s="690"/>
      <c r="F138" s="690"/>
      <c r="G138" s="690"/>
      <c r="H138" s="690"/>
      <c r="I138" s="690"/>
      <c r="J138" s="690"/>
      <c r="K138" s="690"/>
      <c r="L138" s="690"/>
      <c r="M138" s="690"/>
      <c r="N138" s="690"/>
      <c r="O138" s="690"/>
      <c r="P138" s="690"/>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row>
    <row r="139" spans="1:50" customFormat="1" ht="15" customHeight="1" x14ac:dyDescent="0.25">
      <c r="A139" s="690" t="s">
        <v>1020</v>
      </c>
      <c r="B139" s="690"/>
      <c r="C139" s="690"/>
      <c r="D139" s="690"/>
      <c r="E139" s="690"/>
      <c r="F139" s="690"/>
      <c r="G139" s="690"/>
      <c r="H139" s="690"/>
      <c r="I139" s="690"/>
      <c r="J139" s="690"/>
      <c r="K139" s="690"/>
      <c r="L139" s="690"/>
      <c r="M139" s="690"/>
      <c r="N139" s="690"/>
      <c r="O139" s="690"/>
      <c r="P139" s="690"/>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row>
    <row r="140" spans="1:50" customFormat="1" ht="217.7" customHeight="1" x14ac:dyDescent="0.25">
      <c r="A140" s="495" t="s">
        <v>198</v>
      </c>
      <c r="B140" s="692" t="s">
        <v>968</v>
      </c>
      <c r="C140" s="693"/>
      <c r="D140" s="693"/>
      <c r="E140" s="693"/>
      <c r="F140" s="693"/>
      <c r="G140" s="693" t="s">
        <v>969</v>
      </c>
      <c r="H140" s="693"/>
      <c r="I140" s="693"/>
      <c r="J140" s="693"/>
      <c r="K140" s="693" t="s">
        <v>970</v>
      </c>
      <c r="L140" s="693"/>
      <c r="M140" s="693"/>
      <c r="N140" s="693"/>
      <c r="O140" s="694">
        <f>ROUND((1695180 + 1100960 * (0.4 * 0.1 + 0.6 * (0.1 / 2))) * 1 * 0.3 * 7.22 * 0.6 * 0.5 * 0.7, 2)</f>
        <v>806124.36</v>
      </c>
      <c r="P140" s="693"/>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row>
    <row r="141" spans="1:50" customFormat="1" ht="15" customHeight="1" x14ac:dyDescent="0.25">
      <c r="A141" s="496"/>
      <c r="B141" s="695" t="s">
        <v>564</v>
      </c>
      <c r="C141" s="695"/>
      <c r="D141" s="695"/>
      <c r="E141" s="695"/>
      <c r="F141" s="695"/>
      <c r="G141" s="695" t="s">
        <v>15</v>
      </c>
      <c r="H141" s="695"/>
      <c r="I141" s="695"/>
      <c r="J141" s="695"/>
      <c r="K141" s="695" t="s">
        <v>15</v>
      </c>
      <c r="L141" s="695"/>
      <c r="M141" s="695"/>
      <c r="N141" s="695"/>
      <c r="O141" s="695"/>
      <c r="P141" s="695"/>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row>
    <row r="142" spans="1:50" customFormat="1" ht="15" customHeight="1" x14ac:dyDescent="0.25">
      <c r="A142" s="492"/>
      <c r="B142" s="687" t="s">
        <v>681</v>
      </c>
      <c r="C142" s="687"/>
      <c r="D142" s="687"/>
      <c r="E142" s="687"/>
      <c r="F142" s="687"/>
      <c r="G142" s="687" t="s">
        <v>682</v>
      </c>
      <c r="H142" s="687"/>
      <c r="I142" s="687"/>
      <c r="J142" s="687"/>
      <c r="K142" s="687" t="s">
        <v>15</v>
      </c>
      <c r="L142" s="687"/>
      <c r="M142" s="687"/>
      <c r="N142" s="687"/>
      <c r="O142" s="687"/>
      <c r="P142" s="687"/>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row>
    <row r="143" spans="1:50" customFormat="1" ht="40.9" customHeight="1" x14ac:dyDescent="0.25">
      <c r="A143" s="492"/>
      <c r="B143" s="687" t="s">
        <v>565</v>
      </c>
      <c r="C143" s="687"/>
      <c r="D143" s="687"/>
      <c r="E143" s="687"/>
      <c r="F143" s="687"/>
      <c r="G143" s="687" t="s">
        <v>733</v>
      </c>
      <c r="H143" s="687"/>
      <c r="I143" s="687"/>
      <c r="J143" s="687"/>
      <c r="K143" s="687" t="s">
        <v>15</v>
      </c>
      <c r="L143" s="687"/>
      <c r="M143" s="687"/>
      <c r="N143" s="687"/>
      <c r="O143" s="687"/>
      <c r="P143" s="687"/>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row>
    <row r="144" spans="1:50" customFormat="1" ht="95.25" customHeight="1" x14ac:dyDescent="0.25">
      <c r="A144" s="492"/>
      <c r="B144" s="687" t="s">
        <v>778</v>
      </c>
      <c r="C144" s="687"/>
      <c r="D144" s="687"/>
      <c r="E144" s="687"/>
      <c r="F144" s="687"/>
      <c r="G144" s="687" t="s">
        <v>971</v>
      </c>
      <c r="H144" s="687"/>
      <c r="I144" s="687"/>
      <c r="J144" s="687"/>
      <c r="K144" s="687" t="s">
        <v>15</v>
      </c>
      <c r="L144" s="687"/>
      <c r="M144" s="687"/>
      <c r="N144" s="687"/>
      <c r="O144" s="687"/>
      <c r="P144" s="687"/>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row>
    <row r="145" spans="1:50" customFormat="1" ht="40.9" customHeight="1" x14ac:dyDescent="0.25">
      <c r="A145" s="492"/>
      <c r="B145" s="687" t="s">
        <v>972</v>
      </c>
      <c r="C145" s="687"/>
      <c r="D145" s="687"/>
      <c r="E145" s="687"/>
      <c r="F145" s="687"/>
      <c r="G145" s="687" t="s">
        <v>973</v>
      </c>
      <c r="H145" s="687"/>
      <c r="I145" s="687"/>
      <c r="J145" s="687"/>
      <c r="K145" s="687" t="s">
        <v>15</v>
      </c>
      <c r="L145" s="687"/>
      <c r="M145" s="687"/>
      <c r="N145" s="687"/>
      <c r="O145" s="687"/>
      <c r="P145" s="687"/>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row>
    <row r="146" spans="1:50" customFormat="1" ht="15" customHeight="1" x14ac:dyDescent="0.25">
      <c r="A146" s="496"/>
      <c r="B146" s="695" t="s">
        <v>974</v>
      </c>
      <c r="C146" s="695"/>
      <c r="D146" s="695"/>
      <c r="E146" s="695"/>
      <c r="F146" s="695"/>
      <c r="G146" s="695" t="s">
        <v>15</v>
      </c>
      <c r="H146" s="695"/>
      <c r="I146" s="695"/>
      <c r="J146" s="695"/>
      <c r="K146" s="695" t="s">
        <v>15</v>
      </c>
      <c r="L146" s="695"/>
      <c r="M146" s="695"/>
      <c r="N146" s="695"/>
      <c r="O146" s="695"/>
      <c r="P146" s="695"/>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row>
    <row r="147" spans="1:50" customFormat="1" ht="27.2" customHeight="1" x14ac:dyDescent="0.25">
      <c r="A147" s="492"/>
      <c r="B147" s="687" t="s">
        <v>975</v>
      </c>
      <c r="C147" s="687"/>
      <c r="D147" s="687"/>
      <c r="E147" s="687"/>
      <c r="F147" s="687"/>
      <c r="G147" s="687" t="s">
        <v>976</v>
      </c>
      <c r="H147" s="687"/>
      <c r="I147" s="687"/>
      <c r="J147" s="687"/>
      <c r="K147" s="687" t="s">
        <v>15</v>
      </c>
      <c r="L147" s="687"/>
      <c r="M147" s="687"/>
      <c r="N147" s="687"/>
      <c r="O147" s="687"/>
      <c r="P147" s="687"/>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row>
    <row r="148" spans="1:50" customFormat="1" ht="27.2" customHeight="1" x14ac:dyDescent="0.25">
      <c r="A148" s="492"/>
      <c r="B148" s="687" t="s">
        <v>977</v>
      </c>
      <c r="C148" s="687"/>
      <c r="D148" s="687"/>
      <c r="E148" s="687"/>
      <c r="F148" s="687"/>
      <c r="G148" s="687" t="s">
        <v>978</v>
      </c>
      <c r="H148" s="687"/>
      <c r="I148" s="687"/>
      <c r="J148" s="687"/>
      <c r="K148" s="687" t="s">
        <v>15</v>
      </c>
      <c r="L148" s="687"/>
      <c r="M148" s="687"/>
      <c r="N148" s="687"/>
      <c r="O148" s="687"/>
      <c r="P148" s="687"/>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row>
    <row r="149" spans="1:50" customFormat="1" ht="15" customHeight="1" x14ac:dyDescent="0.25">
      <c r="A149" s="690" t="s">
        <v>1021</v>
      </c>
      <c r="B149" s="690"/>
      <c r="C149" s="690"/>
      <c r="D149" s="690"/>
      <c r="E149" s="690"/>
      <c r="F149" s="690"/>
      <c r="G149" s="690"/>
      <c r="H149" s="690"/>
      <c r="I149" s="690"/>
      <c r="J149" s="690"/>
      <c r="K149" s="690"/>
      <c r="L149" s="690"/>
      <c r="M149" s="690"/>
      <c r="N149" s="690"/>
      <c r="O149" s="690"/>
      <c r="P149" s="690"/>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row>
    <row r="150" spans="1:50" customFormat="1" ht="217.7" customHeight="1" x14ac:dyDescent="0.25">
      <c r="A150" s="495" t="s">
        <v>356</v>
      </c>
      <c r="B150" s="692" t="s">
        <v>968</v>
      </c>
      <c r="C150" s="693"/>
      <c r="D150" s="693"/>
      <c r="E150" s="693"/>
      <c r="F150" s="693"/>
      <c r="G150" s="693" t="s">
        <v>1022</v>
      </c>
      <c r="H150" s="693"/>
      <c r="I150" s="693"/>
      <c r="J150" s="693"/>
      <c r="K150" s="693" t="s">
        <v>1023</v>
      </c>
      <c r="L150" s="693"/>
      <c r="M150" s="693"/>
      <c r="N150" s="693"/>
      <c r="O150" s="694">
        <f>ROUND((1695180 + 1100960 * (0.4 * 0.1 + 0.6 * (0.1 / 2))) * 1 * 0.2 * 7.22 * 0.6 * 0.5 * 0.7, 2)</f>
        <v>537416.24</v>
      </c>
      <c r="P150" s="693"/>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row>
    <row r="151" spans="1:50" customFormat="1" ht="15" customHeight="1" x14ac:dyDescent="0.25">
      <c r="A151" s="496"/>
      <c r="B151" s="695" t="s">
        <v>564</v>
      </c>
      <c r="C151" s="695"/>
      <c r="D151" s="695"/>
      <c r="E151" s="695"/>
      <c r="F151" s="695"/>
      <c r="G151" s="695" t="s">
        <v>15</v>
      </c>
      <c r="H151" s="695"/>
      <c r="I151" s="695"/>
      <c r="J151" s="695"/>
      <c r="K151" s="695" t="s">
        <v>15</v>
      </c>
      <c r="L151" s="695"/>
      <c r="M151" s="695"/>
      <c r="N151" s="695"/>
      <c r="O151" s="695"/>
      <c r="P151" s="695"/>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row>
    <row r="152" spans="1:50" customFormat="1" ht="15" customHeight="1" x14ac:dyDescent="0.25">
      <c r="A152" s="492"/>
      <c r="B152" s="687" t="s">
        <v>681</v>
      </c>
      <c r="C152" s="687"/>
      <c r="D152" s="687"/>
      <c r="E152" s="687"/>
      <c r="F152" s="687"/>
      <c r="G152" s="687" t="s">
        <v>682</v>
      </c>
      <c r="H152" s="687"/>
      <c r="I152" s="687"/>
      <c r="J152" s="687"/>
      <c r="K152" s="687" t="s">
        <v>15</v>
      </c>
      <c r="L152" s="687"/>
      <c r="M152" s="687"/>
      <c r="N152" s="687"/>
      <c r="O152" s="687"/>
      <c r="P152" s="687"/>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row>
    <row r="153" spans="1:50" customFormat="1" ht="40.9" customHeight="1" x14ac:dyDescent="0.25">
      <c r="A153" s="492"/>
      <c r="B153" s="687" t="s">
        <v>565</v>
      </c>
      <c r="C153" s="687"/>
      <c r="D153" s="687"/>
      <c r="E153" s="687"/>
      <c r="F153" s="687"/>
      <c r="G153" s="687" t="s">
        <v>733</v>
      </c>
      <c r="H153" s="687"/>
      <c r="I153" s="687"/>
      <c r="J153" s="687"/>
      <c r="K153" s="687" t="s">
        <v>15</v>
      </c>
      <c r="L153" s="687"/>
      <c r="M153" s="687"/>
      <c r="N153" s="687"/>
      <c r="O153" s="687"/>
      <c r="P153" s="687"/>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row>
    <row r="154" spans="1:50" customFormat="1" ht="95.25" customHeight="1" x14ac:dyDescent="0.25">
      <c r="A154" s="492"/>
      <c r="B154" s="687" t="s">
        <v>778</v>
      </c>
      <c r="C154" s="687"/>
      <c r="D154" s="687"/>
      <c r="E154" s="687"/>
      <c r="F154" s="687"/>
      <c r="G154" s="687" t="s">
        <v>845</v>
      </c>
      <c r="H154" s="687"/>
      <c r="I154" s="687"/>
      <c r="J154" s="687"/>
      <c r="K154" s="687" t="s">
        <v>15</v>
      </c>
      <c r="L154" s="687"/>
      <c r="M154" s="687"/>
      <c r="N154" s="687"/>
      <c r="O154" s="687"/>
      <c r="P154" s="687"/>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row>
    <row r="155" spans="1:50" customFormat="1" ht="40.9" customHeight="1" x14ac:dyDescent="0.25">
      <c r="A155" s="492"/>
      <c r="B155" s="687" t="s">
        <v>972</v>
      </c>
      <c r="C155" s="687"/>
      <c r="D155" s="687"/>
      <c r="E155" s="687"/>
      <c r="F155" s="687"/>
      <c r="G155" s="687" t="s">
        <v>973</v>
      </c>
      <c r="H155" s="687"/>
      <c r="I155" s="687"/>
      <c r="J155" s="687"/>
      <c r="K155" s="687" t="s">
        <v>15</v>
      </c>
      <c r="L155" s="687"/>
      <c r="M155" s="687"/>
      <c r="N155" s="687"/>
      <c r="O155" s="687"/>
      <c r="P155" s="687"/>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row>
    <row r="156" spans="1:50" customFormat="1" ht="15" customHeight="1" x14ac:dyDescent="0.25">
      <c r="A156" s="496"/>
      <c r="B156" s="695" t="s">
        <v>974</v>
      </c>
      <c r="C156" s="695"/>
      <c r="D156" s="695"/>
      <c r="E156" s="695"/>
      <c r="F156" s="695"/>
      <c r="G156" s="695" t="s">
        <v>15</v>
      </c>
      <c r="H156" s="695"/>
      <c r="I156" s="695"/>
      <c r="J156" s="695"/>
      <c r="K156" s="695" t="s">
        <v>15</v>
      </c>
      <c r="L156" s="695"/>
      <c r="M156" s="695"/>
      <c r="N156" s="695"/>
      <c r="O156" s="695"/>
      <c r="P156" s="695"/>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row>
    <row r="157" spans="1:50" customFormat="1" ht="27.2" customHeight="1" x14ac:dyDescent="0.25">
      <c r="A157" s="492"/>
      <c r="B157" s="687" t="s">
        <v>975</v>
      </c>
      <c r="C157" s="687"/>
      <c r="D157" s="687"/>
      <c r="E157" s="687"/>
      <c r="F157" s="687"/>
      <c r="G157" s="687" t="s">
        <v>976</v>
      </c>
      <c r="H157" s="687"/>
      <c r="I157" s="687"/>
      <c r="J157" s="687"/>
      <c r="K157" s="687" t="s">
        <v>15</v>
      </c>
      <c r="L157" s="687"/>
      <c r="M157" s="687"/>
      <c r="N157" s="687"/>
      <c r="O157" s="687"/>
      <c r="P157" s="687"/>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row>
    <row r="158" spans="1:50" customFormat="1" ht="27.2" customHeight="1" x14ac:dyDescent="0.25">
      <c r="A158" s="492"/>
      <c r="B158" s="687" t="s">
        <v>977</v>
      </c>
      <c r="C158" s="687"/>
      <c r="D158" s="687"/>
      <c r="E158" s="687"/>
      <c r="F158" s="687"/>
      <c r="G158" s="687" t="s">
        <v>978</v>
      </c>
      <c r="H158" s="687"/>
      <c r="I158" s="687"/>
      <c r="J158" s="687"/>
      <c r="K158" s="687" t="s">
        <v>15</v>
      </c>
      <c r="L158" s="687"/>
      <c r="M158" s="687"/>
      <c r="N158" s="687"/>
      <c r="O158" s="687"/>
      <c r="P158" s="687"/>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row>
    <row r="159" spans="1:50" customFormat="1" ht="15" customHeight="1" x14ac:dyDescent="0.25">
      <c r="A159" s="690" t="s">
        <v>1024</v>
      </c>
      <c r="B159" s="690"/>
      <c r="C159" s="690"/>
      <c r="D159" s="690"/>
      <c r="E159" s="690"/>
      <c r="F159" s="690"/>
      <c r="G159" s="690"/>
      <c r="H159" s="690"/>
      <c r="I159" s="690"/>
      <c r="J159" s="690"/>
      <c r="K159" s="690"/>
      <c r="L159" s="690"/>
      <c r="M159" s="690"/>
      <c r="N159" s="690"/>
      <c r="O159" s="690"/>
      <c r="P159" s="690"/>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row>
    <row r="160" spans="1:50" customFormat="1" ht="204" customHeight="1" x14ac:dyDescent="0.25">
      <c r="A160" s="495" t="s">
        <v>363</v>
      </c>
      <c r="B160" s="692" t="s">
        <v>981</v>
      </c>
      <c r="C160" s="693"/>
      <c r="D160" s="693"/>
      <c r="E160" s="693"/>
      <c r="F160" s="693"/>
      <c r="G160" s="693" t="s">
        <v>1025</v>
      </c>
      <c r="H160" s="693"/>
      <c r="I160" s="693"/>
      <c r="J160" s="693"/>
      <c r="K160" s="693" t="s">
        <v>1026</v>
      </c>
      <c r="L160" s="693"/>
      <c r="M160" s="693"/>
      <c r="N160" s="693"/>
      <c r="O160" s="694">
        <f>ROUND((1700500 + 1047800 * 0.25) * 1 * 7.22 * 0.6 * 0.5 * 0.7, 2)</f>
        <v>2975466.69</v>
      </c>
      <c r="P160" s="693"/>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row>
    <row r="161" spans="1:50" customFormat="1" ht="15" customHeight="1" x14ac:dyDescent="0.25">
      <c r="A161" s="496"/>
      <c r="B161" s="695" t="s">
        <v>564</v>
      </c>
      <c r="C161" s="695"/>
      <c r="D161" s="695"/>
      <c r="E161" s="695"/>
      <c r="F161" s="695"/>
      <c r="G161" s="695" t="s">
        <v>15</v>
      </c>
      <c r="H161" s="695"/>
      <c r="I161" s="695"/>
      <c r="J161" s="695"/>
      <c r="K161" s="695" t="s">
        <v>15</v>
      </c>
      <c r="L161" s="695"/>
      <c r="M161" s="695"/>
      <c r="N161" s="695"/>
      <c r="O161" s="695"/>
      <c r="P161" s="695"/>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row>
    <row r="162" spans="1:50" customFormat="1" ht="15" customHeight="1" x14ac:dyDescent="0.25">
      <c r="A162" s="492"/>
      <c r="B162" s="687" t="s">
        <v>681</v>
      </c>
      <c r="C162" s="687"/>
      <c r="D162" s="687"/>
      <c r="E162" s="687"/>
      <c r="F162" s="687"/>
      <c r="G162" s="687" t="s">
        <v>682</v>
      </c>
      <c r="H162" s="687"/>
      <c r="I162" s="687"/>
      <c r="J162" s="687"/>
      <c r="K162" s="687" t="s">
        <v>15</v>
      </c>
      <c r="L162" s="687"/>
      <c r="M162" s="687"/>
      <c r="N162" s="687"/>
      <c r="O162" s="687"/>
      <c r="P162" s="687"/>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row>
    <row r="163" spans="1:50" customFormat="1" ht="40.9" customHeight="1" x14ac:dyDescent="0.25">
      <c r="A163" s="492"/>
      <c r="B163" s="687" t="s">
        <v>565</v>
      </c>
      <c r="C163" s="687"/>
      <c r="D163" s="687"/>
      <c r="E163" s="687"/>
      <c r="F163" s="687"/>
      <c r="G163" s="687" t="s">
        <v>733</v>
      </c>
      <c r="H163" s="687"/>
      <c r="I163" s="687"/>
      <c r="J163" s="687"/>
      <c r="K163" s="687" t="s">
        <v>15</v>
      </c>
      <c r="L163" s="687"/>
      <c r="M163" s="687"/>
      <c r="N163" s="687"/>
      <c r="O163" s="687"/>
      <c r="P163" s="687"/>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row>
    <row r="164" spans="1:50" customFormat="1" ht="40.9" customHeight="1" x14ac:dyDescent="0.25">
      <c r="A164" s="492"/>
      <c r="B164" s="687" t="s">
        <v>972</v>
      </c>
      <c r="C164" s="687"/>
      <c r="D164" s="687"/>
      <c r="E164" s="687"/>
      <c r="F164" s="687"/>
      <c r="G164" s="687" t="s">
        <v>973</v>
      </c>
      <c r="H164" s="687"/>
      <c r="I164" s="687"/>
      <c r="J164" s="687"/>
      <c r="K164" s="687" t="s">
        <v>15</v>
      </c>
      <c r="L164" s="687"/>
      <c r="M164" s="687"/>
      <c r="N164" s="687"/>
      <c r="O164" s="687"/>
      <c r="P164" s="687"/>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row>
    <row r="165" spans="1:50" customFormat="1" ht="15" customHeight="1" x14ac:dyDescent="0.25">
      <c r="A165" s="496"/>
      <c r="B165" s="695" t="s">
        <v>974</v>
      </c>
      <c r="C165" s="695"/>
      <c r="D165" s="695"/>
      <c r="E165" s="695"/>
      <c r="F165" s="695"/>
      <c r="G165" s="695" t="s">
        <v>15</v>
      </c>
      <c r="H165" s="695"/>
      <c r="I165" s="695"/>
      <c r="J165" s="695"/>
      <c r="K165" s="695" t="s">
        <v>15</v>
      </c>
      <c r="L165" s="695"/>
      <c r="M165" s="695"/>
      <c r="N165" s="695"/>
      <c r="O165" s="695"/>
      <c r="P165" s="695"/>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row>
    <row r="166" spans="1:50" customFormat="1" ht="27.2" customHeight="1" x14ac:dyDescent="0.25">
      <c r="A166" s="492"/>
      <c r="B166" s="687" t="s">
        <v>975</v>
      </c>
      <c r="C166" s="687"/>
      <c r="D166" s="687"/>
      <c r="E166" s="687"/>
      <c r="F166" s="687"/>
      <c r="G166" s="687" t="s">
        <v>976</v>
      </c>
      <c r="H166" s="687"/>
      <c r="I166" s="687"/>
      <c r="J166" s="687"/>
      <c r="K166" s="687" t="s">
        <v>15</v>
      </c>
      <c r="L166" s="687"/>
      <c r="M166" s="687"/>
      <c r="N166" s="687"/>
      <c r="O166" s="687"/>
      <c r="P166" s="687"/>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row>
    <row r="167" spans="1:50" customFormat="1" ht="27.2" customHeight="1" x14ac:dyDescent="0.25">
      <c r="A167" s="492"/>
      <c r="B167" s="687" t="s">
        <v>977</v>
      </c>
      <c r="C167" s="687"/>
      <c r="D167" s="687"/>
      <c r="E167" s="687"/>
      <c r="F167" s="687"/>
      <c r="G167" s="687" t="s">
        <v>978</v>
      </c>
      <c r="H167" s="687"/>
      <c r="I167" s="687"/>
      <c r="J167" s="687"/>
      <c r="K167" s="687" t="s">
        <v>15</v>
      </c>
      <c r="L167" s="687"/>
      <c r="M167" s="687"/>
      <c r="N167" s="687"/>
      <c r="O167" s="687"/>
      <c r="P167" s="687"/>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row>
    <row r="168" spans="1:50" customFormat="1" ht="15" customHeight="1" x14ac:dyDescent="0.25">
      <c r="A168" s="690" t="s">
        <v>1027</v>
      </c>
      <c r="B168" s="690"/>
      <c r="C168" s="690"/>
      <c r="D168" s="690"/>
      <c r="E168" s="690"/>
      <c r="F168" s="690"/>
      <c r="G168" s="690"/>
      <c r="H168" s="690"/>
      <c r="I168" s="690"/>
      <c r="J168" s="690"/>
      <c r="K168" s="690"/>
      <c r="L168" s="690"/>
      <c r="M168" s="690"/>
      <c r="N168" s="690"/>
      <c r="O168" s="690"/>
      <c r="P168" s="690"/>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row>
    <row r="169" spans="1:50" customFormat="1" ht="204" customHeight="1" x14ac:dyDescent="0.25">
      <c r="A169" s="495" t="s">
        <v>367</v>
      </c>
      <c r="B169" s="692" t="s">
        <v>993</v>
      </c>
      <c r="C169" s="693"/>
      <c r="D169" s="693"/>
      <c r="E169" s="693"/>
      <c r="F169" s="693"/>
      <c r="G169" s="693" t="s">
        <v>1028</v>
      </c>
      <c r="H169" s="693"/>
      <c r="I169" s="693"/>
      <c r="J169" s="693"/>
      <c r="K169" s="693" t="s">
        <v>1029</v>
      </c>
      <c r="L169" s="693"/>
      <c r="M169" s="693"/>
      <c r="N169" s="693"/>
      <c r="O169" s="694">
        <f>ROUND((1712500 + 1007800 * 0.37) * 1 * 7.22 * 0.6 * 0.5 * 0.7, 2)</f>
        <v>3161862.25</v>
      </c>
      <c r="P169" s="693"/>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row>
    <row r="170" spans="1:50" customFormat="1" ht="15" customHeight="1" x14ac:dyDescent="0.25">
      <c r="A170" s="496"/>
      <c r="B170" s="695" t="s">
        <v>564</v>
      </c>
      <c r="C170" s="695"/>
      <c r="D170" s="695"/>
      <c r="E170" s="695"/>
      <c r="F170" s="695"/>
      <c r="G170" s="695" t="s">
        <v>15</v>
      </c>
      <c r="H170" s="695"/>
      <c r="I170" s="695"/>
      <c r="J170" s="695"/>
      <c r="K170" s="695" t="s">
        <v>15</v>
      </c>
      <c r="L170" s="695"/>
      <c r="M170" s="695"/>
      <c r="N170" s="695"/>
      <c r="O170" s="695"/>
      <c r="P170" s="695"/>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row>
    <row r="171" spans="1:50" customFormat="1" ht="15" customHeight="1" x14ac:dyDescent="0.25">
      <c r="A171" s="492"/>
      <c r="B171" s="687" t="s">
        <v>681</v>
      </c>
      <c r="C171" s="687"/>
      <c r="D171" s="687"/>
      <c r="E171" s="687"/>
      <c r="F171" s="687"/>
      <c r="G171" s="687" t="s">
        <v>682</v>
      </c>
      <c r="H171" s="687"/>
      <c r="I171" s="687"/>
      <c r="J171" s="687"/>
      <c r="K171" s="687" t="s">
        <v>15</v>
      </c>
      <c r="L171" s="687"/>
      <c r="M171" s="687"/>
      <c r="N171" s="687"/>
      <c r="O171" s="687"/>
      <c r="P171" s="687"/>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row>
    <row r="172" spans="1:50" customFormat="1" ht="40.9" customHeight="1" x14ac:dyDescent="0.25">
      <c r="A172" s="492"/>
      <c r="B172" s="687" t="s">
        <v>565</v>
      </c>
      <c r="C172" s="687"/>
      <c r="D172" s="687"/>
      <c r="E172" s="687"/>
      <c r="F172" s="687"/>
      <c r="G172" s="687" t="s">
        <v>733</v>
      </c>
      <c r="H172" s="687"/>
      <c r="I172" s="687"/>
      <c r="J172" s="687"/>
      <c r="K172" s="687" t="s">
        <v>15</v>
      </c>
      <c r="L172" s="687"/>
      <c r="M172" s="687"/>
      <c r="N172" s="687"/>
      <c r="O172" s="687"/>
      <c r="P172" s="687"/>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row>
    <row r="173" spans="1:50" customFormat="1" ht="40.9" customHeight="1" x14ac:dyDescent="0.25">
      <c r="A173" s="492"/>
      <c r="B173" s="687" t="s">
        <v>972</v>
      </c>
      <c r="C173" s="687"/>
      <c r="D173" s="687"/>
      <c r="E173" s="687"/>
      <c r="F173" s="687"/>
      <c r="G173" s="687" t="s">
        <v>973</v>
      </c>
      <c r="H173" s="687"/>
      <c r="I173" s="687"/>
      <c r="J173" s="687"/>
      <c r="K173" s="687" t="s">
        <v>15</v>
      </c>
      <c r="L173" s="687"/>
      <c r="M173" s="687"/>
      <c r="N173" s="687"/>
      <c r="O173" s="687"/>
      <c r="P173" s="687"/>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row>
    <row r="174" spans="1:50" customFormat="1" ht="15" customHeight="1" x14ac:dyDescent="0.25">
      <c r="A174" s="496"/>
      <c r="B174" s="695" t="s">
        <v>974</v>
      </c>
      <c r="C174" s="695"/>
      <c r="D174" s="695"/>
      <c r="E174" s="695"/>
      <c r="F174" s="695"/>
      <c r="G174" s="695" t="s">
        <v>15</v>
      </c>
      <c r="H174" s="695"/>
      <c r="I174" s="695"/>
      <c r="J174" s="695"/>
      <c r="K174" s="695" t="s">
        <v>15</v>
      </c>
      <c r="L174" s="695"/>
      <c r="M174" s="695"/>
      <c r="N174" s="695"/>
      <c r="O174" s="695"/>
      <c r="P174" s="695"/>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row>
    <row r="175" spans="1:50" customFormat="1" ht="27.2" customHeight="1" x14ac:dyDescent="0.25">
      <c r="A175" s="492"/>
      <c r="B175" s="687" t="s">
        <v>975</v>
      </c>
      <c r="C175" s="687"/>
      <c r="D175" s="687"/>
      <c r="E175" s="687"/>
      <c r="F175" s="687"/>
      <c r="G175" s="687" t="s">
        <v>976</v>
      </c>
      <c r="H175" s="687"/>
      <c r="I175" s="687"/>
      <c r="J175" s="687"/>
      <c r="K175" s="687" t="s">
        <v>15</v>
      </c>
      <c r="L175" s="687"/>
      <c r="M175" s="687"/>
      <c r="N175" s="687"/>
      <c r="O175" s="687"/>
      <c r="P175" s="687"/>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row>
    <row r="176" spans="1:50" customFormat="1" ht="27.2" customHeight="1" x14ac:dyDescent="0.25">
      <c r="A176" s="492"/>
      <c r="B176" s="687" t="s">
        <v>977</v>
      </c>
      <c r="C176" s="687"/>
      <c r="D176" s="687"/>
      <c r="E176" s="687"/>
      <c r="F176" s="687"/>
      <c r="G176" s="687" t="s">
        <v>978</v>
      </c>
      <c r="H176" s="687"/>
      <c r="I176" s="687"/>
      <c r="J176" s="687"/>
      <c r="K176" s="687" t="s">
        <v>15</v>
      </c>
      <c r="L176" s="687"/>
      <c r="M176" s="687"/>
      <c r="N176" s="687"/>
      <c r="O176" s="687"/>
      <c r="P176" s="687"/>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row>
    <row r="177" spans="1:50" customFormat="1" ht="15" customHeight="1" x14ac:dyDescent="0.25">
      <c r="A177" s="690" t="s">
        <v>1030</v>
      </c>
      <c r="B177" s="690"/>
      <c r="C177" s="690"/>
      <c r="D177" s="690"/>
      <c r="E177" s="690"/>
      <c r="F177" s="690"/>
      <c r="G177" s="690"/>
      <c r="H177" s="690"/>
      <c r="I177" s="690"/>
      <c r="J177" s="690"/>
      <c r="K177" s="690"/>
      <c r="L177" s="690"/>
      <c r="M177" s="690"/>
      <c r="N177" s="690"/>
      <c r="O177" s="690"/>
      <c r="P177" s="690"/>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row>
    <row r="178" spans="1:50" customFormat="1" ht="122.45" customHeight="1" x14ac:dyDescent="0.25">
      <c r="A178" s="495" t="s">
        <v>371</v>
      </c>
      <c r="B178" s="692" t="s">
        <v>1017</v>
      </c>
      <c r="C178" s="693"/>
      <c r="D178" s="693"/>
      <c r="E178" s="693"/>
      <c r="F178" s="693"/>
      <c r="G178" s="693" t="s">
        <v>1031</v>
      </c>
      <c r="H178" s="693"/>
      <c r="I178" s="693"/>
      <c r="J178" s="693"/>
      <c r="K178" s="693" t="s">
        <v>1032</v>
      </c>
      <c r="L178" s="693"/>
      <c r="M178" s="693"/>
      <c r="N178" s="693"/>
      <c r="O178" s="694">
        <f>ROUND((379281 + 76551 * 1.95) * 1 * 7.22 * 0.6, 2)</f>
        <v>2289702.21</v>
      </c>
      <c r="P178" s="693"/>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row>
    <row r="179" spans="1:50" customFormat="1" ht="15" customHeight="1" x14ac:dyDescent="0.25">
      <c r="A179" s="496"/>
      <c r="B179" s="695" t="s">
        <v>564</v>
      </c>
      <c r="C179" s="695"/>
      <c r="D179" s="695"/>
      <c r="E179" s="695"/>
      <c r="F179" s="695"/>
      <c r="G179" s="695" t="s">
        <v>15</v>
      </c>
      <c r="H179" s="695"/>
      <c r="I179" s="695"/>
      <c r="J179" s="695"/>
      <c r="K179" s="695" t="s">
        <v>15</v>
      </c>
      <c r="L179" s="695"/>
      <c r="M179" s="695"/>
      <c r="N179" s="695"/>
      <c r="O179" s="695"/>
      <c r="P179" s="695"/>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row>
    <row r="180" spans="1:50" customFormat="1" ht="15" customHeight="1" x14ac:dyDescent="0.25">
      <c r="A180" s="492"/>
      <c r="B180" s="687" t="s">
        <v>681</v>
      </c>
      <c r="C180" s="687"/>
      <c r="D180" s="687"/>
      <c r="E180" s="687"/>
      <c r="F180" s="687"/>
      <c r="G180" s="687" t="s">
        <v>682</v>
      </c>
      <c r="H180" s="687"/>
      <c r="I180" s="687"/>
      <c r="J180" s="687"/>
      <c r="K180" s="687" t="s">
        <v>15</v>
      </c>
      <c r="L180" s="687"/>
      <c r="M180" s="687"/>
      <c r="N180" s="687"/>
      <c r="O180" s="687"/>
      <c r="P180" s="687"/>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row>
    <row r="181" spans="1:50" customFormat="1" ht="40.9" customHeight="1" x14ac:dyDescent="0.25">
      <c r="A181" s="492"/>
      <c r="B181" s="687" t="s">
        <v>565</v>
      </c>
      <c r="C181" s="687"/>
      <c r="D181" s="687"/>
      <c r="E181" s="687"/>
      <c r="F181" s="687"/>
      <c r="G181" s="687" t="s">
        <v>733</v>
      </c>
      <c r="H181" s="687"/>
      <c r="I181" s="687"/>
      <c r="J181" s="687"/>
      <c r="K181" s="687" t="s">
        <v>15</v>
      </c>
      <c r="L181" s="687"/>
      <c r="M181" s="687"/>
      <c r="N181" s="687"/>
      <c r="O181" s="687"/>
      <c r="P181" s="687"/>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row>
    <row r="182" spans="1:50" customFormat="1" ht="15" customHeight="1" x14ac:dyDescent="0.25">
      <c r="A182" s="497" t="s">
        <v>593</v>
      </c>
      <c r="B182" s="688" t="s">
        <v>604</v>
      </c>
      <c r="C182" s="688"/>
      <c r="D182" s="688"/>
      <c r="E182" s="688"/>
      <c r="F182" s="688"/>
      <c r="G182" s="688"/>
      <c r="H182" s="688"/>
      <c r="I182" s="688"/>
      <c r="J182" s="688"/>
      <c r="K182" s="688" t="s">
        <v>15</v>
      </c>
      <c r="L182" s="688"/>
      <c r="M182" s="688"/>
      <c r="N182" s="688"/>
      <c r="O182" s="689">
        <f>ROUND(SUM($O$16:$O$178),2)</f>
        <v>54143984.079999998</v>
      </c>
      <c r="P182" s="688"/>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row>
    <row r="183" spans="1:50" customFormat="1" ht="108.75" customHeight="1" x14ac:dyDescent="0.25">
      <c r="A183" s="497" t="s">
        <v>595</v>
      </c>
      <c r="B183" s="690" t="s">
        <v>606</v>
      </c>
      <c r="C183" s="690"/>
      <c r="D183" s="690"/>
      <c r="E183" s="690"/>
      <c r="F183" s="690"/>
      <c r="G183" s="690" t="s">
        <v>607</v>
      </c>
      <c r="H183" s="690"/>
      <c r="I183" s="690"/>
      <c r="J183" s="690"/>
      <c r="K183" s="690" t="s">
        <v>1033</v>
      </c>
      <c r="L183" s="690"/>
      <c r="M183" s="690"/>
      <c r="N183" s="690"/>
      <c r="O183" s="691">
        <f>ROUND(($O$182) * 1  * 0.8,2)</f>
        <v>43315187.259999998</v>
      </c>
      <c r="P183" s="690"/>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row>
    <row r="184" spans="1:50" s="501" customFormat="1" ht="29.25" customHeight="1" x14ac:dyDescent="0.25">
      <c r="A184" s="499" t="s">
        <v>597</v>
      </c>
      <c r="B184" s="677" t="s">
        <v>606</v>
      </c>
      <c r="C184" s="677"/>
      <c r="D184" s="677"/>
      <c r="E184" s="677"/>
      <c r="F184" s="677"/>
      <c r="G184" s="677" t="s">
        <v>2314</v>
      </c>
      <c r="H184" s="677"/>
      <c r="I184" s="677"/>
      <c r="J184" s="677"/>
      <c r="K184" s="677" t="s">
        <v>2315</v>
      </c>
      <c r="L184" s="677"/>
      <c r="M184" s="677"/>
      <c r="N184" s="677"/>
      <c r="O184" s="678">
        <f>ROUND(($O$183) * 0.7,2)</f>
        <v>30320631.079999998</v>
      </c>
      <c r="P184" s="677"/>
      <c r="Q184" s="500"/>
      <c r="R184" s="500"/>
      <c r="S184" s="500"/>
      <c r="T184" s="500"/>
      <c r="U184" s="500"/>
      <c r="V184" s="500"/>
      <c r="W184" s="500"/>
      <c r="X184" s="500"/>
      <c r="Y184" s="500"/>
      <c r="Z184" s="500"/>
      <c r="AA184" s="500"/>
      <c r="AB184" s="500"/>
      <c r="AC184" s="500"/>
      <c r="AD184" s="500"/>
      <c r="AE184" s="500"/>
      <c r="AF184" s="500"/>
      <c r="AG184" s="500"/>
      <c r="AH184" s="500"/>
      <c r="AI184" s="500"/>
      <c r="AJ184" s="500"/>
      <c r="AK184" s="500"/>
      <c r="AL184" s="500"/>
      <c r="AM184" s="500"/>
      <c r="AN184" s="500"/>
      <c r="AO184" s="500"/>
      <c r="AP184" s="500"/>
      <c r="AQ184" s="500"/>
      <c r="AR184" s="500"/>
      <c r="AS184" s="500"/>
      <c r="AT184" s="500"/>
      <c r="AU184" s="500"/>
      <c r="AV184" s="500"/>
      <c r="AW184" s="500"/>
      <c r="AX184" s="500"/>
    </row>
    <row r="185" spans="1:50" customFormat="1" ht="15" customHeight="1" x14ac:dyDescent="0.25">
      <c r="A185" s="497" t="s">
        <v>599</v>
      </c>
      <c r="B185" s="688" t="s">
        <v>613</v>
      </c>
      <c r="C185" s="688"/>
      <c r="D185" s="688"/>
      <c r="E185" s="688"/>
      <c r="F185" s="688"/>
      <c r="G185" s="688"/>
      <c r="H185" s="688"/>
      <c r="I185" s="688"/>
      <c r="J185" s="688"/>
      <c r="K185" s="688" t="s">
        <v>15</v>
      </c>
      <c r="L185" s="688"/>
      <c r="M185" s="688"/>
      <c r="N185" s="688"/>
      <c r="O185" s="689">
        <f>ROUND(($O$184),2)</f>
        <v>30320631.079999998</v>
      </c>
      <c r="P185" s="688"/>
      <c r="Q185" s="2"/>
      <c r="R185" s="243">
        <f>O185</f>
        <v>30320631.079999998</v>
      </c>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row>
    <row r="186" spans="1:50" customFormat="1" x14ac:dyDescent="0.25">
      <c r="A186" s="494"/>
      <c r="B186" s="494"/>
      <c r="C186" s="494"/>
      <c r="D186" s="494"/>
      <c r="E186" s="494"/>
      <c r="F186" s="494"/>
      <c r="G186" s="494"/>
      <c r="H186" s="494"/>
      <c r="I186" s="494"/>
      <c r="J186" s="494"/>
      <c r="K186" s="494"/>
      <c r="L186" s="494"/>
      <c r="M186" s="494"/>
      <c r="N186" s="494"/>
      <c r="O186" s="494"/>
      <c r="P186" s="494"/>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row>
  </sheetData>
  <mergeCells count="625">
    <mergeCell ref="A1:D1"/>
    <mergeCell ref="E1:P1"/>
    <mergeCell ref="A3:P3"/>
    <mergeCell ref="A4:P4"/>
    <mergeCell ref="A6:E6"/>
    <mergeCell ref="F6:P6"/>
    <mergeCell ref="A8:E8"/>
    <mergeCell ref="F8:P8"/>
    <mergeCell ref="A10:E10"/>
    <mergeCell ref="F10:P10"/>
    <mergeCell ref="B12:F12"/>
    <mergeCell ref="G12:J12"/>
    <mergeCell ref="K12:N12"/>
    <mergeCell ref="O12:P12"/>
    <mergeCell ref="B13:F13"/>
    <mergeCell ref="G13:J13"/>
    <mergeCell ref="K13:N13"/>
    <mergeCell ref="O13:P13"/>
    <mergeCell ref="A14:P14"/>
    <mergeCell ref="A15:P15"/>
    <mergeCell ref="B16:F16"/>
    <mergeCell ref="G16:J16"/>
    <mergeCell ref="K16:N16"/>
    <mergeCell ref="O16:P16"/>
    <mergeCell ref="B17:F17"/>
    <mergeCell ref="G17:J17"/>
    <mergeCell ref="K17:N17"/>
    <mergeCell ref="O17:P17"/>
    <mergeCell ref="B18:F18"/>
    <mergeCell ref="G18:J18"/>
    <mergeCell ref="K18:N18"/>
    <mergeCell ref="O18:P18"/>
    <mergeCell ref="B19:F19"/>
    <mergeCell ref="G19:J19"/>
    <mergeCell ref="K19:N19"/>
    <mergeCell ref="O19:P19"/>
    <mergeCell ref="A20:P20"/>
    <mergeCell ref="B21:F21"/>
    <mergeCell ref="G21:J21"/>
    <mergeCell ref="K21:N21"/>
    <mergeCell ref="O21:P21"/>
    <mergeCell ref="B22:F22"/>
    <mergeCell ref="G22:J22"/>
    <mergeCell ref="K22:N22"/>
    <mergeCell ref="O22:P22"/>
    <mergeCell ref="B23:F23"/>
    <mergeCell ref="G23:J23"/>
    <mergeCell ref="K23:N23"/>
    <mergeCell ref="O23:P23"/>
    <mergeCell ref="B24:F24"/>
    <mergeCell ref="G24:J24"/>
    <mergeCell ref="K24:N24"/>
    <mergeCell ref="O24:P24"/>
    <mergeCell ref="A25:P25"/>
    <mergeCell ref="B26:F26"/>
    <mergeCell ref="G26:J26"/>
    <mergeCell ref="K26:N26"/>
    <mergeCell ref="O26:P26"/>
    <mergeCell ref="B27:F27"/>
    <mergeCell ref="G27:J27"/>
    <mergeCell ref="K27:N27"/>
    <mergeCell ref="O27:P27"/>
    <mergeCell ref="B28:F28"/>
    <mergeCell ref="G28:J28"/>
    <mergeCell ref="K28:N28"/>
    <mergeCell ref="O28:P28"/>
    <mergeCell ref="B29:F29"/>
    <mergeCell ref="G29:J29"/>
    <mergeCell ref="K29:N29"/>
    <mergeCell ref="O29:P29"/>
    <mergeCell ref="A30:P30"/>
    <mergeCell ref="A31:P31"/>
    <mergeCell ref="B32:F32"/>
    <mergeCell ref="G32:J32"/>
    <mergeCell ref="K32:N32"/>
    <mergeCell ref="O32:P32"/>
    <mergeCell ref="B33:F33"/>
    <mergeCell ref="G33:J33"/>
    <mergeCell ref="K33:N33"/>
    <mergeCell ref="O33:P33"/>
    <mergeCell ref="B34:F34"/>
    <mergeCell ref="G34:J34"/>
    <mergeCell ref="K34:N34"/>
    <mergeCell ref="O34:P34"/>
    <mergeCell ref="B35:F35"/>
    <mergeCell ref="G35:J35"/>
    <mergeCell ref="K35:N35"/>
    <mergeCell ref="O35:P35"/>
    <mergeCell ref="B36:F36"/>
    <mergeCell ref="G36:J36"/>
    <mergeCell ref="K36:N36"/>
    <mergeCell ref="O36:P36"/>
    <mergeCell ref="B37:F37"/>
    <mergeCell ref="G37:J37"/>
    <mergeCell ref="K37:N37"/>
    <mergeCell ref="O37:P37"/>
    <mergeCell ref="B38:F38"/>
    <mergeCell ref="G38:J38"/>
    <mergeCell ref="K38:N38"/>
    <mergeCell ref="O38:P38"/>
    <mergeCell ref="B39:F39"/>
    <mergeCell ref="G39:J39"/>
    <mergeCell ref="K39:N39"/>
    <mergeCell ref="O39:P39"/>
    <mergeCell ref="B40:F40"/>
    <mergeCell ref="G40:J40"/>
    <mergeCell ref="K40:N40"/>
    <mergeCell ref="O40:P40"/>
    <mergeCell ref="A41:P41"/>
    <mergeCell ref="B42:F42"/>
    <mergeCell ref="G42:J42"/>
    <mergeCell ref="K42:N42"/>
    <mergeCell ref="O42:P42"/>
    <mergeCell ref="B43:F43"/>
    <mergeCell ref="G43:J43"/>
    <mergeCell ref="K43:N43"/>
    <mergeCell ref="O43:P43"/>
    <mergeCell ref="B44:F44"/>
    <mergeCell ref="G44:J44"/>
    <mergeCell ref="K44:N44"/>
    <mergeCell ref="O44:P44"/>
    <mergeCell ref="B45:F45"/>
    <mergeCell ref="G45:J45"/>
    <mergeCell ref="K45:N45"/>
    <mergeCell ref="O45:P45"/>
    <mergeCell ref="B46:F46"/>
    <mergeCell ref="G46:J46"/>
    <mergeCell ref="K46:N46"/>
    <mergeCell ref="O46:P46"/>
    <mergeCell ref="B47:F47"/>
    <mergeCell ref="G47:J47"/>
    <mergeCell ref="K47:N47"/>
    <mergeCell ref="O47:P47"/>
    <mergeCell ref="B48:F48"/>
    <mergeCell ref="G48:J48"/>
    <mergeCell ref="K48:N48"/>
    <mergeCell ref="O48:P48"/>
    <mergeCell ref="B49:F49"/>
    <mergeCell ref="G49:J49"/>
    <mergeCell ref="K49:N49"/>
    <mergeCell ref="O49:P49"/>
    <mergeCell ref="B50:F50"/>
    <mergeCell ref="G50:J50"/>
    <mergeCell ref="K50:N50"/>
    <mergeCell ref="O50:P50"/>
    <mergeCell ref="A51:P51"/>
    <mergeCell ref="B52:F52"/>
    <mergeCell ref="G52:J52"/>
    <mergeCell ref="K52:N52"/>
    <mergeCell ref="O52:P52"/>
    <mergeCell ref="B53:F53"/>
    <mergeCell ref="G53:J53"/>
    <mergeCell ref="K53:N53"/>
    <mergeCell ref="O53:P53"/>
    <mergeCell ref="B54:F54"/>
    <mergeCell ref="G54:J54"/>
    <mergeCell ref="K54:N54"/>
    <mergeCell ref="O54:P54"/>
    <mergeCell ref="B55:F55"/>
    <mergeCell ref="G55:J55"/>
    <mergeCell ref="K55:N55"/>
    <mergeCell ref="O55:P55"/>
    <mergeCell ref="B56:F56"/>
    <mergeCell ref="G56:J56"/>
    <mergeCell ref="K56:N56"/>
    <mergeCell ref="O56:P56"/>
    <mergeCell ref="B57:F57"/>
    <mergeCell ref="G57:J57"/>
    <mergeCell ref="K57:N57"/>
    <mergeCell ref="O57:P57"/>
    <mergeCell ref="B58:F58"/>
    <mergeCell ref="G58:J58"/>
    <mergeCell ref="K58:N58"/>
    <mergeCell ref="O58:P58"/>
    <mergeCell ref="B59:F59"/>
    <mergeCell ref="G59:J59"/>
    <mergeCell ref="K59:N59"/>
    <mergeCell ref="O59:P59"/>
    <mergeCell ref="A60:P60"/>
    <mergeCell ref="A61:P61"/>
    <mergeCell ref="B62:F62"/>
    <mergeCell ref="G62:J62"/>
    <mergeCell ref="K62:N62"/>
    <mergeCell ref="O62:P62"/>
    <mergeCell ref="B63:F63"/>
    <mergeCell ref="G63:J63"/>
    <mergeCell ref="K63:N63"/>
    <mergeCell ref="O63:P63"/>
    <mergeCell ref="B64:F64"/>
    <mergeCell ref="G64:J64"/>
    <mergeCell ref="K64:N64"/>
    <mergeCell ref="O64:P64"/>
    <mergeCell ref="B65:F65"/>
    <mergeCell ref="G65:J65"/>
    <mergeCell ref="K65:N65"/>
    <mergeCell ref="O65:P65"/>
    <mergeCell ref="B66:F66"/>
    <mergeCell ref="G66:J66"/>
    <mergeCell ref="K66:N66"/>
    <mergeCell ref="O66:P66"/>
    <mergeCell ref="B67:F67"/>
    <mergeCell ref="G67:J67"/>
    <mergeCell ref="K67:N67"/>
    <mergeCell ref="O67:P67"/>
    <mergeCell ref="B68:F68"/>
    <mergeCell ref="G68:J68"/>
    <mergeCell ref="K68:N68"/>
    <mergeCell ref="O68:P68"/>
    <mergeCell ref="B69:F69"/>
    <mergeCell ref="G69:J69"/>
    <mergeCell ref="K69:N69"/>
    <mergeCell ref="O69:P69"/>
    <mergeCell ref="A70:P70"/>
    <mergeCell ref="B71:F71"/>
    <mergeCell ref="G71:J71"/>
    <mergeCell ref="K71:N71"/>
    <mergeCell ref="O71:P71"/>
    <mergeCell ref="B72:F72"/>
    <mergeCell ref="G72:J72"/>
    <mergeCell ref="K72:N72"/>
    <mergeCell ref="O72:P72"/>
    <mergeCell ref="B73:F73"/>
    <mergeCell ref="G73:J73"/>
    <mergeCell ref="K73:N73"/>
    <mergeCell ref="O73:P73"/>
    <mergeCell ref="B74:F74"/>
    <mergeCell ref="G74:J74"/>
    <mergeCell ref="K74:N74"/>
    <mergeCell ref="O74:P74"/>
    <mergeCell ref="B75:F75"/>
    <mergeCell ref="G75:J75"/>
    <mergeCell ref="K75:N75"/>
    <mergeCell ref="O75:P75"/>
    <mergeCell ref="B76:F76"/>
    <mergeCell ref="G76:J76"/>
    <mergeCell ref="K76:N76"/>
    <mergeCell ref="O76:P76"/>
    <mergeCell ref="B77:F77"/>
    <mergeCell ref="G77:J77"/>
    <mergeCell ref="K77:N77"/>
    <mergeCell ref="O77:P77"/>
    <mergeCell ref="B78:F78"/>
    <mergeCell ref="G78:J78"/>
    <mergeCell ref="K78:N78"/>
    <mergeCell ref="O78:P78"/>
    <mergeCell ref="A79:P79"/>
    <mergeCell ref="B80:F80"/>
    <mergeCell ref="G80:J80"/>
    <mergeCell ref="K80:N80"/>
    <mergeCell ref="O80:P80"/>
    <mergeCell ref="B81:F81"/>
    <mergeCell ref="G81:J81"/>
    <mergeCell ref="K81:N81"/>
    <mergeCell ref="O81:P81"/>
    <mergeCell ref="B82:F82"/>
    <mergeCell ref="G82:J82"/>
    <mergeCell ref="K82:N82"/>
    <mergeCell ref="O82:P82"/>
    <mergeCell ref="B83:F83"/>
    <mergeCell ref="G83:J83"/>
    <mergeCell ref="K83:N83"/>
    <mergeCell ref="O83:P83"/>
    <mergeCell ref="B84:F84"/>
    <mergeCell ref="G84:J84"/>
    <mergeCell ref="K84:N84"/>
    <mergeCell ref="O84:P84"/>
    <mergeCell ref="B85:F85"/>
    <mergeCell ref="G85:J85"/>
    <mergeCell ref="K85:N85"/>
    <mergeCell ref="O85:P85"/>
    <mergeCell ref="B86:F86"/>
    <mergeCell ref="G86:J86"/>
    <mergeCell ref="K86:N86"/>
    <mergeCell ref="O86:P86"/>
    <mergeCell ref="B87:F87"/>
    <mergeCell ref="G87:J87"/>
    <mergeCell ref="K87:N87"/>
    <mergeCell ref="O87:P87"/>
    <mergeCell ref="A88:P88"/>
    <mergeCell ref="B89:F89"/>
    <mergeCell ref="G89:J89"/>
    <mergeCell ref="K89:N89"/>
    <mergeCell ref="O89:P89"/>
    <mergeCell ref="B90:F90"/>
    <mergeCell ref="G90:J90"/>
    <mergeCell ref="K90:N90"/>
    <mergeCell ref="O90:P90"/>
    <mergeCell ref="B91:F91"/>
    <mergeCell ref="G91:J91"/>
    <mergeCell ref="K91:N91"/>
    <mergeCell ref="O91:P91"/>
    <mergeCell ref="B92:F92"/>
    <mergeCell ref="G92:J92"/>
    <mergeCell ref="K92:N92"/>
    <mergeCell ref="O92:P92"/>
    <mergeCell ref="B93:F93"/>
    <mergeCell ref="G93:J93"/>
    <mergeCell ref="K93:N93"/>
    <mergeCell ref="O93:P93"/>
    <mergeCell ref="B94:F94"/>
    <mergeCell ref="G94:J94"/>
    <mergeCell ref="K94:N94"/>
    <mergeCell ref="O94:P94"/>
    <mergeCell ref="B95:F95"/>
    <mergeCell ref="G95:J95"/>
    <mergeCell ref="K95:N95"/>
    <mergeCell ref="O95:P95"/>
    <mergeCell ref="B96:F96"/>
    <mergeCell ref="G96:J96"/>
    <mergeCell ref="K96:N96"/>
    <mergeCell ref="O96:P96"/>
    <mergeCell ref="A97:P97"/>
    <mergeCell ref="A98:P98"/>
    <mergeCell ref="B99:F99"/>
    <mergeCell ref="G99:J99"/>
    <mergeCell ref="K99:N99"/>
    <mergeCell ref="O99:P99"/>
    <mergeCell ref="B100:F100"/>
    <mergeCell ref="G100:J100"/>
    <mergeCell ref="K100:N100"/>
    <mergeCell ref="O100:P100"/>
    <mergeCell ref="B101:F101"/>
    <mergeCell ref="G101:J101"/>
    <mergeCell ref="K101:N101"/>
    <mergeCell ref="O101:P101"/>
    <mergeCell ref="B102:F102"/>
    <mergeCell ref="G102:J102"/>
    <mergeCell ref="K102:N102"/>
    <mergeCell ref="O102:P102"/>
    <mergeCell ref="B103:F103"/>
    <mergeCell ref="G103:J103"/>
    <mergeCell ref="K103:N103"/>
    <mergeCell ref="O103:P103"/>
    <mergeCell ref="B104:F104"/>
    <mergeCell ref="G104:J104"/>
    <mergeCell ref="K104:N104"/>
    <mergeCell ref="O104:P104"/>
    <mergeCell ref="B105:F105"/>
    <mergeCell ref="G105:J105"/>
    <mergeCell ref="K105:N105"/>
    <mergeCell ref="O105:P105"/>
    <mergeCell ref="B106:F106"/>
    <mergeCell ref="G106:J106"/>
    <mergeCell ref="K106:N106"/>
    <mergeCell ref="O106:P106"/>
    <mergeCell ref="A107:P107"/>
    <mergeCell ref="B108:F108"/>
    <mergeCell ref="G108:J108"/>
    <mergeCell ref="K108:N108"/>
    <mergeCell ref="O108:P108"/>
    <mergeCell ref="B109:F109"/>
    <mergeCell ref="G109:J109"/>
    <mergeCell ref="K109:N109"/>
    <mergeCell ref="O109:P109"/>
    <mergeCell ref="B110:F110"/>
    <mergeCell ref="G110:J110"/>
    <mergeCell ref="K110:N110"/>
    <mergeCell ref="O110:P110"/>
    <mergeCell ref="B111:F111"/>
    <mergeCell ref="G111:J111"/>
    <mergeCell ref="K111:N111"/>
    <mergeCell ref="O111:P111"/>
    <mergeCell ref="B112:F112"/>
    <mergeCell ref="G112:J112"/>
    <mergeCell ref="K112:N112"/>
    <mergeCell ref="O112:P112"/>
    <mergeCell ref="B113:F113"/>
    <mergeCell ref="G113:J113"/>
    <mergeCell ref="K113:N113"/>
    <mergeCell ref="O113:P113"/>
    <mergeCell ref="B114:F114"/>
    <mergeCell ref="G114:J114"/>
    <mergeCell ref="K114:N114"/>
    <mergeCell ref="O114:P114"/>
    <mergeCell ref="B115:F115"/>
    <mergeCell ref="G115:J115"/>
    <mergeCell ref="K115:N115"/>
    <mergeCell ref="O115:P115"/>
    <mergeCell ref="B116:F116"/>
    <mergeCell ref="G116:J116"/>
    <mergeCell ref="K116:N116"/>
    <mergeCell ref="O116:P116"/>
    <mergeCell ref="A117:P117"/>
    <mergeCell ref="B118:F118"/>
    <mergeCell ref="G118:J118"/>
    <mergeCell ref="K118:N118"/>
    <mergeCell ref="O118:P118"/>
    <mergeCell ref="B119:F119"/>
    <mergeCell ref="G119:J119"/>
    <mergeCell ref="K119:N119"/>
    <mergeCell ref="O119:P119"/>
    <mergeCell ref="B120:F120"/>
    <mergeCell ref="G120:J120"/>
    <mergeCell ref="K120:N120"/>
    <mergeCell ref="O120:P120"/>
    <mergeCell ref="B121:F121"/>
    <mergeCell ref="G121:J121"/>
    <mergeCell ref="K121:N121"/>
    <mergeCell ref="O121:P121"/>
    <mergeCell ref="A122:P122"/>
    <mergeCell ref="A123:P123"/>
    <mergeCell ref="B124:F124"/>
    <mergeCell ref="G124:J124"/>
    <mergeCell ref="K124:N124"/>
    <mergeCell ref="O124:P124"/>
    <mergeCell ref="B125:F125"/>
    <mergeCell ref="G125:J125"/>
    <mergeCell ref="K125:N125"/>
    <mergeCell ref="O125:P125"/>
    <mergeCell ref="B126:F126"/>
    <mergeCell ref="G126:J126"/>
    <mergeCell ref="K126:N126"/>
    <mergeCell ref="O126:P126"/>
    <mergeCell ref="B127:F127"/>
    <mergeCell ref="G127:J127"/>
    <mergeCell ref="K127:N127"/>
    <mergeCell ref="O127:P127"/>
    <mergeCell ref="B128:F128"/>
    <mergeCell ref="G128:J128"/>
    <mergeCell ref="K128:N128"/>
    <mergeCell ref="O128:P128"/>
    <mergeCell ref="B129:F129"/>
    <mergeCell ref="G129:J129"/>
    <mergeCell ref="K129:N129"/>
    <mergeCell ref="O129:P129"/>
    <mergeCell ref="B130:F130"/>
    <mergeCell ref="G130:J130"/>
    <mergeCell ref="K130:N130"/>
    <mergeCell ref="O130:P130"/>
    <mergeCell ref="B131:F131"/>
    <mergeCell ref="G131:J131"/>
    <mergeCell ref="K131:N131"/>
    <mergeCell ref="O131:P131"/>
    <mergeCell ref="A132:P132"/>
    <mergeCell ref="B133:F133"/>
    <mergeCell ref="G133:J133"/>
    <mergeCell ref="K133:N133"/>
    <mergeCell ref="O133:P133"/>
    <mergeCell ref="B134:F134"/>
    <mergeCell ref="G134:J134"/>
    <mergeCell ref="K134:N134"/>
    <mergeCell ref="O134:P134"/>
    <mergeCell ref="B135:F135"/>
    <mergeCell ref="G135:J135"/>
    <mergeCell ref="K135:N135"/>
    <mergeCell ref="O135:P135"/>
    <mergeCell ref="B136:F136"/>
    <mergeCell ref="G136:J136"/>
    <mergeCell ref="K136:N136"/>
    <mergeCell ref="O136:P136"/>
    <mergeCell ref="A137:P137"/>
    <mergeCell ref="A138:P138"/>
    <mergeCell ref="A139:P139"/>
    <mergeCell ref="B140:F140"/>
    <mergeCell ref="G140:J140"/>
    <mergeCell ref="K140:N140"/>
    <mergeCell ref="O140:P140"/>
    <mergeCell ref="B141:F141"/>
    <mergeCell ref="G141:J141"/>
    <mergeCell ref="K141:N141"/>
    <mergeCell ref="O141:P141"/>
    <mergeCell ref="B142:F142"/>
    <mergeCell ref="G142:J142"/>
    <mergeCell ref="K142:N142"/>
    <mergeCell ref="O142:P142"/>
    <mergeCell ref="B143:F143"/>
    <mergeCell ref="G143:J143"/>
    <mergeCell ref="K143:N143"/>
    <mergeCell ref="O143:P143"/>
    <mergeCell ref="B144:F144"/>
    <mergeCell ref="G144:J144"/>
    <mergeCell ref="K144:N144"/>
    <mergeCell ref="O144:P144"/>
    <mergeCell ref="B145:F145"/>
    <mergeCell ref="G145:J145"/>
    <mergeCell ref="K145:N145"/>
    <mergeCell ref="O145:P145"/>
    <mergeCell ref="B146:F146"/>
    <mergeCell ref="G146:J146"/>
    <mergeCell ref="K146:N146"/>
    <mergeCell ref="O146:P146"/>
    <mergeCell ref="B147:F147"/>
    <mergeCell ref="G147:J147"/>
    <mergeCell ref="K147:N147"/>
    <mergeCell ref="O147:P147"/>
    <mergeCell ref="B148:F148"/>
    <mergeCell ref="G148:J148"/>
    <mergeCell ref="K148:N148"/>
    <mergeCell ref="O148:P148"/>
    <mergeCell ref="A149:P149"/>
    <mergeCell ref="B150:F150"/>
    <mergeCell ref="G150:J150"/>
    <mergeCell ref="K150:N150"/>
    <mergeCell ref="O150:P150"/>
    <mergeCell ref="B151:F151"/>
    <mergeCell ref="G151:J151"/>
    <mergeCell ref="K151:N151"/>
    <mergeCell ref="O151:P151"/>
    <mergeCell ref="B152:F152"/>
    <mergeCell ref="G152:J152"/>
    <mergeCell ref="K152:N152"/>
    <mergeCell ref="O152:P152"/>
    <mergeCell ref="B153:F153"/>
    <mergeCell ref="G153:J153"/>
    <mergeCell ref="K153:N153"/>
    <mergeCell ref="O153:P153"/>
    <mergeCell ref="B154:F154"/>
    <mergeCell ref="G154:J154"/>
    <mergeCell ref="K154:N154"/>
    <mergeCell ref="O154:P154"/>
    <mergeCell ref="B155:F155"/>
    <mergeCell ref="G155:J155"/>
    <mergeCell ref="K155:N155"/>
    <mergeCell ref="O155:P155"/>
    <mergeCell ref="B156:F156"/>
    <mergeCell ref="G156:J156"/>
    <mergeCell ref="K156:N156"/>
    <mergeCell ref="O156:P156"/>
    <mergeCell ref="B157:F157"/>
    <mergeCell ref="G157:J157"/>
    <mergeCell ref="K157:N157"/>
    <mergeCell ref="O157:P157"/>
    <mergeCell ref="B158:F158"/>
    <mergeCell ref="G158:J158"/>
    <mergeCell ref="K158:N158"/>
    <mergeCell ref="O158:P158"/>
    <mergeCell ref="A159:P159"/>
    <mergeCell ref="B160:F160"/>
    <mergeCell ref="G160:J160"/>
    <mergeCell ref="K160:N160"/>
    <mergeCell ref="O160:P160"/>
    <mergeCell ref="B161:F161"/>
    <mergeCell ref="G161:J161"/>
    <mergeCell ref="K161:N161"/>
    <mergeCell ref="O161:P161"/>
    <mergeCell ref="B162:F162"/>
    <mergeCell ref="G162:J162"/>
    <mergeCell ref="K162:N162"/>
    <mergeCell ref="O162:P162"/>
    <mergeCell ref="B163:F163"/>
    <mergeCell ref="G163:J163"/>
    <mergeCell ref="K163:N163"/>
    <mergeCell ref="O163:P163"/>
    <mergeCell ref="B164:F164"/>
    <mergeCell ref="G164:J164"/>
    <mergeCell ref="K164:N164"/>
    <mergeCell ref="O164:P164"/>
    <mergeCell ref="B165:F165"/>
    <mergeCell ref="G165:J165"/>
    <mergeCell ref="K165:N165"/>
    <mergeCell ref="O165:P165"/>
    <mergeCell ref="B166:F166"/>
    <mergeCell ref="G166:J166"/>
    <mergeCell ref="K166:N166"/>
    <mergeCell ref="O166:P166"/>
    <mergeCell ref="B167:F167"/>
    <mergeCell ref="G167:J167"/>
    <mergeCell ref="K167:N167"/>
    <mergeCell ref="O167:P167"/>
    <mergeCell ref="A168:P168"/>
    <mergeCell ref="B169:F169"/>
    <mergeCell ref="G169:J169"/>
    <mergeCell ref="K169:N169"/>
    <mergeCell ref="O169:P169"/>
    <mergeCell ref="B170:F170"/>
    <mergeCell ref="G170:J170"/>
    <mergeCell ref="K170:N170"/>
    <mergeCell ref="O170:P170"/>
    <mergeCell ref="B171:F171"/>
    <mergeCell ref="G171:J171"/>
    <mergeCell ref="K171:N171"/>
    <mergeCell ref="O171:P171"/>
    <mergeCell ref="B172:F172"/>
    <mergeCell ref="G172:J172"/>
    <mergeCell ref="K172:N172"/>
    <mergeCell ref="O172:P172"/>
    <mergeCell ref="B173:F173"/>
    <mergeCell ref="G173:J173"/>
    <mergeCell ref="K173:N173"/>
    <mergeCell ref="O173:P173"/>
    <mergeCell ref="B174:F174"/>
    <mergeCell ref="G174:J174"/>
    <mergeCell ref="K174:N174"/>
    <mergeCell ref="O174:P174"/>
    <mergeCell ref="B175:F175"/>
    <mergeCell ref="G175:J175"/>
    <mergeCell ref="K175:N175"/>
    <mergeCell ref="O175:P175"/>
    <mergeCell ref="B176:F176"/>
    <mergeCell ref="G176:J176"/>
    <mergeCell ref="K176:N176"/>
    <mergeCell ref="O176:P176"/>
    <mergeCell ref="A177:P177"/>
    <mergeCell ref="B178:F178"/>
    <mergeCell ref="G178:J178"/>
    <mergeCell ref="K178:N178"/>
    <mergeCell ref="O178:P178"/>
    <mergeCell ref="B179:F179"/>
    <mergeCell ref="G179:J179"/>
    <mergeCell ref="K179:N179"/>
    <mergeCell ref="O179:P179"/>
    <mergeCell ref="B180:F180"/>
    <mergeCell ref="G180:J180"/>
    <mergeCell ref="K180:N180"/>
    <mergeCell ref="O180:P180"/>
    <mergeCell ref="B184:F184"/>
    <mergeCell ref="G184:J184"/>
    <mergeCell ref="K184:N184"/>
    <mergeCell ref="O184:P184"/>
    <mergeCell ref="B185:F185"/>
    <mergeCell ref="G185:J185"/>
    <mergeCell ref="K185:N185"/>
    <mergeCell ref="O185:P185"/>
    <mergeCell ref="B181:F181"/>
    <mergeCell ref="G181:J181"/>
    <mergeCell ref="K181:N181"/>
    <mergeCell ref="O181:P181"/>
    <mergeCell ref="B182:F182"/>
    <mergeCell ref="G182:J182"/>
    <mergeCell ref="K182:N182"/>
    <mergeCell ref="O182:P182"/>
    <mergeCell ref="B183:F183"/>
    <mergeCell ref="G183:J183"/>
    <mergeCell ref="K183:N183"/>
    <mergeCell ref="O183:P183"/>
  </mergeCells>
  <conditionalFormatting sqref="A1:L1048576">
    <cfRule type="containsText" dxfId="43" priority="1" operator="containsText" text="Этап ">
      <formula>NOT(ISERROR(SEARCH("Этап ",A1)))</formula>
    </cfRule>
  </conditionalFormatting>
  <pageMargins left="0.40000000000000008" right="0.40000000000000008" top="0.75" bottom="0.75" header="0.3" footer="0.3"/>
  <pageSetup paperSize="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Y175"/>
  <sheetViews>
    <sheetView view="pageBreakPreview" topLeftCell="B150" zoomScale="70" zoomScaleSheetLayoutView="70" workbookViewId="0">
      <selection activeCell="J158" sqref="J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9.140625" style="286"/>
    <col min="25" max="25" width="18.28515625" style="286" customWidth="1"/>
    <col min="26"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1034</v>
      </c>
      <c r="C4" s="731"/>
      <c r="D4" s="731"/>
      <c r="E4" s="731"/>
      <c r="F4" s="731"/>
      <c r="G4" s="731"/>
      <c r="H4" s="731"/>
      <c r="I4" s="731"/>
      <c r="J4" s="731"/>
      <c r="K4" s="731"/>
      <c r="L4" s="731"/>
      <c r="M4" s="731"/>
      <c r="N4" s="731"/>
      <c r="O4" s="731"/>
      <c r="P4" s="731"/>
      <c r="Q4" s="731"/>
      <c r="R4" s="731"/>
    </row>
    <row r="5" spans="2:20" x14ac:dyDescent="0.25">
      <c r="B5" s="731" t="s">
        <v>1035</v>
      </c>
      <c r="C5" s="731"/>
      <c r="D5" s="731"/>
      <c r="E5" s="731"/>
      <c r="F5" s="731"/>
      <c r="G5" s="731"/>
      <c r="H5" s="731"/>
      <c r="I5" s="731"/>
      <c r="J5" s="731"/>
      <c r="K5" s="731"/>
      <c r="L5" s="731"/>
      <c r="M5" s="731"/>
      <c r="N5" s="731"/>
      <c r="O5" s="731"/>
      <c r="P5" s="731"/>
      <c r="Q5" s="731"/>
      <c r="R5" s="731"/>
    </row>
    <row r="6" spans="2:20" ht="13.5" customHeight="1" x14ac:dyDescent="0.25">
      <c r="B6" s="286" t="s">
        <v>1036</v>
      </c>
      <c r="G6" s="732" t="s">
        <v>1037</v>
      </c>
      <c r="H6" s="733"/>
      <c r="I6" s="733"/>
      <c r="J6" s="733"/>
      <c r="K6" s="733"/>
      <c r="L6" s="733"/>
      <c r="M6" s="733"/>
      <c r="N6" s="733"/>
      <c r="O6" s="733"/>
      <c r="P6" s="733"/>
      <c r="Q6" s="733"/>
      <c r="R6" s="733"/>
    </row>
    <row r="7" spans="2:20" ht="156" customHeight="1"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
        <v>7</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1071</v>
      </c>
      <c r="I71" s="699"/>
      <c r="J71" s="699"/>
      <c r="K71" s="699"/>
      <c r="L71" s="700"/>
      <c r="M71" s="295">
        <f t="shared" ref="M71:R71" ca="1" si="0">IF(D24="Да",SUMIF($H72:$L77,$H71,M72:M77),0)</f>
        <v>1</v>
      </c>
      <c r="N71" s="295">
        <f t="shared" si="0"/>
        <v>0</v>
      </c>
      <c r="O71" s="295">
        <f t="shared" si="0"/>
        <v>0</v>
      </c>
      <c r="P71" s="295">
        <f t="shared" ca="1" si="0"/>
        <v>1</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1081</v>
      </c>
      <c r="I78" s="699"/>
      <c r="J78" s="699"/>
      <c r="K78" s="699"/>
      <c r="L78" s="700"/>
      <c r="M78" s="295">
        <f t="shared" ref="M78:R78" ca="1" si="1">IF(D24="Да",SUMIF($H79:$L85,$H78,M79:M85),0)</f>
        <v>3</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1130</v>
      </c>
      <c r="I86" s="699"/>
      <c r="J86" s="699"/>
      <c r="K86" s="699"/>
      <c r="L86" s="700"/>
      <c r="M86" s="295">
        <f t="shared" ref="M86:R86" ca="1" si="2">IF(D24="Да",SUMIF($H87:$L90,$H86,M87:M90),0)</f>
        <v>6</v>
      </c>
      <c r="N86" s="295">
        <f t="shared" si="2"/>
        <v>0</v>
      </c>
      <c r="O86" s="295">
        <f t="shared" si="2"/>
        <v>0</v>
      </c>
      <c r="P86" s="295">
        <f t="shared" ca="1" si="2"/>
        <v>5</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1136</v>
      </c>
      <c r="I91" s="699"/>
      <c r="J91" s="699"/>
      <c r="K91" s="699"/>
      <c r="L91" s="700"/>
      <c r="M91" s="295">
        <f t="shared" ref="M91:R91" ca="1" si="3">IF(D24="Да",SUMIF($H92:$L98,$H91,M92:M98),0)</f>
        <v>5</v>
      </c>
      <c r="N91" s="295">
        <f t="shared" si="3"/>
        <v>0</v>
      </c>
      <c r="O91" s="295">
        <f t="shared" si="3"/>
        <v>0</v>
      </c>
      <c r="P91" s="295">
        <f t="shared" ca="1" si="3"/>
        <v>5</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1151</v>
      </c>
      <c r="I99" s="699"/>
      <c r="J99" s="699"/>
      <c r="K99" s="699"/>
      <c r="L99" s="700"/>
      <c r="M99" s="295">
        <f t="shared" ref="M99:R99" ca="1" si="4">IF(D24="Да",SUMIF($H100:$L104,$H99,M100:M104),0)</f>
        <v>5</v>
      </c>
      <c r="N99" s="295">
        <f t="shared" si="4"/>
        <v>0</v>
      </c>
      <c r="O99" s="295">
        <f t="shared" si="4"/>
        <v>0</v>
      </c>
      <c r="P99" s="295">
        <f t="shared" ca="1" si="4"/>
        <v>7</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1103</v>
      </c>
      <c r="I105" s="699"/>
      <c r="J105" s="699"/>
      <c r="K105" s="699"/>
      <c r="L105" s="700"/>
      <c r="M105" s="295">
        <f t="shared" ref="M105:R105" ca="1" si="5">IF(D24="Да",SUMIF($H106:$L119,$H105,M106:M119),0)</f>
        <v>4</v>
      </c>
      <c r="N105" s="295">
        <f t="shared" si="5"/>
        <v>0</v>
      </c>
      <c r="O105" s="295">
        <f t="shared" si="5"/>
        <v>0</v>
      </c>
      <c r="P105" s="295">
        <f t="shared" ca="1" si="5"/>
        <v>6</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1179</v>
      </c>
      <c r="I120" s="699"/>
      <c r="J120" s="699"/>
      <c r="K120" s="699"/>
      <c r="L120" s="700"/>
      <c r="M120" s="295">
        <f t="shared" ref="M120:R120" ca="1" si="6">IF(D24="Да",SUMIF($H121:$L134,$H120,M121:M134),0)</f>
        <v>5</v>
      </c>
      <c r="N120" s="295">
        <f t="shared" si="6"/>
        <v>0</v>
      </c>
      <c r="O120" s="295">
        <f t="shared" si="6"/>
        <v>0</v>
      </c>
      <c r="P120" s="295">
        <f t="shared" ca="1" si="6"/>
        <v>7</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29</v>
      </c>
      <c r="N135" s="295">
        <f t="shared" ref="N135:R135" si="7">N71+N78+N86+N91+N99+N105+N120</f>
        <v>0</v>
      </c>
      <c r="O135" s="295">
        <f>O71+O78+O86+O91+O99+O105+O120</f>
        <v>0</v>
      </c>
      <c r="P135" s="295">
        <f t="shared" ca="1" si="7"/>
        <v>33</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v>
      </c>
      <c r="D149" s="295">
        <f t="shared" si="10"/>
        <v>1</v>
      </c>
      <c r="E149" s="295">
        <f t="shared" si="10"/>
        <v>1</v>
      </c>
      <c r="F149" s="295">
        <f t="shared" si="10"/>
        <v>1</v>
      </c>
      <c r="G149" s="295">
        <f t="shared" si="10"/>
        <v>1</v>
      </c>
      <c r="H149" s="295">
        <f t="shared" si="10"/>
        <v>1</v>
      </c>
      <c r="I149" s="295">
        <f t="shared" si="10"/>
        <v>1</v>
      </c>
      <c r="J149" s="295" t="s">
        <v>1223</v>
      </c>
      <c r="K149" s="311" t="s">
        <v>1209</v>
      </c>
      <c r="L149" s="716" t="s">
        <v>1224</v>
      </c>
      <c r="M149" s="716"/>
      <c r="N149" s="716"/>
      <c r="O149" s="716"/>
      <c r="P149" s="716"/>
      <c r="Q149" s="312" t="str">
        <f t="shared" si="11"/>
        <v>-</v>
      </c>
      <c r="R149" s="312" t="s">
        <v>1046</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v>
      </c>
      <c r="D154" s="295">
        <f>SUM(D142:D152)-10</f>
        <v>1</v>
      </c>
      <c r="E154" s="295">
        <f>SUM(E142:E152)-10</f>
        <v>1</v>
      </c>
      <c r="F154" s="295">
        <f t="shared" ref="F154:I154" si="13">SUM(F142:F152)-10</f>
        <v>1</v>
      </c>
      <c r="G154" s="295">
        <f t="shared" si="13"/>
        <v>1.1999999999999993</v>
      </c>
      <c r="H154" s="295">
        <f t="shared" si="13"/>
        <v>1</v>
      </c>
      <c r="I154" s="295">
        <f t="shared" si="13"/>
        <v>1</v>
      </c>
      <c r="J154" s="314"/>
      <c r="K154" s="698" t="s">
        <v>1232</v>
      </c>
      <c r="L154" s="699"/>
      <c r="M154" s="699"/>
      <c r="N154" s="699"/>
      <c r="O154" s="699"/>
      <c r="P154" s="699"/>
      <c r="Q154" s="699"/>
      <c r="R154" s="700"/>
    </row>
    <row r="155" spans="2:21" s="310" customFormat="1" ht="24.75" customHeight="1" x14ac:dyDescent="0.2">
      <c r="B155" s="295">
        <v>17</v>
      </c>
      <c r="C155" s="295">
        <f>C153*C154</f>
        <v>0.6</v>
      </c>
      <c r="D155" s="295">
        <f>D153*D154</f>
        <v>0.6</v>
      </c>
      <c r="E155" s="295">
        <f>E153*E154</f>
        <v>0.6</v>
      </c>
      <c r="F155" s="295">
        <f t="shared" ref="F155:I155" si="14">F153*F154</f>
        <v>0.6</v>
      </c>
      <c r="G155" s="295">
        <f t="shared" si="14"/>
        <v>0.71999999999999953</v>
      </c>
      <c r="H155" s="295">
        <f t="shared" si="14"/>
        <v>0.6</v>
      </c>
      <c r="I155" s="295">
        <f t="shared" si="14"/>
        <v>0.6</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504" customFormat="1" ht="24.75" customHeight="1" x14ac:dyDescent="0.2">
      <c r="B158" s="502">
        <v>20</v>
      </c>
      <c r="C158" s="502">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5"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5"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5"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5" ht="25.5" customHeight="1" x14ac:dyDescent="0.25">
      <c r="B164" s="295">
        <v>1</v>
      </c>
      <c r="C164" s="295">
        <f>M67</f>
        <v>0</v>
      </c>
      <c r="D164" s="295">
        <f t="shared" ref="D164:I164" ca="1" si="15">M135</f>
        <v>29</v>
      </c>
      <c r="E164" s="295">
        <f t="shared" si="15"/>
        <v>0</v>
      </c>
      <c r="F164" s="295">
        <f t="shared" si="15"/>
        <v>0</v>
      </c>
      <c r="G164" s="295">
        <f t="shared" ca="1" si="15"/>
        <v>33</v>
      </c>
      <c r="H164" s="295">
        <f t="shared" si="15"/>
        <v>0</v>
      </c>
      <c r="I164" s="295">
        <f t="shared" si="15"/>
        <v>0</v>
      </c>
      <c r="J164" s="698" t="s">
        <v>1247</v>
      </c>
      <c r="K164" s="699"/>
      <c r="L164" s="699"/>
      <c r="M164" s="699"/>
      <c r="N164" s="699"/>
      <c r="O164" s="699"/>
      <c r="P164" s="699"/>
      <c r="Q164" s="699"/>
      <c r="R164" s="700"/>
    </row>
    <row r="165" spans="2:25"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5"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5" ht="25.5" customHeight="1" x14ac:dyDescent="0.25">
      <c r="B167" s="295">
        <v>4</v>
      </c>
      <c r="C167" s="316">
        <f>C164*C165*C166</f>
        <v>0</v>
      </c>
      <c r="D167" s="316">
        <f ca="1">D164*D165*D166</f>
        <v>456.17</v>
      </c>
      <c r="E167" s="316">
        <f>E164*E165*E166</f>
        <v>0</v>
      </c>
      <c r="F167" s="316">
        <f t="shared" ref="F167:I167" si="16">F164*F165*F166</f>
        <v>0</v>
      </c>
      <c r="G167" s="316">
        <f t="shared" ca="1" si="16"/>
        <v>1114.4100000000001</v>
      </c>
      <c r="H167" s="316">
        <f t="shared" si="16"/>
        <v>0</v>
      </c>
      <c r="I167" s="316">
        <f t="shared" si="16"/>
        <v>0</v>
      </c>
      <c r="J167" s="698" t="s">
        <v>1250</v>
      </c>
      <c r="K167" s="699"/>
      <c r="L167" s="699"/>
      <c r="M167" s="699"/>
      <c r="N167" s="699"/>
      <c r="O167" s="699"/>
      <c r="P167" s="699"/>
      <c r="Q167" s="699"/>
      <c r="R167" s="700"/>
    </row>
    <row r="168" spans="2:25" ht="25.5" customHeight="1" x14ac:dyDescent="0.25">
      <c r="B168" s="295">
        <v>5</v>
      </c>
      <c r="C168" s="316">
        <f t="shared" ref="C168:I168" si="17">C167*C155</f>
        <v>0</v>
      </c>
      <c r="D168" s="316">
        <f t="shared" ca="1" si="17"/>
        <v>273.702</v>
      </c>
      <c r="E168" s="316">
        <f t="shared" si="17"/>
        <v>0</v>
      </c>
      <c r="F168" s="316">
        <f t="shared" si="17"/>
        <v>0</v>
      </c>
      <c r="G168" s="316">
        <f t="shared" ca="1" si="17"/>
        <v>802.3751999999995</v>
      </c>
      <c r="H168" s="316">
        <f t="shared" si="17"/>
        <v>0</v>
      </c>
      <c r="I168" s="316">
        <f t="shared" si="17"/>
        <v>0</v>
      </c>
      <c r="J168" s="698" t="s">
        <v>1251</v>
      </c>
      <c r="K168" s="699"/>
      <c r="L168" s="699"/>
      <c r="M168" s="699"/>
      <c r="N168" s="699"/>
      <c r="O168" s="699"/>
      <c r="P168" s="699"/>
      <c r="Q168" s="699"/>
      <c r="R168" s="700"/>
    </row>
    <row r="169" spans="2:25" ht="25.5" customHeight="1" x14ac:dyDescent="0.25">
      <c r="B169" s="295">
        <v>6</v>
      </c>
      <c r="C169" s="316">
        <f t="shared" ref="C169:I169" si="18">C168*C156*C157*C158</f>
        <v>0</v>
      </c>
      <c r="D169" s="316">
        <f t="shared" ca="1" si="18"/>
        <v>1383.289908</v>
      </c>
      <c r="E169" s="316">
        <f t="shared" si="18"/>
        <v>0</v>
      </c>
      <c r="F169" s="316">
        <f t="shared" si="18"/>
        <v>0</v>
      </c>
      <c r="G169" s="316">
        <f t="shared" ca="1" si="18"/>
        <v>4055.204260799997</v>
      </c>
      <c r="H169" s="316">
        <f t="shared" si="18"/>
        <v>0</v>
      </c>
      <c r="I169" s="316">
        <f t="shared" si="18"/>
        <v>0</v>
      </c>
      <c r="J169" s="698" t="s">
        <v>1252</v>
      </c>
      <c r="K169" s="699"/>
      <c r="L169" s="699"/>
      <c r="M169" s="699"/>
      <c r="N169" s="699"/>
      <c r="O169" s="699"/>
      <c r="P169" s="699"/>
      <c r="Q169" s="699"/>
      <c r="R169" s="700"/>
    </row>
    <row r="170" spans="2:25" ht="25.5" customHeight="1" x14ac:dyDescent="0.25">
      <c r="B170" s="295">
        <v>7</v>
      </c>
      <c r="C170" s="317"/>
      <c r="D170" s="317">
        <f t="shared" ref="D170:I170" ca="1" si="19">D169*D160</f>
        <v>414.98697239999996</v>
      </c>
      <c r="E170" s="317">
        <f t="shared" si="19"/>
        <v>0</v>
      </c>
      <c r="F170" s="317">
        <f t="shared" si="19"/>
        <v>0</v>
      </c>
      <c r="G170" s="317">
        <f t="shared" ca="1" si="19"/>
        <v>2433.1225564799979</v>
      </c>
      <c r="H170" s="317">
        <f t="shared" si="19"/>
        <v>0</v>
      </c>
      <c r="I170" s="317">
        <f t="shared" si="19"/>
        <v>0</v>
      </c>
      <c r="J170" s="698" t="s">
        <v>1253</v>
      </c>
      <c r="K170" s="699"/>
      <c r="L170" s="699"/>
      <c r="M170" s="699"/>
      <c r="N170" s="699"/>
      <c r="O170" s="699"/>
      <c r="P170" s="699"/>
      <c r="Q170" s="699"/>
      <c r="R170" s="700"/>
    </row>
    <row r="171" spans="2:25" ht="46.5" customHeight="1" x14ac:dyDescent="0.25">
      <c r="B171" s="295">
        <v>8</v>
      </c>
      <c r="C171" s="295"/>
      <c r="D171" s="701">
        <f ca="1">SUM(D170:I170)*1000</f>
        <v>2848109.5288799978</v>
      </c>
      <c r="E171" s="701"/>
      <c r="F171" s="701"/>
      <c r="G171" s="701"/>
      <c r="H171" s="701"/>
      <c r="I171" s="701"/>
      <c r="J171" s="698" t="s">
        <v>1254</v>
      </c>
      <c r="K171" s="699"/>
      <c r="L171" s="699"/>
      <c r="M171" s="699"/>
      <c r="N171" s="699"/>
      <c r="O171" s="699"/>
      <c r="P171" s="699"/>
      <c r="Q171" s="699"/>
      <c r="R171" s="700"/>
    </row>
    <row r="172" spans="2:25" ht="41.25" customHeight="1" x14ac:dyDescent="0.25">
      <c r="B172" s="295">
        <v>9</v>
      </c>
      <c r="C172" s="295"/>
      <c r="D172" s="702">
        <f ca="1">ROUND(D171*0.8,0)</f>
        <v>2278488</v>
      </c>
      <c r="E172" s="703"/>
      <c r="F172" s="703"/>
      <c r="G172" s="703"/>
      <c r="H172" s="703"/>
      <c r="I172" s="704"/>
      <c r="J172" s="698" t="s">
        <v>1255</v>
      </c>
      <c r="K172" s="699"/>
      <c r="L172" s="699"/>
      <c r="M172" s="699"/>
      <c r="N172" s="699"/>
      <c r="O172" s="699"/>
      <c r="P172" s="699"/>
      <c r="Q172" s="699"/>
      <c r="R172" s="700"/>
    </row>
    <row r="173" spans="2:25" ht="28.5" customHeight="1" x14ac:dyDescent="0.25">
      <c r="B173" s="295">
        <v>11</v>
      </c>
      <c r="C173" s="295"/>
      <c r="D173" s="697">
        <f ca="1">D172</f>
        <v>2278488</v>
      </c>
      <c r="E173" s="697"/>
      <c r="F173" s="697"/>
      <c r="G173" s="697"/>
      <c r="H173" s="697"/>
      <c r="I173" s="697"/>
      <c r="J173" s="698" t="s">
        <v>1256</v>
      </c>
      <c r="K173" s="699"/>
      <c r="L173" s="699"/>
      <c r="M173" s="699"/>
      <c r="N173" s="699"/>
      <c r="O173" s="699"/>
      <c r="P173" s="699"/>
      <c r="Q173" s="699"/>
      <c r="R173" s="700"/>
      <c r="Y173" s="318">
        <f ca="1">D173</f>
        <v>2278488</v>
      </c>
    </row>
    <row r="174" spans="2:25" ht="14.25" x14ac:dyDescent="0.2">
      <c r="B174" s="289"/>
      <c r="C174" s="289"/>
      <c r="D174" s="319"/>
      <c r="E174" s="320"/>
      <c r="F174" s="320"/>
      <c r="G174" s="320"/>
      <c r="H174" s="320"/>
      <c r="I174" s="320"/>
      <c r="J174" s="321"/>
      <c r="K174" s="320"/>
      <c r="L174" s="322"/>
      <c r="M174" s="320"/>
      <c r="N174" s="320"/>
      <c r="O174" s="320"/>
      <c r="P174" s="320"/>
      <c r="Q174" s="320"/>
      <c r="R174" s="320"/>
    </row>
    <row r="175" spans="2:25"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Y175"/>
  <sheetViews>
    <sheetView view="pageBreakPreview" topLeftCell="B153" zoomScale="70" workbookViewId="0">
      <selection activeCell="J158" sqref="J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9.140625" style="286"/>
    <col min="25" max="25" width="14.28515625" style="286" bestFit="1" customWidth="1"/>
    <col min="26"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1257</v>
      </c>
      <c r="C4" s="731"/>
      <c r="D4" s="731"/>
      <c r="E4" s="731"/>
      <c r="F4" s="731"/>
      <c r="G4" s="731"/>
      <c r="H4" s="731"/>
      <c r="I4" s="731"/>
      <c r="J4" s="731"/>
      <c r="K4" s="731"/>
      <c r="L4" s="731"/>
      <c r="M4" s="731"/>
      <c r="N4" s="731"/>
      <c r="O4" s="731"/>
      <c r="P4" s="731"/>
      <c r="Q4" s="731"/>
      <c r="R4" s="731"/>
    </row>
    <row r="5" spans="2:20" x14ac:dyDescent="0.25">
      <c r="B5" s="731" t="s">
        <v>1258</v>
      </c>
      <c r="C5" s="731"/>
      <c r="D5" s="731"/>
      <c r="E5" s="731"/>
      <c r="F5" s="731"/>
      <c r="G5" s="731"/>
      <c r="H5" s="731"/>
      <c r="I5" s="731"/>
      <c r="J5" s="731"/>
      <c r="K5" s="731"/>
      <c r="L5" s="731"/>
      <c r="M5" s="731"/>
      <c r="N5" s="731"/>
      <c r="O5" s="731"/>
      <c r="P5" s="731"/>
      <c r="Q5" s="731"/>
      <c r="R5" s="731"/>
    </row>
    <row r="6" spans="2:20" ht="13.5" customHeight="1" x14ac:dyDescent="0.25">
      <c r="B6" s="286" t="s">
        <v>1036</v>
      </c>
      <c r="G6" s="732" t="s">
        <v>1259</v>
      </c>
      <c r="H6" s="733"/>
      <c r="I6" s="733"/>
      <c r="J6" s="733"/>
      <c r="K6" s="733"/>
      <c r="L6" s="733"/>
      <c r="M6" s="733"/>
      <c r="N6" s="733"/>
      <c r="O6" s="733"/>
      <c r="P6" s="733"/>
      <c r="Q6" s="733"/>
      <c r="R6" s="733"/>
    </row>
    <row r="7" spans="2:20" ht="77.25" customHeight="1"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СВОД!D14</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1071</v>
      </c>
      <c r="I71" s="699"/>
      <c r="J71" s="699"/>
      <c r="K71" s="699"/>
      <c r="L71" s="700"/>
      <c r="M71" s="295">
        <f t="shared" ref="M71:R71" ca="1" si="0">IF(D24="Да",SUMIF($H72:$L77,$H71,M72:M77),0)</f>
        <v>1</v>
      </c>
      <c r="N71" s="295">
        <f t="shared" si="0"/>
        <v>0</v>
      </c>
      <c r="O71" s="295">
        <f t="shared" si="0"/>
        <v>0</v>
      </c>
      <c r="P71" s="295">
        <f t="shared" ca="1" si="0"/>
        <v>1</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1081</v>
      </c>
      <c r="I78" s="699"/>
      <c r="J78" s="699"/>
      <c r="K78" s="699"/>
      <c r="L78" s="700"/>
      <c r="M78" s="295">
        <f t="shared" ref="M78:R78" ca="1" si="1">IF(D24="Да",SUMIF($H79:$L85,$H78,M79:M85),0)</f>
        <v>3</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1130</v>
      </c>
      <c r="I86" s="699"/>
      <c r="J86" s="699"/>
      <c r="K86" s="699"/>
      <c r="L86" s="700"/>
      <c r="M86" s="295">
        <f t="shared" ref="M86:R86" ca="1" si="2">IF(D24="Да",SUMIF($H87:$L90,$H86,M87:M90),0)</f>
        <v>6</v>
      </c>
      <c r="N86" s="295">
        <f t="shared" si="2"/>
        <v>0</v>
      </c>
      <c r="O86" s="295">
        <f t="shared" si="2"/>
        <v>0</v>
      </c>
      <c r="P86" s="295">
        <f t="shared" ca="1" si="2"/>
        <v>5</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1136</v>
      </c>
      <c r="I91" s="699"/>
      <c r="J91" s="699"/>
      <c r="K91" s="699"/>
      <c r="L91" s="700"/>
      <c r="M91" s="295">
        <f t="shared" ref="M91:R91" ca="1" si="3">IF(D24="Да",SUMIF($H92:$L98,$H91,M92:M98),0)</f>
        <v>5</v>
      </c>
      <c r="N91" s="295">
        <f t="shared" si="3"/>
        <v>0</v>
      </c>
      <c r="O91" s="295">
        <f t="shared" si="3"/>
        <v>0</v>
      </c>
      <c r="P91" s="295">
        <f t="shared" ca="1" si="3"/>
        <v>5</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1151</v>
      </c>
      <c r="I99" s="699"/>
      <c r="J99" s="699"/>
      <c r="K99" s="699"/>
      <c r="L99" s="700"/>
      <c r="M99" s="295">
        <f t="shared" ref="M99:R99" ca="1" si="4">IF(D24="Да",SUMIF($H100:$L104,$H99,M100:M104),0)</f>
        <v>5</v>
      </c>
      <c r="N99" s="295">
        <f t="shared" si="4"/>
        <v>0</v>
      </c>
      <c r="O99" s="295">
        <f t="shared" si="4"/>
        <v>0</v>
      </c>
      <c r="P99" s="295">
        <f t="shared" ca="1" si="4"/>
        <v>7</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1110</v>
      </c>
      <c r="I105" s="699"/>
      <c r="J105" s="699"/>
      <c r="K105" s="699"/>
      <c r="L105" s="700"/>
      <c r="M105" s="295">
        <f t="shared" ref="M105:R105" ca="1" si="5">IF(D24="Да",SUMIF($H106:$L119,$H105,M106:M119),0)</f>
        <v>6</v>
      </c>
      <c r="N105" s="295">
        <f t="shared" si="5"/>
        <v>0</v>
      </c>
      <c r="O105" s="295">
        <f t="shared" si="5"/>
        <v>0</v>
      </c>
      <c r="P105" s="295">
        <f t="shared" ca="1" si="5"/>
        <v>10</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1190</v>
      </c>
      <c r="I120" s="699"/>
      <c r="J120" s="699"/>
      <c r="K120" s="699"/>
      <c r="L120" s="700"/>
      <c r="M120" s="295">
        <f t="shared" ref="M120:R120" ca="1" si="6">IF(D24="Да",SUMIF($H121:$L134,$H120,M121:M134),0)</f>
        <v>10</v>
      </c>
      <c r="N120" s="295">
        <f t="shared" si="6"/>
        <v>0</v>
      </c>
      <c r="O120" s="295">
        <f t="shared" si="6"/>
        <v>0</v>
      </c>
      <c r="P120" s="295">
        <f t="shared" ca="1" si="6"/>
        <v>13</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36</v>
      </c>
      <c r="N135" s="295">
        <f t="shared" ref="N135:R135" si="7">N71+N78+N86+N91+N99+N105+N120</f>
        <v>0</v>
      </c>
      <c r="O135" s="295">
        <f>O71+O78+O86+O91+O99+O105+O120</f>
        <v>0</v>
      </c>
      <c r="P135" s="295">
        <f t="shared" ca="1" si="7"/>
        <v>43</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v>
      </c>
      <c r="D149" s="295">
        <f t="shared" si="10"/>
        <v>1</v>
      </c>
      <c r="E149" s="295">
        <f t="shared" si="10"/>
        <v>1</v>
      </c>
      <c r="F149" s="295">
        <f t="shared" si="10"/>
        <v>1</v>
      </c>
      <c r="G149" s="295">
        <f t="shared" si="10"/>
        <v>1</v>
      </c>
      <c r="H149" s="295">
        <f t="shared" si="10"/>
        <v>1</v>
      </c>
      <c r="I149" s="295">
        <f t="shared" si="10"/>
        <v>1</v>
      </c>
      <c r="J149" s="295" t="s">
        <v>1223</v>
      </c>
      <c r="K149" s="311" t="s">
        <v>1209</v>
      </c>
      <c r="L149" s="716" t="s">
        <v>1224</v>
      </c>
      <c r="M149" s="716"/>
      <c r="N149" s="716"/>
      <c r="O149" s="716"/>
      <c r="P149" s="716"/>
      <c r="Q149" s="312" t="str">
        <f t="shared" si="11"/>
        <v>-</v>
      </c>
      <c r="R149" s="312" t="s">
        <v>1046</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v>
      </c>
      <c r="D154" s="295">
        <f>SUM(D142:D152)-10</f>
        <v>1</v>
      </c>
      <c r="E154" s="295">
        <f>SUM(E142:E152)-10</f>
        <v>1</v>
      </c>
      <c r="F154" s="295">
        <f t="shared" ref="F154:I154" si="13">SUM(F142:F152)-10</f>
        <v>1</v>
      </c>
      <c r="G154" s="295">
        <f t="shared" si="13"/>
        <v>1.1999999999999993</v>
      </c>
      <c r="H154" s="295">
        <f t="shared" si="13"/>
        <v>1</v>
      </c>
      <c r="I154" s="295">
        <f t="shared" si="13"/>
        <v>1</v>
      </c>
      <c r="J154" s="314"/>
      <c r="K154" s="698" t="s">
        <v>1232</v>
      </c>
      <c r="L154" s="699"/>
      <c r="M154" s="699"/>
      <c r="N154" s="699"/>
      <c r="O154" s="699"/>
      <c r="P154" s="699"/>
      <c r="Q154" s="699"/>
      <c r="R154" s="700"/>
    </row>
    <row r="155" spans="2:21" s="310" customFormat="1" ht="24.75" customHeight="1" x14ac:dyDescent="0.2">
      <c r="B155" s="295">
        <v>17</v>
      </c>
      <c r="C155" s="295">
        <f>C153*C154</f>
        <v>0.6</v>
      </c>
      <c r="D155" s="295">
        <f>D153*D154</f>
        <v>0.6</v>
      </c>
      <c r="E155" s="295">
        <f>E153*E154</f>
        <v>0.6</v>
      </c>
      <c r="F155" s="295">
        <f t="shared" ref="F155:I155" si="14">F153*F154</f>
        <v>0.6</v>
      </c>
      <c r="G155" s="295">
        <f t="shared" si="14"/>
        <v>0.71999999999999953</v>
      </c>
      <c r="H155" s="295">
        <f t="shared" si="14"/>
        <v>0.6</v>
      </c>
      <c r="I155" s="295">
        <f t="shared" si="14"/>
        <v>0.6</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5"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5"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5"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5" ht="25.5" customHeight="1" x14ac:dyDescent="0.25">
      <c r="B164" s="295">
        <v>1</v>
      </c>
      <c r="C164" s="295">
        <f>M67</f>
        <v>0</v>
      </c>
      <c r="D164" s="295">
        <f t="shared" ref="D164:I164" ca="1" si="15">M135</f>
        <v>36</v>
      </c>
      <c r="E164" s="295">
        <f t="shared" si="15"/>
        <v>0</v>
      </c>
      <c r="F164" s="295">
        <f t="shared" si="15"/>
        <v>0</v>
      </c>
      <c r="G164" s="295">
        <f t="shared" ca="1" si="15"/>
        <v>43</v>
      </c>
      <c r="H164" s="295">
        <f t="shared" si="15"/>
        <v>0</v>
      </c>
      <c r="I164" s="295">
        <f t="shared" si="15"/>
        <v>0</v>
      </c>
      <c r="J164" s="698" t="s">
        <v>1247</v>
      </c>
      <c r="K164" s="699"/>
      <c r="L164" s="699"/>
      <c r="M164" s="699"/>
      <c r="N164" s="699"/>
      <c r="O164" s="699"/>
      <c r="P164" s="699"/>
      <c r="Q164" s="699"/>
      <c r="R164" s="700"/>
    </row>
    <row r="165" spans="2:25"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5"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5" ht="25.5" customHeight="1" x14ac:dyDescent="0.25">
      <c r="B167" s="295">
        <v>4</v>
      </c>
      <c r="C167" s="316">
        <f>C164*C165*C166</f>
        <v>0</v>
      </c>
      <c r="D167" s="316">
        <f ca="1">D164*D165*D166</f>
        <v>566.28</v>
      </c>
      <c r="E167" s="316">
        <f>E164*E165*E166</f>
        <v>0</v>
      </c>
      <c r="F167" s="316">
        <f t="shared" ref="F167:I167" si="16">F164*F165*F166</f>
        <v>0</v>
      </c>
      <c r="G167" s="316">
        <f t="shared" ca="1" si="16"/>
        <v>1452.1100000000001</v>
      </c>
      <c r="H167" s="316">
        <f t="shared" si="16"/>
        <v>0</v>
      </c>
      <c r="I167" s="316">
        <f t="shared" si="16"/>
        <v>0</v>
      </c>
      <c r="J167" s="698" t="s">
        <v>1250</v>
      </c>
      <c r="K167" s="699"/>
      <c r="L167" s="699"/>
      <c r="M167" s="699"/>
      <c r="N167" s="699"/>
      <c r="O167" s="699"/>
      <c r="P167" s="699"/>
      <c r="Q167" s="699"/>
      <c r="R167" s="700"/>
    </row>
    <row r="168" spans="2:25" ht="25.5" customHeight="1" x14ac:dyDescent="0.25">
      <c r="B168" s="295">
        <v>5</v>
      </c>
      <c r="C168" s="316">
        <f t="shared" ref="C168:I168" si="17">C167*C155</f>
        <v>0</v>
      </c>
      <c r="D168" s="316">
        <f t="shared" ca="1" si="17"/>
        <v>339.76799999999997</v>
      </c>
      <c r="E168" s="316">
        <f t="shared" si="17"/>
        <v>0</v>
      </c>
      <c r="F168" s="316">
        <f t="shared" si="17"/>
        <v>0</v>
      </c>
      <c r="G168" s="316">
        <f t="shared" ca="1" si="17"/>
        <v>1045.5191999999995</v>
      </c>
      <c r="H168" s="316">
        <f t="shared" si="17"/>
        <v>0</v>
      </c>
      <c r="I168" s="316">
        <f t="shared" si="17"/>
        <v>0</v>
      </c>
      <c r="J168" s="698" t="s">
        <v>1251</v>
      </c>
      <c r="K168" s="699"/>
      <c r="L168" s="699"/>
      <c r="M168" s="699"/>
      <c r="N168" s="699"/>
      <c r="O168" s="699"/>
      <c r="P168" s="699"/>
      <c r="Q168" s="699"/>
      <c r="R168" s="700"/>
    </row>
    <row r="169" spans="2:25" ht="25.5" customHeight="1" x14ac:dyDescent="0.25">
      <c r="B169" s="295">
        <v>6</v>
      </c>
      <c r="C169" s="316">
        <f t="shared" ref="C169:I169" si="18">C168*C156*C157*C158</f>
        <v>0</v>
      </c>
      <c r="D169" s="316">
        <f t="shared" ca="1" si="18"/>
        <v>1717.1874719999996</v>
      </c>
      <c r="E169" s="316">
        <f t="shared" si="18"/>
        <v>0</v>
      </c>
      <c r="F169" s="316">
        <f t="shared" si="18"/>
        <v>0</v>
      </c>
      <c r="G169" s="316">
        <f t="shared" ca="1" si="18"/>
        <v>5284.0540367999965</v>
      </c>
      <c r="H169" s="316">
        <f t="shared" si="18"/>
        <v>0</v>
      </c>
      <c r="I169" s="316">
        <f t="shared" si="18"/>
        <v>0</v>
      </c>
      <c r="J169" s="698" t="s">
        <v>1252</v>
      </c>
      <c r="K169" s="699"/>
      <c r="L169" s="699"/>
      <c r="M169" s="699"/>
      <c r="N169" s="699"/>
      <c r="O169" s="699"/>
      <c r="P169" s="699"/>
      <c r="Q169" s="699"/>
      <c r="R169" s="700"/>
    </row>
    <row r="170" spans="2:25" ht="25.5" customHeight="1" x14ac:dyDescent="0.25">
      <c r="B170" s="295">
        <v>7</v>
      </c>
      <c r="C170" s="317"/>
      <c r="D170" s="317">
        <f t="shared" ref="D170:I170" ca="1" si="19">D169*D160</f>
        <v>515.15624159999982</v>
      </c>
      <c r="E170" s="317">
        <f t="shared" si="19"/>
        <v>0</v>
      </c>
      <c r="F170" s="317">
        <f t="shared" si="19"/>
        <v>0</v>
      </c>
      <c r="G170" s="317">
        <f t="shared" ca="1" si="19"/>
        <v>3170.4324220799977</v>
      </c>
      <c r="H170" s="317">
        <f t="shared" si="19"/>
        <v>0</v>
      </c>
      <c r="I170" s="317">
        <f t="shared" si="19"/>
        <v>0</v>
      </c>
      <c r="J170" s="698" t="s">
        <v>1253</v>
      </c>
      <c r="K170" s="699"/>
      <c r="L170" s="699"/>
      <c r="M170" s="699"/>
      <c r="N170" s="699"/>
      <c r="O170" s="699"/>
      <c r="P170" s="699"/>
      <c r="Q170" s="699"/>
      <c r="R170" s="700"/>
    </row>
    <row r="171" spans="2:25" ht="46.5" customHeight="1" x14ac:dyDescent="0.25">
      <c r="B171" s="295">
        <v>8</v>
      </c>
      <c r="C171" s="295"/>
      <c r="D171" s="701">
        <f ca="1">SUM(D170:I170)*1000</f>
        <v>3685588.6636799974</v>
      </c>
      <c r="E171" s="701"/>
      <c r="F171" s="701"/>
      <c r="G171" s="701"/>
      <c r="H171" s="701"/>
      <c r="I171" s="701"/>
      <c r="J171" s="698" t="s">
        <v>1254</v>
      </c>
      <c r="K171" s="699"/>
      <c r="L171" s="699"/>
      <c r="M171" s="699"/>
      <c r="N171" s="699"/>
      <c r="O171" s="699"/>
      <c r="P171" s="699"/>
      <c r="Q171" s="699"/>
      <c r="R171" s="700"/>
    </row>
    <row r="172" spans="2:25" ht="41.25" customHeight="1" x14ac:dyDescent="0.25">
      <c r="B172" s="295">
        <v>9</v>
      </c>
      <c r="C172" s="295"/>
      <c r="D172" s="702">
        <f ca="1">ROUND(D171*0.8,0)</f>
        <v>2948471</v>
      </c>
      <c r="E172" s="703"/>
      <c r="F172" s="703"/>
      <c r="G172" s="703"/>
      <c r="H172" s="703"/>
      <c r="I172" s="704"/>
      <c r="J172" s="698" t="s">
        <v>1255</v>
      </c>
      <c r="K172" s="699"/>
      <c r="L172" s="699"/>
      <c r="M172" s="699"/>
      <c r="N172" s="699"/>
      <c r="O172" s="699"/>
      <c r="P172" s="699"/>
      <c r="Q172" s="699"/>
      <c r="R172" s="700"/>
    </row>
    <row r="173" spans="2:25" ht="28.5" customHeight="1" x14ac:dyDescent="0.25">
      <c r="B173" s="295">
        <v>11</v>
      </c>
      <c r="C173" s="295"/>
      <c r="D173" s="697">
        <f ca="1">D172</f>
        <v>2948471</v>
      </c>
      <c r="E173" s="697"/>
      <c r="F173" s="697"/>
      <c r="G173" s="697"/>
      <c r="H173" s="697"/>
      <c r="I173" s="697"/>
      <c r="J173" s="698" t="s">
        <v>1256</v>
      </c>
      <c r="K173" s="699"/>
      <c r="L173" s="699"/>
      <c r="M173" s="699"/>
      <c r="N173" s="699"/>
      <c r="O173" s="699"/>
      <c r="P173" s="699"/>
      <c r="Q173" s="699"/>
      <c r="R173" s="700"/>
      <c r="Y173" s="318">
        <f ca="1">D173</f>
        <v>2948471</v>
      </c>
    </row>
    <row r="174" spans="2:25" ht="14.25" x14ac:dyDescent="0.2">
      <c r="B174" s="289"/>
      <c r="C174" s="289"/>
      <c r="D174" s="319"/>
      <c r="E174" s="320"/>
      <c r="F174" s="320"/>
      <c r="G174" s="320"/>
      <c r="H174" s="320"/>
      <c r="I174" s="320"/>
      <c r="J174" s="321"/>
      <c r="K174" s="320"/>
      <c r="L174" s="322"/>
      <c r="M174" s="320"/>
      <c r="N174" s="320"/>
      <c r="O174" s="320"/>
      <c r="P174" s="320"/>
      <c r="Q174" s="320"/>
      <c r="R174" s="320"/>
    </row>
    <row r="175" spans="2:25"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disablePrompts="1"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Y175"/>
  <sheetViews>
    <sheetView view="pageBreakPreview" topLeftCell="B151" zoomScale="70" zoomScaleSheetLayoutView="70" workbookViewId="0">
      <selection activeCell="D158" sqref="D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9.140625" style="286"/>
    <col min="25" max="25" width="14.28515625" style="286" bestFit="1" customWidth="1"/>
    <col min="26"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1260</v>
      </c>
      <c r="C4" s="731"/>
      <c r="D4" s="731"/>
      <c r="E4" s="731"/>
      <c r="F4" s="731"/>
      <c r="G4" s="731"/>
      <c r="H4" s="731"/>
      <c r="I4" s="731"/>
      <c r="J4" s="731"/>
      <c r="K4" s="731"/>
      <c r="L4" s="731"/>
      <c r="M4" s="731"/>
      <c r="N4" s="731"/>
      <c r="O4" s="731"/>
      <c r="P4" s="731"/>
      <c r="Q4" s="731"/>
      <c r="R4" s="731"/>
    </row>
    <row r="5" spans="2:20" x14ac:dyDescent="0.25">
      <c r="B5" s="731" t="s">
        <v>1261</v>
      </c>
      <c r="C5" s="731"/>
      <c r="D5" s="731"/>
      <c r="E5" s="731"/>
      <c r="F5" s="731"/>
      <c r="G5" s="731"/>
      <c r="H5" s="731"/>
      <c r="I5" s="731"/>
      <c r="J5" s="731"/>
      <c r="K5" s="731"/>
      <c r="L5" s="731"/>
      <c r="M5" s="731"/>
      <c r="N5" s="731"/>
      <c r="O5" s="731"/>
      <c r="P5" s="731"/>
      <c r="Q5" s="731"/>
      <c r="R5" s="731"/>
    </row>
    <row r="6" spans="2:20" ht="13.5" customHeight="1" x14ac:dyDescent="0.25">
      <c r="B6" s="286" t="s">
        <v>1036</v>
      </c>
      <c r="G6" s="732" t="s">
        <v>1262</v>
      </c>
      <c r="H6" s="733"/>
      <c r="I6" s="733"/>
      <c r="J6" s="733"/>
      <c r="K6" s="733"/>
      <c r="L6" s="733"/>
      <c r="M6" s="733"/>
      <c r="N6" s="733"/>
      <c r="O6" s="733"/>
      <c r="P6" s="733"/>
      <c r="Q6" s="733"/>
      <c r="R6" s="733"/>
    </row>
    <row r="7" spans="2:20" ht="40.5" customHeight="1"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'3.5.2 АСУТП этап15'!G11</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1071</v>
      </c>
      <c r="I71" s="699"/>
      <c r="J71" s="699"/>
      <c r="K71" s="699"/>
      <c r="L71" s="700"/>
      <c r="M71" s="295">
        <f t="shared" ref="M71:R71" ca="1" si="0">IF(D24="Да",SUMIF($H72:$L77,$H71,M72:M77),0)</f>
        <v>1</v>
      </c>
      <c r="N71" s="295">
        <f t="shared" si="0"/>
        <v>0</v>
      </c>
      <c r="O71" s="295">
        <f t="shared" si="0"/>
        <v>0</v>
      </c>
      <c r="P71" s="295">
        <f t="shared" ca="1" si="0"/>
        <v>1</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1081</v>
      </c>
      <c r="I78" s="699"/>
      <c r="J78" s="699"/>
      <c r="K78" s="699"/>
      <c r="L78" s="700"/>
      <c r="M78" s="295">
        <f t="shared" ref="M78:R78" ca="1" si="1">IF(D24="Да",SUMIF($H79:$L85,$H78,M79:M85),0)</f>
        <v>3</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1130</v>
      </c>
      <c r="I86" s="699"/>
      <c r="J86" s="699"/>
      <c r="K86" s="699"/>
      <c r="L86" s="700"/>
      <c r="M86" s="295">
        <f t="shared" ref="M86:R86" ca="1" si="2">IF(D24="Да",SUMIF($H87:$L90,$H86,M87:M90),0)</f>
        <v>6</v>
      </c>
      <c r="N86" s="295">
        <f t="shared" si="2"/>
        <v>0</v>
      </c>
      <c r="O86" s="295">
        <f t="shared" si="2"/>
        <v>0</v>
      </c>
      <c r="P86" s="295">
        <f t="shared" ca="1" si="2"/>
        <v>5</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1136</v>
      </c>
      <c r="I91" s="699"/>
      <c r="J91" s="699"/>
      <c r="K91" s="699"/>
      <c r="L91" s="700"/>
      <c r="M91" s="295">
        <f t="shared" ref="M91:R91" ca="1" si="3">IF(D24="Да",SUMIF($H92:$L98,$H91,M92:M98),0)</f>
        <v>5</v>
      </c>
      <c r="N91" s="295">
        <f t="shared" si="3"/>
        <v>0</v>
      </c>
      <c r="O91" s="295">
        <f t="shared" si="3"/>
        <v>0</v>
      </c>
      <c r="P91" s="295">
        <f t="shared" ca="1" si="3"/>
        <v>5</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1151</v>
      </c>
      <c r="I99" s="699"/>
      <c r="J99" s="699"/>
      <c r="K99" s="699"/>
      <c r="L99" s="700"/>
      <c r="M99" s="295">
        <f t="shared" ref="M99:R99" ca="1" si="4">IF(D24="Да",SUMIF($H100:$L104,$H99,M100:M104),0)</f>
        <v>5</v>
      </c>
      <c r="N99" s="295">
        <f t="shared" si="4"/>
        <v>0</v>
      </c>
      <c r="O99" s="295">
        <f t="shared" si="4"/>
        <v>0</v>
      </c>
      <c r="P99" s="295">
        <f t="shared" ca="1" si="4"/>
        <v>7</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1105</v>
      </c>
      <c r="I105" s="699"/>
      <c r="J105" s="699"/>
      <c r="K105" s="699"/>
      <c r="L105" s="700"/>
      <c r="M105" s="295">
        <f t="shared" ref="M105:R105" ca="1" si="5">IF(D24="Да",SUMIF($H106:$L119,$H105,M106:M119),0)</f>
        <v>4</v>
      </c>
      <c r="N105" s="295">
        <f t="shared" si="5"/>
        <v>0</v>
      </c>
      <c r="O105" s="295">
        <f t="shared" si="5"/>
        <v>0</v>
      </c>
      <c r="P105" s="295">
        <f t="shared" ca="1" si="5"/>
        <v>7</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1184</v>
      </c>
      <c r="I120" s="699"/>
      <c r="J120" s="699"/>
      <c r="K120" s="699"/>
      <c r="L120" s="700"/>
      <c r="M120" s="295">
        <f t="shared" ref="M120:R120" ca="1" si="6">IF(D24="Да",SUMIF($H121:$L134,$H120,M121:M134),0)</f>
        <v>5</v>
      </c>
      <c r="N120" s="295">
        <f t="shared" si="6"/>
        <v>0</v>
      </c>
      <c r="O120" s="295">
        <f t="shared" si="6"/>
        <v>0</v>
      </c>
      <c r="P120" s="295">
        <f t="shared" ca="1" si="6"/>
        <v>8</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29</v>
      </c>
      <c r="N135" s="295">
        <f t="shared" ref="N135:R135" si="7">N71+N78+N86+N91+N99+N105+N120</f>
        <v>0</v>
      </c>
      <c r="O135" s="295">
        <f>O71+O78+O86+O91+O99+O105+O120</f>
        <v>0</v>
      </c>
      <c r="P135" s="295">
        <f t="shared" ca="1" si="7"/>
        <v>35</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v>
      </c>
      <c r="D149" s="295">
        <f t="shared" si="10"/>
        <v>1</v>
      </c>
      <c r="E149" s="295">
        <f t="shared" si="10"/>
        <v>1</v>
      </c>
      <c r="F149" s="295">
        <f t="shared" si="10"/>
        <v>1</v>
      </c>
      <c r="G149" s="295">
        <f t="shared" si="10"/>
        <v>1</v>
      </c>
      <c r="H149" s="295">
        <f t="shared" si="10"/>
        <v>1</v>
      </c>
      <c r="I149" s="295">
        <f t="shared" si="10"/>
        <v>1</v>
      </c>
      <c r="J149" s="295" t="s">
        <v>1223</v>
      </c>
      <c r="K149" s="311" t="s">
        <v>1209</v>
      </c>
      <c r="L149" s="716" t="s">
        <v>1224</v>
      </c>
      <c r="M149" s="716"/>
      <c r="N149" s="716"/>
      <c r="O149" s="716"/>
      <c r="P149" s="716"/>
      <c r="Q149" s="312" t="str">
        <f t="shared" si="11"/>
        <v>-</v>
      </c>
      <c r="R149" s="312" t="s">
        <v>1046</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v>
      </c>
      <c r="D154" s="295">
        <f>SUM(D142:D152)-10</f>
        <v>1</v>
      </c>
      <c r="E154" s="295">
        <f>SUM(E142:E152)-10</f>
        <v>1</v>
      </c>
      <c r="F154" s="295">
        <f t="shared" ref="F154:I154" si="13">SUM(F142:F152)-10</f>
        <v>1</v>
      </c>
      <c r="G154" s="295">
        <f t="shared" si="13"/>
        <v>1.1999999999999993</v>
      </c>
      <c r="H154" s="295">
        <f t="shared" si="13"/>
        <v>1</v>
      </c>
      <c r="I154" s="295">
        <f t="shared" si="13"/>
        <v>1</v>
      </c>
      <c r="J154" s="314"/>
      <c r="K154" s="698" t="s">
        <v>1232</v>
      </c>
      <c r="L154" s="699"/>
      <c r="M154" s="699"/>
      <c r="N154" s="699"/>
      <c r="O154" s="699"/>
      <c r="P154" s="699"/>
      <c r="Q154" s="699"/>
      <c r="R154" s="700"/>
    </row>
    <row r="155" spans="2:21" s="310" customFormat="1" ht="24.75" customHeight="1" x14ac:dyDescent="0.2">
      <c r="B155" s="295">
        <v>17</v>
      </c>
      <c r="C155" s="295">
        <f>C153*C154</f>
        <v>0.6</v>
      </c>
      <c r="D155" s="295">
        <f>D153*D154</f>
        <v>0.6</v>
      </c>
      <c r="E155" s="295">
        <f>E153*E154</f>
        <v>0.6</v>
      </c>
      <c r="F155" s="295">
        <f t="shared" ref="F155:I155" si="14">F153*F154</f>
        <v>0.6</v>
      </c>
      <c r="G155" s="295">
        <f t="shared" si="14"/>
        <v>0.71999999999999953</v>
      </c>
      <c r="H155" s="295">
        <f t="shared" si="14"/>
        <v>0.6</v>
      </c>
      <c r="I155" s="295">
        <f t="shared" si="14"/>
        <v>0.6</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5"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5"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5"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5" ht="25.5" customHeight="1" x14ac:dyDescent="0.25">
      <c r="B164" s="295">
        <v>1</v>
      </c>
      <c r="C164" s="295">
        <f>M67</f>
        <v>0</v>
      </c>
      <c r="D164" s="295">
        <f t="shared" ref="D164:I164" ca="1" si="15">M135</f>
        <v>29</v>
      </c>
      <c r="E164" s="295">
        <f t="shared" si="15"/>
        <v>0</v>
      </c>
      <c r="F164" s="295">
        <f t="shared" si="15"/>
        <v>0</v>
      </c>
      <c r="G164" s="295">
        <f t="shared" ca="1" si="15"/>
        <v>35</v>
      </c>
      <c r="H164" s="295">
        <f t="shared" si="15"/>
        <v>0</v>
      </c>
      <c r="I164" s="295">
        <f t="shared" si="15"/>
        <v>0</v>
      </c>
      <c r="J164" s="698" t="s">
        <v>1247</v>
      </c>
      <c r="K164" s="699"/>
      <c r="L164" s="699"/>
      <c r="M164" s="699"/>
      <c r="N164" s="699"/>
      <c r="O164" s="699"/>
      <c r="P164" s="699"/>
      <c r="Q164" s="699"/>
      <c r="R164" s="700"/>
    </row>
    <row r="165" spans="2:25"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5"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5" ht="25.5" customHeight="1" x14ac:dyDescent="0.25">
      <c r="B167" s="295">
        <v>4</v>
      </c>
      <c r="C167" s="316">
        <f>C164*C165*C166</f>
        <v>0</v>
      </c>
      <c r="D167" s="316">
        <f ca="1">D164*D165*D166</f>
        <v>456.17</v>
      </c>
      <c r="E167" s="316">
        <f>E164*E165*E166</f>
        <v>0</v>
      </c>
      <c r="F167" s="316">
        <f t="shared" ref="F167:I167" si="16">F164*F165*F166</f>
        <v>0</v>
      </c>
      <c r="G167" s="316">
        <f t="shared" ca="1" si="16"/>
        <v>1181.95</v>
      </c>
      <c r="H167" s="316">
        <f t="shared" si="16"/>
        <v>0</v>
      </c>
      <c r="I167" s="316">
        <f t="shared" si="16"/>
        <v>0</v>
      </c>
      <c r="J167" s="698" t="s">
        <v>1250</v>
      </c>
      <c r="K167" s="699"/>
      <c r="L167" s="699"/>
      <c r="M167" s="699"/>
      <c r="N167" s="699"/>
      <c r="O167" s="699"/>
      <c r="P167" s="699"/>
      <c r="Q167" s="699"/>
      <c r="R167" s="700"/>
    </row>
    <row r="168" spans="2:25" ht="25.5" customHeight="1" x14ac:dyDescent="0.25">
      <c r="B168" s="295">
        <v>5</v>
      </c>
      <c r="C168" s="316">
        <f t="shared" ref="C168:I168" si="17">C167*C155</f>
        <v>0</v>
      </c>
      <c r="D168" s="316">
        <f t="shared" ca="1" si="17"/>
        <v>273.702</v>
      </c>
      <c r="E168" s="316">
        <f t="shared" si="17"/>
        <v>0</v>
      </c>
      <c r="F168" s="316">
        <f t="shared" si="17"/>
        <v>0</v>
      </c>
      <c r="G168" s="316">
        <f t="shared" ca="1" si="17"/>
        <v>851.00399999999945</v>
      </c>
      <c r="H168" s="316">
        <f t="shared" si="17"/>
        <v>0</v>
      </c>
      <c r="I168" s="316">
        <f t="shared" si="17"/>
        <v>0</v>
      </c>
      <c r="J168" s="698" t="s">
        <v>1251</v>
      </c>
      <c r="K168" s="699"/>
      <c r="L168" s="699"/>
      <c r="M168" s="699"/>
      <c r="N168" s="699"/>
      <c r="O168" s="699"/>
      <c r="P168" s="699"/>
      <c r="Q168" s="699"/>
      <c r="R168" s="700"/>
    </row>
    <row r="169" spans="2:25" ht="25.5" customHeight="1" x14ac:dyDescent="0.25">
      <c r="B169" s="295">
        <v>6</v>
      </c>
      <c r="C169" s="316">
        <f t="shared" ref="C169:I169" si="18">C168*C156*C157*C158</f>
        <v>0</v>
      </c>
      <c r="D169" s="316">
        <f t="shared" ca="1" si="18"/>
        <v>1383.289908</v>
      </c>
      <c r="E169" s="316">
        <f t="shared" si="18"/>
        <v>0</v>
      </c>
      <c r="F169" s="316">
        <f t="shared" si="18"/>
        <v>0</v>
      </c>
      <c r="G169" s="316">
        <f t="shared" ca="1" si="18"/>
        <v>4300.9742159999969</v>
      </c>
      <c r="H169" s="316">
        <f t="shared" si="18"/>
        <v>0</v>
      </c>
      <c r="I169" s="316">
        <f t="shared" si="18"/>
        <v>0</v>
      </c>
      <c r="J169" s="698" t="s">
        <v>1252</v>
      </c>
      <c r="K169" s="699"/>
      <c r="L169" s="699"/>
      <c r="M169" s="699"/>
      <c r="N169" s="699"/>
      <c r="O169" s="699"/>
      <c r="P169" s="699"/>
      <c r="Q169" s="699"/>
      <c r="R169" s="700"/>
    </row>
    <row r="170" spans="2:25" ht="25.5" customHeight="1" x14ac:dyDescent="0.25">
      <c r="B170" s="295">
        <v>7</v>
      </c>
      <c r="C170" s="317"/>
      <c r="D170" s="317">
        <f t="shared" ref="D170:I170" ca="1" si="19">D169*D160</f>
        <v>414.98697239999996</v>
      </c>
      <c r="E170" s="317">
        <f t="shared" si="19"/>
        <v>0</v>
      </c>
      <c r="F170" s="317">
        <f t="shared" si="19"/>
        <v>0</v>
      </c>
      <c r="G170" s="317">
        <f t="shared" ca="1" si="19"/>
        <v>2580.5845295999979</v>
      </c>
      <c r="H170" s="317">
        <f t="shared" si="19"/>
        <v>0</v>
      </c>
      <c r="I170" s="317">
        <f t="shared" si="19"/>
        <v>0</v>
      </c>
      <c r="J170" s="698" t="s">
        <v>1253</v>
      </c>
      <c r="K170" s="699"/>
      <c r="L170" s="699"/>
      <c r="M170" s="699"/>
      <c r="N170" s="699"/>
      <c r="O170" s="699"/>
      <c r="P170" s="699"/>
      <c r="Q170" s="699"/>
      <c r="R170" s="700"/>
    </row>
    <row r="171" spans="2:25" ht="46.5" customHeight="1" x14ac:dyDescent="0.25">
      <c r="B171" s="295">
        <v>8</v>
      </c>
      <c r="C171" s="295"/>
      <c r="D171" s="701">
        <f ca="1">SUM(D170:I170)*1000</f>
        <v>2995571.501999998</v>
      </c>
      <c r="E171" s="701"/>
      <c r="F171" s="701"/>
      <c r="G171" s="701"/>
      <c r="H171" s="701"/>
      <c r="I171" s="701"/>
      <c r="J171" s="698" t="s">
        <v>1254</v>
      </c>
      <c r="K171" s="699"/>
      <c r="L171" s="699"/>
      <c r="M171" s="699"/>
      <c r="N171" s="699"/>
      <c r="O171" s="699"/>
      <c r="P171" s="699"/>
      <c r="Q171" s="699"/>
      <c r="R171" s="700"/>
    </row>
    <row r="172" spans="2:25" ht="41.25" customHeight="1" x14ac:dyDescent="0.25">
      <c r="B172" s="295">
        <v>9</v>
      </c>
      <c r="C172" s="295"/>
      <c r="D172" s="702">
        <f ca="1">ROUND(D171*0.8,0)</f>
        <v>2396457</v>
      </c>
      <c r="E172" s="703"/>
      <c r="F172" s="703"/>
      <c r="G172" s="703"/>
      <c r="H172" s="703"/>
      <c r="I172" s="704"/>
      <c r="J172" s="698" t="s">
        <v>1255</v>
      </c>
      <c r="K172" s="699"/>
      <c r="L172" s="699"/>
      <c r="M172" s="699"/>
      <c r="N172" s="699"/>
      <c r="O172" s="699"/>
      <c r="P172" s="699"/>
      <c r="Q172" s="699"/>
      <c r="R172" s="700"/>
    </row>
    <row r="173" spans="2:25" ht="28.5" customHeight="1" x14ac:dyDescent="0.25">
      <c r="B173" s="295">
        <v>11</v>
      </c>
      <c r="C173" s="295"/>
      <c r="D173" s="697">
        <f ca="1">D172</f>
        <v>2396457</v>
      </c>
      <c r="E173" s="697"/>
      <c r="F173" s="697"/>
      <c r="G173" s="697"/>
      <c r="H173" s="697"/>
      <c r="I173" s="697"/>
      <c r="J173" s="698" t="s">
        <v>1256</v>
      </c>
      <c r="K173" s="699"/>
      <c r="L173" s="699"/>
      <c r="M173" s="699"/>
      <c r="N173" s="699"/>
      <c r="O173" s="699"/>
      <c r="P173" s="699"/>
      <c r="Q173" s="699"/>
      <c r="R173" s="700"/>
      <c r="Y173" s="318">
        <f ca="1">D173</f>
        <v>2396457</v>
      </c>
    </row>
    <row r="174" spans="2:25" ht="14.25" x14ac:dyDescent="0.2">
      <c r="B174" s="289"/>
      <c r="C174" s="289"/>
      <c r="D174" s="319"/>
      <c r="E174" s="320"/>
      <c r="F174" s="320"/>
      <c r="G174" s="320"/>
      <c r="H174" s="320"/>
      <c r="I174" s="320"/>
      <c r="J174" s="321"/>
      <c r="K174" s="320"/>
      <c r="L174" s="322"/>
      <c r="M174" s="320"/>
      <c r="N174" s="320"/>
      <c r="O174" s="320"/>
      <c r="P174" s="320"/>
      <c r="Q174" s="320"/>
      <c r="R174" s="320"/>
    </row>
    <row r="175" spans="2:25"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AA175"/>
  <sheetViews>
    <sheetView view="pageBreakPreview" topLeftCell="B151" zoomScale="70" zoomScaleSheetLayoutView="70" workbookViewId="0">
      <selection activeCell="D158" sqref="D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9.140625" style="286"/>
    <col min="25" max="25" width="14.28515625" style="286" bestFit="1" customWidth="1"/>
    <col min="26" max="26" width="9.140625" style="286"/>
    <col min="27" max="27" width="12.42578125" style="286" bestFit="1" customWidth="1"/>
    <col min="28"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1263</v>
      </c>
      <c r="C4" s="731"/>
      <c r="D4" s="731"/>
      <c r="E4" s="731"/>
      <c r="F4" s="731"/>
      <c r="G4" s="731"/>
      <c r="H4" s="731"/>
      <c r="I4" s="731"/>
      <c r="J4" s="731"/>
      <c r="K4" s="731"/>
      <c r="L4" s="731"/>
      <c r="M4" s="731"/>
      <c r="N4" s="731"/>
      <c r="O4" s="731"/>
      <c r="P4" s="731"/>
      <c r="Q4" s="731"/>
      <c r="R4" s="731"/>
    </row>
    <row r="5" spans="2:20" x14ac:dyDescent="0.25">
      <c r="B5" s="731" t="s">
        <v>1264</v>
      </c>
      <c r="C5" s="731"/>
      <c r="D5" s="731"/>
      <c r="E5" s="731"/>
      <c r="F5" s="731"/>
      <c r="G5" s="731"/>
      <c r="H5" s="731"/>
      <c r="I5" s="731"/>
      <c r="J5" s="731"/>
      <c r="K5" s="731"/>
      <c r="L5" s="731"/>
      <c r="M5" s="731"/>
      <c r="N5" s="731"/>
      <c r="O5" s="731"/>
      <c r="P5" s="731"/>
      <c r="Q5" s="731"/>
      <c r="R5" s="731"/>
    </row>
    <row r="6" spans="2:20" ht="13.5" customHeight="1" x14ac:dyDescent="0.25">
      <c r="B6" s="286" t="s">
        <v>1036</v>
      </c>
      <c r="G6" s="732" t="s">
        <v>1265</v>
      </c>
      <c r="H6" s="733"/>
      <c r="I6" s="733"/>
      <c r="J6" s="733"/>
      <c r="K6" s="733"/>
      <c r="L6" s="733"/>
      <c r="M6" s="733"/>
      <c r="N6" s="733"/>
      <c r="O6" s="733"/>
      <c r="P6" s="733"/>
      <c r="Q6" s="733"/>
      <c r="R6" s="733"/>
    </row>
    <row r="7" spans="2:20" ht="56.25" customHeight="1"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'3.5.3 АСУТП этап16'!G11</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1071</v>
      </c>
      <c r="I71" s="699"/>
      <c r="J71" s="699"/>
      <c r="K71" s="699"/>
      <c r="L71" s="700"/>
      <c r="M71" s="295">
        <f t="shared" ref="M71:R71" ca="1" si="0">IF(D24="Да",SUMIF($H72:$L77,$H71,M72:M77),0)</f>
        <v>1</v>
      </c>
      <c r="N71" s="295">
        <f t="shared" si="0"/>
        <v>0</v>
      </c>
      <c r="O71" s="295">
        <f t="shared" si="0"/>
        <v>0</v>
      </c>
      <c r="P71" s="295">
        <f t="shared" ca="1" si="0"/>
        <v>1</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1081</v>
      </c>
      <c r="I78" s="699"/>
      <c r="J78" s="699"/>
      <c r="K78" s="699"/>
      <c r="L78" s="700"/>
      <c r="M78" s="295">
        <f t="shared" ref="M78:R78" ca="1" si="1">IF(D24="Да",SUMIF($H79:$L85,$H78,M79:M85),0)</f>
        <v>3</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1130</v>
      </c>
      <c r="I86" s="699"/>
      <c r="J86" s="699"/>
      <c r="K86" s="699"/>
      <c r="L86" s="700"/>
      <c r="M86" s="295">
        <f t="shared" ref="M86:R86" ca="1" si="2">IF(D24="Да",SUMIF($H87:$L90,$H86,M87:M90),0)</f>
        <v>6</v>
      </c>
      <c r="N86" s="295">
        <f t="shared" si="2"/>
        <v>0</v>
      </c>
      <c r="O86" s="295">
        <f t="shared" si="2"/>
        <v>0</v>
      </c>
      <c r="P86" s="295">
        <f t="shared" ca="1" si="2"/>
        <v>5</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1136</v>
      </c>
      <c r="I91" s="699"/>
      <c r="J91" s="699"/>
      <c r="K91" s="699"/>
      <c r="L91" s="700"/>
      <c r="M91" s="295">
        <f t="shared" ref="M91:R91" ca="1" si="3">IF(D24="Да",SUMIF($H92:$L98,$H91,M92:M98),0)</f>
        <v>5</v>
      </c>
      <c r="N91" s="295">
        <f t="shared" si="3"/>
        <v>0</v>
      </c>
      <c r="O91" s="295">
        <f t="shared" si="3"/>
        <v>0</v>
      </c>
      <c r="P91" s="295">
        <f t="shared" ca="1" si="3"/>
        <v>5</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1151</v>
      </c>
      <c r="I99" s="699"/>
      <c r="J99" s="699"/>
      <c r="K99" s="699"/>
      <c r="L99" s="700"/>
      <c r="M99" s="295">
        <f t="shared" ref="M99:R99" ca="1" si="4">IF(D24="Да",SUMIF($H100:$L104,$H99,M100:M104),0)</f>
        <v>5</v>
      </c>
      <c r="N99" s="295">
        <f t="shared" si="4"/>
        <v>0</v>
      </c>
      <c r="O99" s="295">
        <f t="shared" si="4"/>
        <v>0</v>
      </c>
      <c r="P99" s="295">
        <f t="shared" ca="1" si="4"/>
        <v>7</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1097</v>
      </c>
      <c r="I105" s="699"/>
      <c r="J105" s="699"/>
      <c r="K105" s="699"/>
      <c r="L105" s="700"/>
      <c r="M105" s="295">
        <f t="shared" ref="M105:R105" ca="1" si="5">IF(D24="Да",SUMIF($H106:$L119,$H105,M106:M119),0)</f>
        <v>2</v>
      </c>
      <c r="N105" s="295">
        <f t="shared" si="5"/>
        <v>0</v>
      </c>
      <c r="O105" s="295">
        <f t="shared" si="5"/>
        <v>0</v>
      </c>
      <c r="P105" s="295">
        <f t="shared" ca="1" si="5"/>
        <v>3</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1081</v>
      </c>
      <c r="I120" s="699"/>
      <c r="J120" s="699"/>
      <c r="K120" s="699"/>
      <c r="L120" s="700"/>
      <c r="M120" s="295">
        <f t="shared" ref="M120:R120" ca="1" si="6">IF(D24="Да",SUMIF($H121:$L134,$H120,M121:M134),0)</f>
        <v>3</v>
      </c>
      <c r="N120" s="295">
        <f t="shared" si="6"/>
        <v>0</v>
      </c>
      <c r="O120" s="295">
        <f t="shared" si="6"/>
        <v>0</v>
      </c>
      <c r="P120" s="295">
        <f t="shared" ca="1" si="6"/>
        <v>3</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25</v>
      </c>
      <c r="N135" s="295">
        <f t="shared" ref="N135:R135" si="7">N71+N78+N86+N91+N99+N105+N120</f>
        <v>0</v>
      </c>
      <c r="O135" s="295">
        <f>O71+O78+O86+O91+O99+O105+O120</f>
        <v>0</v>
      </c>
      <c r="P135" s="295">
        <f t="shared" ca="1" si="7"/>
        <v>26</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v>
      </c>
      <c r="D149" s="295">
        <f t="shared" si="10"/>
        <v>1</v>
      </c>
      <c r="E149" s="295">
        <f t="shared" si="10"/>
        <v>1</v>
      </c>
      <c r="F149" s="295">
        <f t="shared" si="10"/>
        <v>1</v>
      </c>
      <c r="G149" s="295">
        <f t="shared" si="10"/>
        <v>1</v>
      </c>
      <c r="H149" s="295">
        <f t="shared" si="10"/>
        <v>1</v>
      </c>
      <c r="I149" s="295">
        <f t="shared" si="10"/>
        <v>1</v>
      </c>
      <c r="J149" s="295" t="s">
        <v>1223</v>
      </c>
      <c r="K149" s="311" t="s">
        <v>1209</v>
      </c>
      <c r="L149" s="716" t="s">
        <v>1224</v>
      </c>
      <c r="M149" s="716"/>
      <c r="N149" s="716"/>
      <c r="O149" s="716"/>
      <c r="P149" s="716"/>
      <c r="Q149" s="312" t="str">
        <f t="shared" si="11"/>
        <v>-</v>
      </c>
      <c r="R149" s="312" t="s">
        <v>1046</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v>
      </c>
      <c r="D154" s="295">
        <f>SUM(D142:D152)-10</f>
        <v>1</v>
      </c>
      <c r="E154" s="295">
        <f>SUM(E142:E152)-10</f>
        <v>1</v>
      </c>
      <c r="F154" s="295">
        <f t="shared" ref="F154:I154" si="13">SUM(F142:F152)-10</f>
        <v>1</v>
      </c>
      <c r="G154" s="295">
        <f t="shared" si="13"/>
        <v>1.1999999999999993</v>
      </c>
      <c r="H154" s="295">
        <f t="shared" si="13"/>
        <v>1</v>
      </c>
      <c r="I154" s="295">
        <f t="shared" si="13"/>
        <v>1</v>
      </c>
      <c r="J154" s="314"/>
      <c r="K154" s="698" t="s">
        <v>1232</v>
      </c>
      <c r="L154" s="699"/>
      <c r="M154" s="699"/>
      <c r="N154" s="699"/>
      <c r="O154" s="699"/>
      <c r="P154" s="699"/>
      <c r="Q154" s="699"/>
      <c r="R154" s="700"/>
    </row>
    <row r="155" spans="2:21" s="310" customFormat="1" ht="24.75" customHeight="1" x14ac:dyDescent="0.2">
      <c r="B155" s="295">
        <v>17</v>
      </c>
      <c r="C155" s="295">
        <f>C153*C154</f>
        <v>0.6</v>
      </c>
      <c r="D155" s="295">
        <f>D153*D154</f>
        <v>0.6</v>
      </c>
      <c r="E155" s="295">
        <f>E153*E154</f>
        <v>0.6</v>
      </c>
      <c r="F155" s="295">
        <f t="shared" ref="F155:I155" si="14">F153*F154</f>
        <v>0.6</v>
      </c>
      <c r="G155" s="295">
        <f t="shared" si="14"/>
        <v>0.71999999999999953</v>
      </c>
      <c r="H155" s="295">
        <f t="shared" si="14"/>
        <v>0.6</v>
      </c>
      <c r="I155" s="295">
        <f t="shared" si="14"/>
        <v>0.6</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7"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7"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7"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7" ht="25.5" customHeight="1" x14ac:dyDescent="0.25">
      <c r="B164" s="295">
        <v>1</v>
      </c>
      <c r="C164" s="295">
        <f>M67</f>
        <v>0</v>
      </c>
      <c r="D164" s="295">
        <f t="shared" ref="D164:I164" ca="1" si="15">M135</f>
        <v>25</v>
      </c>
      <c r="E164" s="295">
        <f t="shared" si="15"/>
        <v>0</v>
      </c>
      <c r="F164" s="295">
        <f t="shared" si="15"/>
        <v>0</v>
      </c>
      <c r="G164" s="295">
        <f t="shared" ca="1" si="15"/>
        <v>26</v>
      </c>
      <c r="H164" s="295">
        <f t="shared" si="15"/>
        <v>0</v>
      </c>
      <c r="I164" s="295">
        <f t="shared" si="15"/>
        <v>0</v>
      </c>
      <c r="J164" s="698" t="s">
        <v>1247</v>
      </c>
      <c r="K164" s="699"/>
      <c r="L164" s="699"/>
      <c r="M164" s="699"/>
      <c r="N164" s="699"/>
      <c r="O164" s="699"/>
      <c r="P164" s="699"/>
      <c r="Q164" s="699"/>
      <c r="R164" s="700"/>
    </row>
    <row r="165" spans="2:27"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7"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7" ht="25.5" customHeight="1" x14ac:dyDescent="0.25">
      <c r="B167" s="295">
        <v>4</v>
      </c>
      <c r="C167" s="316">
        <f>C164*C165*C166</f>
        <v>0</v>
      </c>
      <c r="D167" s="316">
        <f ca="1">D164*D165*D166</f>
        <v>393.25</v>
      </c>
      <c r="E167" s="316">
        <f>E164*E165*E166</f>
        <v>0</v>
      </c>
      <c r="F167" s="316">
        <f t="shared" ref="F167:I167" si="16">F164*F165*F166</f>
        <v>0</v>
      </c>
      <c r="G167" s="316">
        <f t="shared" ca="1" si="16"/>
        <v>878.0200000000001</v>
      </c>
      <c r="H167" s="316">
        <f t="shared" si="16"/>
        <v>0</v>
      </c>
      <c r="I167" s="316">
        <f t="shared" si="16"/>
        <v>0</v>
      </c>
      <c r="J167" s="698" t="s">
        <v>1250</v>
      </c>
      <c r="K167" s="699"/>
      <c r="L167" s="699"/>
      <c r="M167" s="699"/>
      <c r="N167" s="699"/>
      <c r="O167" s="699"/>
      <c r="P167" s="699"/>
      <c r="Q167" s="699"/>
      <c r="R167" s="700"/>
    </row>
    <row r="168" spans="2:27" ht="25.5" customHeight="1" x14ac:dyDescent="0.25">
      <c r="B168" s="295">
        <v>5</v>
      </c>
      <c r="C168" s="316">
        <f t="shared" ref="C168:I168" si="17">C167*C155</f>
        <v>0</v>
      </c>
      <c r="D168" s="316">
        <f t="shared" ca="1" si="17"/>
        <v>235.95</v>
      </c>
      <c r="E168" s="316">
        <f t="shared" si="17"/>
        <v>0</v>
      </c>
      <c r="F168" s="316">
        <f t="shared" si="17"/>
        <v>0</v>
      </c>
      <c r="G168" s="316">
        <f t="shared" ca="1" si="17"/>
        <v>632.17439999999965</v>
      </c>
      <c r="H168" s="316">
        <f t="shared" si="17"/>
        <v>0</v>
      </c>
      <c r="I168" s="316">
        <f t="shared" si="17"/>
        <v>0</v>
      </c>
      <c r="J168" s="698" t="s">
        <v>1251</v>
      </c>
      <c r="K168" s="699"/>
      <c r="L168" s="699"/>
      <c r="M168" s="699"/>
      <c r="N168" s="699"/>
      <c r="O168" s="699"/>
      <c r="P168" s="699"/>
      <c r="Q168" s="699"/>
      <c r="R168" s="700"/>
    </row>
    <row r="169" spans="2:27" ht="25.5" customHeight="1" x14ac:dyDescent="0.25">
      <c r="B169" s="295">
        <v>6</v>
      </c>
      <c r="C169" s="316">
        <f t="shared" ref="C169:I169" si="18">C168*C156*C157*C158</f>
        <v>0</v>
      </c>
      <c r="D169" s="316">
        <f t="shared" ca="1" si="18"/>
        <v>1192.4912999999999</v>
      </c>
      <c r="E169" s="316">
        <f t="shared" si="18"/>
        <v>0</v>
      </c>
      <c r="F169" s="316">
        <f t="shared" si="18"/>
        <v>0</v>
      </c>
      <c r="G169" s="316">
        <f t="shared" ca="1" si="18"/>
        <v>3195.0094175999984</v>
      </c>
      <c r="H169" s="316">
        <f t="shared" si="18"/>
        <v>0</v>
      </c>
      <c r="I169" s="316">
        <f t="shared" si="18"/>
        <v>0</v>
      </c>
      <c r="J169" s="698" t="s">
        <v>1252</v>
      </c>
      <c r="K169" s="699"/>
      <c r="L169" s="699"/>
      <c r="M169" s="699"/>
      <c r="N169" s="699"/>
      <c r="O169" s="699"/>
      <c r="P169" s="699"/>
      <c r="Q169" s="699"/>
      <c r="R169" s="700"/>
    </row>
    <row r="170" spans="2:27" ht="25.5" customHeight="1" x14ac:dyDescent="0.25">
      <c r="B170" s="295">
        <v>7</v>
      </c>
      <c r="C170" s="317"/>
      <c r="D170" s="317">
        <f t="shared" ref="D170:I170" ca="1" si="19">D169*D160</f>
        <v>357.74738999999994</v>
      </c>
      <c r="E170" s="317">
        <f t="shared" si="19"/>
        <v>0</v>
      </c>
      <c r="F170" s="317">
        <f t="shared" si="19"/>
        <v>0</v>
      </c>
      <c r="G170" s="317">
        <f t="shared" ca="1" si="19"/>
        <v>1917.0056505599989</v>
      </c>
      <c r="H170" s="317">
        <f t="shared" si="19"/>
        <v>0</v>
      </c>
      <c r="I170" s="317">
        <f t="shared" si="19"/>
        <v>0</v>
      </c>
      <c r="J170" s="698" t="s">
        <v>1253</v>
      </c>
      <c r="K170" s="699"/>
      <c r="L170" s="699"/>
      <c r="M170" s="699"/>
      <c r="N170" s="699"/>
      <c r="O170" s="699"/>
      <c r="P170" s="699"/>
      <c r="Q170" s="699"/>
      <c r="R170" s="700"/>
    </row>
    <row r="171" spans="2:27" ht="46.5" customHeight="1" x14ac:dyDescent="0.25">
      <c r="B171" s="295">
        <v>8</v>
      </c>
      <c r="C171" s="295"/>
      <c r="D171" s="701">
        <f ca="1">SUM(D170:I170)*1000</f>
        <v>2274753.0405599987</v>
      </c>
      <c r="E171" s="701"/>
      <c r="F171" s="701"/>
      <c r="G171" s="701"/>
      <c r="H171" s="701"/>
      <c r="I171" s="701"/>
      <c r="J171" s="698" t="s">
        <v>1254</v>
      </c>
      <c r="K171" s="699"/>
      <c r="L171" s="699"/>
      <c r="M171" s="699"/>
      <c r="N171" s="699"/>
      <c r="O171" s="699"/>
      <c r="P171" s="699"/>
      <c r="Q171" s="699"/>
      <c r="R171" s="700"/>
    </row>
    <row r="172" spans="2:27" ht="41.25" customHeight="1" x14ac:dyDescent="0.25">
      <c r="B172" s="295">
        <v>9</v>
      </c>
      <c r="C172" s="295"/>
      <c r="D172" s="702">
        <f ca="1">ROUND(D171*0.8,0)</f>
        <v>1819802</v>
      </c>
      <c r="E172" s="703"/>
      <c r="F172" s="703"/>
      <c r="G172" s="703"/>
      <c r="H172" s="703"/>
      <c r="I172" s="704"/>
      <c r="J172" s="698" t="s">
        <v>1255</v>
      </c>
      <c r="K172" s="699"/>
      <c r="L172" s="699"/>
      <c r="M172" s="699"/>
      <c r="N172" s="699"/>
      <c r="O172" s="699"/>
      <c r="P172" s="699"/>
      <c r="Q172" s="699"/>
      <c r="R172" s="700"/>
    </row>
    <row r="173" spans="2:27" ht="28.5" customHeight="1" x14ac:dyDescent="0.25">
      <c r="B173" s="295">
        <v>11</v>
      </c>
      <c r="C173" s="295"/>
      <c r="D173" s="697">
        <f ca="1">D172</f>
        <v>1819802</v>
      </c>
      <c r="E173" s="697"/>
      <c r="F173" s="697"/>
      <c r="G173" s="697"/>
      <c r="H173" s="697"/>
      <c r="I173" s="697"/>
      <c r="J173" s="698" t="s">
        <v>1256</v>
      </c>
      <c r="K173" s="699"/>
      <c r="L173" s="699"/>
      <c r="M173" s="699"/>
      <c r="N173" s="699"/>
      <c r="O173" s="699"/>
      <c r="P173" s="699"/>
      <c r="Q173" s="699"/>
      <c r="R173" s="700"/>
      <c r="Y173" s="318">
        <f ca="1">D173</f>
        <v>1819802</v>
      </c>
      <c r="AA173" s="324"/>
    </row>
    <row r="174" spans="2:27" ht="14.25" x14ac:dyDescent="0.2">
      <c r="B174" s="289"/>
      <c r="C174" s="289"/>
      <c r="D174" s="319"/>
      <c r="E174" s="320"/>
      <c r="F174" s="320"/>
      <c r="G174" s="320"/>
      <c r="H174" s="320"/>
      <c r="I174" s="320"/>
      <c r="J174" s="321"/>
      <c r="K174" s="320"/>
      <c r="L174" s="322"/>
      <c r="M174" s="320"/>
      <c r="N174" s="320"/>
      <c r="O174" s="320"/>
      <c r="P174" s="320"/>
      <c r="Q174" s="320"/>
      <c r="R174" s="320"/>
    </row>
    <row r="175" spans="2:27"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J167:R167"/>
    <mergeCell ref="J168:R168"/>
    <mergeCell ref="J169:R169"/>
    <mergeCell ref="J170:R170"/>
    <mergeCell ref="D171:I171"/>
    <mergeCell ref="J171:R171"/>
    <mergeCell ref="D172:I172"/>
    <mergeCell ref="J172:R172"/>
    <mergeCell ref="D173:I173"/>
    <mergeCell ref="J173:R173"/>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pageSetUpPr fitToPage="1"/>
  </sheetPr>
  <dimension ref="A1:AA175"/>
  <sheetViews>
    <sheetView view="pageBreakPreview" topLeftCell="B149" zoomScale="70" zoomScaleSheetLayoutView="70" workbookViewId="0">
      <selection activeCell="D158" sqref="D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9.140625" style="286"/>
    <col min="25" max="25" width="15" style="286" customWidth="1"/>
    <col min="26" max="26" width="9.140625" style="286"/>
    <col min="27" max="27" width="16.42578125" style="286" customWidth="1"/>
    <col min="28"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1266</v>
      </c>
      <c r="C4" s="731"/>
      <c r="D4" s="731"/>
      <c r="E4" s="731"/>
      <c r="F4" s="731"/>
      <c r="G4" s="731"/>
      <c r="H4" s="731"/>
      <c r="I4" s="731"/>
      <c r="J4" s="731"/>
      <c r="K4" s="731"/>
      <c r="L4" s="731"/>
      <c r="M4" s="731"/>
      <c r="N4" s="731"/>
      <c r="O4" s="731"/>
      <c r="P4" s="731"/>
      <c r="Q4" s="731"/>
      <c r="R4" s="731"/>
    </row>
    <row r="5" spans="2:20" x14ac:dyDescent="0.25">
      <c r="B5" s="731" t="s">
        <v>1267</v>
      </c>
      <c r="C5" s="731"/>
      <c r="D5" s="731"/>
      <c r="E5" s="731"/>
      <c r="F5" s="731"/>
      <c r="G5" s="731"/>
      <c r="H5" s="731"/>
      <c r="I5" s="731"/>
      <c r="J5" s="731"/>
      <c r="K5" s="731"/>
      <c r="L5" s="731"/>
      <c r="M5" s="731"/>
      <c r="N5" s="731"/>
      <c r="O5" s="731"/>
      <c r="P5" s="731"/>
      <c r="Q5" s="731"/>
      <c r="R5" s="731"/>
    </row>
    <row r="6" spans="2:20" ht="13.5" customHeight="1" x14ac:dyDescent="0.25">
      <c r="B6" s="286" t="s">
        <v>1036</v>
      </c>
      <c r="G6" s="732" t="s">
        <v>1268</v>
      </c>
      <c r="H6" s="733"/>
      <c r="I6" s="733"/>
      <c r="J6" s="733"/>
      <c r="K6" s="733"/>
      <c r="L6" s="733"/>
      <c r="M6" s="733"/>
      <c r="N6" s="733"/>
      <c r="O6" s="733"/>
      <c r="P6" s="733"/>
      <c r="Q6" s="733"/>
      <c r="R6" s="733"/>
    </row>
    <row r="7" spans="2:20" ht="156" customHeight="1"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'3.5.3 АСУТП этап16'!G11</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1071</v>
      </c>
      <c r="I71" s="699"/>
      <c r="J71" s="699"/>
      <c r="K71" s="699"/>
      <c r="L71" s="700"/>
      <c r="M71" s="295">
        <f t="shared" ref="M71:R71" ca="1" si="0">IF(D24="Да",SUMIF($H72:$L77,$H71,M72:M77),0)</f>
        <v>1</v>
      </c>
      <c r="N71" s="295">
        <f t="shared" si="0"/>
        <v>0</v>
      </c>
      <c r="O71" s="295">
        <f t="shared" si="0"/>
        <v>0</v>
      </c>
      <c r="P71" s="295">
        <f t="shared" ca="1" si="0"/>
        <v>1</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1081</v>
      </c>
      <c r="I78" s="699"/>
      <c r="J78" s="699"/>
      <c r="K78" s="699"/>
      <c r="L78" s="700"/>
      <c r="M78" s="295">
        <f t="shared" ref="M78:R78" ca="1" si="1">IF(D24="Да",SUMIF($H79:$L85,$H78,M79:M85),0)</f>
        <v>3</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1130</v>
      </c>
      <c r="I86" s="699"/>
      <c r="J86" s="699"/>
      <c r="K86" s="699"/>
      <c r="L86" s="700"/>
      <c r="M86" s="295">
        <f t="shared" ref="M86:R86" ca="1" si="2">IF(D24="Да",SUMIF($H87:$L90,$H86,M87:M90),0)</f>
        <v>6</v>
      </c>
      <c r="N86" s="295">
        <f t="shared" si="2"/>
        <v>0</v>
      </c>
      <c r="O86" s="295">
        <f t="shared" si="2"/>
        <v>0</v>
      </c>
      <c r="P86" s="295">
        <f t="shared" ca="1" si="2"/>
        <v>5</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1136</v>
      </c>
      <c r="I91" s="699"/>
      <c r="J91" s="699"/>
      <c r="K91" s="699"/>
      <c r="L91" s="700"/>
      <c r="M91" s="295">
        <f t="shared" ref="M91:R91" ca="1" si="3">IF(D24="Да",SUMIF($H92:$L98,$H91,M92:M98),0)</f>
        <v>5</v>
      </c>
      <c r="N91" s="295">
        <f t="shared" si="3"/>
        <v>0</v>
      </c>
      <c r="O91" s="295">
        <f t="shared" si="3"/>
        <v>0</v>
      </c>
      <c r="P91" s="295">
        <f t="shared" ca="1" si="3"/>
        <v>5</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1151</v>
      </c>
      <c r="I99" s="699"/>
      <c r="J99" s="699"/>
      <c r="K99" s="699"/>
      <c r="L99" s="700"/>
      <c r="M99" s="295">
        <f t="shared" ref="M99:R99" ca="1" si="4">IF(D24="Да",SUMIF($H100:$L104,$H99,M100:M104),0)</f>
        <v>5</v>
      </c>
      <c r="N99" s="295">
        <f t="shared" si="4"/>
        <v>0</v>
      </c>
      <c r="O99" s="295">
        <f t="shared" si="4"/>
        <v>0</v>
      </c>
      <c r="P99" s="295">
        <f t="shared" ca="1" si="4"/>
        <v>7</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1101</v>
      </c>
      <c r="I105" s="699"/>
      <c r="J105" s="699"/>
      <c r="K105" s="699"/>
      <c r="L105" s="700"/>
      <c r="M105" s="295">
        <f t="shared" ref="M105:R105" ca="1" si="5">IF(D24="Да",SUMIF($H106:$L119,$H105,M106:M119),0)</f>
        <v>3</v>
      </c>
      <c r="N105" s="295">
        <f t="shared" si="5"/>
        <v>0</v>
      </c>
      <c r="O105" s="295">
        <f t="shared" si="5"/>
        <v>0</v>
      </c>
      <c r="P105" s="295">
        <f t="shared" ca="1" si="5"/>
        <v>5</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1182</v>
      </c>
      <c r="I120" s="699"/>
      <c r="J120" s="699"/>
      <c r="K120" s="699"/>
      <c r="L120" s="700"/>
      <c r="M120" s="295">
        <f t="shared" ref="M120:R120" ca="1" si="6">IF(D24="Да",SUMIF($H121:$L134,$H120,M121:M134),0)</f>
        <v>4</v>
      </c>
      <c r="N120" s="295">
        <f t="shared" si="6"/>
        <v>0</v>
      </c>
      <c r="O120" s="295">
        <f t="shared" si="6"/>
        <v>0</v>
      </c>
      <c r="P120" s="295">
        <f t="shared" ca="1" si="6"/>
        <v>6</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27</v>
      </c>
      <c r="N135" s="295">
        <f t="shared" ref="N135:R135" si="7">N71+N78+N86+N91+N99+N105+N120</f>
        <v>0</v>
      </c>
      <c r="O135" s="295">
        <f>O71+O78+O86+O91+O99+O105+O120</f>
        <v>0</v>
      </c>
      <c r="P135" s="295">
        <f t="shared" ca="1" si="7"/>
        <v>31</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v>
      </c>
      <c r="D149" s="295">
        <f t="shared" si="10"/>
        <v>1</v>
      </c>
      <c r="E149" s="295">
        <f t="shared" si="10"/>
        <v>1</v>
      </c>
      <c r="F149" s="295">
        <f t="shared" si="10"/>
        <v>1</v>
      </c>
      <c r="G149" s="295">
        <f t="shared" si="10"/>
        <v>1</v>
      </c>
      <c r="H149" s="295">
        <f t="shared" si="10"/>
        <v>1</v>
      </c>
      <c r="I149" s="295">
        <f t="shared" si="10"/>
        <v>1</v>
      </c>
      <c r="J149" s="295" t="s">
        <v>1223</v>
      </c>
      <c r="K149" s="311" t="s">
        <v>1209</v>
      </c>
      <c r="L149" s="716" t="s">
        <v>1224</v>
      </c>
      <c r="M149" s="716"/>
      <c r="N149" s="716"/>
      <c r="O149" s="716"/>
      <c r="P149" s="716"/>
      <c r="Q149" s="312" t="str">
        <f t="shared" si="11"/>
        <v>-</v>
      </c>
      <c r="R149" s="312" t="s">
        <v>1046</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v>
      </c>
      <c r="D154" s="295">
        <f>SUM(D142:D152)-10</f>
        <v>1</v>
      </c>
      <c r="E154" s="295">
        <f>SUM(E142:E152)-10</f>
        <v>1</v>
      </c>
      <c r="F154" s="295">
        <f t="shared" ref="F154:I154" si="13">SUM(F142:F152)-10</f>
        <v>1</v>
      </c>
      <c r="G154" s="295">
        <f t="shared" si="13"/>
        <v>1.1999999999999993</v>
      </c>
      <c r="H154" s="295">
        <f t="shared" si="13"/>
        <v>1</v>
      </c>
      <c r="I154" s="295">
        <f t="shared" si="13"/>
        <v>1</v>
      </c>
      <c r="J154" s="314"/>
      <c r="K154" s="698" t="s">
        <v>1232</v>
      </c>
      <c r="L154" s="699"/>
      <c r="M154" s="699"/>
      <c r="N154" s="699"/>
      <c r="O154" s="699"/>
      <c r="P154" s="699"/>
      <c r="Q154" s="699"/>
      <c r="R154" s="700"/>
    </row>
    <row r="155" spans="2:21" s="310" customFormat="1" ht="24.75" customHeight="1" x14ac:dyDescent="0.2">
      <c r="B155" s="295">
        <v>17</v>
      </c>
      <c r="C155" s="295">
        <f>C153*C154</f>
        <v>0.6</v>
      </c>
      <c r="D155" s="295">
        <f>D153*D154</f>
        <v>0.6</v>
      </c>
      <c r="E155" s="295">
        <f>E153*E154</f>
        <v>0.6</v>
      </c>
      <c r="F155" s="295">
        <f t="shared" ref="F155:I155" si="14">F153*F154</f>
        <v>0.6</v>
      </c>
      <c r="G155" s="295">
        <f t="shared" si="14"/>
        <v>0.71999999999999953</v>
      </c>
      <c r="H155" s="295">
        <f t="shared" si="14"/>
        <v>0.6</v>
      </c>
      <c r="I155" s="295">
        <f t="shared" si="14"/>
        <v>0.6</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7"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7"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7"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7" ht="25.5" customHeight="1" x14ac:dyDescent="0.25">
      <c r="B164" s="295">
        <v>1</v>
      </c>
      <c r="C164" s="295">
        <f>M67</f>
        <v>0</v>
      </c>
      <c r="D164" s="295">
        <f t="shared" ref="D164:I164" ca="1" si="15">M135</f>
        <v>27</v>
      </c>
      <c r="E164" s="295">
        <f t="shared" si="15"/>
        <v>0</v>
      </c>
      <c r="F164" s="295">
        <f t="shared" si="15"/>
        <v>0</v>
      </c>
      <c r="G164" s="295">
        <f t="shared" ca="1" si="15"/>
        <v>31</v>
      </c>
      <c r="H164" s="295">
        <f t="shared" si="15"/>
        <v>0</v>
      </c>
      <c r="I164" s="295">
        <f t="shared" si="15"/>
        <v>0</v>
      </c>
      <c r="J164" s="698" t="s">
        <v>1247</v>
      </c>
      <c r="K164" s="699"/>
      <c r="L164" s="699"/>
      <c r="M164" s="699"/>
      <c r="N164" s="699"/>
      <c r="O164" s="699"/>
      <c r="P164" s="699"/>
      <c r="Q164" s="699"/>
      <c r="R164" s="700"/>
    </row>
    <row r="165" spans="2:27"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7"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7" ht="25.5" customHeight="1" x14ac:dyDescent="0.25">
      <c r="B167" s="295">
        <v>4</v>
      </c>
      <c r="C167" s="316">
        <f>C164*C165*C166</f>
        <v>0</v>
      </c>
      <c r="D167" s="316">
        <f ca="1">D164*D165*D166</f>
        <v>424.71000000000004</v>
      </c>
      <c r="E167" s="316">
        <f>E164*E165*E166</f>
        <v>0</v>
      </c>
      <c r="F167" s="316">
        <f t="shared" ref="F167:I167" si="16">F164*F165*F166</f>
        <v>0</v>
      </c>
      <c r="G167" s="316">
        <f t="shared" ca="1" si="16"/>
        <v>1046.8700000000001</v>
      </c>
      <c r="H167" s="316">
        <f t="shared" si="16"/>
        <v>0</v>
      </c>
      <c r="I167" s="316">
        <f t="shared" si="16"/>
        <v>0</v>
      </c>
      <c r="J167" s="698" t="s">
        <v>1250</v>
      </c>
      <c r="K167" s="699"/>
      <c r="L167" s="699"/>
      <c r="M167" s="699"/>
      <c r="N167" s="699"/>
      <c r="O167" s="699"/>
      <c r="P167" s="699"/>
      <c r="Q167" s="699"/>
      <c r="R167" s="700"/>
    </row>
    <row r="168" spans="2:27" ht="25.5" customHeight="1" x14ac:dyDescent="0.25">
      <c r="B168" s="295">
        <v>5</v>
      </c>
      <c r="C168" s="316">
        <f t="shared" ref="C168:I168" si="17">C167*C155</f>
        <v>0</v>
      </c>
      <c r="D168" s="316">
        <f t="shared" ca="1" si="17"/>
        <v>254.82600000000002</v>
      </c>
      <c r="E168" s="316">
        <f t="shared" si="17"/>
        <v>0</v>
      </c>
      <c r="F168" s="316">
        <f t="shared" si="17"/>
        <v>0</v>
      </c>
      <c r="G168" s="316">
        <f t="shared" ca="1" si="17"/>
        <v>753.74639999999954</v>
      </c>
      <c r="H168" s="316">
        <f t="shared" si="17"/>
        <v>0</v>
      </c>
      <c r="I168" s="316">
        <f t="shared" si="17"/>
        <v>0</v>
      </c>
      <c r="J168" s="698" t="s">
        <v>1251</v>
      </c>
      <c r="K168" s="699"/>
      <c r="L168" s="699"/>
      <c r="M168" s="699"/>
      <c r="N168" s="699"/>
      <c r="O168" s="699"/>
      <c r="P168" s="699"/>
      <c r="Q168" s="699"/>
      <c r="R168" s="700"/>
    </row>
    <row r="169" spans="2:27" ht="25.5" customHeight="1" x14ac:dyDescent="0.25">
      <c r="B169" s="295">
        <v>6</v>
      </c>
      <c r="C169" s="316">
        <f t="shared" ref="C169:I169" si="18">C168*C156*C157*C158</f>
        <v>0</v>
      </c>
      <c r="D169" s="316">
        <f t="shared" ca="1" si="18"/>
        <v>1287.8906039999999</v>
      </c>
      <c r="E169" s="316">
        <f t="shared" si="18"/>
        <v>0</v>
      </c>
      <c r="F169" s="316">
        <f t="shared" si="18"/>
        <v>0</v>
      </c>
      <c r="G169" s="316">
        <f t="shared" ca="1" si="18"/>
        <v>3809.4343055999971</v>
      </c>
      <c r="H169" s="316">
        <f t="shared" si="18"/>
        <v>0</v>
      </c>
      <c r="I169" s="316">
        <f t="shared" si="18"/>
        <v>0</v>
      </c>
      <c r="J169" s="698" t="s">
        <v>1252</v>
      </c>
      <c r="K169" s="699"/>
      <c r="L169" s="699"/>
      <c r="M169" s="699"/>
      <c r="N169" s="699"/>
      <c r="O169" s="699"/>
      <c r="P169" s="699"/>
      <c r="Q169" s="699"/>
      <c r="R169" s="700"/>
    </row>
    <row r="170" spans="2:27" ht="25.5" customHeight="1" x14ac:dyDescent="0.25">
      <c r="B170" s="295">
        <v>7</v>
      </c>
      <c r="C170" s="317"/>
      <c r="D170" s="317">
        <f t="shared" ref="D170:I170" ca="1" si="19">D169*D160</f>
        <v>386.36718119999995</v>
      </c>
      <c r="E170" s="317">
        <f t="shared" si="19"/>
        <v>0</v>
      </c>
      <c r="F170" s="317">
        <f t="shared" si="19"/>
        <v>0</v>
      </c>
      <c r="G170" s="317">
        <f t="shared" ca="1" si="19"/>
        <v>2285.6605833599983</v>
      </c>
      <c r="H170" s="317">
        <f t="shared" si="19"/>
        <v>0</v>
      </c>
      <c r="I170" s="317">
        <f t="shared" si="19"/>
        <v>0</v>
      </c>
      <c r="J170" s="698" t="s">
        <v>1253</v>
      </c>
      <c r="K170" s="699"/>
      <c r="L170" s="699"/>
      <c r="M170" s="699"/>
      <c r="N170" s="699"/>
      <c r="O170" s="699"/>
      <c r="P170" s="699"/>
      <c r="Q170" s="699"/>
      <c r="R170" s="700"/>
    </row>
    <row r="171" spans="2:27" ht="46.5" customHeight="1" x14ac:dyDescent="0.25">
      <c r="B171" s="295">
        <v>8</v>
      </c>
      <c r="C171" s="295"/>
      <c r="D171" s="701">
        <f ca="1">SUM(D170:I170)*1000</f>
        <v>2672027.7645599982</v>
      </c>
      <c r="E171" s="701"/>
      <c r="F171" s="701"/>
      <c r="G171" s="701"/>
      <c r="H171" s="701"/>
      <c r="I171" s="701"/>
      <c r="J171" s="698" t="s">
        <v>1254</v>
      </c>
      <c r="K171" s="699"/>
      <c r="L171" s="699"/>
      <c r="M171" s="699"/>
      <c r="N171" s="699"/>
      <c r="O171" s="699"/>
      <c r="P171" s="699"/>
      <c r="Q171" s="699"/>
      <c r="R171" s="700"/>
    </row>
    <row r="172" spans="2:27" ht="41.25" customHeight="1" x14ac:dyDescent="0.25">
      <c r="B172" s="295">
        <v>9</v>
      </c>
      <c r="C172" s="295"/>
      <c r="D172" s="702">
        <f ca="1">ROUND(D171*0.8,0)</f>
        <v>2137622</v>
      </c>
      <c r="E172" s="703"/>
      <c r="F172" s="703"/>
      <c r="G172" s="703"/>
      <c r="H172" s="703"/>
      <c r="I172" s="704"/>
      <c r="J172" s="698" t="s">
        <v>1255</v>
      </c>
      <c r="K172" s="699"/>
      <c r="L172" s="699"/>
      <c r="M172" s="699"/>
      <c r="N172" s="699"/>
      <c r="O172" s="699"/>
      <c r="P172" s="699"/>
      <c r="Q172" s="699"/>
      <c r="R172" s="700"/>
    </row>
    <row r="173" spans="2:27" ht="28.5" customHeight="1" x14ac:dyDescent="0.25">
      <c r="B173" s="295">
        <v>11</v>
      </c>
      <c r="C173" s="295"/>
      <c r="D173" s="697">
        <f ca="1">D172</f>
        <v>2137622</v>
      </c>
      <c r="E173" s="697"/>
      <c r="F173" s="697"/>
      <c r="G173" s="697"/>
      <c r="H173" s="697"/>
      <c r="I173" s="697"/>
      <c r="J173" s="698" t="s">
        <v>1256</v>
      </c>
      <c r="K173" s="699"/>
      <c r="L173" s="699"/>
      <c r="M173" s="699"/>
      <c r="N173" s="699"/>
      <c r="O173" s="699"/>
      <c r="P173" s="699"/>
      <c r="Q173" s="699"/>
      <c r="R173" s="700"/>
      <c r="Y173" s="318">
        <f ca="1">D173</f>
        <v>2137622</v>
      </c>
      <c r="AA173" s="324"/>
    </row>
    <row r="174" spans="2:27" ht="14.25" x14ac:dyDescent="0.2">
      <c r="B174" s="289"/>
      <c r="C174" s="289"/>
      <c r="D174" s="319"/>
      <c r="E174" s="320"/>
      <c r="F174" s="320"/>
      <c r="G174" s="320"/>
      <c r="H174" s="320"/>
      <c r="I174" s="320"/>
      <c r="J174" s="321"/>
      <c r="K174" s="320"/>
      <c r="L174" s="322"/>
      <c r="M174" s="320"/>
      <c r="N174" s="320"/>
      <c r="O174" s="320"/>
      <c r="P174" s="320"/>
      <c r="Q174" s="320"/>
      <c r="R174" s="320"/>
    </row>
    <row r="175" spans="2:27"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8"/>
    <pageSetUpPr fitToPage="1"/>
  </sheetPr>
  <dimension ref="A1:AB175"/>
  <sheetViews>
    <sheetView topLeftCell="B150" zoomScale="70" zoomScaleNormal="70" workbookViewId="0">
      <selection activeCell="D158" sqref="D158:R158"/>
    </sheetView>
  </sheetViews>
  <sheetFormatPr defaultColWidth="9.140625" defaultRowHeight="12.75" outlineLevelRow="1" x14ac:dyDescent="0.25"/>
  <cols>
    <col min="1" max="1" width="4.5703125" style="325" hidden="1" customWidth="1"/>
    <col min="2" max="2" width="4.5703125" style="325" customWidth="1"/>
    <col min="3" max="3" width="11" style="325" hidden="1" customWidth="1"/>
    <col min="4" max="8" width="11" style="325" customWidth="1"/>
    <col min="9" max="9" width="15.5703125" style="325" customWidth="1"/>
    <col min="10" max="11" width="8.7109375" style="325" customWidth="1"/>
    <col min="12" max="12" width="15" style="325" customWidth="1"/>
    <col min="13" max="18" width="8.7109375" style="325" customWidth="1"/>
    <col min="19" max="19" width="0" style="325" hidden="1" customWidth="1"/>
    <col min="20" max="23" width="9.140625" style="325" hidden="1" customWidth="1"/>
    <col min="24" max="24" width="9.140625" style="325"/>
    <col min="25" max="25" width="18.7109375" style="325" customWidth="1"/>
    <col min="26" max="27" width="9.140625" style="325"/>
    <col min="28" max="28" width="13.5703125" style="325" customWidth="1"/>
    <col min="29" max="16384" width="9.140625" style="325"/>
  </cols>
  <sheetData>
    <row r="1" spans="2:20" hidden="1" x14ac:dyDescent="0.25">
      <c r="B1" s="325">
        <v>5</v>
      </c>
    </row>
    <row r="2" spans="2:20" ht="17.25" hidden="1" customHeight="1" x14ac:dyDescent="0.25">
      <c r="O2" s="767"/>
      <c r="P2" s="767"/>
      <c r="Q2" s="767"/>
      <c r="R2" s="767"/>
      <c r="S2" s="326"/>
      <c r="T2" s="326"/>
    </row>
    <row r="3" spans="2:20" hidden="1" x14ac:dyDescent="0.25"/>
    <row r="4" spans="2:20" ht="15.75" customHeight="1" x14ac:dyDescent="0.25">
      <c r="B4" s="768" t="s">
        <v>1269</v>
      </c>
      <c r="C4" s="768"/>
      <c r="D4" s="768"/>
      <c r="E4" s="768"/>
      <c r="F4" s="768"/>
      <c r="G4" s="768"/>
      <c r="H4" s="768"/>
      <c r="I4" s="768"/>
      <c r="J4" s="768"/>
      <c r="K4" s="768"/>
      <c r="L4" s="768"/>
      <c r="M4" s="768"/>
      <c r="N4" s="768"/>
      <c r="O4" s="768"/>
      <c r="P4" s="768"/>
      <c r="Q4" s="768"/>
      <c r="R4" s="768"/>
    </row>
    <row r="5" spans="2:20" x14ac:dyDescent="0.25">
      <c r="B5" s="768" t="s">
        <v>1270</v>
      </c>
      <c r="C5" s="768"/>
      <c r="D5" s="768"/>
      <c r="E5" s="768"/>
      <c r="F5" s="768"/>
      <c r="G5" s="768"/>
      <c r="H5" s="768"/>
      <c r="I5" s="768"/>
      <c r="J5" s="768"/>
      <c r="K5" s="768"/>
      <c r="L5" s="768"/>
      <c r="M5" s="768"/>
      <c r="N5" s="768"/>
      <c r="O5" s="768"/>
      <c r="P5" s="768"/>
      <c r="Q5" s="768"/>
      <c r="R5" s="768"/>
    </row>
    <row r="6" spans="2:20" ht="13.5" customHeight="1" x14ac:dyDescent="0.25">
      <c r="B6" s="325" t="s">
        <v>1036</v>
      </c>
      <c r="G6" s="769" t="s">
        <v>1271</v>
      </c>
      <c r="H6" s="770"/>
      <c r="I6" s="770"/>
      <c r="J6" s="770"/>
      <c r="K6" s="770"/>
      <c r="L6" s="770"/>
      <c r="M6" s="770"/>
      <c r="N6" s="770"/>
      <c r="O6" s="770"/>
      <c r="P6" s="770"/>
      <c r="Q6" s="770"/>
      <c r="R6" s="770"/>
    </row>
    <row r="7" spans="2:20" ht="144.75" customHeight="1" x14ac:dyDescent="0.25">
      <c r="G7" s="770"/>
      <c r="H7" s="770"/>
      <c r="I7" s="770"/>
      <c r="J7" s="770"/>
      <c r="K7" s="770"/>
      <c r="L7" s="770"/>
      <c r="M7" s="770"/>
      <c r="N7" s="770"/>
      <c r="O7" s="770"/>
      <c r="P7" s="770"/>
      <c r="Q7" s="770"/>
      <c r="R7" s="770"/>
    </row>
    <row r="8" spans="2:20" x14ac:dyDescent="0.25">
      <c r="B8" s="325" t="s">
        <v>1038</v>
      </c>
      <c r="G8" s="325" t="s">
        <v>5</v>
      </c>
    </row>
    <row r="9" spans="2:20" ht="3.75" customHeight="1" x14ac:dyDescent="0.25"/>
    <row r="10" spans="2:20" hidden="1" x14ac:dyDescent="0.25">
      <c r="B10" s="325" t="s">
        <v>1039</v>
      </c>
    </row>
    <row r="11" spans="2:20" x14ac:dyDescent="0.25">
      <c r="B11" s="325" t="s">
        <v>1040</v>
      </c>
      <c r="G11" s="771" t="s">
        <v>7</v>
      </c>
      <c r="H11" s="771"/>
      <c r="I11" s="771"/>
      <c r="J11" s="771"/>
      <c r="K11" s="771"/>
      <c r="L11" s="771"/>
    </row>
    <row r="13" spans="2:20" x14ac:dyDescent="0.25">
      <c r="B13" s="772" t="s">
        <v>1041</v>
      </c>
      <c r="C13" s="772"/>
      <c r="D13" s="772"/>
      <c r="E13" s="772"/>
      <c r="F13" s="772"/>
      <c r="G13" s="772"/>
      <c r="H13" s="772"/>
      <c r="I13" s="772"/>
      <c r="J13" s="772"/>
      <c r="K13" s="772"/>
      <c r="L13" s="772"/>
      <c r="M13" s="772"/>
      <c r="N13" s="772"/>
      <c r="O13" s="772"/>
      <c r="P13" s="772"/>
      <c r="Q13" s="772"/>
      <c r="R13" s="772"/>
    </row>
    <row r="15" spans="2:20" ht="25.5" customHeight="1" x14ac:dyDescent="0.25">
      <c r="B15" s="745" t="s">
        <v>1042</v>
      </c>
      <c r="C15" s="746"/>
      <c r="D15" s="746"/>
      <c r="E15" s="746"/>
      <c r="F15" s="746"/>
      <c r="G15" s="746"/>
      <c r="H15" s="746"/>
      <c r="I15" s="773"/>
      <c r="J15" s="773"/>
      <c r="K15" s="773"/>
      <c r="L15" s="773"/>
      <c r="M15" s="773"/>
      <c r="N15" s="773"/>
      <c r="O15" s="773"/>
      <c r="P15" s="773"/>
      <c r="Q15" s="773"/>
      <c r="R15" s="774"/>
    </row>
    <row r="16" spans="2:20" hidden="1" x14ac:dyDescent="0.25">
      <c r="B16" s="327" t="s">
        <v>1043</v>
      </c>
      <c r="C16" s="328"/>
      <c r="D16" s="328"/>
      <c r="E16" s="328"/>
      <c r="F16" s="328"/>
      <c r="G16" s="328"/>
      <c r="H16" s="328"/>
      <c r="I16" s="329"/>
      <c r="J16" s="329"/>
      <c r="K16" s="329"/>
      <c r="L16" s="329"/>
      <c r="M16" s="329"/>
      <c r="N16" s="329"/>
      <c r="O16" s="329"/>
      <c r="P16" s="329"/>
      <c r="Q16" s="329"/>
      <c r="R16" s="330"/>
    </row>
    <row r="17" spans="2:18" hidden="1" x14ac:dyDescent="0.25">
      <c r="B17" s="327" t="s">
        <v>1043</v>
      </c>
      <c r="C17" s="328"/>
      <c r="D17" s="328"/>
      <c r="E17" s="328"/>
      <c r="F17" s="328"/>
      <c r="G17" s="328"/>
      <c r="H17" s="328"/>
      <c r="R17" s="331"/>
    </row>
    <row r="18" spans="2:18" hidden="1" x14ac:dyDescent="0.25">
      <c r="B18" s="327" t="s">
        <v>1044</v>
      </c>
      <c r="C18" s="328"/>
      <c r="D18" s="328"/>
      <c r="E18" s="328"/>
      <c r="F18" s="328"/>
      <c r="G18" s="328"/>
      <c r="H18" s="328"/>
      <c r="R18" s="331"/>
    </row>
    <row r="19" spans="2:18" x14ac:dyDescent="0.25">
      <c r="B19" s="327" t="s">
        <v>1045</v>
      </c>
      <c r="C19" s="328"/>
      <c r="D19" s="328"/>
      <c r="E19" s="328"/>
      <c r="F19" s="328"/>
      <c r="G19" s="328"/>
      <c r="H19" s="332" t="s">
        <v>1046</v>
      </c>
      <c r="R19" s="331"/>
    </row>
    <row r="20" spans="2:18" hidden="1" x14ac:dyDescent="0.25">
      <c r="B20" s="327"/>
      <c r="C20" s="328"/>
      <c r="D20" s="328"/>
      <c r="E20" s="328"/>
      <c r="F20" s="328"/>
      <c r="G20" s="328"/>
      <c r="H20" s="328" t="s">
        <v>1047</v>
      </c>
      <c r="R20" s="331"/>
    </row>
    <row r="21" spans="2:18" hidden="1" x14ac:dyDescent="0.25">
      <c r="B21" s="327"/>
      <c r="C21" s="328"/>
      <c r="D21" s="328"/>
      <c r="E21" s="328"/>
      <c r="F21" s="328"/>
      <c r="G21" s="328"/>
      <c r="H21" s="328" t="s">
        <v>1046</v>
      </c>
      <c r="R21" s="331"/>
    </row>
    <row r="22" spans="2:18" x14ac:dyDescent="0.25">
      <c r="B22" s="327" t="s">
        <v>1048</v>
      </c>
      <c r="C22" s="328"/>
      <c r="D22" s="328"/>
      <c r="E22" s="328"/>
      <c r="F22" s="328"/>
      <c r="G22" s="328"/>
      <c r="H22" s="328"/>
      <c r="R22" s="331"/>
    </row>
    <row r="23" spans="2:18" x14ac:dyDescent="0.25">
      <c r="B23" s="327"/>
      <c r="D23" s="333" t="s">
        <v>1049</v>
      </c>
      <c r="E23" s="333" t="s">
        <v>1050</v>
      </c>
      <c r="F23" s="333" t="s">
        <v>1051</v>
      </c>
      <c r="G23" s="333" t="s">
        <v>1052</v>
      </c>
      <c r="H23" s="333" t="s">
        <v>1053</v>
      </c>
      <c r="I23" s="333" t="s">
        <v>1054</v>
      </c>
      <c r="R23" s="331"/>
    </row>
    <row r="24" spans="2:18" x14ac:dyDescent="0.25">
      <c r="B24" s="327"/>
      <c r="D24" s="332" t="s">
        <v>1047</v>
      </c>
      <c r="E24" s="332" t="s">
        <v>1046</v>
      </c>
      <c r="F24" s="332" t="s">
        <v>1046</v>
      </c>
      <c r="G24" s="332" t="s">
        <v>1047</v>
      </c>
      <c r="H24" s="332" t="s">
        <v>1046</v>
      </c>
      <c r="I24" s="332" t="s">
        <v>1046</v>
      </c>
      <c r="R24" s="331"/>
    </row>
    <row r="25" spans="2:18" hidden="1" x14ac:dyDescent="0.25">
      <c r="B25" s="327"/>
      <c r="C25" s="328"/>
      <c r="D25" s="334" t="s">
        <v>1047</v>
      </c>
      <c r="E25" s="334" t="s">
        <v>1047</v>
      </c>
      <c r="F25" s="334" t="s">
        <v>1047</v>
      </c>
      <c r="G25" s="334" t="s">
        <v>1047</v>
      </c>
      <c r="H25" s="334" t="s">
        <v>1047</v>
      </c>
      <c r="I25" s="335" t="s">
        <v>1047</v>
      </c>
      <c r="J25" s="336"/>
      <c r="K25" s="336"/>
      <c r="L25" s="336"/>
      <c r="M25" s="336"/>
      <c r="N25" s="336"/>
      <c r="O25" s="336"/>
      <c r="P25" s="336"/>
      <c r="Q25" s="336"/>
      <c r="R25" s="337"/>
    </row>
    <row r="26" spans="2:18" hidden="1" x14ac:dyDescent="0.25">
      <c r="B26" s="327"/>
      <c r="C26" s="328"/>
      <c r="D26" s="334" t="s">
        <v>1046</v>
      </c>
      <c r="E26" s="334" t="s">
        <v>1046</v>
      </c>
      <c r="F26" s="334" t="s">
        <v>1046</v>
      </c>
      <c r="G26" s="334" t="s">
        <v>1046</v>
      </c>
      <c r="H26" s="334" t="s">
        <v>1046</v>
      </c>
      <c r="I26" s="334" t="s">
        <v>1046</v>
      </c>
      <c r="J26" s="328"/>
      <c r="K26" s="328"/>
      <c r="L26" s="328"/>
      <c r="M26" s="328"/>
      <c r="N26" s="328"/>
      <c r="O26" s="328"/>
      <c r="P26" s="328"/>
      <c r="Q26" s="328"/>
      <c r="R26" s="338"/>
    </row>
    <row r="27" spans="2:18" ht="25.5" customHeight="1" x14ac:dyDescent="0.25">
      <c r="B27" s="745" t="s">
        <v>1055</v>
      </c>
      <c r="C27" s="746"/>
      <c r="D27" s="746"/>
      <c r="E27" s="746"/>
      <c r="F27" s="746"/>
      <c r="G27" s="746"/>
      <c r="H27" s="746"/>
      <c r="I27" s="746"/>
      <c r="J27" s="746"/>
      <c r="K27" s="746"/>
      <c r="L27" s="746"/>
      <c r="M27" s="746"/>
      <c r="N27" s="746"/>
      <c r="O27" s="746"/>
      <c r="P27" s="746"/>
      <c r="Q27" s="746"/>
      <c r="R27" s="747"/>
    </row>
    <row r="28" spans="2:18" hidden="1" x14ac:dyDescent="0.25">
      <c r="B28" s="327" t="s">
        <v>1056</v>
      </c>
      <c r="C28" s="328"/>
      <c r="D28" s="328"/>
      <c r="E28" s="328"/>
      <c r="F28" s="328"/>
      <c r="G28" s="328"/>
      <c r="H28" s="328"/>
      <c r="I28" s="328"/>
      <c r="J28" s="328"/>
      <c r="K28" s="328"/>
      <c r="L28" s="328"/>
      <c r="M28" s="328"/>
      <c r="N28" s="328"/>
      <c r="O28" s="329"/>
      <c r="P28" s="329"/>
      <c r="Q28" s="329"/>
      <c r="R28" s="330"/>
    </row>
    <row r="29" spans="2:18" hidden="1" x14ac:dyDescent="0.25">
      <c r="B29" s="748" t="s">
        <v>1057</v>
      </c>
      <c r="C29" s="748"/>
      <c r="D29" s="748"/>
      <c r="E29" s="748"/>
      <c r="F29" s="748"/>
      <c r="G29" s="748"/>
      <c r="H29" s="748"/>
      <c r="I29" s="748"/>
      <c r="J29" s="766"/>
      <c r="K29" s="766"/>
      <c r="L29" s="766"/>
      <c r="M29" s="750" t="s">
        <v>1058</v>
      </c>
      <c r="N29" s="751"/>
      <c r="O29" s="339"/>
      <c r="R29" s="331"/>
    </row>
    <row r="30" spans="2:18" ht="25.5" hidden="1" x14ac:dyDescent="0.25">
      <c r="B30" s="333" t="s">
        <v>90</v>
      </c>
      <c r="C30" s="754" t="s">
        <v>1059</v>
      </c>
      <c r="D30" s="756"/>
      <c r="E30" s="754" t="s">
        <v>1060</v>
      </c>
      <c r="F30" s="755"/>
      <c r="G30" s="756"/>
      <c r="H30" s="754" t="s">
        <v>1061</v>
      </c>
      <c r="I30" s="755"/>
      <c r="J30" s="755"/>
      <c r="K30" s="755"/>
      <c r="L30" s="756"/>
      <c r="M30" s="754" t="s">
        <v>1062</v>
      </c>
      <c r="N30" s="755"/>
      <c r="O30" s="339"/>
      <c r="R30" s="331"/>
    </row>
    <row r="31" spans="2:18" ht="24" hidden="1" customHeight="1" x14ac:dyDescent="0.25">
      <c r="B31" s="332">
        <v>1</v>
      </c>
      <c r="C31" s="757" t="s">
        <v>1063</v>
      </c>
      <c r="D31" s="758"/>
      <c r="E31" s="738" t="s">
        <v>1064</v>
      </c>
      <c r="F31" s="739"/>
      <c r="G31" s="740"/>
      <c r="H31" s="738" t="s">
        <v>1065</v>
      </c>
      <c r="I31" s="739"/>
      <c r="J31" s="739"/>
      <c r="K31" s="739"/>
      <c r="L31" s="740"/>
      <c r="M31" s="757">
        <f>IF(H19="Да",SUMIF($H32:$L35,$H31,M32:N35),0)</f>
        <v>0</v>
      </c>
      <c r="N31" s="765"/>
      <c r="O31" s="339"/>
      <c r="R31" s="331"/>
    </row>
    <row r="32" spans="2:18" ht="29.25" hidden="1" customHeight="1" x14ac:dyDescent="0.25">
      <c r="B32" s="343" t="s">
        <v>40</v>
      </c>
      <c r="C32" s="344"/>
      <c r="D32" s="328"/>
      <c r="E32" s="328"/>
      <c r="F32" s="328"/>
      <c r="G32" s="328"/>
      <c r="H32" s="738" t="s">
        <v>1065</v>
      </c>
      <c r="I32" s="739"/>
      <c r="J32" s="739"/>
      <c r="K32" s="739"/>
      <c r="L32" s="740"/>
      <c r="M32" s="757">
        <v>1</v>
      </c>
      <c r="N32" s="765"/>
      <c r="O32" s="339"/>
      <c r="R32" s="331"/>
    </row>
    <row r="33" spans="2:18" ht="28.5" hidden="1" customHeight="1" x14ac:dyDescent="0.25">
      <c r="B33" s="343" t="s">
        <v>42</v>
      </c>
      <c r="C33" s="344"/>
      <c r="D33" s="328"/>
      <c r="E33" s="328"/>
      <c r="F33" s="328"/>
      <c r="G33" s="328"/>
      <c r="H33" s="738" t="s">
        <v>1066</v>
      </c>
      <c r="I33" s="739"/>
      <c r="J33" s="739"/>
      <c r="K33" s="739"/>
      <c r="L33" s="740"/>
      <c r="M33" s="757">
        <v>2</v>
      </c>
      <c r="N33" s="765"/>
      <c r="O33" s="339"/>
      <c r="R33" s="331"/>
    </row>
    <row r="34" spans="2:18" ht="39" hidden="1" customHeight="1" x14ac:dyDescent="0.25">
      <c r="B34" s="343" t="s">
        <v>44</v>
      </c>
      <c r="C34" s="344"/>
      <c r="D34" s="328"/>
      <c r="E34" s="328"/>
      <c r="F34" s="328"/>
      <c r="G34" s="328"/>
      <c r="H34" s="738" t="s">
        <v>1067</v>
      </c>
      <c r="I34" s="739"/>
      <c r="J34" s="739"/>
      <c r="K34" s="739"/>
      <c r="L34" s="740"/>
      <c r="M34" s="757">
        <v>4</v>
      </c>
      <c r="N34" s="765"/>
      <c r="O34" s="339"/>
      <c r="R34" s="331"/>
    </row>
    <row r="35" spans="2:18" ht="25.5" hidden="1" customHeight="1" x14ac:dyDescent="0.25">
      <c r="B35" s="343" t="s">
        <v>46</v>
      </c>
      <c r="C35" s="344"/>
      <c r="D35" s="328"/>
      <c r="E35" s="328"/>
      <c r="F35" s="328"/>
      <c r="G35" s="328"/>
      <c r="H35" s="738" t="s">
        <v>1068</v>
      </c>
      <c r="I35" s="739"/>
      <c r="J35" s="739"/>
      <c r="K35" s="739"/>
      <c r="L35" s="740"/>
      <c r="M35" s="757">
        <v>8</v>
      </c>
      <c r="N35" s="765"/>
      <c r="O35" s="339"/>
      <c r="R35" s="331"/>
    </row>
    <row r="36" spans="2:18" ht="25.5" hidden="1" customHeight="1" x14ac:dyDescent="0.25">
      <c r="B36" s="332">
        <v>2</v>
      </c>
      <c r="C36" s="757" t="s">
        <v>1069</v>
      </c>
      <c r="D36" s="758"/>
      <c r="E36" s="738" t="s">
        <v>1070</v>
      </c>
      <c r="F36" s="739"/>
      <c r="G36" s="740"/>
      <c r="H36" s="738" t="s">
        <v>1071</v>
      </c>
      <c r="I36" s="739"/>
      <c r="J36" s="739"/>
      <c r="K36" s="739"/>
      <c r="L36" s="740"/>
      <c r="M36" s="757">
        <f>IF(H19="Да",SUMIF($H37:$L42,$H36,M37:N42),0)</f>
        <v>0</v>
      </c>
      <c r="N36" s="765"/>
      <c r="O36" s="339"/>
      <c r="R36" s="331"/>
    </row>
    <row r="37" spans="2:18" ht="38.25" hidden="1" customHeight="1" x14ac:dyDescent="0.25">
      <c r="B37" s="343" t="s">
        <v>48</v>
      </c>
      <c r="C37" s="344"/>
      <c r="D37" s="328"/>
      <c r="E37" s="328"/>
      <c r="F37" s="328"/>
      <c r="G37" s="328"/>
      <c r="H37" s="738" t="s">
        <v>1071</v>
      </c>
      <c r="I37" s="739"/>
      <c r="J37" s="739"/>
      <c r="K37" s="739"/>
      <c r="L37" s="740"/>
      <c r="M37" s="757">
        <v>1</v>
      </c>
      <c r="N37" s="765"/>
      <c r="O37" s="339"/>
      <c r="R37" s="331"/>
    </row>
    <row r="38" spans="2:18" ht="50.25" hidden="1" customHeight="1" x14ac:dyDescent="0.25">
      <c r="B38" s="343" t="s">
        <v>50</v>
      </c>
      <c r="C38" s="344"/>
      <c r="D38" s="328"/>
      <c r="E38" s="328"/>
      <c r="F38" s="328"/>
      <c r="G38" s="328"/>
      <c r="H38" s="738" t="s">
        <v>1072</v>
      </c>
      <c r="I38" s="739"/>
      <c r="J38" s="739"/>
      <c r="K38" s="739"/>
      <c r="L38" s="740"/>
      <c r="M38" s="757">
        <v>2</v>
      </c>
      <c r="N38" s="765"/>
      <c r="O38" s="339"/>
      <c r="R38" s="331"/>
    </row>
    <row r="39" spans="2:18" ht="27.75" hidden="1" customHeight="1" x14ac:dyDescent="0.25">
      <c r="B39" s="343" t="s">
        <v>52</v>
      </c>
      <c r="C39" s="344"/>
      <c r="D39" s="328"/>
      <c r="E39" s="328"/>
      <c r="F39" s="328"/>
      <c r="G39" s="328"/>
      <c r="H39" s="738" t="s">
        <v>1073</v>
      </c>
      <c r="I39" s="739"/>
      <c r="J39" s="739"/>
      <c r="K39" s="739"/>
      <c r="L39" s="740"/>
      <c r="M39" s="757">
        <v>4</v>
      </c>
      <c r="N39" s="765"/>
      <c r="O39" s="339"/>
      <c r="R39" s="331"/>
    </row>
    <row r="40" spans="2:18" ht="39" hidden="1" customHeight="1" x14ac:dyDescent="0.25">
      <c r="B40" s="343" t="s">
        <v>54</v>
      </c>
      <c r="C40" s="344"/>
      <c r="D40" s="328"/>
      <c r="E40" s="328"/>
      <c r="F40" s="328"/>
      <c r="G40" s="328"/>
      <c r="H40" s="738" t="s">
        <v>1074</v>
      </c>
      <c r="I40" s="739"/>
      <c r="J40" s="739"/>
      <c r="K40" s="739"/>
      <c r="L40" s="740"/>
      <c r="M40" s="757">
        <v>5</v>
      </c>
      <c r="N40" s="765"/>
      <c r="O40" s="339"/>
      <c r="R40" s="331"/>
    </row>
    <row r="41" spans="2:18" ht="39" hidden="1" customHeight="1" x14ac:dyDescent="0.25">
      <c r="B41" s="343" t="s">
        <v>1075</v>
      </c>
      <c r="C41" s="344"/>
      <c r="D41" s="328"/>
      <c r="E41" s="328"/>
      <c r="F41" s="328"/>
      <c r="G41" s="328"/>
      <c r="H41" s="738" t="s">
        <v>1076</v>
      </c>
      <c r="I41" s="739"/>
      <c r="J41" s="739"/>
      <c r="K41" s="739"/>
      <c r="L41" s="740"/>
      <c r="M41" s="757">
        <v>4</v>
      </c>
      <c r="N41" s="765"/>
      <c r="O41" s="339"/>
      <c r="R41" s="331"/>
    </row>
    <row r="42" spans="2:18" ht="26.25" hidden="1" customHeight="1" x14ac:dyDescent="0.25">
      <c r="B42" s="343" t="s">
        <v>1077</v>
      </c>
      <c r="C42" s="344"/>
      <c r="D42" s="328"/>
      <c r="E42" s="328"/>
      <c r="F42" s="328"/>
      <c r="G42" s="328"/>
      <c r="H42" s="738" t="s">
        <v>1078</v>
      </c>
      <c r="I42" s="739"/>
      <c r="J42" s="739"/>
      <c r="K42" s="739"/>
      <c r="L42" s="740"/>
      <c r="M42" s="757">
        <v>3</v>
      </c>
      <c r="N42" s="765"/>
      <c r="O42" s="339"/>
      <c r="R42" s="331"/>
    </row>
    <row r="43" spans="2:18" ht="32.25" hidden="1" customHeight="1" x14ac:dyDescent="0.25">
      <c r="B43" s="332">
        <v>3</v>
      </c>
      <c r="C43" s="757" t="s">
        <v>1079</v>
      </c>
      <c r="D43" s="758"/>
      <c r="E43" s="738" t="s">
        <v>1080</v>
      </c>
      <c r="F43" s="739"/>
      <c r="G43" s="740"/>
      <c r="H43" s="738" t="s">
        <v>1081</v>
      </c>
      <c r="I43" s="739"/>
      <c r="J43" s="739"/>
      <c r="K43" s="739"/>
      <c r="L43" s="740"/>
      <c r="M43" s="757">
        <f>IF(H19="Да",SUMIF($H44:$L51,$H43,M44:N51),0)</f>
        <v>0</v>
      </c>
      <c r="N43" s="765"/>
      <c r="O43" s="339"/>
      <c r="R43" s="331"/>
    </row>
    <row r="44" spans="2:18" hidden="1" x14ac:dyDescent="0.25">
      <c r="B44" s="343" t="s">
        <v>55</v>
      </c>
      <c r="C44" s="344"/>
      <c r="D44" s="328"/>
      <c r="E44" s="328"/>
      <c r="F44" s="328"/>
      <c r="G44" s="328"/>
      <c r="H44" s="738" t="s">
        <v>1082</v>
      </c>
      <c r="I44" s="739"/>
      <c r="J44" s="739"/>
      <c r="K44" s="739"/>
      <c r="L44" s="740"/>
      <c r="M44" s="757">
        <v>1</v>
      </c>
      <c r="N44" s="765"/>
      <c r="O44" s="339"/>
      <c r="R44" s="331"/>
    </row>
    <row r="45" spans="2:18" ht="12.75" hidden="1" customHeight="1" x14ac:dyDescent="0.25">
      <c r="B45" s="343" t="s">
        <v>57</v>
      </c>
      <c r="C45" s="344"/>
      <c r="D45" s="328"/>
      <c r="E45" s="328"/>
      <c r="F45" s="328"/>
      <c r="G45" s="328"/>
      <c r="H45" s="738" t="s">
        <v>1083</v>
      </c>
      <c r="I45" s="739"/>
      <c r="J45" s="739"/>
      <c r="K45" s="739"/>
      <c r="L45" s="740"/>
      <c r="M45" s="757">
        <v>2</v>
      </c>
      <c r="N45" s="765"/>
      <c r="O45" s="339"/>
      <c r="R45" s="331"/>
    </row>
    <row r="46" spans="2:18" ht="12.75" hidden="1" customHeight="1" x14ac:dyDescent="0.25">
      <c r="B46" s="343" t="s">
        <v>59</v>
      </c>
      <c r="C46" s="344"/>
      <c r="D46" s="328"/>
      <c r="E46" s="328"/>
      <c r="F46" s="328"/>
      <c r="G46" s="328"/>
      <c r="H46" s="738" t="s">
        <v>1081</v>
      </c>
      <c r="I46" s="739"/>
      <c r="J46" s="739"/>
      <c r="K46" s="739"/>
      <c r="L46" s="740"/>
      <c r="M46" s="757">
        <v>4</v>
      </c>
      <c r="N46" s="765"/>
      <c r="O46" s="339"/>
      <c r="R46" s="331"/>
    </row>
    <row r="47" spans="2:18" ht="12.75" hidden="1" customHeight="1" x14ac:dyDescent="0.25">
      <c r="B47" s="343" t="s">
        <v>61</v>
      </c>
      <c r="C47" s="344"/>
      <c r="D47" s="328"/>
      <c r="E47" s="328"/>
      <c r="F47" s="328"/>
      <c r="G47" s="328"/>
      <c r="H47" s="738" t="s">
        <v>1084</v>
      </c>
      <c r="I47" s="739"/>
      <c r="J47" s="739"/>
      <c r="K47" s="739"/>
      <c r="L47" s="740"/>
      <c r="M47" s="757">
        <v>5</v>
      </c>
      <c r="N47" s="765"/>
      <c r="O47" s="339"/>
      <c r="R47" s="331"/>
    </row>
    <row r="48" spans="2:18" ht="12.75" hidden="1" customHeight="1" x14ac:dyDescent="0.25">
      <c r="B48" s="343" t="s">
        <v>63</v>
      </c>
      <c r="C48" s="344"/>
      <c r="D48" s="328"/>
      <c r="E48" s="328"/>
      <c r="F48" s="328"/>
      <c r="G48" s="328"/>
      <c r="H48" s="738" t="s">
        <v>1085</v>
      </c>
      <c r="I48" s="739"/>
      <c r="J48" s="739"/>
      <c r="K48" s="739"/>
      <c r="L48" s="740"/>
      <c r="M48" s="757">
        <v>7</v>
      </c>
      <c r="N48" s="765"/>
      <c r="O48" s="339"/>
      <c r="R48" s="331"/>
    </row>
    <row r="49" spans="2:18" ht="12.75" hidden="1" customHeight="1" x14ac:dyDescent="0.25">
      <c r="B49" s="343" t="s">
        <v>65</v>
      </c>
      <c r="C49" s="344"/>
      <c r="D49" s="328"/>
      <c r="E49" s="328"/>
      <c r="F49" s="328"/>
      <c r="G49" s="328"/>
      <c r="H49" s="738" t="s">
        <v>1086</v>
      </c>
      <c r="I49" s="739"/>
      <c r="J49" s="739"/>
      <c r="K49" s="739"/>
      <c r="L49" s="740"/>
      <c r="M49" s="757">
        <v>9</v>
      </c>
      <c r="N49" s="765"/>
      <c r="O49" s="339"/>
      <c r="R49" s="331"/>
    </row>
    <row r="50" spans="2:18" ht="12.75" hidden="1" customHeight="1" x14ac:dyDescent="0.25">
      <c r="B50" s="343" t="s">
        <v>67</v>
      </c>
      <c r="C50" s="344"/>
      <c r="D50" s="328"/>
      <c r="E50" s="328"/>
      <c r="F50" s="328"/>
      <c r="G50" s="328"/>
      <c r="H50" s="738" t="s">
        <v>1087</v>
      </c>
      <c r="I50" s="739"/>
      <c r="J50" s="739"/>
      <c r="K50" s="739"/>
      <c r="L50" s="740"/>
      <c r="M50" s="757">
        <v>10</v>
      </c>
      <c r="N50" s="765"/>
      <c r="O50" s="339"/>
      <c r="R50" s="331"/>
    </row>
    <row r="51" spans="2:18" ht="12.75" hidden="1" customHeight="1" x14ac:dyDescent="0.25">
      <c r="B51" s="343" t="s">
        <v>69</v>
      </c>
      <c r="C51" s="344"/>
      <c r="D51" s="328"/>
      <c r="E51" s="328"/>
      <c r="F51" s="328"/>
      <c r="G51" s="328"/>
      <c r="H51" s="738" t="s">
        <v>1088</v>
      </c>
      <c r="I51" s="739"/>
      <c r="J51" s="739"/>
      <c r="K51" s="739"/>
      <c r="L51" s="740"/>
      <c r="M51" s="757">
        <v>11</v>
      </c>
      <c r="N51" s="765"/>
      <c r="O51" s="339"/>
      <c r="R51" s="331"/>
    </row>
    <row r="52" spans="2:18" ht="27" hidden="1" customHeight="1" x14ac:dyDescent="0.25">
      <c r="B52" s="332">
        <v>4</v>
      </c>
      <c r="C52" s="757" t="s">
        <v>1089</v>
      </c>
      <c r="D52" s="758"/>
      <c r="E52" s="738" t="s">
        <v>1090</v>
      </c>
      <c r="F52" s="739"/>
      <c r="G52" s="740"/>
      <c r="H52" s="738" t="s">
        <v>1091</v>
      </c>
      <c r="I52" s="739"/>
      <c r="J52" s="739"/>
      <c r="K52" s="739"/>
      <c r="L52" s="740"/>
      <c r="M52" s="757">
        <f>IF(H19="Да",SUMIF($H53:$L66,$H52,M53:N66),0)</f>
        <v>0</v>
      </c>
      <c r="N52" s="765"/>
      <c r="O52" s="339"/>
      <c r="R52" s="331"/>
    </row>
    <row r="53" spans="2:18" hidden="1" x14ac:dyDescent="0.25">
      <c r="B53" s="343" t="s">
        <v>1092</v>
      </c>
      <c r="C53" s="344"/>
      <c r="D53" s="328"/>
      <c r="E53" s="328"/>
      <c r="F53" s="328"/>
      <c r="G53" s="328"/>
      <c r="H53" s="738" t="s">
        <v>1093</v>
      </c>
      <c r="I53" s="739"/>
      <c r="J53" s="739"/>
      <c r="K53" s="739"/>
      <c r="L53" s="740"/>
      <c r="M53" s="757">
        <v>1</v>
      </c>
      <c r="N53" s="765"/>
      <c r="O53" s="339"/>
      <c r="R53" s="331"/>
    </row>
    <row r="54" spans="2:18" ht="12.75" hidden="1" customHeight="1" x14ac:dyDescent="0.25">
      <c r="B54" s="343" t="s">
        <v>1094</v>
      </c>
      <c r="C54" s="344"/>
      <c r="D54" s="328"/>
      <c r="E54" s="328"/>
      <c r="F54" s="328"/>
      <c r="G54" s="328"/>
      <c r="H54" s="738" t="s">
        <v>1095</v>
      </c>
      <c r="I54" s="739"/>
      <c r="J54" s="739"/>
      <c r="K54" s="739"/>
      <c r="L54" s="740"/>
      <c r="M54" s="757">
        <v>2</v>
      </c>
      <c r="N54" s="765"/>
      <c r="O54" s="339"/>
      <c r="R54" s="331"/>
    </row>
    <row r="55" spans="2:18" ht="12.75" hidden="1" customHeight="1" x14ac:dyDescent="0.25">
      <c r="B55" s="343" t="s">
        <v>1096</v>
      </c>
      <c r="C55" s="344"/>
      <c r="D55" s="328"/>
      <c r="E55" s="328"/>
      <c r="F55" s="328"/>
      <c r="G55" s="328"/>
      <c r="H55" s="738" t="s">
        <v>1097</v>
      </c>
      <c r="I55" s="739"/>
      <c r="J55" s="739"/>
      <c r="K55" s="739"/>
      <c r="L55" s="740"/>
      <c r="M55" s="757">
        <v>3</v>
      </c>
      <c r="N55" s="765"/>
      <c r="O55" s="339"/>
      <c r="R55" s="331"/>
    </row>
    <row r="56" spans="2:18" ht="12.75" hidden="1" customHeight="1" x14ac:dyDescent="0.25">
      <c r="B56" s="343" t="s">
        <v>1098</v>
      </c>
      <c r="C56" s="344"/>
      <c r="D56" s="328"/>
      <c r="E56" s="328"/>
      <c r="F56" s="328"/>
      <c r="G56" s="328"/>
      <c r="H56" s="738" t="s">
        <v>1099</v>
      </c>
      <c r="I56" s="739"/>
      <c r="J56" s="739"/>
      <c r="K56" s="739"/>
      <c r="L56" s="740"/>
      <c r="M56" s="757">
        <v>4</v>
      </c>
      <c r="N56" s="765"/>
      <c r="O56" s="339"/>
      <c r="R56" s="331"/>
    </row>
    <row r="57" spans="2:18" ht="12.75" hidden="1" customHeight="1" x14ac:dyDescent="0.25">
      <c r="B57" s="343" t="s">
        <v>1100</v>
      </c>
      <c r="C57" s="344"/>
      <c r="D57" s="328"/>
      <c r="E57" s="328"/>
      <c r="F57" s="328"/>
      <c r="G57" s="328"/>
      <c r="H57" s="738" t="s">
        <v>1101</v>
      </c>
      <c r="I57" s="739"/>
      <c r="J57" s="739"/>
      <c r="K57" s="739"/>
      <c r="L57" s="740"/>
      <c r="M57" s="757">
        <v>5</v>
      </c>
      <c r="N57" s="765"/>
      <c r="O57" s="339"/>
      <c r="R57" s="331"/>
    </row>
    <row r="58" spans="2:18" ht="12.75" hidden="1" customHeight="1" x14ac:dyDescent="0.25">
      <c r="B58" s="343" t="s">
        <v>1102</v>
      </c>
      <c r="C58" s="344"/>
      <c r="D58" s="328"/>
      <c r="E58" s="328"/>
      <c r="F58" s="328"/>
      <c r="G58" s="328"/>
      <c r="H58" s="738" t="s">
        <v>1103</v>
      </c>
      <c r="I58" s="739"/>
      <c r="J58" s="739"/>
      <c r="K58" s="739"/>
      <c r="L58" s="740"/>
      <c r="M58" s="757">
        <v>6</v>
      </c>
      <c r="N58" s="765"/>
      <c r="O58" s="339"/>
      <c r="R58" s="331"/>
    </row>
    <row r="59" spans="2:18" ht="12.75" hidden="1" customHeight="1" x14ac:dyDescent="0.25">
      <c r="B59" s="343" t="s">
        <v>1104</v>
      </c>
      <c r="C59" s="344"/>
      <c r="D59" s="328"/>
      <c r="E59" s="328"/>
      <c r="F59" s="328"/>
      <c r="G59" s="328"/>
      <c r="H59" s="738" t="s">
        <v>1105</v>
      </c>
      <c r="I59" s="739"/>
      <c r="J59" s="739"/>
      <c r="K59" s="739"/>
      <c r="L59" s="740"/>
      <c r="M59" s="757">
        <v>7</v>
      </c>
      <c r="N59" s="765"/>
      <c r="O59" s="339"/>
      <c r="R59" s="331"/>
    </row>
    <row r="60" spans="2:18" ht="12.75" hidden="1" customHeight="1" x14ac:dyDescent="0.25">
      <c r="B60" s="343" t="s">
        <v>1106</v>
      </c>
      <c r="C60" s="344"/>
      <c r="D60" s="328"/>
      <c r="E60" s="328"/>
      <c r="F60" s="328"/>
      <c r="G60" s="328"/>
      <c r="H60" s="738" t="s">
        <v>1091</v>
      </c>
      <c r="I60" s="739"/>
      <c r="J60" s="739"/>
      <c r="K60" s="739"/>
      <c r="L60" s="740"/>
      <c r="M60" s="757">
        <v>8</v>
      </c>
      <c r="N60" s="765"/>
      <c r="O60" s="339"/>
      <c r="R60" s="331"/>
    </row>
    <row r="61" spans="2:18" ht="12.75" hidden="1" customHeight="1" x14ac:dyDescent="0.25">
      <c r="B61" s="343" t="s">
        <v>1107</v>
      </c>
      <c r="C61" s="344"/>
      <c r="D61" s="328"/>
      <c r="E61" s="328"/>
      <c r="F61" s="328"/>
      <c r="G61" s="328"/>
      <c r="H61" s="738" t="s">
        <v>1108</v>
      </c>
      <c r="I61" s="739"/>
      <c r="J61" s="739"/>
      <c r="K61" s="739"/>
      <c r="L61" s="740"/>
      <c r="M61" s="757">
        <v>9</v>
      </c>
      <c r="N61" s="765"/>
      <c r="O61" s="339"/>
      <c r="R61" s="331"/>
    </row>
    <row r="62" spans="2:18" ht="12.75" hidden="1" customHeight="1" x14ac:dyDescent="0.25">
      <c r="B62" s="343" t="s">
        <v>1109</v>
      </c>
      <c r="C62" s="344"/>
      <c r="D62" s="328"/>
      <c r="E62" s="328"/>
      <c r="F62" s="328"/>
      <c r="G62" s="328"/>
      <c r="H62" s="738" t="s">
        <v>1110</v>
      </c>
      <c r="I62" s="739"/>
      <c r="J62" s="739"/>
      <c r="K62" s="739"/>
      <c r="L62" s="740"/>
      <c r="M62" s="757">
        <v>10</v>
      </c>
      <c r="N62" s="765"/>
      <c r="O62" s="339"/>
      <c r="R62" s="331"/>
    </row>
    <row r="63" spans="2:18" ht="12.75" hidden="1" customHeight="1" x14ac:dyDescent="0.25">
      <c r="B63" s="343" t="s">
        <v>1111</v>
      </c>
      <c r="C63" s="344"/>
      <c r="D63" s="328"/>
      <c r="E63" s="328"/>
      <c r="F63" s="328"/>
      <c r="G63" s="328"/>
      <c r="H63" s="738" t="s">
        <v>1112</v>
      </c>
      <c r="I63" s="739"/>
      <c r="J63" s="739"/>
      <c r="K63" s="739"/>
      <c r="L63" s="740"/>
      <c r="M63" s="757">
        <v>11</v>
      </c>
      <c r="N63" s="765"/>
      <c r="O63" s="339"/>
      <c r="R63" s="331"/>
    </row>
    <row r="64" spans="2:18" ht="12.75" hidden="1" customHeight="1" x14ac:dyDescent="0.25">
      <c r="B64" s="343" t="s">
        <v>1113</v>
      </c>
      <c r="C64" s="344"/>
      <c r="D64" s="328"/>
      <c r="E64" s="328"/>
      <c r="F64" s="328"/>
      <c r="G64" s="328"/>
      <c r="H64" s="738" t="s">
        <v>1114</v>
      </c>
      <c r="I64" s="739"/>
      <c r="J64" s="739"/>
      <c r="K64" s="739"/>
      <c r="L64" s="740"/>
      <c r="M64" s="757">
        <v>12</v>
      </c>
      <c r="N64" s="765"/>
      <c r="O64" s="339"/>
      <c r="R64" s="331"/>
    </row>
    <row r="65" spans="2:18" ht="12.75" hidden="1" customHeight="1" x14ac:dyDescent="0.25">
      <c r="B65" s="343" t="s">
        <v>1115</v>
      </c>
      <c r="C65" s="344"/>
      <c r="D65" s="328"/>
      <c r="E65" s="328"/>
      <c r="F65" s="328"/>
      <c r="G65" s="328"/>
      <c r="H65" s="738" t="s">
        <v>1116</v>
      </c>
      <c r="I65" s="739"/>
      <c r="J65" s="739"/>
      <c r="K65" s="739"/>
      <c r="L65" s="740"/>
      <c r="M65" s="757">
        <v>13</v>
      </c>
      <c r="N65" s="765"/>
      <c r="O65" s="339"/>
      <c r="R65" s="331"/>
    </row>
    <row r="66" spans="2:18" ht="12.75" hidden="1" customHeight="1" x14ac:dyDescent="0.25">
      <c r="B66" s="343" t="s">
        <v>1117</v>
      </c>
      <c r="C66" s="344"/>
      <c r="D66" s="328"/>
      <c r="E66" s="328"/>
      <c r="F66" s="328"/>
      <c r="G66" s="328"/>
      <c r="H66" s="738" t="s">
        <v>1118</v>
      </c>
      <c r="I66" s="739"/>
      <c r="J66" s="739"/>
      <c r="K66" s="739"/>
      <c r="L66" s="740"/>
      <c r="M66" s="757">
        <v>14</v>
      </c>
      <c r="N66" s="765"/>
      <c r="O66" s="339"/>
      <c r="R66" s="331"/>
    </row>
    <row r="67" spans="2:18" hidden="1" x14ac:dyDescent="0.25">
      <c r="B67" s="332">
        <v>5</v>
      </c>
      <c r="C67" s="334"/>
      <c r="D67" s="328"/>
      <c r="E67" s="328"/>
      <c r="F67" s="328"/>
      <c r="G67" s="328"/>
      <c r="H67" s="328"/>
      <c r="I67" s="328"/>
      <c r="J67" s="328"/>
      <c r="K67" s="328"/>
      <c r="L67" s="345" t="s">
        <v>1119</v>
      </c>
      <c r="M67" s="757">
        <f>M31+M36+M43+M52</f>
        <v>0</v>
      </c>
      <c r="N67" s="765"/>
      <c r="O67" s="339"/>
      <c r="R67" s="331"/>
    </row>
    <row r="68" spans="2:18" x14ac:dyDescent="0.25">
      <c r="B68" s="327" t="s">
        <v>1120</v>
      </c>
      <c r="C68" s="328"/>
      <c r="D68" s="328"/>
      <c r="E68" s="328"/>
      <c r="F68" s="328"/>
      <c r="G68" s="328"/>
      <c r="H68" s="328"/>
      <c r="I68" s="328"/>
      <c r="J68" s="336"/>
      <c r="K68" s="336"/>
      <c r="L68" s="336"/>
      <c r="M68" s="336"/>
      <c r="N68" s="336"/>
      <c r="O68" s="336"/>
      <c r="P68" s="336"/>
      <c r="Q68" s="336"/>
      <c r="R68" s="337"/>
    </row>
    <row r="69" spans="2:18" ht="26.25" customHeight="1" x14ac:dyDescent="0.25">
      <c r="B69" s="748" t="s">
        <v>1057</v>
      </c>
      <c r="C69" s="748"/>
      <c r="D69" s="748"/>
      <c r="E69" s="748"/>
      <c r="F69" s="748"/>
      <c r="G69" s="748"/>
      <c r="H69" s="748"/>
      <c r="I69" s="748"/>
      <c r="J69" s="766"/>
      <c r="K69" s="766"/>
      <c r="L69" s="766"/>
      <c r="M69" s="766" t="s">
        <v>1121</v>
      </c>
      <c r="N69" s="766"/>
      <c r="O69" s="766"/>
      <c r="P69" s="766"/>
      <c r="Q69" s="766"/>
      <c r="R69" s="766"/>
    </row>
    <row r="70" spans="2:18" ht="25.5" x14ac:dyDescent="0.25">
      <c r="B70" s="333" t="s">
        <v>90</v>
      </c>
      <c r="C70" s="754" t="s">
        <v>1059</v>
      </c>
      <c r="D70" s="756"/>
      <c r="E70" s="748" t="s">
        <v>1060</v>
      </c>
      <c r="F70" s="748"/>
      <c r="G70" s="748"/>
      <c r="H70" s="748" t="s">
        <v>1061</v>
      </c>
      <c r="I70" s="748"/>
      <c r="J70" s="748"/>
      <c r="K70" s="748"/>
      <c r="L70" s="748"/>
      <c r="M70" s="333" t="s">
        <v>1049</v>
      </c>
      <c r="N70" s="333" t="s">
        <v>1050</v>
      </c>
      <c r="O70" s="333" t="s">
        <v>1051</v>
      </c>
      <c r="P70" s="333" t="s">
        <v>1052</v>
      </c>
      <c r="Q70" s="333" t="s">
        <v>1053</v>
      </c>
      <c r="R70" s="333" t="s">
        <v>1054</v>
      </c>
    </row>
    <row r="71" spans="2:18" ht="53.25" customHeight="1" collapsed="1" x14ac:dyDescent="0.25">
      <c r="B71" s="332">
        <v>1</v>
      </c>
      <c r="C71" s="757" t="s">
        <v>1069</v>
      </c>
      <c r="D71" s="758"/>
      <c r="E71" s="753" t="s">
        <v>1070</v>
      </c>
      <c r="F71" s="753"/>
      <c r="G71" s="753"/>
      <c r="H71" s="738" t="s">
        <v>1071</v>
      </c>
      <c r="I71" s="739"/>
      <c r="J71" s="739"/>
      <c r="K71" s="739"/>
      <c r="L71" s="740"/>
      <c r="M71" s="332">
        <f t="shared" ref="M71:R71" ca="1" si="0">IF(D24="Да",SUMIF($H72:$L77,$H71,M72:M77),0)</f>
        <v>1</v>
      </c>
      <c r="N71" s="332">
        <f t="shared" si="0"/>
        <v>0</v>
      </c>
      <c r="O71" s="332">
        <f t="shared" si="0"/>
        <v>0</v>
      </c>
      <c r="P71" s="332">
        <f t="shared" ca="1" si="0"/>
        <v>1</v>
      </c>
      <c r="Q71" s="332">
        <f t="shared" si="0"/>
        <v>0</v>
      </c>
      <c r="R71" s="332">
        <f t="shared" si="0"/>
        <v>0</v>
      </c>
    </row>
    <row r="72" spans="2:18" ht="53.25" hidden="1" customHeight="1" outlineLevel="1" x14ac:dyDescent="0.25">
      <c r="B72" s="343" t="s">
        <v>40</v>
      </c>
      <c r="C72" s="343"/>
      <c r="D72" s="332"/>
      <c r="E72" s="346"/>
      <c r="F72" s="346"/>
      <c r="G72" s="346"/>
      <c r="H72" s="738" t="s">
        <v>1071</v>
      </c>
      <c r="I72" s="739"/>
      <c r="J72" s="739"/>
      <c r="K72" s="739"/>
      <c r="L72" s="740"/>
      <c r="M72" s="332">
        <v>1</v>
      </c>
      <c r="N72" s="332">
        <v>1</v>
      </c>
      <c r="O72" s="332">
        <v>1</v>
      </c>
      <c r="P72" s="332">
        <v>1</v>
      </c>
      <c r="Q72" s="332">
        <v>1</v>
      </c>
      <c r="R72" s="332">
        <v>1</v>
      </c>
    </row>
    <row r="73" spans="2:18" ht="53.25" hidden="1" customHeight="1" outlineLevel="1" x14ac:dyDescent="0.25">
      <c r="B73" s="343" t="s">
        <v>42</v>
      </c>
      <c r="C73" s="343"/>
      <c r="D73" s="332"/>
      <c r="E73" s="346"/>
      <c r="F73" s="346"/>
      <c r="G73" s="346"/>
      <c r="H73" s="738" t="s">
        <v>1072</v>
      </c>
      <c r="I73" s="739"/>
      <c r="J73" s="739"/>
      <c r="K73" s="739"/>
      <c r="L73" s="740"/>
      <c r="M73" s="332">
        <v>2</v>
      </c>
      <c r="N73" s="332">
        <v>1</v>
      </c>
      <c r="O73" s="332">
        <v>2</v>
      </c>
      <c r="P73" s="332">
        <v>1</v>
      </c>
      <c r="Q73" s="332">
        <v>2</v>
      </c>
      <c r="R73" s="332">
        <v>2</v>
      </c>
    </row>
    <row r="74" spans="2:18" ht="53.25" hidden="1" customHeight="1" outlineLevel="1" x14ac:dyDescent="0.25">
      <c r="B74" s="343" t="s">
        <v>44</v>
      </c>
      <c r="C74" s="343"/>
      <c r="D74" s="332"/>
      <c r="E74" s="346"/>
      <c r="F74" s="346"/>
      <c r="G74" s="346"/>
      <c r="H74" s="738" t="s">
        <v>1073</v>
      </c>
      <c r="I74" s="739"/>
      <c r="J74" s="739"/>
      <c r="K74" s="739"/>
      <c r="L74" s="740"/>
      <c r="M74" s="332">
        <v>3</v>
      </c>
      <c r="N74" s="332">
        <v>3</v>
      </c>
      <c r="O74" s="332">
        <v>3</v>
      </c>
      <c r="P74" s="332">
        <v>3</v>
      </c>
      <c r="Q74" s="332">
        <v>3</v>
      </c>
      <c r="R74" s="332">
        <v>3</v>
      </c>
    </row>
    <row r="75" spans="2:18" ht="53.25" hidden="1" customHeight="1" outlineLevel="1" x14ac:dyDescent="0.25">
      <c r="B75" s="343" t="s">
        <v>46</v>
      </c>
      <c r="C75" s="343"/>
      <c r="D75" s="332"/>
      <c r="E75" s="346"/>
      <c r="F75" s="346"/>
      <c r="G75" s="346"/>
      <c r="H75" s="738" t="s">
        <v>1074</v>
      </c>
      <c r="I75" s="739"/>
      <c r="J75" s="739"/>
      <c r="K75" s="739"/>
      <c r="L75" s="740"/>
      <c r="M75" s="332">
        <v>4</v>
      </c>
      <c r="N75" s="332">
        <v>3</v>
      </c>
      <c r="O75" s="332">
        <v>4</v>
      </c>
      <c r="P75" s="332">
        <v>3</v>
      </c>
      <c r="Q75" s="332">
        <v>4</v>
      </c>
      <c r="R75" s="332">
        <v>4</v>
      </c>
    </row>
    <row r="76" spans="2:18" ht="53.25" hidden="1" customHeight="1" outlineLevel="1" x14ac:dyDescent="0.25">
      <c r="B76" s="343" t="s">
        <v>1122</v>
      </c>
      <c r="C76" s="343"/>
      <c r="D76" s="332"/>
      <c r="E76" s="346"/>
      <c r="F76" s="346"/>
      <c r="G76" s="346"/>
      <c r="H76" s="738" t="s">
        <v>1076</v>
      </c>
      <c r="I76" s="739"/>
      <c r="J76" s="739"/>
      <c r="K76" s="739"/>
      <c r="L76" s="740"/>
      <c r="M76" s="332">
        <v>3</v>
      </c>
      <c r="N76" s="332">
        <v>2</v>
      </c>
      <c r="O76" s="332">
        <v>3</v>
      </c>
      <c r="P76" s="332">
        <v>2</v>
      </c>
      <c r="Q76" s="332">
        <v>3</v>
      </c>
      <c r="R76" s="332">
        <v>3</v>
      </c>
    </row>
    <row r="77" spans="2:18" ht="53.25" hidden="1" customHeight="1" outlineLevel="1" x14ac:dyDescent="0.25">
      <c r="B77" s="343" t="s">
        <v>1123</v>
      </c>
      <c r="C77" s="343"/>
      <c r="D77" s="332"/>
      <c r="E77" s="346"/>
      <c r="F77" s="346"/>
      <c r="G77" s="346"/>
      <c r="H77" s="738" t="s">
        <v>1078</v>
      </c>
      <c r="I77" s="739"/>
      <c r="J77" s="739"/>
      <c r="K77" s="739"/>
      <c r="L77" s="740"/>
      <c r="M77" s="332">
        <v>2</v>
      </c>
      <c r="N77" s="332">
        <v>2</v>
      </c>
      <c r="O77" s="332">
        <v>2</v>
      </c>
      <c r="P77" s="332">
        <v>2</v>
      </c>
      <c r="Q77" s="332">
        <v>3</v>
      </c>
      <c r="R77" s="332">
        <v>3</v>
      </c>
    </row>
    <row r="78" spans="2:18" ht="53.25" customHeight="1" collapsed="1" x14ac:dyDescent="0.25">
      <c r="B78" s="332">
        <v>2</v>
      </c>
      <c r="C78" s="757" t="s">
        <v>1124</v>
      </c>
      <c r="D78" s="758"/>
      <c r="E78" s="753" t="s">
        <v>1125</v>
      </c>
      <c r="F78" s="753"/>
      <c r="G78" s="753"/>
      <c r="H78" s="738" t="s">
        <v>1081</v>
      </c>
      <c r="I78" s="739"/>
      <c r="J78" s="739"/>
      <c r="K78" s="739"/>
      <c r="L78" s="740"/>
      <c r="M78" s="332">
        <f t="shared" ref="M78:R78" ca="1" si="1">IF(D24="Да",SUMIF($H79:$L85,$H78,M79:M85),0)</f>
        <v>3</v>
      </c>
      <c r="N78" s="332">
        <f t="shared" si="1"/>
        <v>0</v>
      </c>
      <c r="O78" s="332">
        <f t="shared" si="1"/>
        <v>0</v>
      </c>
      <c r="P78" s="332">
        <f t="shared" ca="1" si="1"/>
        <v>2</v>
      </c>
      <c r="Q78" s="332">
        <f t="shared" si="1"/>
        <v>0</v>
      </c>
      <c r="R78" s="332">
        <f t="shared" si="1"/>
        <v>0</v>
      </c>
    </row>
    <row r="79" spans="2:18" ht="53.25" hidden="1" customHeight="1" outlineLevel="1" x14ac:dyDescent="0.25">
      <c r="B79" s="343" t="s">
        <v>48</v>
      </c>
      <c r="C79" s="343"/>
      <c r="D79" s="332"/>
      <c r="E79" s="759" t="s">
        <v>1126</v>
      </c>
      <c r="F79" s="760"/>
      <c r="G79" s="346"/>
      <c r="H79" s="738" t="s">
        <v>1082</v>
      </c>
      <c r="I79" s="739"/>
      <c r="J79" s="739"/>
      <c r="K79" s="739"/>
      <c r="L79" s="740"/>
      <c r="M79" s="332">
        <v>1</v>
      </c>
      <c r="N79" s="332">
        <v>1</v>
      </c>
      <c r="O79" s="332">
        <v>1</v>
      </c>
      <c r="P79" s="332">
        <v>1</v>
      </c>
      <c r="Q79" s="332">
        <v>1</v>
      </c>
      <c r="R79" s="332">
        <v>1</v>
      </c>
    </row>
    <row r="80" spans="2:18" ht="53.25" hidden="1" customHeight="1" outlineLevel="1" x14ac:dyDescent="0.25">
      <c r="B80" s="343" t="s">
        <v>50</v>
      </c>
      <c r="C80" s="343"/>
      <c r="D80" s="332"/>
      <c r="E80" s="761"/>
      <c r="F80" s="762"/>
      <c r="G80" s="346"/>
      <c r="H80" s="738" t="s">
        <v>1083</v>
      </c>
      <c r="I80" s="739"/>
      <c r="J80" s="739"/>
      <c r="K80" s="739"/>
      <c r="L80" s="740"/>
      <c r="M80" s="332">
        <v>2</v>
      </c>
      <c r="N80" s="332">
        <v>2</v>
      </c>
      <c r="O80" s="332">
        <v>2</v>
      </c>
      <c r="P80" s="332">
        <v>2</v>
      </c>
      <c r="Q80" s="332">
        <v>2</v>
      </c>
      <c r="R80" s="332">
        <v>2</v>
      </c>
    </row>
    <row r="81" spans="2:18" ht="53.25" hidden="1" customHeight="1" outlineLevel="1" x14ac:dyDescent="0.25">
      <c r="B81" s="343" t="s">
        <v>52</v>
      </c>
      <c r="C81" s="343"/>
      <c r="D81" s="332"/>
      <c r="E81" s="761"/>
      <c r="F81" s="762"/>
      <c r="G81" s="346"/>
      <c r="H81" s="738" t="s">
        <v>1081</v>
      </c>
      <c r="I81" s="739"/>
      <c r="J81" s="739"/>
      <c r="K81" s="739"/>
      <c r="L81" s="740"/>
      <c r="M81" s="332">
        <v>3</v>
      </c>
      <c r="N81" s="332">
        <v>2</v>
      </c>
      <c r="O81" s="332">
        <v>3</v>
      </c>
      <c r="P81" s="332">
        <v>2</v>
      </c>
      <c r="Q81" s="332">
        <v>3</v>
      </c>
      <c r="R81" s="332">
        <v>3</v>
      </c>
    </row>
    <row r="82" spans="2:18" ht="53.25" hidden="1" customHeight="1" outlineLevel="1" x14ac:dyDescent="0.25">
      <c r="B82" s="343" t="s">
        <v>54</v>
      </c>
      <c r="C82" s="343"/>
      <c r="D82" s="332"/>
      <c r="E82" s="761"/>
      <c r="F82" s="762"/>
      <c r="G82" s="346"/>
      <c r="H82" s="738" t="s">
        <v>1084</v>
      </c>
      <c r="I82" s="739"/>
      <c r="J82" s="739"/>
      <c r="K82" s="739"/>
      <c r="L82" s="740"/>
      <c r="M82" s="332">
        <v>4</v>
      </c>
      <c r="N82" s="332">
        <v>3</v>
      </c>
      <c r="O82" s="332">
        <v>4</v>
      </c>
      <c r="P82" s="332">
        <v>3</v>
      </c>
      <c r="Q82" s="332">
        <v>4</v>
      </c>
      <c r="R82" s="332">
        <v>4</v>
      </c>
    </row>
    <row r="83" spans="2:18" ht="53.25" hidden="1" customHeight="1" outlineLevel="1" x14ac:dyDescent="0.25">
      <c r="B83" s="343" t="s">
        <v>1075</v>
      </c>
      <c r="C83" s="343"/>
      <c r="D83" s="332"/>
      <c r="E83" s="761"/>
      <c r="F83" s="762"/>
      <c r="G83" s="346"/>
      <c r="H83" s="738" t="s">
        <v>1085</v>
      </c>
      <c r="I83" s="739"/>
      <c r="J83" s="739"/>
      <c r="K83" s="739"/>
      <c r="L83" s="740"/>
      <c r="M83" s="332">
        <v>5</v>
      </c>
      <c r="N83" s="332">
        <v>3</v>
      </c>
      <c r="O83" s="332">
        <v>5</v>
      </c>
      <c r="P83" s="332">
        <v>3</v>
      </c>
      <c r="Q83" s="332">
        <v>5</v>
      </c>
      <c r="R83" s="332">
        <v>5</v>
      </c>
    </row>
    <row r="84" spans="2:18" ht="53.25" hidden="1" customHeight="1" outlineLevel="1" x14ac:dyDescent="0.25">
      <c r="B84" s="343" t="s">
        <v>1077</v>
      </c>
      <c r="C84" s="343"/>
      <c r="D84" s="332"/>
      <c r="E84" s="761"/>
      <c r="F84" s="762"/>
      <c r="G84" s="346"/>
      <c r="H84" s="738" t="s">
        <v>1086</v>
      </c>
      <c r="I84" s="739"/>
      <c r="J84" s="739"/>
      <c r="K84" s="739"/>
      <c r="L84" s="740"/>
      <c r="M84" s="332">
        <v>6</v>
      </c>
      <c r="N84" s="332">
        <v>4</v>
      </c>
      <c r="O84" s="332">
        <v>6</v>
      </c>
      <c r="P84" s="332">
        <v>4</v>
      </c>
      <c r="Q84" s="332">
        <v>6</v>
      </c>
      <c r="R84" s="332">
        <v>6</v>
      </c>
    </row>
    <row r="85" spans="2:18" ht="53.25" hidden="1" customHeight="1" outlineLevel="1" x14ac:dyDescent="0.25">
      <c r="B85" s="343" t="s">
        <v>1127</v>
      </c>
      <c r="C85" s="343"/>
      <c r="D85" s="332"/>
      <c r="E85" s="763"/>
      <c r="F85" s="764"/>
      <c r="G85" s="346"/>
      <c r="H85" s="738" t="s">
        <v>1087</v>
      </c>
      <c r="I85" s="739"/>
      <c r="J85" s="739"/>
      <c r="K85" s="739"/>
      <c r="L85" s="740"/>
      <c r="M85" s="332">
        <v>7</v>
      </c>
      <c r="N85" s="332">
        <v>5</v>
      </c>
      <c r="O85" s="332">
        <v>7</v>
      </c>
      <c r="P85" s="332">
        <v>5</v>
      </c>
      <c r="Q85" s="332">
        <v>7</v>
      </c>
      <c r="R85" s="332">
        <v>7</v>
      </c>
    </row>
    <row r="86" spans="2:18" ht="53.25" customHeight="1" collapsed="1" x14ac:dyDescent="0.25">
      <c r="B86" s="332">
        <v>3</v>
      </c>
      <c r="C86" s="757" t="s">
        <v>1128</v>
      </c>
      <c r="D86" s="758"/>
      <c r="E86" s="753" t="s">
        <v>1129</v>
      </c>
      <c r="F86" s="753"/>
      <c r="G86" s="753"/>
      <c r="H86" s="738" t="s">
        <v>1130</v>
      </c>
      <c r="I86" s="739"/>
      <c r="J86" s="739"/>
      <c r="K86" s="739"/>
      <c r="L86" s="740"/>
      <c r="M86" s="332">
        <f t="shared" ref="M86:R86" ca="1" si="2">IF(D24="Да",SUMIF($H87:$L90,$H86,M87:M90),0)</f>
        <v>6</v>
      </c>
      <c r="N86" s="332">
        <f t="shared" si="2"/>
        <v>0</v>
      </c>
      <c r="O86" s="332">
        <f t="shared" si="2"/>
        <v>0</v>
      </c>
      <c r="P86" s="332">
        <f t="shared" ca="1" si="2"/>
        <v>5</v>
      </c>
      <c r="Q86" s="332">
        <f t="shared" si="2"/>
        <v>0</v>
      </c>
      <c r="R86" s="332">
        <f t="shared" si="2"/>
        <v>0</v>
      </c>
    </row>
    <row r="87" spans="2:18" ht="53.25" hidden="1" customHeight="1" outlineLevel="1" x14ac:dyDescent="0.25">
      <c r="B87" s="343" t="s">
        <v>55</v>
      </c>
      <c r="C87" s="343"/>
      <c r="D87" s="332"/>
      <c r="E87" s="346"/>
      <c r="F87" s="346"/>
      <c r="G87" s="346"/>
      <c r="H87" s="738" t="s">
        <v>1131</v>
      </c>
      <c r="I87" s="739"/>
      <c r="J87" s="739"/>
      <c r="K87" s="739"/>
      <c r="L87" s="740"/>
      <c r="M87" s="332">
        <v>1</v>
      </c>
      <c r="N87" s="332">
        <v>1</v>
      </c>
      <c r="O87" s="332">
        <v>1</v>
      </c>
      <c r="P87" s="332">
        <v>1</v>
      </c>
      <c r="Q87" s="332">
        <v>1</v>
      </c>
      <c r="R87" s="332">
        <v>1</v>
      </c>
    </row>
    <row r="88" spans="2:18" ht="53.25" hidden="1" customHeight="1" outlineLevel="1" x14ac:dyDescent="0.25">
      <c r="B88" s="343" t="s">
        <v>57</v>
      </c>
      <c r="C88" s="343"/>
      <c r="D88" s="332"/>
      <c r="E88" s="346"/>
      <c r="F88" s="346"/>
      <c r="G88" s="346"/>
      <c r="H88" s="738" t="s">
        <v>1132</v>
      </c>
      <c r="I88" s="739"/>
      <c r="J88" s="739"/>
      <c r="K88" s="739"/>
      <c r="L88" s="740"/>
      <c r="M88" s="332">
        <v>3</v>
      </c>
      <c r="N88" s="332">
        <v>2</v>
      </c>
      <c r="O88" s="332">
        <v>3</v>
      </c>
      <c r="P88" s="332">
        <v>3</v>
      </c>
      <c r="Q88" s="332">
        <v>3</v>
      </c>
      <c r="R88" s="332">
        <v>3</v>
      </c>
    </row>
    <row r="89" spans="2:18" ht="53.25" hidden="1" customHeight="1" outlineLevel="1" x14ac:dyDescent="0.25">
      <c r="B89" s="343" t="s">
        <v>59</v>
      </c>
      <c r="C89" s="343"/>
      <c r="D89" s="332"/>
      <c r="E89" s="346"/>
      <c r="F89" s="346"/>
      <c r="G89" s="346"/>
      <c r="H89" s="738" t="s">
        <v>1130</v>
      </c>
      <c r="I89" s="739"/>
      <c r="J89" s="739"/>
      <c r="K89" s="739"/>
      <c r="L89" s="740"/>
      <c r="M89" s="332">
        <v>6</v>
      </c>
      <c r="N89" s="332">
        <v>2</v>
      </c>
      <c r="O89" s="332">
        <v>6</v>
      </c>
      <c r="P89" s="332">
        <v>5</v>
      </c>
      <c r="Q89" s="332">
        <v>6</v>
      </c>
      <c r="R89" s="332">
        <v>6</v>
      </c>
    </row>
    <row r="90" spans="2:18" ht="53.25" hidden="1" customHeight="1" outlineLevel="1" x14ac:dyDescent="0.25">
      <c r="B90" s="343" t="s">
        <v>61</v>
      </c>
      <c r="C90" s="343"/>
      <c r="D90" s="332"/>
      <c r="E90" s="346"/>
      <c r="F90" s="346"/>
      <c r="G90" s="346"/>
      <c r="H90" s="738" t="s">
        <v>1133</v>
      </c>
      <c r="I90" s="739"/>
      <c r="J90" s="739"/>
      <c r="K90" s="739"/>
      <c r="L90" s="740"/>
      <c r="M90" s="332">
        <v>9</v>
      </c>
      <c r="N90" s="332">
        <v>3</v>
      </c>
      <c r="O90" s="332">
        <v>9</v>
      </c>
      <c r="P90" s="332">
        <v>8</v>
      </c>
      <c r="Q90" s="332">
        <v>9</v>
      </c>
      <c r="R90" s="332">
        <v>9</v>
      </c>
    </row>
    <row r="91" spans="2:18" ht="53.25" customHeight="1" collapsed="1" x14ac:dyDescent="0.25">
      <c r="B91" s="332">
        <v>4</v>
      </c>
      <c r="C91" s="757" t="s">
        <v>1134</v>
      </c>
      <c r="D91" s="758"/>
      <c r="E91" s="753" t="s">
        <v>1135</v>
      </c>
      <c r="F91" s="753"/>
      <c r="G91" s="753"/>
      <c r="H91" s="738" t="s">
        <v>1136</v>
      </c>
      <c r="I91" s="739"/>
      <c r="J91" s="739"/>
      <c r="K91" s="739"/>
      <c r="L91" s="740"/>
      <c r="M91" s="332">
        <f t="shared" ref="M91:R91" ca="1" si="3">IF(D24="Да",SUMIF($H92:$L98,$H91,M92:M98),0)</f>
        <v>5</v>
      </c>
      <c r="N91" s="332">
        <f t="shared" si="3"/>
        <v>0</v>
      </c>
      <c r="O91" s="332">
        <f t="shared" si="3"/>
        <v>0</v>
      </c>
      <c r="P91" s="332">
        <f t="shared" ca="1" si="3"/>
        <v>5</v>
      </c>
      <c r="Q91" s="332">
        <f t="shared" si="3"/>
        <v>0</v>
      </c>
      <c r="R91" s="332">
        <f t="shared" si="3"/>
        <v>0</v>
      </c>
    </row>
    <row r="92" spans="2:18" ht="53.25" hidden="1" customHeight="1" outlineLevel="1" x14ac:dyDescent="0.25">
      <c r="B92" s="343">
        <v>7.22</v>
      </c>
      <c r="C92" s="343"/>
      <c r="D92" s="332"/>
      <c r="E92" s="346"/>
      <c r="F92" s="346"/>
      <c r="G92" s="346"/>
      <c r="H92" s="738" t="s">
        <v>1137</v>
      </c>
      <c r="I92" s="739"/>
      <c r="J92" s="739"/>
      <c r="K92" s="739"/>
      <c r="L92" s="740"/>
      <c r="M92" s="332">
        <v>1</v>
      </c>
      <c r="N92" s="332">
        <v>1</v>
      </c>
      <c r="O92" s="332">
        <v>1</v>
      </c>
      <c r="P92" s="332">
        <v>1</v>
      </c>
      <c r="Q92" s="332">
        <v>1</v>
      </c>
      <c r="R92" s="332">
        <v>1</v>
      </c>
    </row>
    <row r="93" spans="2:18" ht="53.25" hidden="1" customHeight="1" outlineLevel="1" x14ac:dyDescent="0.25">
      <c r="B93" s="343" t="s">
        <v>1138</v>
      </c>
      <c r="C93" s="343"/>
      <c r="D93" s="332"/>
      <c r="E93" s="346"/>
      <c r="F93" s="346"/>
      <c r="G93" s="346"/>
      <c r="H93" s="738" t="s">
        <v>1139</v>
      </c>
      <c r="I93" s="739"/>
      <c r="J93" s="739"/>
      <c r="K93" s="739"/>
      <c r="L93" s="740"/>
      <c r="M93" s="332">
        <v>3</v>
      </c>
      <c r="N93" s="332">
        <v>2</v>
      </c>
      <c r="O93" s="332">
        <v>3</v>
      </c>
      <c r="P93" s="332">
        <v>3</v>
      </c>
      <c r="Q93" s="332">
        <v>3</v>
      </c>
      <c r="R93" s="332">
        <v>3</v>
      </c>
    </row>
    <row r="94" spans="2:18" ht="53.25" hidden="1" customHeight="1" outlineLevel="1" x14ac:dyDescent="0.25">
      <c r="B94" s="343" t="s">
        <v>1140</v>
      </c>
      <c r="C94" s="343"/>
      <c r="D94" s="332"/>
      <c r="E94" s="346"/>
      <c r="F94" s="346"/>
      <c r="G94" s="346"/>
      <c r="H94" s="738" t="s">
        <v>1136</v>
      </c>
      <c r="I94" s="739"/>
      <c r="J94" s="739"/>
      <c r="K94" s="739"/>
      <c r="L94" s="740"/>
      <c r="M94" s="332">
        <v>5</v>
      </c>
      <c r="N94" s="332">
        <v>2</v>
      </c>
      <c r="O94" s="332">
        <v>5</v>
      </c>
      <c r="P94" s="332">
        <v>5</v>
      </c>
      <c r="Q94" s="332">
        <v>5</v>
      </c>
      <c r="R94" s="332">
        <v>5</v>
      </c>
    </row>
    <row r="95" spans="2:18" ht="53.25" hidden="1" customHeight="1" outlineLevel="1" x14ac:dyDescent="0.25">
      <c r="B95" s="343" t="s">
        <v>1141</v>
      </c>
      <c r="C95" s="343"/>
      <c r="D95" s="332"/>
      <c r="E95" s="346"/>
      <c r="F95" s="346"/>
      <c r="G95" s="346"/>
      <c r="H95" s="738" t="s">
        <v>1142</v>
      </c>
      <c r="I95" s="739"/>
      <c r="J95" s="739"/>
      <c r="K95" s="739"/>
      <c r="L95" s="740"/>
      <c r="M95" s="332">
        <v>6</v>
      </c>
      <c r="N95" s="332">
        <v>3</v>
      </c>
      <c r="O95" s="332">
        <v>7</v>
      </c>
      <c r="P95" s="332">
        <v>7</v>
      </c>
      <c r="Q95" s="332">
        <v>7</v>
      </c>
      <c r="R95" s="332">
        <v>7</v>
      </c>
    </row>
    <row r="96" spans="2:18" ht="53.25" hidden="1" customHeight="1" outlineLevel="1" x14ac:dyDescent="0.25">
      <c r="B96" s="343" t="s">
        <v>1143</v>
      </c>
      <c r="C96" s="343"/>
      <c r="D96" s="332"/>
      <c r="E96" s="346"/>
      <c r="F96" s="346"/>
      <c r="G96" s="346"/>
      <c r="H96" s="738" t="s">
        <v>1144</v>
      </c>
      <c r="I96" s="739"/>
      <c r="J96" s="739"/>
      <c r="K96" s="739"/>
      <c r="L96" s="740"/>
      <c r="M96" s="332">
        <v>8</v>
      </c>
      <c r="N96" s="332">
        <v>4</v>
      </c>
      <c r="O96" s="332">
        <v>10</v>
      </c>
      <c r="P96" s="332">
        <v>9</v>
      </c>
      <c r="Q96" s="332">
        <v>11</v>
      </c>
      <c r="R96" s="332">
        <v>11</v>
      </c>
    </row>
    <row r="97" spans="2:18" ht="53.25" hidden="1" customHeight="1" outlineLevel="1" x14ac:dyDescent="0.25">
      <c r="B97" s="343" t="s">
        <v>1145</v>
      </c>
      <c r="C97" s="343"/>
      <c r="D97" s="332"/>
      <c r="E97" s="346"/>
      <c r="F97" s="346"/>
      <c r="G97" s="346"/>
      <c r="H97" s="738" t="s">
        <v>1146</v>
      </c>
      <c r="I97" s="739"/>
      <c r="J97" s="739"/>
      <c r="K97" s="739"/>
      <c r="L97" s="740"/>
      <c r="M97" s="332">
        <v>9</v>
      </c>
      <c r="N97" s="332">
        <v>4</v>
      </c>
      <c r="O97" s="332">
        <v>11</v>
      </c>
      <c r="P97" s="332">
        <v>10</v>
      </c>
      <c r="Q97" s="332">
        <v>13</v>
      </c>
      <c r="R97" s="332">
        <v>13</v>
      </c>
    </row>
    <row r="98" spans="2:18" ht="53.25" hidden="1" customHeight="1" outlineLevel="1" x14ac:dyDescent="0.25">
      <c r="B98" s="343" t="s">
        <v>1147</v>
      </c>
      <c r="C98" s="343"/>
      <c r="D98" s="332"/>
      <c r="E98" s="346"/>
      <c r="F98" s="346"/>
      <c r="G98" s="346"/>
      <c r="H98" s="738" t="s">
        <v>1148</v>
      </c>
      <c r="I98" s="739"/>
      <c r="J98" s="739"/>
      <c r="K98" s="739"/>
      <c r="L98" s="740"/>
      <c r="M98" s="332">
        <v>10</v>
      </c>
      <c r="N98" s="332">
        <v>5</v>
      </c>
      <c r="O98" s="332">
        <v>12</v>
      </c>
      <c r="P98" s="332">
        <v>11</v>
      </c>
      <c r="Q98" s="332">
        <v>14</v>
      </c>
      <c r="R98" s="332">
        <v>14</v>
      </c>
    </row>
    <row r="99" spans="2:18" ht="53.25" customHeight="1" collapsed="1" x14ac:dyDescent="0.25">
      <c r="B99" s="332">
        <v>5</v>
      </c>
      <c r="C99" s="757" t="s">
        <v>1149</v>
      </c>
      <c r="D99" s="758"/>
      <c r="E99" s="753" t="s">
        <v>1150</v>
      </c>
      <c r="F99" s="753"/>
      <c r="G99" s="753"/>
      <c r="H99" s="738" t="s">
        <v>1151</v>
      </c>
      <c r="I99" s="739"/>
      <c r="J99" s="739"/>
      <c r="K99" s="739"/>
      <c r="L99" s="740"/>
      <c r="M99" s="332">
        <f t="shared" ref="M99:R99" ca="1" si="4">IF(D24="Да",SUMIF($H100:$L104,$H99,M100:M104),0)</f>
        <v>5</v>
      </c>
      <c r="N99" s="332">
        <f t="shared" si="4"/>
        <v>0</v>
      </c>
      <c r="O99" s="332">
        <f t="shared" si="4"/>
        <v>0</v>
      </c>
      <c r="P99" s="332">
        <f t="shared" ca="1" si="4"/>
        <v>7</v>
      </c>
      <c r="Q99" s="332">
        <f t="shared" si="4"/>
        <v>0</v>
      </c>
      <c r="R99" s="332">
        <f t="shared" si="4"/>
        <v>0</v>
      </c>
    </row>
    <row r="100" spans="2:18" ht="53.25" hidden="1" customHeight="1" outlineLevel="1" x14ac:dyDescent="0.25">
      <c r="B100" s="343" t="s">
        <v>1152</v>
      </c>
      <c r="C100" s="343"/>
      <c r="D100" s="332"/>
      <c r="E100" s="346"/>
      <c r="F100" s="346"/>
      <c r="G100" s="346"/>
      <c r="H100" s="738" t="s">
        <v>1153</v>
      </c>
      <c r="I100" s="739"/>
      <c r="J100" s="739"/>
      <c r="K100" s="739"/>
      <c r="L100" s="740"/>
      <c r="M100" s="332">
        <v>1</v>
      </c>
      <c r="N100" s="332">
        <v>1</v>
      </c>
      <c r="O100" s="332">
        <v>1</v>
      </c>
      <c r="P100" s="332">
        <v>1</v>
      </c>
      <c r="Q100" s="332">
        <v>1</v>
      </c>
      <c r="R100" s="332">
        <v>1</v>
      </c>
    </row>
    <row r="101" spans="2:18" ht="53.25" hidden="1" customHeight="1" outlineLevel="1" x14ac:dyDescent="0.25">
      <c r="B101" s="343" t="s">
        <v>1154</v>
      </c>
      <c r="C101" s="343"/>
      <c r="D101" s="332"/>
      <c r="E101" s="346"/>
      <c r="F101" s="346"/>
      <c r="G101" s="346"/>
      <c r="H101" s="738" t="s">
        <v>1155</v>
      </c>
      <c r="I101" s="739"/>
      <c r="J101" s="739"/>
      <c r="K101" s="739"/>
      <c r="L101" s="740"/>
      <c r="M101" s="332">
        <v>1</v>
      </c>
      <c r="N101" s="332">
        <v>1</v>
      </c>
      <c r="O101" s="332">
        <v>2</v>
      </c>
      <c r="P101" s="332">
        <v>1</v>
      </c>
      <c r="Q101" s="332">
        <v>2</v>
      </c>
      <c r="R101" s="332">
        <v>2</v>
      </c>
    </row>
    <row r="102" spans="2:18" ht="53.25" hidden="1" customHeight="1" outlineLevel="1" x14ac:dyDescent="0.25">
      <c r="B102" s="343" t="s">
        <v>1156</v>
      </c>
      <c r="C102" s="343"/>
      <c r="D102" s="332"/>
      <c r="E102" s="346"/>
      <c r="F102" s="346"/>
      <c r="G102" s="346"/>
      <c r="H102" s="738" t="s">
        <v>1157</v>
      </c>
      <c r="I102" s="739"/>
      <c r="J102" s="739"/>
      <c r="K102" s="739"/>
      <c r="L102" s="740"/>
      <c r="M102" s="332">
        <v>2</v>
      </c>
      <c r="N102" s="332">
        <v>2</v>
      </c>
      <c r="O102" s="332">
        <v>2</v>
      </c>
      <c r="P102" s="332">
        <v>2</v>
      </c>
      <c r="Q102" s="332">
        <v>3</v>
      </c>
      <c r="R102" s="332">
        <v>3</v>
      </c>
    </row>
    <row r="103" spans="2:18" ht="53.25" hidden="1" customHeight="1" outlineLevel="1" x14ac:dyDescent="0.25">
      <c r="B103" s="343" t="s">
        <v>1158</v>
      </c>
      <c r="C103" s="343"/>
      <c r="D103" s="332"/>
      <c r="E103" s="346"/>
      <c r="F103" s="346"/>
      <c r="G103" s="346"/>
      <c r="H103" s="738" t="s">
        <v>1159</v>
      </c>
      <c r="I103" s="739"/>
      <c r="J103" s="739"/>
      <c r="K103" s="739"/>
      <c r="L103" s="740"/>
      <c r="M103" s="332">
        <v>3</v>
      </c>
      <c r="N103" s="332">
        <v>2</v>
      </c>
      <c r="O103" s="332">
        <v>3</v>
      </c>
      <c r="P103" s="332">
        <v>4</v>
      </c>
      <c r="Q103" s="332">
        <v>4</v>
      </c>
      <c r="R103" s="332">
        <v>4</v>
      </c>
    </row>
    <row r="104" spans="2:18" ht="53.25" hidden="1" customHeight="1" outlineLevel="1" x14ac:dyDescent="0.25">
      <c r="B104" s="343" t="s">
        <v>1160</v>
      </c>
      <c r="C104" s="343"/>
      <c r="D104" s="332"/>
      <c r="E104" s="346"/>
      <c r="F104" s="346"/>
      <c r="G104" s="346"/>
      <c r="H104" s="738" t="s">
        <v>1151</v>
      </c>
      <c r="I104" s="739"/>
      <c r="J104" s="739"/>
      <c r="K104" s="739"/>
      <c r="L104" s="740"/>
      <c r="M104" s="332">
        <v>5</v>
      </c>
      <c r="N104" s="332">
        <v>3</v>
      </c>
      <c r="O104" s="332">
        <v>5</v>
      </c>
      <c r="P104" s="332">
        <v>7</v>
      </c>
      <c r="Q104" s="332">
        <v>7</v>
      </c>
      <c r="R104" s="332">
        <v>7</v>
      </c>
    </row>
    <row r="105" spans="2:18" ht="53.25" customHeight="1" collapsed="1" x14ac:dyDescent="0.25">
      <c r="B105" s="332">
        <v>6</v>
      </c>
      <c r="C105" s="757" t="s">
        <v>1161</v>
      </c>
      <c r="D105" s="758"/>
      <c r="E105" s="753" t="s">
        <v>1162</v>
      </c>
      <c r="F105" s="753"/>
      <c r="G105" s="753"/>
      <c r="H105" s="738" t="s">
        <v>1112</v>
      </c>
      <c r="I105" s="739"/>
      <c r="J105" s="739"/>
      <c r="K105" s="739"/>
      <c r="L105" s="740"/>
      <c r="M105" s="332">
        <f t="shared" ref="M105:R105" ca="1" si="5">IF(D24="Да",SUMIF($H106:$L119,$H105,M106:M119),0)</f>
        <v>7</v>
      </c>
      <c r="N105" s="332">
        <f t="shared" si="5"/>
        <v>0</v>
      </c>
      <c r="O105" s="332">
        <f t="shared" si="5"/>
        <v>0</v>
      </c>
      <c r="P105" s="332">
        <f t="shared" ca="1" si="5"/>
        <v>11</v>
      </c>
      <c r="Q105" s="332">
        <f t="shared" si="5"/>
        <v>0</v>
      </c>
      <c r="R105" s="332">
        <f t="shared" si="5"/>
        <v>0</v>
      </c>
    </row>
    <row r="106" spans="2:18" ht="53.25" hidden="1" customHeight="1" outlineLevel="1" x14ac:dyDescent="0.25">
      <c r="B106" s="343" t="s">
        <v>1163</v>
      </c>
      <c r="C106" s="343"/>
      <c r="D106" s="332"/>
      <c r="E106" s="346"/>
      <c r="F106" s="346"/>
      <c r="G106" s="346"/>
      <c r="H106" s="738" t="s">
        <v>1093</v>
      </c>
      <c r="I106" s="739"/>
      <c r="J106" s="739"/>
      <c r="K106" s="739"/>
      <c r="L106" s="740"/>
      <c r="M106" s="332">
        <v>1</v>
      </c>
      <c r="N106" s="332">
        <v>1</v>
      </c>
      <c r="O106" s="332">
        <v>1</v>
      </c>
      <c r="P106" s="332">
        <v>1</v>
      </c>
      <c r="Q106" s="332">
        <v>1</v>
      </c>
      <c r="R106" s="332">
        <v>1</v>
      </c>
    </row>
    <row r="107" spans="2:18" ht="53.25" hidden="1" customHeight="1" outlineLevel="1" x14ac:dyDescent="0.25">
      <c r="B107" s="343" t="s">
        <v>1164</v>
      </c>
      <c r="C107" s="343"/>
      <c r="D107" s="332"/>
      <c r="E107" s="346"/>
      <c r="F107" s="346"/>
      <c r="G107" s="346"/>
      <c r="H107" s="738" t="s">
        <v>1095</v>
      </c>
      <c r="I107" s="739"/>
      <c r="J107" s="739"/>
      <c r="K107" s="739"/>
      <c r="L107" s="740"/>
      <c r="M107" s="332">
        <v>2</v>
      </c>
      <c r="N107" s="332">
        <v>1</v>
      </c>
      <c r="O107" s="332">
        <v>2</v>
      </c>
      <c r="P107" s="332">
        <v>2</v>
      </c>
      <c r="Q107" s="332">
        <v>2</v>
      </c>
      <c r="R107" s="332">
        <v>2</v>
      </c>
    </row>
    <row r="108" spans="2:18" ht="53.25" hidden="1" customHeight="1" outlineLevel="1" x14ac:dyDescent="0.25">
      <c r="B108" s="343" t="s">
        <v>1165</v>
      </c>
      <c r="C108" s="343"/>
      <c r="D108" s="332"/>
      <c r="E108" s="346"/>
      <c r="F108" s="346"/>
      <c r="G108" s="346"/>
      <c r="H108" s="738" t="s">
        <v>1097</v>
      </c>
      <c r="I108" s="739"/>
      <c r="J108" s="739"/>
      <c r="K108" s="739"/>
      <c r="L108" s="740"/>
      <c r="M108" s="332">
        <v>2</v>
      </c>
      <c r="N108" s="332">
        <v>2</v>
      </c>
      <c r="O108" s="332">
        <v>3</v>
      </c>
      <c r="P108" s="332">
        <v>3</v>
      </c>
      <c r="Q108" s="332">
        <v>3</v>
      </c>
      <c r="R108" s="332">
        <v>3</v>
      </c>
    </row>
    <row r="109" spans="2:18" ht="53.25" hidden="1" customHeight="1" outlineLevel="1" x14ac:dyDescent="0.25">
      <c r="B109" s="343" t="s">
        <v>1166</v>
      </c>
      <c r="C109" s="343"/>
      <c r="D109" s="332"/>
      <c r="E109" s="346"/>
      <c r="F109" s="346"/>
      <c r="G109" s="346"/>
      <c r="H109" s="738" t="s">
        <v>1099</v>
      </c>
      <c r="I109" s="739"/>
      <c r="J109" s="739"/>
      <c r="K109" s="739"/>
      <c r="L109" s="740"/>
      <c r="M109" s="332">
        <v>3</v>
      </c>
      <c r="N109" s="332">
        <v>2</v>
      </c>
      <c r="O109" s="332">
        <v>4</v>
      </c>
      <c r="P109" s="332">
        <v>4</v>
      </c>
      <c r="Q109" s="332">
        <v>4</v>
      </c>
      <c r="R109" s="332">
        <v>4</v>
      </c>
    </row>
    <row r="110" spans="2:18" ht="53.25" hidden="1" customHeight="1" outlineLevel="1" x14ac:dyDescent="0.25">
      <c r="B110" s="343" t="s">
        <v>1167</v>
      </c>
      <c r="C110" s="343"/>
      <c r="D110" s="332"/>
      <c r="E110" s="346"/>
      <c r="F110" s="346"/>
      <c r="G110" s="346"/>
      <c r="H110" s="738" t="s">
        <v>1101</v>
      </c>
      <c r="I110" s="739"/>
      <c r="J110" s="739"/>
      <c r="K110" s="739"/>
      <c r="L110" s="740"/>
      <c r="M110" s="332">
        <v>3</v>
      </c>
      <c r="N110" s="332">
        <v>3</v>
      </c>
      <c r="O110" s="332">
        <v>5</v>
      </c>
      <c r="P110" s="332">
        <v>5</v>
      </c>
      <c r="Q110" s="332">
        <v>5</v>
      </c>
      <c r="R110" s="332">
        <v>5</v>
      </c>
    </row>
    <row r="111" spans="2:18" ht="53.25" hidden="1" customHeight="1" outlineLevel="1" x14ac:dyDescent="0.25">
      <c r="B111" s="343" t="s">
        <v>1168</v>
      </c>
      <c r="C111" s="343"/>
      <c r="D111" s="332"/>
      <c r="E111" s="346"/>
      <c r="F111" s="346"/>
      <c r="G111" s="346"/>
      <c r="H111" s="738" t="s">
        <v>1103</v>
      </c>
      <c r="I111" s="739"/>
      <c r="J111" s="739"/>
      <c r="K111" s="739"/>
      <c r="L111" s="740"/>
      <c r="M111" s="332">
        <v>4</v>
      </c>
      <c r="N111" s="332">
        <v>3</v>
      </c>
      <c r="O111" s="332">
        <v>6</v>
      </c>
      <c r="P111" s="332">
        <v>6</v>
      </c>
      <c r="Q111" s="332">
        <v>6</v>
      </c>
      <c r="R111" s="332">
        <v>6</v>
      </c>
    </row>
    <row r="112" spans="2:18" ht="53.25" hidden="1" customHeight="1" outlineLevel="1" x14ac:dyDescent="0.25">
      <c r="B112" s="343" t="s">
        <v>1169</v>
      </c>
      <c r="C112" s="343"/>
      <c r="D112" s="332"/>
      <c r="E112" s="346"/>
      <c r="F112" s="346"/>
      <c r="G112" s="346"/>
      <c r="H112" s="738" t="s">
        <v>1105</v>
      </c>
      <c r="I112" s="739"/>
      <c r="J112" s="739"/>
      <c r="K112" s="739"/>
      <c r="L112" s="740"/>
      <c r="M112" s="332">
        <v>4</v>
      </c>
      <c r="N112" s="332">
        <v>4</v>
      </c>
      <c r="O112" s="332">
        <v>7</v>
      </c>
      <c r="P112" s="332">
        <v>7</v>
      </c>
      <c r="Q112" s="332">
        <v>7</v>
      </c>
      <c r="R112" s="332">
        <v>7</v>
      </c>
    </row>
    <row r="113" spans="2:18" ht="53.25" hidden="1" customHeight="1" outlineLevel="1" x14ac:dyDescent="0.25">
      <c r="B113" s="343" t="s">
        <v>1170</v>
      </c>
      <c r="C113" s="343"/>
      <c r="D113" s="332"/>
      <c r="E113" s="346"/>
      <c r="F113" s="346"/>
      <c r="G113" s="346"/>
      <c r="H113" s="738" t="s">
        <v>1091</v>
      </c>
      <c r="I113" s="739"/>
      <c r="J113" s="739"/>
      <c r="K113" s="739"/>
      <c r="L113" s="740"/>
      <c r="M113" s="332">
        <v>5</v>
      </c>
      <c r="N113" s="332">
        <v>4</v>
      </c>
      <c r="O113" s="332">
        <v>8</v>
      </c>
      <c r="P113" s="332">
        <v>8</v>
      </c>
      <c r="Q113" s="332">
        <v>8</v>
      </c>
      <c r="R113" s="332">
        <v>8</v>
      </c>
    </row>
    <row r="114" spans="2:18" ht="53.25" hidden="1" customHeight="1" outlineLevel="1" x14ac:dyDescent="0.25">
      <c r="B114" s="343" t="s">
        <v>1171</v>
      </c>
      <c r="C114" s="343"/>
      <c r="D114" s="332"/>
      <c r="E114" s="346"/>
      <c r="F114" s="346"/>
      <c r="G114" s="346"/>
      <c r="H114" s="738" t="s">
        <v>1108</v>
      </c>
      <c r="I114" s="739"/>
      <c r="J114" s="739"/>
      <c r="K114" s="739"/>
      <c r="L114" s="740"/>
      <c r="M114" s="332">
        <v>5</v>
      </c>
      <c r="N114" s="332">
        <v>5</v>
      </c>
      <c r="O114" s="332">
        <v>9</v>
      </c>
      <c r="P114" s="332">
        <v>9</v>
      </c>
      <c r="Q114" s="332">
        <v>9</v>
      </c>
      <c r="R114" s="332">
        <v>9</v>
      </c>
    </row>
    <row r="115" spans="2:18" ht="53.25" hidden="1" customHeight="1" outlineLevel="1" x14ac:dyDescent="0.25">
      <c r="B115" s="343" t="s">
        <v>1172</v>
      </c>
      <c r="C115" s="343"/>
      <c r="D115" s="332"/>
      <c r="E115" s="346"/>
      <c r="F115" s="346"/>
      <c r="G115" s="346"/>
      <c r="H115" s="738" t="s">
        <v>1110</v>
      </c>
      <c r="I115" s="739"/>
      <c r="J115" s="739"/>
      <c r="K115" s="739"/>
      <c r="L115" s="740"/>
      <c r="M115" s="332">
        <v>6</v>
      </c>
      <c r="N115" s="332">
        <v>5</v>
      </c>
      <c r="O115" s="332">
        <v>10</v>
      </c>
      <c r="P115" s="332">
        <v>10</v>
      </c>
      <c r="Q115" s="332">
        <v>10</v>
      </c>
      <c r="R115" s="332">
        <v>10</v>
      </c>
    </row>
    <row r="116" spans="2:18" ht="53.25" hidden="1" customHeight="1" outlineLevel="1" x14ac:dyDescent="0.25">
      <c r="B116" s="343" t="s">
        <v>1173</v>
      </c>
      <c r="C116" s="343"/>
      <c r="D116" s="332"/>
      <c r="E116" s="346"/>
      <c r="F116" s="346"/>
      <c r="G116" s="346"/>
      <c r="H116" s="738" t="s">
        <v>1112</v>
      </c>
      <c r="I116" s="739"/>
      <c r="J116" s="739"/>
      <c r="K116" s="739"/>
      <c r="L116" s="740"/>
      <c r="M116" s="332">
        <v>7</v>
      </c>
      <c r="N116" s="332">
        <v>6</v>
      </c>
      <c r="O116" s="332">
        <v>11</v>
      </c>
      <c r="P116" s="332">
        <v>11</v>
      </c>
      <c r="Q116" s="332">
        <v>11</v>
      </c>
      <c r="R116" s="332">
        <v>11</v>
      </c>
    </row>
    <row r="117" spans="2:18" ht="53.25" hidden="1" customHeight="1" outlineLevel="1" x14ac:dyDescent="0.25">
      <c r="B117" s="343" t="s">
        <v>1174</v>
      </c>
      <c r="C117" s="343"/>
      <c r="D117" s="332"/>
      <c r="E117" s="346"/>
      <c r="F117" s="346"/>
      <c r="G117" s="346"/>
      <c r="H117" s="738" t="s">
        <v>1114</v>
      </c>
      <c r="I117" s="739"/>
      <c r="J117" s="739"/>
      <c r="K117" s="739"/>
      <c r="L117" s="740"/>
      <c r="M117" s="332">
        <v>8</v>
      </c>
      <c r="N117" s="332">
        <v>6</v>
      </c>
      <c r="O117" s="332">
        <v>12</v>
      </c>
      <c r="P117" s="332">
        <v>12</v>
      </c>
      <c r="Q117" s="332">
        <v>12</v>
      </c>
      <c r="R117" s="332">
        <v>12</v>
      </c>
    </row>
    <row r="118" spans="2:18" ht="53.25" hidden="1" customHeight="1" outlineLevel="1" x14ac:dyDescent="0.25">
      <c r="B118" s="343" t="s">
        <v>1175</v>
      </c>
      <c r="C118" s="343"/>
      <c r="D118" s="332"/>
      <c r="E118" s="346"/>
      <c r="F118" s="346"/>
      <c r="G118" s="346"/>
      <c r="H118" s="738" t="s">
        <v>1116</v>
      </c>
      <c r="I118" s="739"/>
      <c r="J118" s="739"/>
      <c r="K118" s="739"/>
      <c r="L118" s="740"/>
      <c r="M118" s="332">
        <v>9</v>
      </c>
      <c r="N118" s="332">
        <v>7</v>
      </c>
      <c r="O118" s="332">
        <v>13</v>
      </c>
      <c r="P118" s="332">
        <v>13</v>
      </c>
      <c r="Q118" s="332">
        <v>13</v>
      </c>
      <c r="R118" s="332">
        <v>13</v>
      </c>
    </row>
    <row r="119" spans="2:18" ht="53.25" hidden="1" customHeight="1" outlineLevel="1" x14ac:dyDescent="0.25">
      <c r="B119" s="343" t="s">
        <v>1176</v>
      </c>
      <c r="C119" s="343"/>
      <c r="D119" s="332"/>
      <c r="E119" s="346"/>
      <c r="F119" s="346"/>
      <c r="G119" s="346"/>
      <c r="H119" s="738" t="s">
        <v>1118</v>
      </c>
      <c r="I119" s="739"/>
      <c r="J119" s="739"/>
      <c r="K119" s="739"/>
      <c r="L119" s="740"/>
      <c r="M119" s="332">
        <v>1</v>
      </c>
      <c r="N119" s="332">
        <v>1</v>
      </c>
      <c r="O119" s="332">
        <v>1</v>
      </c>
      <c r="P119" s="332">
        <v>1</v>
      </c>
      <c r="Q119" s="332">
        <v>1</v>
      </c>
      <c r="R119" s="332">
        <v>1</v>
      </c>
    </row>
    <row r="120" spans="2:18" ht="53.25" customHeight="1" collapsed="1" x14ac:dyDescent="0.25">
      <c r="B120" s="332">
        <v>7</v>
      </c>
      <c r="C120" s="757" t="s">
        <v>1177</v>
      </c>
      <c r="D120" s="758"/>
      <c r="E120" s="753" t="s">
        <v>1178</v>
      </c>
      <c r="F120" s="753"/>
      <c r="G120" s="753"/>
      <c r="H120" s="738" t="s">
        <v>1189</v>
      </c>
      <c r="I120" s="739"/>
      <c r="J120" s="739"/>
      <c r="K120" s="739"/>
      <c r="L120" s="740"/>
      <c r="M120" s="332">
        <f t="shared" ref="M120:R120" ca="1" si="6">IF(D24="Да",SUMIF($H121:$L134,$H120,M121:M134),0)</f>
        <v>9</v>
      </c>
      <c r="N120" s="332">
        <f t="shared" si="6"/>
        <v>0</v>
      </c>
      <c r="O120" s="332">
        <f t="shared" si="6"/>
        <v>0</v>
      </c>
      <c r="P120" s="332">
        <f t="shared" ca="1" si="6"/>
        <v>12</v>
      </c>
      <c r="Q120" s="332">
        <f t="shared" si="6"/>
        <v>0</v>
      </c>
      <c r="R120" s="332">
        <f t="shared" si="6"/>
        <v>0</v>
      </c>
    </row>
    <row r="121" spans="2:18" ht="53.25" hidden="1" customHeight="1" outlineLevel="1" x14ac:dyDescent="0.25">
      <c r="B121" s="343">
        <v>7.22</v>
      </c>
      <c r="C121" s="344"/>
      <c r="D121" s="334"/>
      <c r="E121" s="341"/>
      <c r="F121" s="341"/>
      <c r="G121" s="341"/>
      <c r="H121" s="738" t="s">
        <v>1082</v>
      </c>
      <c r="I121" s="739"/>
      <c r="J121" s="739"/>
      <c r="K121" s="739"/>
      <c r="L121" s="740"/>
      <c r="M121" s="332">
        <v>1</v>
      </c>
      <c r="N121" s="332">
        <v>1</v>
      </c>
      <c r="O121" s="332">
        <v>1</v>
      </c>
      <c r="P121" s="332">
        <v>1</v>
      </c>
      <c r="Q121" s="332">
        <v>1</v>
      </c>
      <c r="R121" s="332">
        <v>1</v>
      </c>
    </row>
    <row r="122" spans="2:18" ht="53.25" hidden="1" customHeight="1" outlineLevel="1" x14ac:dyDescent="0.25">
      <c r="B122" s="343" t="s">
        <v>1138</v>
      </c>
      <c r="C122" s="344"/>
      <c r="D122" s="334"/>
      <c r="E122" s="341"/>
      <c r="F122" s="341"/>
      <c r="G122" s="341"/>
      <c r="H122" s="738" t="s">
        <v>1083</v>
      </c>
      <c r="I122" s="739"/>
      <c r="J122" s="739"/>
      <c r="K122" s="739"/>
      <c r="L122" s="740"/>
      <c r="M122" s="332">
        <v>2</v>
      </c>
      <c r="N122" s="332">
        <v>1</v>
      </c>
      <c r="O122" s="332">
        <v>2</v>
      </c>
      <c r="P122" s="332">
        <v>2</v>
      </c>
      <c r="Q122" s="332">
        <v>2</v>
      </c>
      <c r="R122" s="332">
        <v>2</v>
      </c>
    </row>
    <row r="123" spans="2:18" ht="53.25" hidden="1" customHeight="1" outlineLevel="1" x14ac:dyDescent="0.25">
      <c r="B123" s="343" t="s">
        <v>1140</v>
      </c>
      <c r="C123" s="344"/>
      <c r="D123" s="334"/>
      <c r="E123" s="341"/>
      <c r="F123" s="341"/>
      <c r="G123" s="341"/>
      <c r="H123" s="738" t="s">
        <v>1081</v>
      </c>
      <c r="I123" s="739"/>
      <c r="J123" s="739"/>
      <c r="K123" s="739"/>
      <c r="L123" s="740"/>
      <c r="M123" s="332">
        <v>3</v>
      </c>
      <c r="N123" s="332">
        <v>2</v>
      </c>
      <c r="O123" s="332">
        <v>3</v>
      </c>
      <c r="P123" s="332">
        <v>3</v>
      </c>
      <c r="Q123" s="332">
        <v>3</v>
      </c>
      <c r="R123" s="332">
        <v>3</v>
      </c>
    </row>
    <row r="124" spans="2:18" ht="53.25" hidden="1" customHeight="1" outlineLevel="1" x14ac:dyDescent="0.25">
      <c r="B124" s="343" t="s">
        <v>1141</v>
      </c>
      <c r="C124" s="344"/>
      <c r="D124" s="334"/>
      <c r="E124" s="341"/>
      <c r="F124" s="341"/>
      <c r="G124" s="341"/>
      <c r="H124" s="738" t="s">
        <v>1180</v>
      </c>
      <c r="I124" s="739"/>
      <c r="J124" s="739"/>
      <c r="K124" s="739"/>
      <c r="L124" s="740"/>
      <c r="M124" s="332">
        <v>3</v>
      </c>
      <c r="N124" s="332">
        <v>2</v>
      </c>
      <c r="O124" s="332">
        <v>4</v>
      </c>
      <c r="P124" s="332">
        <v>4</v>
      </c>
      <c r="Q124" s="332">
        <v>4</v>
      </c>
      <c r="R124" s="332">
        <v>4</v>
      </c>
    </row>
    <row r="125" spans="2:18" ht="53.25" hidden="1" customHeight="1" outlineLevel="1" x14ac:dyDescent="0.25">
      <c r="B125" s="343" t="s">
        <v>1143</v>
      </c>
      <c r="C125" s="344"/>
      <c r="D125" s="334"/>
      <c r="E125" s="341"/>
      <c r="F125" s="341"/>
      <c r="G125" s="341"/>
      <c r="H125" s="738" t="s">
        <v>1181</v>
      </c>
      <c r="I125" s="739"/>
      <c r="J125" s="739"/>
      <c r="K125" s="739"/>
      <c r="L125" s="740"/>
      <c r="M125" s="332">
        <v>4</v>
      </c>
      <c r="N125" s="332">
        <v>3</v>
      </c>
      <c r="O125" s="332">
        <v>5</v>
      </c>
      <c r="P125" s="332">
        <v>5</v>
      </c>
      <c r="Q125" s="332">
        <v>5</v>
      </c>
      <c r="R125" s="332">
        <v>5</v>
      </c>
    </row>
    <row r="126" spans="2:18" ht="53.25" hidden="1" customHeight="1" outlineLevel="1" x14ac:dyDescent="0.25">
      <c r="B126" s="343" t="s">
        <v>1145</v>
      </c>
      <c r="C126" s="344"/>
      <c r="D126" s="334"/>
      <c r="E126" s="341"/>
      <c r="F126" s="341"/>
      <c r="G126" s="341"/>
      <c r="H126" s="738" t="s">
        <v>1182</v>
      </c>
      <c r="I126" s="739"/>
      <c r="J126" s="739"/>
      <c r="K126" s="739"/>
      <c r="L126" s="740"/>
      <c r="M126" s="332">
        <v>4</v>
      </c>
      <c r="N126" s="332">
        <v>3</v>
      </c>
      <c r="O126" s="332">
        <v>6</v>
      </c>
      <c r="P126" s="332">
        <v>6</v>
      </c>
      <c r="Q126" s="332">
        <v>6</v>
      </c>
      <c r="R126" s="332">
        <v>6</v>
      </c>
    </row>
    <row r="127" spans="2:18" ht="53.25" hidden="1" customHeight="1" outlineLevel="1" x14ac:dyDescent="0.25">
      <c r="B127" s="343" t="s">
        <v>1147</v>
      </c>
      <c r="C127" s="344"/>
      <c r="D127" s="334"/>
      <c r="E127" s="341"/>
      <c r="F127" s="341"/>
      <c r="G127" s="341"/>
      <c r="H127" s="738" t="s">
        <v>1179</v>
      </c>
      <c r="I127" s="739"/>
      <c r="J127" s="739"/>
      <c r="K127" s="739"/>
      <c r="L127" s="740"/>
      <c r="M127" s="332">
        <v>5</v>
      </c>
      <c r="N127" s="332">
        <v>4</v>
      </c>
      <c r="O127" s="332">
        <v>7</v>
      </c>
      <c r="P127" s="332">
        <v>7</v>
      </c>
      <c r="Q127" s="332">
        <v>7</v>
      </c>
      <c r="R127" s="332">
        <v>7</v>
      </c>
    </row>
    <row r="128" spans="2:18" ht="53.25" hidden="1" customHeight="1" outlineLevel="1" x14ac:dyDescent="0.25">
      <c r="B128" s="343" t="s">
        <v>1183</v>
      </c>
      <c r="C128" s="344"/>
      <c r="D128" s="334"/>
      <c r="E128" s="341"/>
      <c r="F128" s="341"/>
      <c r="G128" s="341"/>
      <c r="H128" s="738" t="s">
        <v>1184</v>
      </c>
      <c r="I128" s="739"/>
      <c r="J128" s="739"/>
      <c r="K128" s="739"/>
      <c r="L128" s="740"/>
      <c r="M128" s="332">
        <v>5</v>
      </c>
      <c r="N128" s="332">
        <v>4</v>
      </c>
      <c r="O128" s="332">
        <v>8</v>
      </c>
      <c r="P128" s="332">
        <v>8</v>
      </c>
      <c r="Q128" s="332">
        <v>8</v>
      </c>
      <c r="R128" s="332">
        <v>8</v>
      </c>
    </row>
    <row r="129" spans="2:23" ht="53.25" hidden="1" customHeight="1" outlineLevel="1" x14ac:dyDescent="0.25">
      <c r="B129" s="343" t="s">
        <v>1185</v>
      </c>
      <c r="C129" s="344"/>
      <c r="D129" s="334"/>
      <c r="E129" s="341"/>
      <c r="F129" s="341"/>
      <c r="G129" s="341"/>
      <c r="H129" s="738" t="s">
        <v>1186</v>
      </c>
      <c r="I129" s="739"/>
      <c r="J129" s="739"/>
      <c r="K129" s="739"/>
      <c r="L129" s="740"/>
      <c r="M129" s="332">
        <v>6</v>
      </c>
      <c r="N129" s="332">
        <v>5</v>
      </c>
      <c r="O129" s="332">
        <v>9</v>
      </c>
      <c r="P129" s="332">
        <v>9</v>
      </c>
      <c r="Q129" s="332">
        <v>9</v>
      </c>
      <c r="R129" s="332">
        <v>9</v>
      </c>
    </row>
    <row r="130" spans="2:23" ht="53.25" hidden="1" customHeight="1" outlineLevel="1" x14ac:dyDescent="0.25">
      <c r="B130" s="343">
        <v>7.22</v>
      </c>
      <c r="C130" s="344"/>
      <c r="D130" s="334"/>
      <c r="E130" s="341"/>
      <c r="F130" s="341"/>
      <c r="G130" s="341"/>
      <c r="H130" s="738" t="s">
        <v>1187</v>
      </c>
      <c r="I130" s="739"/>
      <c r="J130" s="739"/>
      <c r="K130" s="739"/>
      <c r="L130" s="740"/>
      <c r="M130" s="332">
        <v>7</v>
      </c>
      <c r="N130" s="332">
        <v>5</v>
      </c>
      <c r="O130" s="332">
        <v>10</v>
      </c>
      <c r="P130" s="332">
        <v>10</v>
      </c>
      <c r="Q130" s="332">
        <v>10</v>
      </c>
      <c r="R130" s="332">
        <v>10</v>
      </c>
    </row>
    <row r="131" spans="2:23" ht="53.25" hidden="1" customHeight="1" outlineLevel="1" x14ac:dyDescent="0.25">
      <c r="B131" s="343">
        <v>7.2210000000000001</v>
      </c>
      <c r="C131" s="344"/>
      <c r="D131" s="334"/>
      <c r="E131" s="341"/>
      <c r="F131" s="341"/>
      <c r="G131" s="341"/>
      <c r="H131" s="738" t="s">
        <v>1188</v>
      </c>
      <c r="I131" s="739"/>
      <c r="J131" s="739"/>
      <c r="K131" s="739"/>
      <c r="L131" s="740"/>
      <c r="M131" s="332">
        <v>8</v>
      </c>
      <c r="N131" s="332">
        <v>6</v>
      </c>
      <c r="O131" s="332">
        <v>11</v>
      </c>
      <c r="P131" s="332">
        <v>11</v>
      </c>
      <c r="Q131" s="332">
        <v>11</v>
      </c>
      <c r="R131" s="332">
        <v>11</v>
      </c>
    </row>
    <row r="132" spans="2:23" ht="53.25" hidden="1" customHeight="1" outlineLevel="1" x14ac:dyDescent="0.25">
      <c r="B132" s="343">
        <v>7.2220000000000004</v>
      </c>
      <c r="C132" s="344"/>
      <c r="D132" s="334"/>
      <c r="E132" s="341"/>
      <c r="F132" s="341"/>
      <c r="G132" s="341"/>
      <c r="H132" s="738" t="s">
        <v>1189</v>
      </c>
      <c r="I132" s="739"/>
      <c r="J132" s="739"/>
      <c r="K132" s="739"/>
      <c r="L132" s="740"/>
      <c r="M132" s="332">
        <v>9</v>
      </c>
      <c r="N132" s="332">
        <v>6</v>
      </c>
      <c r="O132" s="332">
        <v>12</v>
      </c>
      <c r="P132" s="332">
        <v>12</v>
      </c>
      <c r="Q132" s="332">
        <v>12</v>
      </c>
      <c r="R132" s="332">
        <v>12</v>
      </c>
    </row>
    <row r="133" spans="2:23" ht="53.25" hidden="1" customHeight="1" outlineLevel="1" x14ac:dyDescent="0.25">
      <c r="B133" s="343">
        <v>7.2229999999999999</v>
      </c>
      <c r="C133" s="344"/>
      <c r="D133" s="334"/>
      <c r="E133" s="341"/>
      <c r="F133" s="341"/>
      <c r="G133" s="341"/>
      <c r="H133" s="738" t="s">
        <v>1190</v>
      </c>
      <c r="I133" s="739"/>
      <c r="J133" s="739"/>
      <c r="K133" s="739"/>
      <c r="L133" s="740"/>
      <c r="M133" s="332">
        <v>10</v>
      </c>
      <c r="N133" s="332">
        <v>7</v>
      </c>
      <c r="O133" s="332">
        <v>13</v>
      </c>
      <c r="P133" s="332">
        <v>13</v>
      </c>
      <c r="Q133" s="332">
        <v>13</v>
      </c>
      <c r="R133" s="332">
        <v>13</v>
      </c>
    </row>
    <row r="134" spans="2:23" ht="53.25" hidden="1" customHeight="1" outlineLevel="1" x14ac:dyDescent="0.25">
      <c r="B134" s="343">
        <v>7.2240000000000002</v>
      </c>
      <c r="C134" s="344"/>
      <c r="D134" s="334"/>
      <c r="E134" s="341"/>
      <c r="F134" s="341"/>
      <c r="G134" s="341"/>
      <c r="H134" s="738" t="s">
        <v>1191</v>
      </c>
      <c r="I134" s="739"/>
      <c r="J134" s="739"/>
      <c r="K134" s="739"/>
      <c r="L134" s="740"/>
      <c r="M134" s="332">
        <v>1</v>
      </c>
      <c r="N134" s="332">
        <v>1</v>
      </c>
      <c r="O134" s="332">
        <v>1</v>
      </c>
      <c r="P134" s="332">
        <v>1</v>
      </c>
      <c r="Q134" s="332">
        <v>1</v>
      </c>
      <c r="R134" s="332">
        <v>1</v>
      </c>
    </row>
    <row r="135" spans="2:23" ht="26.25" customHeight="1" collapsed="1" x14ac:dyDescent="0.25">
      <c r="B135" s="332">
        <v>8</v>
      </c>
      <c r="C135" s="334"/>
      <c r="D135" s="334"/>
      <c r="E135" s="328"/>
      <c r="F135" s="328"/>
      <c r="G135" s="328"/>
      <c r="H135" s="328"/>
      <c r="I135" s="328"/>
      <c r="J135" s="328"/>
      <c r="K135" s="328"/>
      <c r="L135" s="345" t="s">
        <v>1119</v>
      </c>
      <c r="M135" s="332">
        <f ca="1">M71+M78+M86+M91+M99+M105+M120</f>
        <v>36</v>
      </c>
      <c r="N135" s="332">
        <f t="shared" ref="N135:R135" si="7">N71+N78+N86+N91+N99+N105+N120</f>
        <v>0</v>
      </c>
      <c r="O135" s="332">
        <f>O71+O78+O86+O91+O99+O105+O120</f>
        <v>0</v>
      </c>
      <c r="P135" s="332">
        <f t="shared" ca="1" si="7"/>
        <v>43</v>
      </c>
      <c r="Q135" s="332">
        <f t="shared" si="7"/>
        <v>0</v>
      </c>
      <c r="R135" s="332">
        <f t="shared" si="7"/>
        <v>0</v>
      </c>
    </row>
    <row r="136" spans="2:23" ht="26.25" customHeight="1" x14ac:dyDescent="0.25">
      <c r="B136" s="745" t="s">
        <v>1192</v>
      </c>
      <c r="C136" s="746"/>
      <c r="D136" s="746"/>
      <c r="E136" s="746"/>
      <c r="F136" s="746"/>
      <c r="G136" s="746"/>
      <c r="H136" s="746"/>
      <c r="I136" s="746"/>
      <c r="J136" s="746"/>
      <c r="K136" s="746"/>
      <c r="L136" s="746"/>
      <c r="M136" s="746"/>
      <c r="N136" s="746"/>
      <c r="O136" s="746"/>
      <c r="P136" s="746"/>
      <c r="Q136" s="746"/>
      <c r="R136" s="747"/>
    </row>
    <row r="137" spans="2:23" ht="26.25" customHeight="1" x14ac:dyDescent="0.25">
      <c r="B137" s="748" t="s">
        <v>90</v>
      </c>
      <c r="C137" s="754" t="s">
        <v>1193</v>
      </c>
      <c r="D137" s="755"/>
      <c r="E137" s="755"/>
      <c r="F137" s="755"/>
      <c r="G137" s="755"/>
      <c r="H137" s="755"/>
      <c r="I137" s="756"/>
      <c r="J137" s="748" t="s">
        <v>1194</v>
      </c>
      <c r="K137" s="748"/>
      <c r="L137" s="748"/>
      <c r="M137" s="748"/>
      <c r="N137" s="748"/>
      <c r="O137" s="748"/>
      <c r="P137" s="748"/>
      <c r="Q137" s="748"/>
      <c r="R137" s="748"/>
    </row>
    <row r="138" spans="2:23" ht="22.5" customHeight="1" x14ac:dyDescent="0.25">
      <c r="B138" s="748"/>
      <c r="C138" s="333" t="s">
        <v>1062</v>
      </c>
      <c r="D138" s="333" t="s">
        <v>1049</v>
      </c>
      <c r="E138" s="333" t="s">
        <v>1050</v>
      </c>
      <c r="F138" s="333" t="s">
        <v>1051</v>
      </c>
      <c r="G138" s="333" t="s">
        <v>1052</v>
      </c>
      <c r="H138" s="333" t="s">
        <v>1053</v>
      </c>
      <c r="I138" s="333" t="s">
        <v>1054</v>
      </c>
      <c r="J138" s="333" t="s">
        <v>1195</v>
      </c>
      <c r="K138" s="333" t="s">
        <v>1196</v>
      </c>
      <c r="L138" s="748" t="s">
        <v>1197</v>
      </c>
      <c r="M138" s="748"/>
      <c r="N138" s="748"/>
      <c r="O138" s="748"/>
      <c r="P138" s="748"/>
      <c r="Q138" s="333" t="s">
        <v>1198</v>
      </c>
      <c r="R138" s="333" t="s">
        <v>1199</v>
      </c>
      <c r="U138" s="325" t="s">
        <v>1200</v>
      </c>
    </row>
    <row r="139" spans="2:23" s="347" customFormat="1" ht="39.75" customHeight="1" x14ac:dyDescent="0.2">
      <c r="B139" s="332">
        <v>1</v>
      </c>
      <c r="C139" s="332">
        <f t="shared" ref="C139:C140" si="8">IF($R139="Да",$Q139,1)</f>
        <v>0.6</v>
      </c>
      <c r="D139" s="332">
        <f t="shared" ref="D139:D140" si="9">IF($R139="Да",$Q139,1)</f>
        <v>0.6</v>
      </c>
      <c r="E139" s="332">
        <f t="shared" ref="C139:I152" si="10">IF($R139="Да",$Q139,1)</f>
        <v>0.6</v>
      </c>
      <c r="F139" s="332">
        <f t="shared" si="10"/>
        <v>0.6</v>
      </c>
      <c r="G139" s="332">
        <f t="shared" si="10"/>
        <v>0.6</v>
      </c>
      <c r="H139" s="332">
        <f t="shared" si="10"/>
        <v>0.6</v>
      </c>
      <c r="I139" s="332">
        <f t="shared" si="10"/>
        <v>0.6</v>
      </c>
      <c r="J139" s="332" t="s">
        <v>1201</v>
      </c>
      <c r="K139" s="348" t="s">
        <v>1202</v>
      </c>
      <c r="L139" s="753" t="s">
        <v>1203</v>
      </c>
      <c r="M139" s="753"/>
      <c r="N139" s="753"/>
      <c r="O139" s="753"/>
      <c r="P139" s="753"/>
      <c r="Q139" s="349">
        <f t="shared" ref="Q139:Q152" si="11">IF(R139="Да",U139,"-")</f>
        <v>0.6</v>
      </c>
      <c r="R139" s="349" t="s">
        <v>1047</v>
      </c>
      <c r="U139" s="350">
        <v>0.6</v>
      </c>
    </row>
    <row r="140" spans="2:23" s="347" customFormat="1" ht="39.75" customHeight="1" x14ac:dyDescent="0.2">
      <c r="B140" s="332">
        <v>2</v>
      </c>
      <c r="C140" s="332">
        <f t="shared" si="8"/>
        <v>1</v>
      </c>
      <c r="D140" s="332">
        <f t="shared" si="9"/>
        <v>1</v>
      </c>
      <c r="E140" s="332">
        <f t="shared" si="10"/>
        <v>1</v>
      </c>
      <c r="F140" s="332">
        <f t="shared" si="10"/>
        <v>1</v>
      </c>
      <c r="G140" s="332">
        <f t="shared" si="10"/>
        <v>1</v>
      </c>
      <c r="H140" s="332">
        <f t="shared" si="10"/>
        <v>1</v>
      </c>
      <c r="I140" s="332">
        <f t="shared" si="10"/>
        <v>1</v>
      </c>
      <c r="J140" s="332" t="s">
        <v>1204</v>
      </c>
      <c r="K140" s="348" t="s">
        <v>1202</v>
      </c>
      <c r="L140" s="753" t="s">
        <v>1205</v>
      </c>
      <c r="M140" s="753"/>
      <c r="N140" s="753"/>
      <c r="O140" s="753"/>
      <c r="P140" s="753"/>
      <c r="Q140" s="349" t="str">
        <f t="shared" si="11"/>
        <v>-</v>
      </c>
      <c r="R140" s="349" t="s">
        <v>1046</v>
      </c>
      <c r="U140" s="350">
        <v>0.5</v>
      </c>
      <c r="W140" s="347" t="s">
        <v>1047</v>
      </c>
    </row>
    <row r="141" spans="2:23" s="347" customFormat="1" ht="47.25" customHeight="1" x14ac:dyDescent="0.2">
      <c r="B141" s="332">
        <v>3</v>
      </c>
      <c r="C141" s="332">
        <v>1</v>
      </c>
      <c r="D141" s="332">
        <f t="shared" si="10"/>
        <v>1</v>
      </c>
      <c r="E141" s="332">
        <f t="shared" si="10"/>
        <v>1</v>
      </c>
      <c r="F141" s="332">
        <f t="shared" si="10"/>
        <v>1</v>
      </c>
      <c r="G141" s="332">
        <f t="shared" si="10"/>
        <v>1</v>
      </c>
      <c r="H141" s="332">
        <f t="shared" si="10"/>
        <v>1</v>
      </c>
      <c r="I141" s="332">
        <f t="shared" si="10"/>
        <v>1</v>
      </c>
      <c r="J141" s="332" t="s">
        <v>1206</v>
      </c>
      <c r="K141" s="348" t="s">
        <v>1202</v>
      </c>
      <c r="L141" s="753" t="s">
        <v>1207</v>
      </c>
      <c r="M141" s="753"/>
      <c r="N141" s="753"/>
      <c r="O141" s="753"/>
      <c r="P141" s="753"/>
      <c r="Q141" s="349" t="str">
        <f t="shared" si="11"/>
        <v>-</v>
      </c>
      <c r="R141" s="349" t="s">
        <v>1046</v>
      </c>
      <c r="U141" s="350">
        <v>0.8</v>
      </c>
      <c r="W141" s="347" t="s">
        <v>1046</v>
      </c>
    </row>
    <row r="142" spans="2:23" s="347" customFormat="1" ht="39.75" customHeight="1" x14ac:dyDescent="0.2">
      <c r="B142" s="332">
        <v>4</v>
      </c>
      <c r="C142" s="332">
        <f t="shared" si="10"/>
        <v>1</v>
      </c>
      <c r="D142" s="332">
        <f t="shared" si="10"/>
        <v>1</v>
      </c>
      <c r="E142" s="332">
        <f t="shared" si="10"/>
        <v>1</v>
      </c>
      <c r="F142" s="332">
        <f t="shared" si="10"/>
        <v>1</v>
      </c>
      <c r="G142" s="332">
        <f t="shared" si="10"/>
        <v>1</v>
      </c>
      <c r="H142" s="332">
        <f t="shared" si="10"/>
        <v>1</v>
      </c>
      <c r="I142" s="332">
        <f t="shared" si="10"/>
        <v>1</v>
      </c>
      <c r="J142" s="332" t="s">
        <v>1208</v>
      </c>
      <c r="K142" s="348" t="s">
        <v>1209</v>
      </c>
      <c r="L142" s="753" t="s">
        <v>1210</v>
      </c>
      <c r="M142" s="753"/>
      <c r="N142" s="753"/>
      <c r="O142" s="753"/>
      <c r="P142" s="753"/>
      <c r="Q142" s="349" t="str">
        <f t="shared" si="11"/>
        <v>-</v>
      </c>
      <c r="R142" s="349" t="s">
        <v>1046</v>
      </c>
      <c r="U142" s="350">
        <v>1.2</v>
      </c>
    </row>
    <row r="143" spans="2:23" s="347" customFormat="1" ht="60.75" customHeight="1" x14ac:dyDescent="0.2">
      <c r="B143" s="332">
        <v>5</v>
      </c>
      <c r="C143" s="332">
        <f t="shared" si="10"/>
        <v>1</v>
      </c>
      <c r="D143" s="332">
        <v>1</v>
      </c>
      <c r="E143" s="332">
        <v>1</v>
      </c>
      <c r="F143" s="332">
        <v>1</v>
      </c>
      <c r="G143" s="332">
        <v>1</v>
      </c>
      <c r="H143" s="332">
        <v>1</v>
      </c>
      <c r="I143" s="332">
        <v>1</v>
      </c>
      <c r="J143" s="332" t="s">
        <v>1211</v>
      </c>
      <c r="K143" s="348" t="s">
        <v>1209</v>
      </c>
      <c r="L143" s="753" t="s">
        <v>1212</v>
      </c>
      <c r="M143" s="753"/>
      <c r="N143" s="753"/>
      <c r="O143" s="753"/>
      <c r="P143" s="753"/>
      <c r="Q143" s="349" t="str">
        <f t="shared" si="11"/>
        <v>-</v>
      </c>
      <c r="R143" s="349" t="s">
        <v>1046</v>
      </c>
      <c r="U143" s="350">
        <v>1.1000000000000001</v>
      </c>
    </row>
    <row r="144" spans="2:23" s="347" customFormat="1" ht="62.25" customHeight="1" x14ac:dyDescent="0.2">
      <c r="B144" s="332">
        <v>6</v>
      </c>
      <c r="C144" s="332">
        <f t="shared" si="10"/>
        <v>1</v>
      </c>
      <c r="D144" s="332">
        <f t="shared" si="10"/>
        <v>1</v>
      </c>
      <c r="E144" s="332">
        <f t="shared" si="10"/>
        <v>1</v>
      </c>
      <c r="F144" s="332">
        <f t="shared" si="10"/>
        <v>1</v>
      </c>
      <c r="G144" s="332">
        <f t="shared" si="10"/>
        <v>1</v>
      </c>
      <c r="H144" s="332">
        <f t="shared" si="10"/>
        <v>1</v>
      </c>
      <c r="I144" s="332">
        <f t="shared" si="10"/>
        <v>1</v>
      </c>
      <c r="J144" s="332" t="s">
        <v>1213</v>
      </c>
      <c r="K144" s="348" t="s">
        <v>1209</v>
      </c>
      <c r="L144" s="753" t="s">
        <v>1214</v>
      </c>
      <c r="M144" s="753"/>
      <c r="N144" s="753"/>
      <c r="O144" s="753"/>
      <c r="P144" s="753"/>
      <c r="Q144" s="349" t="str">
        <f t="shared" si="11"/>
        <v>-</v>
      </c>
      <c r="R144" s="349" t="s">
        <v>1046</v>
      </c>
      <c r="U144" s="350">
        <v>1.05</v>
      </c>
    </row>
    <row r="145" spans="2:21" s="347" customFormat="1" ht="53.25" customHeight="1" x14ac:dyDescent="0.2">
      <c r="B145" s="332">
        <v>7</v>
      </c>
      <c r="C145" s="332">
        <v>1</v>
      </c>
      <c r="D145" s="332">
        <f t="shared" si="10"/>
        <v>1</v>
      </c>
      <c r="E145" s="332">
        <f t="shared" si="10"/>
        <v>1</v>
      </c>
      <c r="F145" s="332">
        <f t="shared" si="10"/>
        <v>1</v>
      </c>
      <c r="G145" s="332">
        <f t="shared" si="10"/>
        <v>1</v>
      </c>
      <c r="H145" s="332">
        <f t="shared" si="10"/>
        <v>1</v>
      </c>
      <c r="I145" s="332">
        <f t="shared" si="10"/>
        <v>1</v>
      </c>
      <c r="J145" s="332" t="s">
        <v>1215</v>
      </c>
      <c r="K145" s="348" t="s">
        <v>1209</v>
      </c>
      <c r="L145" s="753" t="s">
        <v>1216</v>
      </c>
      <c r="M145" s="753"/>
      <c r="N145" s="753"/>
      <c r="O145" s="753"/>
      <c r="P145" s="753"/>
      <c r="Q145" s="349" t="str">
        <f t="shared" si="11"/>
        <v>-</v>
      </c>
      <c r="R145" s="349" t="s">
        <v>1046</v>
      </c>
      <c r="U145" s="350">
        <v>1.05</v>
      </c>
    </row>
    <row r="146" spans="2:21" s="347" customFormat="1" ht="53.25" customHeight="1" x14ac:dyDescent="0.2">
      <c r="B146" s="332">
        <v>8</v>
      </c>
      <c r="C146" s="332">
        <v>1</v>
      </c>
      <c r="D146" s="332">
        <f t="shared" si="10"/>
        <v>1</v>
      </c>
      <c r="E146" s="332">
        <f t="shared" si="10"/>
        <v>1</v>
      </c>
      <c r="F146" s="332">
        <f t="shared" si="10"/>
        <v>1</v>
      </c>
      <c r="G146" s="332">
        <f t="shared" si="10"/>
        <v>1</v>
      </c>
      <c r="H146" s="332">
        <f t="shared" si="10"/>
        <v>1</v>
      </c>
      <c r="I146" s="332">
        <f t="shared" si="10"/>
        <v>1</v>
      </c>
      <c r="J146" s="332" t="s">
        <v>1217</v>
      </c>
      <c r="K146" s="348" t="s">
        <v>1209</v>
      </c>
      <c r="L146" s="753" t="s">
        <v>1218</v>
      </c>
      <c r="M146" s="753"/>
      <c r="N146" s="753"/>
      <c r="O146" s="753"/>
      <c r="P146" s="753"/>
      <c r="Q146" s="349" t="str">
        <f t="shared" si="11"/>
        <v>-</v>
      </c>
      <c r="R146" s="349" t="s">
        <v>1046</v>
      </c>
      <c r="U146" s="350">
        <v>1.25</v>
      </c>
    </row>
    <row r="147" spans="2:21" s="347" customFormat="1" ht="68.25" customHeight="1" x14ac:dyDescent="0.2">
      <c r="B147" s="332">
        <v>9</v>
      </c>
      <c r="C147" s="332">
        <v>1</v>
      </c>
      <c r="D147" s="332">
        <v>1</v>
      </c>
      <c r="E147" s="332">
        <v>1</v>
      </c>
      <c r="F147" s="332">
        <v>1</v>
      </c>
      <c r="G147" s="332">
        <f t="shared" si="10"/>
        <v>1</v>
      </c>
      <c r="H147" s="332">
        <v>1</v>
      </c>
      <c r="I147" s="332">
        <f t="shared" si="10"/>
        <v>1</v>
      </c>
      <c r="J147" s="332" t="s">
        <v>1219</v>
      </c>
      <c r="K147" s="348" t="s">
        <v>1209</v>
      </c>
      <c r="L147" s="753" t="s">
        <v>1220</v>
      </c>
      <c r="M147" s="753"/>
      <c r="N147" s="753"/>
      <c r="O147" s="753"/>
      <c r="P147" s="753"/>
      <c r="Q147" s="349" t="str">
        <f t="shared" si="11"/>
        <v>-</v>
      </c>
      <c r="R147" s="349" t="s">
        <v>1046</v>
      </c>
      <c r="U147" s="350">
        <v>1.1000000000000001</v>
      </c>
    </row>
    <row r="148" spans="2:21" s="347" customFormat="1" ht="89.25" customHeight="1" x14ac:dyDescent="0.2">
      <c r="B148" s="332">
        <v>10</v>
      </c>
      <c r="C148" s="332">
        <f t="shared" si="10"/>
        <v>1</v>
      </c>
      <c r="D148" s="332">
        <f t="shared" si="10"/>
        <v>1</v>
      </c>
      <c r="E148" s="332">
        <f t="shared" si="10"/>
        <v>1</v>
      </c>
      <c r="F148" s="332">
        <f t="shared" si="10"/>
        <v>1</v>
      </c>
      <c r="G148" s="332">
        <f t="shared" si="10"/>
        <v>1</v>
      </c>
      <c r="H148" s="332">
        <f t="shared" si="10"/>
        <v>1</v>
      </c>
      <c r="I148" s="332">
        <f t="shared" si="10"/>
        <v>1</v>
      </c>
      <c r="J148" s="332" t="s">
        <v>1221</v>
      </c>
      <c r="K148" s="348" t="s">
        <v>1209</v>
      </c>
      <c r="L148" s="753" t="s">
        <v>1222</v>
      </c>
      <c r="M148" s="753"/>
      <c r="N148" s="753"/>
      <c r="O148" s="753"/>
      <c r="P148" s="753"/>
      <c r="Q148" s="349" t="str">
        <f t="shared" si="11"/>
        <v>-</v>
      </c>
      <c r="R148" s="349" t="s">
        <v>1046</v>
      </c>
      <c r="U148" s="350">
        <v>1.3</v>
      </c>
    </row>
    <row r="149" spans="2:21" s="347" customFormat="1" ht="39.75" customHeight="1" x14ac:dyDescent="0.2">
      <c r="B149" s="332">
        <v>11</v>
      </c>
      <c r="C149" s="332">
        <f t="shared" si="10"/>
        <v>1</v>
      </c>
      <c r="D149" s="332">
        <f t="shared" si="10"/>
        <v>1</v>
      </c>
      <c r="E149" s="332">
        <f t="shared" si="10"/>
        <v>1</v>
      </c>
      <c r="F149" s="332">
        <f t="shared" si="10"/>
        <v>1</v>
      </c>
      <c r="G149" s="332">
        <f t="shared" si="10"/>
        <v>1</v>
      </c>
      <c r="H149" s="332">
        <f t="shared" si="10"/>
        <v>1</v>
      </c>
      <c r="I149" s="332">
        <f t="shared" si="10"/>
        <v>1</v>
      </c>
      <c r="J149" s="332" t="s">
        <v>1223</v>
      </c>
      <c r="K149" s="348" t="s">
        <v>1209</v>
      </c>
      <c r="L149" s="753" t="s">
        <v>1224</v>
      </c>
      <c r="M149" s="753"/>
      <c r="N149" s="753"/>
      <c r="O149" s="753"/>
      <c r="P149" s="753"/>
      <c r="Q149" s="349" t="str">
        <f t="shared" si="11"/>
        <v>-</v>
      </c>
      <c r="R149" s="349" t="s">
        <v>1046</v>
      </c>
      <c r="U149" s="350">
        <v>1.05</v>
      </c>
    </row>
    <row r="150" spans="2:21" s="347" customFormat="1" ht="39.75" customHeight="1" x14ac:dyDescent="0.2">
      <c r="B150" s="332">
        <v>12</v>
      </c>
      <c r="C150" s="332">
        <f t="shared" si="10"/>
        <v>1</v>
      </c>
      <c r="D150" s="332">
        <v>1</v>
      </c>
      <c r="E150" s="332">
        <v>1</v>
      </c>
      <c r="F150" s="332">
        <v>1</v>
      </c>
      <c r="G150" s="332">
        <f t="shared" si="10"/>
        <v>1</v>
      </c>
      <c r="H150" s="332">
        <v>1</v>
      </c>
      <c r="I150" s="332">
        <v>1</v>
      </c>
      <c r="J150" s="332" t="s">
        <v>1225</v>
      </c>
      <c r="K150" s="348" t="s">
        <v>1209</v>
      </c>
      <c r="L150" s="753" t="s">
        <v>1226</v>
      </c>
      <c r="M150" s="753"/>
      <c r="N150" s="753"/>
      <c r="O150" s="753"/>
      <c r="P150" s="753"/>
      <c r="Q150" s="349" t="str">
        <f t="shared" si="11"/>
        <v>-</v>
      </c>
      <c r="R150" s="349" t="s">
        <v>1046</v>
      </c>
      <c r="U150" s="350">
        <v>1.1000000000000001</v>
      </c>
    </row>
    <row r="151" spans="2:21" s="347" customFormat="1" ht="72" customHeight="1" x14ac:dyDescent="0.2">
      <c r="B151" s="332">
        <v>13</v>
      </c>
      <c r="C151" s="332">
        <v>1</v>
      </c>
      <c r="D151" s="332">
        <v>1</v>
      </c>
      <c r="E151" s="332">
        <v>1</v>
      </c>
      <c r="F151" s="332">
        <v>1</v>
      </c>
      <c r="G151" s="332">
        <f t="shared" si="10"/>
        <v>1.2</v>
      </c>
      <c r="H151" s="332">
        <v>1</v>
      </c>
      <c r="I151" s="332">
        <v>1</v>
      </c>
      <c r="J151" s="332" t="s">
        <v>1227</v>
      </c>
      <c r="K151" s="348" t="s">
        <v>1209</v>
      </c>
      <c r="L151" s="753" t="s">
        <v>1228</v>
      </c>
      <c r="M151" s="753"/>
      <c r="N151" s="753"/>
      <c r="O151" s="753"/>
      <c r="P151" s="753"/>
      <c r="Q151" s="349">
        <f t="shared" si="11"/>
        <v>1.2</v>
      </c>
      <c r="R151" s="349" t="s">
        <v>1047</v>
      </c>
      <c r="U151" s="350">
        <v>1.2</v>
      </c>
    </row>
    <row r="152" spans="2:21" s="347" customFormat="1" ht="39.75" customHeight="1" x14ac:dyDescent="0.2">
      <c r="B152" s="332">
        <v>14</v>
      </c>
      <c r="C152" s="332">
        <v>1</v>
      </c>
      <c r="D152" s="332">
        <v>1</v>
      </c>
      <c r="E152" s="332">
        <v>1</v>
      </c>
      <c r="F152" s="332">
        <f t="shared" si="10"/>
        <v>1</v>
      </c>
      <c r="G152" s="332">
        <f t="shared" si="10"/>
        <v>1</v>
      </c>
      <c r="H152" s="332">
        <v>1</v>
      </c>
      <c r="I152" s="332">
        <f t="shared" si="10"/>
        <v>1</v>
      </c>
      <c r="J152" s="332" t="s">
        <v>1229</v>
      </c>
      <c r="K152" s="348" t="s">
        <v>1209</v>
      </c>
      <c r="L152" s="753" t="s">
        <v>1230</v>
      </c>
      <c r="M152" s="753"/>
      <c r="N152" s="753"/>
      <c r="O152" s="753"/>
      <c r="P152" s="753"/>
      <c r="Q152" s="349" t="str">
        <f t="shared" si="11"/>
        <v>-</v>
      </c>
      <c r="R152" s="349" t="s">
        <v>1046</v>
      </c>
      <c r="U152" s="350">
        <v>1.2</v>
      </c>
    </row>
    <row r="153" spans="2:21" s="347" customFormat="1" ht="24.75" customHeight="1" x14ac:dyDescent="0.2">
      <c r="B153" s="332">
        <v>15</v>
      </c>
      <c r="C153" s="332">
        <f>PRODUCT(C139,C141,C140)</f>
        <v>0.6</v>
      </c>
      <c r="D153" s="332">
        <f>PRODUCT(D139,D141,D140)</f>
        <v>0.6</v>
      </c>
      <c r="E153" s="332">
        <f t="shared" ref="E153:H153" si="12">PRODUCT(E139,E141,E140)</f>
        <v>0.6</v>
      </c>
      <c r="F153" s="332">
        <f t="shared" si="12"/>
        <v>0.6</v>
      </c>
      <c r="G153" s="332">
        <f t="shared" si="12"/>
        <v>0.6</v>
      </c>
      <c r="H153" s="332">
        <f t="shared" si="12"/>
        <v>0.6</v>
      </c>
      <c r="I153" s="332">
        <f>PRODUCT(I139,I141,I140)</f>
        <v>0.6</v>
      </c>
      <c r="J153" s="351"/>
      <c r="K153" s="738" t="s">
        <v>1231</v>
      </c>
      <c r="L153" s="739"/>
      <c r="M153" s="739"/>
      <c r="N153" s="739"/>
      <c r="O153" s="739"/>
      <c r="P153" s="739"/>
      <c r="Q153" s="739"/>
      <c r="R153" s="740"/>
    </row>
    <row r="154" spans="2:21" s="347" customFormat="1" ht="24.75" customHeight="1" x14ac:dyDescent="0.2">
      <c r="B154" s="332">
        <v>16</v>
      </c>
      <c r="C154" s="332">
        <f>SUM(C142:C152)-10</f>
        <v>1</v>
      </c>
      <c r="D154" s="332">
        <f>SUM(D142:D152)-10</f>
        <v>1</v>
      </c>
      <c r="E154" s="332">
        <f>SUM(E142:E152)-10</f>
        <v>1</v>
      </c>
      <c r="F154" s="332">
        <f t="shared" ref="F154:I154" si="13">SUM(F142:F152)-10</f>
        <v>1</v>
      </c>
      <c r="G154" s="332">
        <f t="shared" si="13"/>
        <v>1.1999999999999993</v>
      </c>
      <c r="H154" s="332">
        <f t="shared" si="13"/>
        <v>1</v>
      </c>
      <c r="I154" s="332">
        <f t="shared" si="13"/>
        <v>1</v>
      </c>
      <c r="J154" s="351"/>
      <c r="K154" s="738" t="s">
        <v>1232</v>
      </c>
      <c r="L154" s="739"/>
      <c r="M154" s="739"/>
      <c r="N154" s="739"/>
      <c r="O154" s="739"/>
      <c r="P154" s="739"/>
      <c r="Q154" s="739"/>
      <c r="R154" s="740"/>
    </row>
    <row r="155" spans="2:21" s="347" customFormat="1" ht="24.75" customHeight="1" x14ac:dyDescent="0.2">
      <c r="B155" s="332">
        <v>17</v>
      </c>
      <c r="C155" s="332">
        <f>C153*C154</f>
        <v>0.6</v>
      </c>
      <c r="D155" s="332">
        <f>D153*D154</f>
        <v>0.6</v>
      </c>
      <c r="E155" s="332">
        <f>E153*E154</f>
        <v>0.6</v>
      </c>
      <c r="F155" s="332">
        <f t="shared" ref="F155:I155" si="14">F153*F154</f>
        <v>0.6</v>
      </c>
      <c r="G155" s="332">
        <f t="shared" si="14"/>
        <v>0.71999999999999953</v>
      </c>
      <c r="H155" s="332">
        <f t="shared" si="14"/>
        <v>0.6</v>
      </c>
      <c r="I155" s="332">
        <f t="shared" si="14"/>
        <v>0.6</v>
      </c>
      <c r="J155" s="351" t="s">
        <v>1233</v>
      </c>
      <c r="K155" s="738" t="s">
        <v>1234</v>
      </c>
      <c r="L155" s="739"/>
      <c r="M155" s="739"/>
      <c r="N155" s="739"/>
      <c r="O155" s="739"/>
      <c r="P155" s="739"/>
      <c r="Q155" s="739"/>
      <c r="R155" s="740"/>
    </row>
    <row r="156" spans="2:21" s="347" customFormat="1" ht="24.75" customHeight="1" x14ac:dyDescent="0.2">
      <c r="B156" s="332">
        <v>18</v>
      </c>
      <c r="C156" s="332">
        <v>1.08</v>
      </c>
      <c r="D156" s="332">
        <v>1</v>
      </c>
      <c r="E156" s="332">
        <v>1</v>
      </c>
      <c r="F156" s="332">
        <v>1</v>
      </c>
      <c r="G156" s="332">
        <v>1</v>
      </c>
      <c r="H156" s="332">
        <v>1</v>
      </c>
      <c r="I156" s="332">
        <v>1</v>
      </c>
      <c r="J156" s="351" t="s">
        <v>1235</v>
      </c>
      <c r="K156" s="738" t="s">
        <v>1236</v>
      </c>
      <c r="L156" s="739"/>
      <c r="M156" s="739"/>
      <c r="N156" s="739"/>
      <c r="O156" s="739"/>
      <c r="P156" s="739"/>
      <c r="Q156" s="739"/>
      <c r="R156" s="740"/>
    </row>
    <row r="157" spans="2:21" s="347" customFormat="1" ht="24.75" customHeight="1" x14ac:dyDescent="0.2">
      <c r="B157" s="332">
        <v>19</v>
      </c>
      <c r="C157" s="332">
        <v>7.22</v>
      </c>
      <c r="D157" s="332">
        <v>7.22</v>
      </c>
      <c r="E157" s="332">
        <v>7.22</v>
      </c>
      <c r="F157" s="332">
        <v>7.22</v>
      </c>
      <c r="G157" s="332">
        <v>7.22</v>
      </c>
      <c r="H157" s="332">
        <v>7.22</v>
      </c>
      <c r="I157" s="332">
        <v>7.22</v>
      </c>
      <c r="J157" s="351" t="s">
        <v>1237</v>
      </c>
      <c r="K157" s="738" t="s">
        <v>1238</v>
      </c>
      <c r="L157" s="739"/>
      <c r="M157" s="739"/>
      <c r="N157" s="739"/>
      <c r="O157" s="739"/>
      <c r="P157" s="739"/>
      <c r="Q157" s="739"/>
      <c r="R157" s="740"/>
    </row>
    <row r="158" spans="2:21" s="347" customFormat="1" ht="24.75" customHeight="1" x14ac:dyDescent="0.2">
      <c r="B158" s="332">
        <v>20</v>
      </c>
      <c r="C158" s="332">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47" customFormat="1" ht="34.5" hidden="1" customHeight="1" x14ac:dyDescent="0.2">
      <c r="B159" s="332">
        <v>21</v>
      </c>
      <c r="C159" s="332">
        <v>1</v>
      </c>
      <c r="D159" s="332">
        <v>0.7</v>
      </c>
      <c r="E159" s="332">
        <v>0.3</v>
      </c>
      <c r="F159" s="332">
        <v>0.4</v>
      </c>
      <c r="G159" s="332">
        <v>0.4</v>
      </c>
      <c r="H159" s="332">
        <v>0.8</v>
      </c>
      <c r="I159" s="332">
        <v>0.1</v>
      </c>
      <c r="J159" s="351" t="s">
        <v>1239</v>
      </c>
      <c r="K159" s="738" t="s">
        <v>1240</v>
      </c>
      <c r="L159" s="739"/>
      <c r="M159" s="739"/>
      <c r="N159" s="739"/>
      <c r="O159" s="739"/>
      <c r="P159" s="739"/>
      <c r="Q159" s="739"/>
      <c r="R159" s="740"/>
    </row>
    <row r="160" spans="2:21" s="347" customFormat="1" ht="34.5" customHeight="1" x14ac:dyDescent="0.2">
      <c r="B160" s="332">
        <v>21</v>
      </c>
      <c r="C160" s="332">
        <v>1</v>
      </c>
      <c r="D160" s="332">
        <v>0.3</v>
      </c>
      <c r="E160" s="332">
        <v>0.7</v>
      </c>
      <c r="F160" s="332">
        <v>0.6</v>
      </c>
      <c r="G160" s="332">
        <v>0.6</v>
      </c>
      <c r="H160" s="332">
        <v>0.2</v>
      </c>
      <c r="I160" s="332">
        <v>0.9</v>
      </c>
      <c r="J160" s="351" t="s">
        <v>1241</v>
      </c>
      <c r="K160" s="738" t="s">
        <v>1242</v>
      </c>
      <c r="L160" s="739"/>
      <c r="M160" s="739"/>
      <c r="N160" s="739"/>
      <c r="O160" s="739"/>
      <c r="P160" s="739"/>
      <c r="Q160" s="739"/>
      <c r="R160" s="740"/>
    </row>
    <row r="161" spans="2:28" ht="27" customHeight="1" x14ac:dyDescent="0.25">
      <c r="B161" s="745" t="s">
        <v>1243</v>
      </c>
      <c r="C161" s="746"/>
      <c r="D161" s="746"/>
      <c r="E161" s="746"/>
      <c r="F161" s="746"/>
      <c r="G161" s="746"/>
      <c r="H161" s="746"/>
      <c r="I161" s="746"/>
      <c r="J161" s="746"/>
      <c r="K161" s="746"/>
      <c r="L161" s="746"/>
      <c r="M161" s="746"/>
      <c r="N161" s="746"/>
      <c r="O161" s="746"/>
      <c r="P161" s="746"/>
      <c r="Q161" s="746"/>
      <c r="R161" s="747"/>
    </row>
    <row r="162" spans="2:28" ht="22.5" customHeight="1" x14ac:dyDescent="0.25">
      <c r="B162" s="748" t="s">
        <v>1244</v>
      </c>
      <c r="C162" s="750" t="s">
        <v>1245</v>
      </c>
      <c r="D162" s="751"/>
      <c r="E162" s="751"/>
      <c r="F162" s="751"/>
      <c r="G162" s="751"/>
      <c r="H162" s="751"/>
      <c r="I162" s="752"/>
      <c r="J162" s="749" t="s">
        <v>1246</v>
      </c>
      <c r="K162" s="749"/>
      <c r="L162" s="749"/>
      <c r="M162" s="749"/>
      <c r="N162" s="749"/>
      <c r="O162" s="749"/>
      <c r="P162" s="749"/>
      <c r="Q162" s="749"/>
      <c r="R162" s="749"/>
    </row>
    <row r="163" spans="2:28" ht="22.5" customHeight="1" x14ac:dyDescent="0.25">
      <c r="B163" s="749"/>
      <c r="C163" s="352" t="s">
        <v>1062</v>
      </c>
      <c r="D163" s="352" t="s">
        <v>1049</v>
      </c>
      <c r="E163" s="352" t="s">
        <v>1050</v>
      </c>
      <c r="F163" s="352" t="s">
        <v>1051</v>
      </c>
      <c r="G163" s="352" t="s">
        <v>1052</v>
      </c>
      <c r="H163" s="352" t="s">
        <v>1053</v>
      </c>
      <c r="I163" s="352" t="s">
        <v>1054</v>
      </c>
      <c r="J163" s="749"/>
      <c r="K163" s="749"/>
      <c r="L163" s="749"/>
      <c r="M163" s="749"/>
      <c r="N163" s="749"/>
      <c r="O163" s="749"/>
      <c r="P163" s="749"/>
      <c r="Q163" s="749"/>
      <c r="R163" s="749"/>
    </row>
    <row r="164" spans="2:28" ht="25.5" customHeight="1" x14ac:dyDescent="0.25">
      <c r="B164" s="332">
        <v>1</v>
      </c>
      <c r="C164" s="332">
        <f>M67</f>
        <v>0</v>
      </c>
      <c r="D164" s="332">
        <f t="shared" ref="D164:I164" ca="1" si="15">M135</f>
        <v>36</v>
      </c>
      <c r="E164" s="332">
        <f t="shared" si="15"/>
        <v>0</v>
      </c>
      <c r="F164" s="332">
        <f t="shared" si="15"/>
        <v>0</v>
      </c>
      <c r="G164" s="332">
        <f t="shared" ca="1" si="15"/>
        <v>43</v>
      </c>
      <c r="H164" s="332">
        <f t="shared" si="15"/>
        <v>0</v>
      </c>
      <c r="I164" s="332">
        <f t="shared" si="15"/>
        <v>0</v>
      </c>
      <c r="J164" s="738" t="s">
        <v>1247</v>
      </c>
      <c r="K164" s="739"/>
      <c r="L164" s="739"/>
      <c r="M164" s="739"/>
      <c r="N164" s="739"/>
      <c r="O164" s="739"/>
      <c r="P164" s="739"/>
      <c r="Q164" s="739"/>
      <c r="R164" s="740"/>
    </row>
    <row r="165" spans="2:28" ht="25.5" customHeight="1" x14ac:dyDescent="0.25">
      <c r="B165" s="332">
        <v>2</v>
      </c>
      <c r="C165" s="332">
        <v>21.28</v>
      </c>
      <c r="D165" s="353">
        <v>15.73</v>
      </c>
      <c r="E165" s="353">
        <v>9.56</v>
      </c>
      <c r="F165" s="353">
        <v>14.11</v>
      </c>
      <c r="G165" s="353">
        <v>33.770000000000003</v>
      </c>
      <c r="H165" s="353">
        <v>37.93</v>
      </c>
      <c r="I165" s="353">
        <v>46.26</v>
      </c>
      <c r="J165" s="738" t="s">
        <v>1248</v>
      </c>
      <c r="K165" s="739"/>
      <c r="L165" s="739"/>
      <c r="M165" s="739"/>
      <c r="N165" s="739"/>
      <c r="O165" s="739"/>
      <c r="P165" s="739"/>
      <c r="Q165" s="739"/>
      <c r="R165" s="740"/>
    </row>
    <row r="166" spans="2:28" ht="25.5" customHeight="1" x14ac:dyDescent="0.25">
      <c r="B166" s="332">
        <v>3</v>
      </c>
      <c r="C166" s="353">
        <v>1</v>
      </c>
      <c r="D166" s="353">
        <v>1</v>
      </c>
      <c r="E166" s="353">
        <v>1</v>
      </c>
      <c r="F166" s="353">
        <v>1</v>
      </c>
      <c r="G166" s="353">
        <v>1</v>
      </c>
      <c r="H166" s="353">
        <v>1</v>
      </c>
      <c r="I166" s="353">
        <v>1</v>
      </c>
      <c r="J166" s="340" t="s">
        <v>1249</v>
      </c>
      <c r="K166" s="341"/>
      <c r="L166" s="341"/>
      <c r="M166" s="341"/>
      <c r="N166" s="341"/>
      <c r="O166" s="341"/>
      <c r="P166" s="341"/>
      <c r="Q166" s="341"/>
      <c r="R166" s="342"/>
    </row>
    <row r="167" spans="2:28" ht="25.5" customHeight="1" x14ac:dyDescent="0.25">
      <c r="B167" s="332">
        <v>4</v>
      </c>
      <c r="C167" s="353">
        <f>C164*C165*C166</f>
        <v>0</v>
      </c>
      <c r="D167" s="353">
        <f ca="1">D164*D165*D166</f>
        <v>566.28</v>
      </c>
      <c r="E167" s="353">
        <f>E164*E165*E166</f>
        <v>0</v>
      </c>
      <c r="F167" s="353">
        <f t="shared" ref="F167:I167" si="16">F164*F165*F166</f>
        <v>0</v>
      </c>
      <c r="G167" s="353">
        <f t="shared" ca="1" si="16"/>
        <v>1452.1100000000001</v>
      </c>
      <c r="H167" s="353">
        <f t="shared" si="16"/>
        <v>0</v>
      </c>
      <c r="I167" s="353">
        <f t="shared" si="16"/>
        <v>0</v>
      </c>
      <c r="J167" s="738" t="s">
        <v>1250</v>
      </c>
      <c r="K167" s="739"/>
      <c r="L167" s="739"/>
      <c r="M167" s="739"/>
      <c r="N167" s="739"/>
      <c r="O167" s="739"/>
      <c r="P167" s="739"/>
      <c r="Q167" s="739"/>
      <c r="R167" s="740"/>
    </row>
    <row r="168" spans="2:28" ht="25.5" customHeight="1" x14ac:dyDescent="0.25">
      <c r="B168" s="332">
        <v>5</v>
      </c>
      <c r="C168" s="353">
        <f t="shared" ref="C168:I168" si="17">C167*C155</f>
        <v>0</v>
      </c>
      <c r="D168" s="353">
        <f t="shared" ca="1" si="17"/>
        <v>339.76799999999997</v>
      </c>
      <c r="E168" s="353">
        <f t="shared" si="17"/>
        <v>0</v>
      </c>
      <c r="F168" s="353">
        <f t="shared" si="17"/>
        <v>0</v>
      </c>
      <c r="G168" s="353">
        <f t="shared" ca="1" si="17"/>
        <v>1045.5191999999995</v>
      </c>
      <c r="H168" s="353">
        <f t="shared" si="17"/>
        <v>0</v>
      </c>
      <c r="I168" s="353">
        <f t="shared" si="17"/>
        <v>0</v>
      </c>
      <c r="J168" s="738" t="s">
        <v>1251</v>
      </c>
      <c r="K168" s="739"/>
      <c r="L168" s="739"/>
      <c r="M168" s="739"/>
      <c r="N168" s="739"/>
      <c r="O168" s="739"/>
      <c r="P168" s="739"/>
      <c r="Q168" s="739"/>
      <c r="R168" s="740"/>
    </row>
    <row r="169" spans="2:28" ht="25.5" customHeight="1" x14ac:dyDescent="0.25">
      <c r="B169" s="332">
        <v>6</v>
      </c>
      <c r="C169" s="353">
        <f t="shared" ref="C169:I169" si="18">C168*C156*C157*C158</f>
        <v>0</v>
      </c>
      <c r="D169" s="353">
        <f t="shared" ca="1" si="18"/>
        <v>1717.1874719999996</v>
      </c>
      <c r="E169" s="353">
        <f t="shared" si="18"/>
        <v>0</v>
      </c>
      <c r="F169" s="353">
        <f t="shared" si="18"/>
        <v>0</v>
      </c>
      <c r="G169" s="353">
        <f t="shared" ca="1" si="18"/>
        <v>5284.0540367999965</v>
      </c>
      <c r="H169" s="353">
        <f t="shared" si="18"/>
        <v>0</v>
      </c>
      <c r="I169" s="353">
        <f t="shared" si="18"/>
        <v>0</v>
      </c>
      <c r="J169" s="738" t="s">
        <v>1252</v>
      </c>
      <c r="K169" s="739"/>
      <c r="L169" s="739"/>
      <c r="M169" s="739"/>
      <c r="N169" s="739"/>
      <c r="O169" s="739"/>
      <c r="P169" s="739"/>
      <c r="Q169" s="739"/>
      <c r="R169" s="740"/>
    </row>
    <row r="170" spans="2:28" ht="25.5" customHeight="1" x14ac:dyDescent="0.25">
      <c r="B170" s="332">
        <v>7</v>
      </c>
      <c r="C170" s="354"/>
      <c r="D170" s="354">
        <f t="shared" ref="D170:I170" ca="1" si="19">D169*D160</f>
        <v>515.15624159999982</v>
      </c>
      <c r="E170" s="354">
        <f t="shared" si="19"/>
        <v>0</v>
      </c>
      <c r="F170" s="354">
        <f t="shared" si="19"/>
        <v>0</v>
      </c>
      <c r="G170" s="354">
        <f t="shared" ca="1" si="19"/>
        <v>3170.4324220799977</v>
      </c>
      <c r="H170" s="354">
        <f t="shared" si="19"/>
        <v>0</v>
      </c>
      <c r="I170" s="354">
        <f t="shared" si="19"/>
        <v>0</v>
      </c>
      <c r="J170" s="738" t="s">
        <v>1253</v>
      </c>
      <c r="K170" s="739"/>
      <c r="L170" s="739"/>
      <c r="M170" s="739"/>
      <c r="N170" s="739"/>
      <c r="O170" s="739"/>
      <c r="P170" s="739"/>
      <c r="Q170" s="739"/>
      <c r="R170" s="740"/>
    </row>
    <row r="171" spans="2:28" ht="36" customHeight="1" x14ac:dyDescent="0.25">
      <c r="B171" s="332">
        <v>8</v>
      </c>
      <c r="C171" s="332"/>
      <c r="D171" s="741">
        <f ca="1">SUM(D170:I170)*1000</f>
        <v>3685588.6636799974</v>
      </c>
      <c r="E171" s="741"/>
      <c r="F171" s="741"/>
      <c r="G171" s="741"/>
      <c r="H171" s="741"/>
      <c r="I171" s="741"/>
      <c r="J171" s="738" t="s">
        <v>1254</v>
      </c>
      <c r="K171" s="739"/>
      <c r="L171" s="739"/>
      <c r="M171" s="739"/>
      <c r="N171" s="739"/>
      <c r="O171" s="739"/>
      <c r="P171" s="739"/>
      <c r="Q171" s="739"/>
      <c r="R171" s="740"/>
    </row>
    <row r="172" spans="2:28" ht="46.5" customHeight="1" x14ac:dyDescent="0.25">
      <c r="B172" s="332">
        <v>9</v>
      </c>
      <c r="C172" s="332"/>
      <c r="D172" s="742">
        <f ca="1">ROUND(D171*0.8,0)</f>
        <v>2948471</v>
      </c>
      <c r="E172" s="743"/>
      <c r="F172" s="743"/>
      <c r="G172" s="743"/>
      <c r="H172" s="743"/>
      <c r="I172" s="744"/>
      <c r="J172" s="738" t="s">
        <v>1255</v>
      </c>
      <c r="K172" s="739"/>
      <c r="L172" s="739"/>
      <c r="M172" s="739"/>
      <c r="N172" s="739"/>
      <c r="O172" s="739"/>
      <c r="P172" s="739"/>
      <c r="Q172" s="739"/>
      <c r="R172" s="740"/>
    </row>
    <row r="173" spans="2:28" ht="17.25" customHeight="1" x14ac:dyDescent="0.25">
      <c r="B173" s="332">
        <v>11</v>
      </c>
      <c r="C173" s="332"/>
      <c r="D173" s="737">
        <f ca="1">D172</f>
        <v>2948471</v>
      </c>
      <c r="E173" s="737"/>
      <c r="F173" s="737"/>
      <c r="G173" s="737"/>
      <c r="H173" s="737"/>
      <c r="I173" s="737"/>
      <c r="J173" s="738" t="s">
        <v>1256</v>
      </c>
      <c r="K173" s="739"/>
      <c r="L173" s="739"/>
      <c r="M173" s="739"/>
      <c r="N173" s="739"/>
      <c r="O173" s="739"/>
      <c r="P173" s="739"/>
      <c r="Q173" s="739"/>
      <c r="R173" s="740"/>
      <c r="Y173" s="355">
        <f ca="1">D173</f>
        <v>2948471</v>
      </c>
      <c r="AB173" s="356"/>
    </row>
    <row r="174" spans="2:28" ht="14.25" x14ac:dyDescent="0.2">
      <c r="B174" s="357"/>
      <c r="C174" s="357"/>
      <c r="D174" s="319"/>
      <c r="E174" s="358"/>
      <c r="F174" s="358"/>
      <c r="G174" s="358"/>
      <c r="H174" s="358"/>
      <c r="I174" s="358"/>
      <c r="J174" s="359"/>
      <c r="K174" s="358"/>
      <c r="L174" s="360"/>
      <c r="M174" s="358"/>
      <c r="N174" s="358"/>
      <c r="O174" s="358"/>
      <c r="P174" s="358"/>
      <c r="Q174" s="358"/>
      <c r="R174" s="358"/>
    </row>
    <row r="175" spans="2:28" ht="14.25" x14ac:dyDescent="0.2">
      <c r="D175" s="319"/>
      <c r="J175" s="359"/>
      <c r="L175" s="361"/>
    </row>
  </sheetData>
  <mergeCells count="222">
    <mergeCell ref="O2:R2"/>
    <mergeCell ref="B4:R4"/>
    <mergeCell ref="B5:R5"/>
    <mergeCell ref="G6:R7"/>
    <mergeCell ref="G11:L11"/>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52:L52">
      <formula1>$H$53:$H$66</formula1>
    </dataValidation>
    <dataValidation type="list" allowBlank="1" showInputMessage="1" showErrorMessage="1" sqref="H43:L43">
      <formula1>$H$44:$H$51</formula1>
    </dataValidation>
    <dataValidation type="list" allowBlank="1" showInputMessage="1" showErrorMessage="1" sqref="H36:L36">
      <formula1>$H$37:$H$42</formula1>
    </dataValidation>
    <dataValidation type="list" allowBlank="1" showInputMessage="1" showErrorMessage="1" sqref="H31:L31">
      <formula1>$H$32:$H$35</formula1>
    </dataValidation>
    <dataValidation type="list" allowBlank="1" showInputMessage="1" showErrorMessage="1" sqref="D24:I24">
      <formula1>$D$25:$D$26</formula1>
    </dataValidation>
    <dataValidation type="list" allowBlank="1" showInputMessage="1" showErrorMessage="1" sqref="H19">
      <formula1>$H$20:$H$21</formula1>
    </dataValidation>
    <dataValidation type="list" allowBlank="1" showInputMessage="1" showErrorMessage="1" sqref="B16:C16">
      <formula1>$B$17:$B$18</formula1>
    </dataValidation>
    <dataValidation type="list" allowBlank="1" showInputMessage="1" showErrorMessage="1" sqref="R139:R152">
      <formula1>$W$140:$W$141</formula1>
    </dataValidation>
    <dataValidation type="list" allowBlank="1" showInputMessage="1" showErrorMessage="1" sqref="H120:L120">
      <formula1>$H$121:$H$134</formula1>
    </dataValidation>
    <dataValidation type="list" allowBlank="1" showInputMessage="1" showErrorMessage="1" sqref="H105:L105">
      <formula1>$H$106:$H$119</formula1>
    </dataValidation>
    <dataValidation type="list" allowBlank="1" showInputMessage="1" showErrorMessage="1" sqref="H99:L99">
      <formula1>$H$100:$H$104</formula1>
    </dataValidation>
    <dataValidation type="list" allowBlank="1" showInputMessage="1" showErrorMessage="1" sqref="H91:L91">
      <formula1>$H$92:$H$98</formula1>
    </dataValidation>
    <dataValidation type="list" allowBlank="1" showInputMessage="1" showErrorMessage="1" sqref="H86:L86">
      <formula1>$H$87:$H$90</formula1>
    </dataValidation>
    <dataValidation type="list" allowBlank="1" showInputMessage="1" showErrorMessage="1" sqref="H78:L78">
      <formula1>$H$79:$H$85</formula1>
    </dataValidation>
    <dataValidation type="list" allowBlank="1" showInputMessage="1" showErrorMessage="1" sqref="H71:L71">
      <formula1>$H$72:$H$77</formula1>
    </dataValidation>
  </dataValidations>
  <pageMargins left="0.7" right="0.7" top="0.75" bottom="0.75" header="0.3" footer="0.3"/>
  <pageSetup paperSize="9" scale="56" fitToHeight="0"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AB175"/>
  <sheetViews>
    <sheetView view="pageBreakPreview" topLeftCell="B154" zoomScale="70" zoomScaleSheetLayoutView="70" workbookViewId="0">
      <selection activeCell="D158" sqref="D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9.140625" style="286" customWidth="1"/>
    <col min="25" max="25" width="14.28515625" style="286" customWidth="1"/>
    <col min="26" max="27" width="9.140625" style="286"/>
    <col min="28" max="28" width="12.42578125" style="286" bestFit="1" customWidth="1"/>
    <col min="29"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1272</v>
      </c>
      <c r="C4" s="731"/>
      <c r="D4" s="731"/>
      <c r="E4" s="731"/>
      <c r="F4" s="731"/>
      <c r="G4" s="731"/>
      <c r="H4" s="731"/>
      <c r="I4" s="731"/>
      <c r="J4" s="731"/>
      <c r="K4" s="731"/>
      <c r="L4" s="731"/>
      <c r="M4" s="731"/>
      <c r="N4" s="731"/>
      <c r="O4" s="731"/>
      <c r="P4" s="731"/>
      <c r="Q4" s="731"/>
      <c r="R4" s="731"/>
    </row>
    <row r="5" spans="2:20" x14ac:dyDescent="0.25">
      <c r="B5" s="731" t="s">
        <v>1273</v>
      </c>
      <c r="C5" s="731"/>
      <c r="D5" s="731"/>
      <c r="E5" s="731"/>
      <c r="F5" s="731"/>
      <c r="G5" s="731"/>
      <c r="H5" s="731"/>
      <c r="I5" s="731"/>
      <c r="J5" s="731"/>
      <c r="K5" s="731"/>
      <c r="L5" s="731"/>
      <c r="M5" s="731"/>
      <c r="N5" s="731"/>
      <c r="O5" s="731"/>
      <c r="P5" s="731"/>
      <c r="Q5" s="731"/>
      <c r="R5" s="731"/>
    </row>
    <row r="6" spans="2:20" ht="13.5" customHeight="1" x14ac:dyDescent="0.25">
      <c r="B6" s="286" t="s">
        <v>1036</v>
      </c>
      <c r="G6" s="732" t="s">
        <v>1274</v>
      </c>
      <c r="H6" s="733"/>
      <c r="I6" s="733"/>
      <c r="J6" s="733"/>
      <c r="K6" s="733"/>
      <c r="L6" s="733"/>
      <c r="M6" s="733"/>
      <c r="N6" s="733"/>
      <c r="O6" s="733"/>
      <c r="P6" s="733"/>
      <c r="Q6" s="733"/>
      <c r="R6" s="733"/>
    </row>
    <row r="7" spans="2:20"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'3.5.3 АСУТП этап16'!G11</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1071</v>
      </c>
      <c r="I71" s="699"/>
      <c r="J71" s="699"/>
      <c r="K71" s="699"/>
      <c r="L71" s="700"/>
      <c r="M71" s="295">
        <f t="shared" ref="M71:R71" ca="1" si="0">IF(D24="Да",SUMIF($H72:$L77,$H71,M72:M77),0)</f>
        <v>1</v>
      </c>
      <c r="N71" s="295">
        <f t="shared" si="0"/>
        <v>0</v>
      </c>
      <c r="O71" s="295">
        <f t="shared" si="0"/>
        <v>0</v>
      </c>
      <c r="P71" s="295">
        <f t="shared" ca="1" si="0"/>
        <v>1</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1083</v>
      </c>
      <c r="I78" s="699"/>
      <c r="J78" s="699"/>
      <c r="K78" s="699"/>
      <c r="L78" s="700"/>
      <c r="M78" s="295">
        <f t="shared" ref="M78:R78" ca="1" si="1">IF(D24="Да",SUMIF($H79:$L85,$H78,M79:M85),0)</f>
        <v>2</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1130</v>
      </c>
      <c r="I86" s="699"/>
      <c r="J86" s="699"/>
      <c r="K86" s="699"/>
      <c r="L86" s="700"/>
      <c r="M86" s="295">
        <f t="shared" ref="M86:R86" ca="1" si="2">IF(D24="Да",SUMIF($H87:$L90,$H86,M87:M90),0)</f>
        <v>6</v>
      </c>
      <c r="N86" s="295">
        <f t="shared" si="2"/>
        <v>0</v>
      </c>
      <c r="O86" s="295">
        <f t="shared" si="2"/>
        <v>0</v>
      </c>
      <c r="P86" s="295">
        <f t="shared" ca="1" si="2"/>
        <v>5</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1137</v>
      </c>
      <c r="I91" s="699"/>
      <c r="J91" s="699"/>
      <c r="K91" s="699"/>
      <c r="L91" s="700"/>
      <c r="M91" s="295">
        <f t="shared" ref="M91:R91" ca="1" si="3">IF(D24="Да",SUMIF($H92:$L98,$H91,M92:M98),0)</f>
        <v>1</v>
      </c>
      <c r="N91" s="295">
        <f t="shared" si="3"/>
        <v>0</v>
      </c>
      <c r="O91" s="295">
        <f t="shared" si="3"/>
        <v>0</v>
      </c>
      <c r="P91" s="295">
        <f t="shared" ca="1" si="3"/>
        <v>1</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1159</v>
      </c>
      <c r="I99" s="699"/>
      <c r="J99" s="699"/>
      <c r="K99" s="699"/>
      <c r="L99" s="700"/>
      <c r="M99" s="295">
        <f t="shared" ref="M99:R99" ca="1" si="4">IF(D24="Да",SUMIF($H100:$L104,$H99,M100:M104),0)</f>
        <v>3</v>
      </c>
      <c r="N99" s="295">
        <f t="shared" si="4"/>
        <v>0</v>
      </c>
      <c r="O99" s="295">
        <f t="shared" si="4"/>
        <v>0</v>
      </c>
      <c r="P99" s="295">
        <f t="shared" ca="1" si="4"/>
        <v>4</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1099</v>
      </c>
      <c r="I105" s="699"/>
      <c r="J105" s="699"/>
      <c r="K105" s="699"/>
      <c r="L105" s="700"/>
      <c r="M105" s="295">
        <f t="shared" ref="M105:R105" ca="1" si="5">IF(D24="Да",SUMIF($H106:$L119,$H105,M106:M119),0)</f>
        <v>3</v>
      </c>
      <c r="N105" s="295">
        <f t="shared" si="5"/>
        <v>0</v>
      </c>
      <c r="O105" s="295">
        <f t="shared" si="5"/>
        <v>0</v>
      </c>
      <c r="P105" s="295">
        <f t="shared" ca="1" si="5"/>
        <v>4</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1082</v>
      </c>
      <c r="I120" s="699"/>
      <c r="J120" s="699"/>
      <c r="K120" s="699"/>
      <c r="L120" s="700"/>
      <c r="M120" s="295">
        <f t="shared" ref="M120:R120" ca="1" si="6">IF(D24="Да",SUMIF($H121:$L134,$H120,M121:M134),0)</f>
        <v>1</v>
      </c>
      <c r="N120" s="295">
        <f t="shared" si="6"/>
        <v>0</v>
      </c>
      <c r="O120" s="295">
        <f t="shared" si="6"/>
        <v>0</v>
      </c>
      <c r="P120" s="295">
        <f t="shared" ca="1" si="6"/>
        <v>1</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17</v>
      </c>
      <c r="N135" s="295">
        <f t="shared" ref="N135:R135" si="7">N71+N78+N86+N91+N99+N105+N120</f>
        <v>0</v>
      </c>
      <c r="O135" s="295">
        <f>O71+O78+O86+O91+O99+O105+O120</f>
        <v>0</v>
      </c>
      <c r="P135" s="295">
        <f t="shared" ca="1" si="7"/>
        <v>18</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v>
      </c>
      <c r="D149" s="295">
        <f t="shared" si="10"/>
        <v>1</v>
      </c>
      <c r="E149" s="295">
        <f t="shared" si="10"/>
        <v>1</v>
      </c>
      <c r="F149" s="295">
        <f t="shared" si="10"/>
        <v>1</v>
      </c>
      <c r="G149" s="295">
        <f t="shared" si="10"/>
        <v>1</v>
      </c>
      <c r="H149" s="295">
        <f t="shared" si="10"/>
        <v>1</v>
      </c>
      <c r="I149" s="295">
        <f t="shared" si="10"/>
        <v>1</v>
      </c>
      <c r="J149" s="295" t="s">
        <v>1223</v>
      </c>
      <c r="K149" s="311" t="s">
        <v>1209</v>
      </c>
      <c r="L149" s="716" t="s">
        <v>1224</v>
      </c>
      <c r="M149" s="716"/>
      <c r="N149" s="716"/>
      <c r="O149" s="716"/>
      <c r="P149" s="716"/>
      <c r="Q149" s="312" t="str">
        <f t="shared" si="11"/>
        <v>-</v>
      </c>
      <c r="R149" s="312" t="s">
        <v>1046</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v>
      </c>
      <c r="D154" s="295">
        <f>SUM(D142:D152)-10</f>
        <v>1</v>
      </c>
      <c r="E154" s="295">
        <f>SUM(E142:E152)-10</f>
        <v>1</v>
      </c>
      <c r="F154" s="295">
        <f t="shared" ref="F154:I154" si="13">SUM(F142:F152)-10</f>
        <v>1</v>
      </c>
      <c r="G154" s="295">
        <f t="shared" si="13"/>
        <v>1.1999999999999993</v>
      </c>
      <c r="H154" s="295">
        <f t="shared" si="13"/>
        <v>1</v>
      </c>
      <c r="I154" s="295">
        <f t="shared" si="13"/>
        <v>1</v>
      </c>
      <c r="J154" s="314"/>
      <c r="K154" s="698" t="s">
        <v>1232</v>
      </c>
      <c r="L154" s="699"/>
      <c r="M154" s="699"/>
      <c r="N154" s="699"/>
      <c r="O154" s="699"/>
      <c r="P154" s="699"/>
      <c r="Q154" s="699"/>
      <c r="R154" s="700"/>
    </row>
    <row r="155" spans="2:21" s="310" customFormat="1" ht="24.75" customHeight="1" x14ac:dyDescent="0.2">
      <c r="B155" s="295">
        <v>17</v>
      </c>
      <c r="C155" s="295">
        <f>C153*C154</f>
        <v>0.6</v>
      </c>
      <c r="D155" s="295">
        <f>D153*D154</f>
        <v>0.6</v>
      </c>
      <c r="E155" s="295">
        <f>E153*E154</f>
        <v>0.6</v>
      </c>
      <c r="F155" s="295">
        <f t="shared" ref="F155:I155" si="14">F153*F154</f>
        <v>0.6</v>
      </c>
      <c r="G155" s="295">
        <f t="shared" si="14"/>
        <v>0.71999999999999953</v>
      </c>
      <c r="H155" s="295">
        <f t="shared" si="14"/>
        <v>0.6</v>
      </c>
      <c r="I155" s="295">
        <f t="shared" si="14"/>
        <v>0.6</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8"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8"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8"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8" ht="25.5" customHeight="1" x14ac:dyDescent="0.25">
      <c r="B164" s="295">
        <v>1</v>
      </c>
      <c r="C164" s="295">
        <f>M67</f>
        <v>0</v>
      </c>
      <c r="D164" s="295">
        <f t="shared" ref="D164:I164" ca="1" si="15">M135</f>
        <v>17</v>
      </c>
      <c r="E164" s="295">
        <f t="shared" si="15"/>
        <v>0</v>
      </c>
      <c r="F164" s="295">
        <f t="shared" si="15"/>
        <v>0</v>
      </c>
      <c r="G164" s="295">
        <f t="shared" ca="1" si="15"/>
        <v>18</v>
      </c>
      <c r="H164" s="295">
        <f t="shared" si="15"/>
        <v>0</v>
      </c>
      <c r="I164" s="295">
        <f t="shared" si="15"/>
        <v>0</v>
      </c>
      <c r="J164" s="698" t="s">
        <v>1247</v>
      </c>
      <c r="K164" s="699"/>
      <c r="L164" s="699"/>
      <c r="M164" s="699"/>
      <c r="N164" s="699"/>
      <c r="O164" s="699"/>
      <c r="P164" s="699"/>
      <c r="Q164" s="699"/>
      <c r="R164" s="700"/>
    </row>
    <row r="165" spans="2:28"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8"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8" ht="25.5" customHeight="1" x14ac:dyDescent="0.25">
      <c r="B167" s="295">
        <v>4</v>
      </c>
      <c r="C167" s="316">
        <f>C164*C165*C166</f>
        <v>0</v>
      </c>
      <c r="D167" s="316">
        <f ca="1">D164*D165*D166</f>
        <v>267.41000000000003</v>
      </c>
      <c r="E167" s="316">
        <f>E164*E165*E166</f>
        <v>0</v>
      </c>
      <c r="F167" s="316">
        <f t="shared" ref="F167:I167" si="16">F164*F165*F166</f>
        <v>0</v>
      </c>
      <c r="G167" s="316">
        <f t="shared" ca="1" si="16"/>
        <v>607.86</v>
      </c>
      <c r="H167" s="316">
        <f t="shared" si="16"/>
        <v>0</v>
      </c>
      <c r="I167" s="316">
        <f t="shared" si="16"/>
        <v>0</v>
      </c>
      <c r="J167" s="698" t="s">
        <v>1250</v>
      </c>
      <c r="K167" s="699"/>
      <c r="L167" s="699"/>
      <c r="M167" s="699"/>
      <c r="N167" s="699"/>
      <c r="O167" s="699"/>
      <c r="P167" s="699"/>
      <c r="Q167" s="699"/>
      <c r="R167" s="700"/>
    </row>
    <row r="168" spans="2:28" ht="25.5" customHeight="1" x14ac:dyDescent="0.25">
      <c r="B168" s="295">
        <v>5</v>
      </c>
      <c r="C168" s="316">
        <f t="shared" ref="C168:I168" si="17">C167*C155</f>
        <v>0</v>
      </c>
      <c r="D168" s="316">
        <f t="shared" ca="1" si="17"/>
        <v>160.446</v>
      </c>
      <c r="E168" s="316">
        <f t="shared" si="17"/>
        <v>0</v>
      </c>
      <c r="F168" s="316">
        <f t="shared" si="17"/>
        <v>0</v>
      </c>
      <c r="G168" s="316">
        <f t="shared" ca="1" si="17"/>
        <v>437.65919999999971</v>
      </c>
      <c r="H168" s="316">
        <f t="shared" si="17"/>
        <v>0</v>
      </c>
      <c r="I168" s="316">
        <f t="shared" si="17"/>
        <v>0</v>
      </c>
      <c r="J168" s="698" t="s">
        <v>1251</v>
      </c>
      <c r="K168" s="699"/>
      <c r="L168" s="699"/>
      <c r="M168" s="699"/>
      <c r="N168" s="699"/>
      <c r="O168" s="699"/>
      <c r="P168" s="699"/>
      <c r="Q168" s="699"/>
      <c r="R168" s="700"/>
    </row>
    <row r="169" spans="2:28" ht="25.5" customHeight="1" x14ac:dyDescent="0.25">
      <c r="B169" s="295">
        <v>6</v>
      </c>
      <c r="C169" s="316">
        <f t="shared" ref="C169:I169" si="18">C168*C156*C157*C158</f>
        <v>0</v>
      </c>
      <c r="D169" s="316">
        <f t="shared" ca="1" si="18"/>
        <v>810.89408399999991</v>
      </c>
      <c r="E169" s="316">
        <f t="shared" si="18"/>
        <v>0</v>
      </c>
      <c r="F169" s="316">
        <f t="shared" si="18"/>
        <v>0</v>
      </c>
      <c r="G169" s="316">
        <f t="shared" ca="1" si="18"/>
        <v>2211.9295967999983</v>
      </c>
      <c r="H169" s="316">
        <f t="shared" si="18"/>
        <v>0</v>
      </c>
      <c r="I169" s="316">
        <f t="shared" si="18"/>
        <v>0</v>
      </c>
      <c r="J169" s="698" t="s">
        <v>1252</v>
      </c>
      <c r="K169" s="699"/>
      <c r="L169" s="699"/>
      <c r="M169" s="699"/>
      <c r="N169" s="699"/>
      <c r="O169" s="699"/>
      <c r="P169" s="699"/>
      <c r="Q169" s="699"/>
      <c r="R169" s="700"/>
    </row>
    <row r="170" spans="2:28" ht="25.5" customHeight="1" x14ac:dyDescent="0.25">
      <c r="B170" s="295">
        <v>7</v>
      </c>
      <c r="C170" s="317"/>
      <c r="D170" s="317">
        <f t="shared" ref="D170:I170" ca="1" si="19">D169*D160</f>
        <v>243.26822519999996</v>
      </c>
      <c r="E170" s="317">
        <f t="shared" si="19"/>
        <v>0</v>
      </c>
      <c r="F170" s="317">
        <f t="shared" si="19"/>
        <v>0</v>
      </c>
      <c r="G170" s="317">
        <f t="shared" ca="1" si="19"/>
        <v>1327.157758079999</v>
      </c>
      <c r="H170" s="317">
        <f t="shared" si="19"/>
        <v>0</v>
      </c>
      <c r="I170" s="317">
        <f t="shared" si="19"/>
        <v>0</v>
      </c>
      <c r="J170" s="698" t="s">
        <v>1253</v>
      </c>
      <c r="K170" s="699"/>
      <c r="L170" s="699"/>
      <c r="M170" s="699"/>
      <c r="N170" s="699"/>
      <c r="O170" s="699"/>
      <c r="P170" s="699"/>
      <c r="Q170" s="699"/>
      <c r="R170" s="700"/>
    </row>
    <row r="171" spans="2:28" ht="46.5" customHeight="1" x14ac:dyDescent="0.25">
      <c r="B171" s="295">
        <v>8</v>
      </c>
      <c r="C171" s="295"/>
      <c r="D171" s="701">
        <f ca="1">SUM(D170:I170)*1000</f>
        <v>1570425.9832799989</v>
      </c>
      <c r="E171" s="701"/>
      <c r="F171" s="701"/>
      <c r="G171" s="701"/>
      <c r="H171" s="701"/>
      <c r="I171" s="701"/>
      <c r="J171" s="698" t="s">
        <v>1254</v>
      </c>
      <c r="K171" s="699"/>
      <c r="L171" s="699"/>
      <c r="M171" s="699"/>
      <c r="N171" s="699"/>
      <c r="O171" s="699"/>
      <c r="P171" s="699"/>
      <c r="Q171" s="699"/>
      <c r="R171" s="700"/>
    </row>
    <row r="172" spans="2:28" ht="41.25" customHeight="1" x14ac:dyDescent="0.25">
      <c r="B172" s="295">
        <v>9</v>
      </c>
      <c r="C172" s="295"/>
      <c r="D172" s="702">
        <f ca="1">ROUND(D171*0.8,0)</f>
        <v>1256341</v>
      </c>
      <c r="E172" s="703"/>
      <c r="F172" s="703"/>
      <c r="G172" s="703"/>
      <c r="H172" s="703"/>
      <c r="I172" s="704"/>
      <c r="J172" s="698" t="s">
        <v>1255</v>
      </c>
      <c r="K172" s="699"/>
      <c r="L172" s="699"/>
      <c r="M172" s="699"/>
      <c r="N172" s="699"/>
      <c r="O172" s="699"/>
      <c r="P172" s="699"/>
      <c r="Q172" s="699"/>
      <c r="R172" s="700"/>
    </row>
    <row r="173" spans="2:28" ht="28.5" customHeight="1" x14ac:dyDescent="0.25">
      <c r="B173" s="295">
        <v>11</v>
      </c>
      <c r="C173" s="295"/>
      <c r="D173" s="697">
        <f ca="1">D172</f>
        <v>1256341</v>
      </c>
      <c r="E173" s="697"/>
      <c r="F173" s="697"/>
      <c r="G173" s="697"/>
      <c r="H173" s="697"/>
      <c r="I173" s="697"/>
      <c r="J173" s="698" t="s">
        <v>1256</v>
      </c>
      <c r="K173" s="699"/>
      <c r="L173" s="699"/>
      <c r="M173" s="699"/>
      <c r="N173" s="699"/>
      <c r="O173" s="699"/>
      <c r="P173" s="699"/>
      <c r="Q173" s="699"/>
      <c r="R173" s="700"/>
      <c r="Y173" s="318">
        <f ca="1">D173</f>
        <v>1256341</v>
      </c>
      <c r="AB173" s="324"/>
    </row>
    <row r="174" spans="2:28" ht="14.25" x14ac:dyDescent="0.2">
      <c r="B174" s="289"/>
      <c r="C174" s="289"/>
      <c r="D174" s="319"/>
      <c r="E174" s="320"/>
      <c r="F174" s="320"/>
      <c r="G174" s="320"/>
      <c r="H174" s="320"/>
      <c r="I174" s="320"/>
      <c r="J174" s="321"/>
      <c r="K174" s="320"/>
      <c r="L174" s="322"/>
      <c r="M174" s="320"/>
      <c r="N174" s="320"/>
      <c r="O174" s="320"/>
      <c r="P174" s="320"/>
      <c r="Q174" s="320"/>
      <c r="R174" s="320"/>
    </row>
    <row r="175" spans="2:28"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AM175"/>
  <sheetViews>
    <sheetView view="pageBreakPreview" topLeftCell="B149" zoomScale="70" zoomScaleSheetLayoutView="70" workbookViewId="0">
      <selection activeCell="D158" sqref="D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6" width="8.7109375" style="286" customWidth="1"/>
    <col min="17" max="17" width="13.85546875" style="286" customWidth="1"/>
    <col min="18" max="18" width="8.7109375" style="286" customWidth="1"/>
    <col min="19" max="19" width="0" style="286" hidden="1" customWidth="1"/>
    <col min="20" max="23" width="9.140625" style="286" hidden="1" customWidth="1"/>
    <col min="24" max="24" width="9.140625" style="286"/>
    <col min="25" max="25" width="16.28515625" style="286" customWidth="1"/>
    <col min="26" max="35" width="9.140625" style="286" hidden="1" customWidth="1"/>
    <col min="36" max="38" width="9.140625" style="286"/>
    <col min="39" max="39" width="12.42578125" style="286" bestFit="1" customWidth="1"/>
    <col min="40"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1275</v>
      </c>
      <c r="C4" s="731"/>
      <c r="D4" s="731"/>
      <c r="E4" s="731"/>
      <c r="F4" s="731"/>
      <c r="G4" s="731"/>
      <c r="H4" s="731"/>
      <c r="I4" s="731"/>
      <c r="J4" s="731"/>
      <c r="K4" s="731"/>
      <c r="L4" s="731"/>
      <c r="M4" s="731"/>
      <c r="N4" s="731"/>
      <c r="O4" s="731"/>
      <c r="P4" s="731"/>
      <c r="Q4" s="731"/>
      <c r="R4" s="731"/>
    </row>
    <row r="5" spans="2:20" x14ac:dyDescent="0.25">
      <c r="B5" s="731" t="s">
        <v>1276</v>
      </c>
      <c r="C5" s="731"/>
      <c r="D5" s="731"/>
      <c r="E5" s="731"/>
      <c r="F5" s="731"/>
      <c r="G5" s="731"/>
      <c r="H5" s="731"/>
      <c r="I5" s="731"/>
      <c r="J5" s="731"/>
      <c r="K5" s="731"/>
      <c r="L5" s="731"/>
      <c r="M5" s="731"/>
      <c r="N5" s="731"/>
      <c r="O5" s="731"/>
      <c r="P5" s="731"/>
      <c r="Q5" s="731"/>
      <c r="R5" s="731"/>
    </row>
    <row r="6" spans="2:20" ht="13.5" customHeight="1" x14ac:dyDescent="0.25">
      <c r="B6" s="286" t="s">
        <v>1036</v>
      </c>
      <c r="G6" s="732" t="s">
        <v>1277</v>
      </c>
      <c r="H6" s="733"/>
      <c r="I6" s="733"/>
      <c r="J6" s="733"/>
      <c r="K6" s="733"/>
      <c r="L6" s="733"/>
      <c r="M6" s="733"/>
      <c r="N6" s="733"/>
      <c r="O6" s="733"/>
      <c r="P6" s="733"/>
      <c r="Q6" s="733"/>
      <c r="R6" s="733"/>
    </row>
    <row r="7" spans="2:20"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'3.5.3 АСУТП этап16'!G11</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1071</v>
      </c>
      <c r="I71" s="699"/>
      <c r="J71" s="699"/>
      <c r="K71" s="699"/>
      <c r="L71" s="700"/>
      <c r="M71" s="295">
        <f t="shared" ref="M71:R71" ca="1" si="0">IF(D24="Да",SUMIF($H72:$L77,$H71,M72:M77),0)</f>
        <v>1</v>
      </c>
      <c r="N71" s="295">
        <f t="shared" si="0"/>
        <v>0</v>
      </c>
      <c r="O71" s="295">
        <f t="shared" si="0"/>
        <v>0</v>
      </c>
      <c r="P71" s="295">
        <f t="shared" ca="1" si="0"/>
        <v>1</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1083</v>
      </c>
      <c r="I78" s="699"/>
      <c r="J78" s="699"/>
      <c r="K78" s="699"/>
      <c r="L78" s="700"/>
      <c r="M78" s="295">
        <f t="shared" ref="M78:R78" ca="1" si="1">IF(D24="Да",SUMIF($H79:$L85,$H78,M79:M85),0)</f>
        <v>2</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1130</v>
      </c>
      <c r="I86" s="699"/>
      <c r="J86" s="699"/>
      <c r="K86" s="699"/>
      <c r="L86" s="700"/>
      <c r="M86" s="295">
        <f t="shared" ref="M86:R86" ca="1" si="2">IF(D24="Да",SUMIF($H87:$L90,$H86,M87:M90),0)</f>
        <v>6</v>
      </c>
      <c r="N86" s="295">
        <f t="shared" si="2"/>
        <v>0</v>
      </c>
      <c r="O86" s="295">
        <f t="shared" si="2"/>
        <v>0</v>
      </c>
      <c r="P86" s="295">
        <f t="shared" ca="1" si="2"/>
        <v>5</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1137</v>
      </c>
      <c r="I91" s="699"/>
      <c r="J91" s="699"/>
      <c r="K91" s="699"/>
      <c r="L91" s="700"/>
      <c r="M91" s="295">
        <f t="shared" ref="M91:R91" ca="1" si="3">IF(D24="Да",SUMIF($H92:$L98,$H91,M92:M98),0)</f>
        <v>1</v>
      </c>
      <c r="N91" s="295">
        <f t="shared" si="3"/>
        <v>0</v>
      </c>
      <c r="O91" s="295">
        <f t="shared" si="3"/>
        <v>0</v>
      </c>
      <c r="P91" s="295">
        <f t="shared" ca="1" si="3"/>
        <v>1</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1159</v>
      </c>
      <c r="I99" s="699"/>
      <c r="J99" s="699"/>
      <c r="K99" s="699"/>
      <c r="L99" s="700"/>
      <c r="M99" s="295">
        <f t="shared" ref="M99:R99" ca="1" si="4">IF(D24="Да",SUMIF($H100:$L104,$H99,M100:M104),0)</f>
        <v>3</v>
      </c>
      <c r="N99" s="295">
        <f t="shared" si="4"/>
        <v>0</v>
      </c>
      <c r="O99" s="295">
        <f t="shared" si="4"/>
        <v>0</v>
      </c>
      <c r="P99" s="295">
        <f t="shared" ca="1" si="4"/>
        <v>4</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1095</v>
      </c>
      <c r="I105" s="699"/>
      <c r="J105" s="699"/>
      <c r="K105" s="699"/>
      <c r="L105" s="700"/>
      <c r="M105" s="295">
        <f t="shared" ref="M105:R105" ca="1" si="5">IF(D24="Да",SUMIF($H106:$L119,$H105,M106:M119),0)</f>
        <v>2</v>
      </c>
      <c r="N105" s="295">
        <f t="shared" si="5"/>
        <v>0</v>
      </c>
      <c r="O105" s="295">
        <f t="shared" si="5"/>
        <v>0</v>
      </c>
      <c r="P105" s="295">
        <f t="shared" ca="1" si="5"/>
        <v>2</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1082</v>
      </c>
      <c r="I120" s="699"/>
      <c r="J120" s="699"/>
      <c r="K120" s="699"/>
      <c r="L120" s="700"/>
      <c r="M120" s="295">
        <f t="shared" ref="M120:R120" ca="1" si="6">IF(D24="Да",SUMIF($H121:$L134,$H120,M121:M134),0)</f>
        <v>1</v>
      </c>
      <c r="N120" s="295">
        <f t="shared" si="6"/>
        <v>0</v>
      </c>
      <c r="O120" s="295">
        <f t="shared" si="6"/>
        <v>0</v>
      </c>
      <c r="P120" s="295">
        <f t="shared" ca="1" si="6"/>
        <v>1</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16</v>
      </c>
      <c r="N135" s="295">
        <f t="shared" ref="N135:R135" si="7">N71+N78+N86+N91+N99+N105+N120</f>
        <v>0</v>
      </c>
      <c r="O135" s="295">
        <f>O71+O78+O86+O91+O99+O105+O120</f>
        <v>0</v>
      </c>
      <c r="P135" s="295">
        <f t="shared" ca="1" si="7"/>
        <v>16</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v>
      </c>
      <c r="D149" s="295">
        <f t="shared" si="10"/>
        <v>1</v>
      </c>
      <c r="E149" s="295">
        <f t="shared" si="10"/>
        <v>1</v>
      </c>
      <c r="F149" s="295">
        <f t="shared" si="10"/>
        <v>1</v>
      </c>
      <c r="G149" s="295">
        <f t="shared" si="10"/>
        <v>1</v>
      </c>
      <c r="H149" s="295">
        <f t="shared" si="10"/>
        <v>1</v>
      </c>
      <c r="I149" s="295">
        <f t="shared" si="10"/>
        <v>1</v>
      </c>
      <c r="J149" s="295" t="s">
        <v>1223</v>
      </c>
      <c r="K149" s="311" t="s">
        <v>1209</v>
      </c>
      <c r="L149" s="716" t="s">
        <v>1224</v>
      </c>
      <c r="M149" s="716"/>
      <c r="N149" s="716"/>
      <c r="O149" s="716"/>
      <c r="P149" s="716"/>
      <c r="Q149" s="312" t="str">
        <f t="shared" si="11"/>
        <v>-</v>
      </c>
      <c r="R149" s="312" t="s">
        <v>1046</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v>
      </c>
      <c r="D154" s="295">
        <f>SUM(D142:D152)-10</f>
        <v>1</v>
      </c>
      <c r="E154" s="295">
        <f>SUM(E142:E152)-10</f>
        <v>1</v>
      </c>
      <c r="F154" s="295">
        <f t="shared" ref="F154:I154" si="13">SUM(F142:F152)-10</f>
        <v>1</v>
      </c>
      <c r="G154" s="295">
        <f t="shared" si="13"/>
        <v>1.1999999999999993</v>
      </c>
      <c r="H154" s="295">
        <f t="shared" si="13"/>
        <v>1</v>
      </c>
      <c r="I154" s="295">
        <f t="shared" si="13"/>
        <v>1</v>
      </c>
      <c r="J154" s="314"/>
      <c r="K154" s="698" t="s">
        <v>1232</v>
      </c>
      <c r="L154" s="699"/>
      <c r="M154" s="699"/>
      <c r="N154" s="699"/>
      <c r="O154" s="699"/>
      <c r="P154" s="699"/>
      <c r="Q154" s="699"/>
      <c r="R154" s="700"/>
    </row>
    <row r="155" spans="2:21" s="310" customFormat="1" ht="24.75" customHeight="1" x14ac:dyDescent="0.2">
      <c r="B155" s="295">
        <v>17</v>
      </c>
      <c r="C155" s="295">
        <f>C153*C154</f>
        <v>0.6</v>
      </c>
      <c r="D155" s="295">
        <f>D153*D154</f>
        <v>0.6</v>
      </c>
      <c r="E155" s="295">
        <f>E153*E154</f>
        <v>0.6</v>
      </c>
      <c r="F155" s="295">
        <f t="shared" ref="F155:I155" si="14">F153*F154</f>
        <v>0.6</v>
      </c>
      <c r="G155" s="295">
        <f t="shared" si="14"/>
        <v>0.71999999999999953</v>
      </c>
      <c r="H155" s="295">
        <f t="shared" si="14"/>
        <v>0.6</v>
      </c>
      <c r="I155" s="295">
        <f t="shared" si="14"/>
        <v>0.6</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39"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39"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39"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39" ht="25.5" customHeight="1" x14ac:dyDescent="0.25">
      <c r="B164" s="295">
        <v>1</v>
      </c>
      <c r="C164" s="295">
        <f>M67</f>
        <v>0</v>
      </c>
      <c r="D164" s="295">
        <f t="shared" ref="D164:I164" ca="1" si="15">M135</f>
        <v>16</v>
      </c>
      <c r="E164" s="295">
        <f t="shared" si="15"/>
        <v>0</v>
      </c>
      <c r="F164" s="295">
        <f t="shared" si="15"/>
        <v>0</v>
      </c>
      <c r="G164" s="295">
        <f t="shared" ca="1" si="15"/>
        <v>16</v>
      </c>
      <c r="H164" s="295">
        <f t="shared" si="15"/>
        <v>0</v>
      </c>
      <c r="I164" s="295">
        <f t="shared" si="15"/>
        <v>0</v>
      </c>
      <c r="J164" s="698" t="s">
        <v>1247</v>
      </c>
      <c r="K164" s="699"/>
      <c r="L164" s="699"/>
      <c r="M164" s="699"/>
      <c r="N164" s="699"/>
      <c r="O164" s="699"/>
      <c r="P164" s="699"/>
      <c r="Q164" s="699"/>
      <c r="R164" s="700"/>
    </row>
    <row r="165" spans="2:39"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39"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39" ht="25.5" customHeight="1" x14ac:dyDescent="0.25">
      <c r="B167" s="295">
        <v>4</v>
      </c>
      <c r="C167" s="316">
        <f>C164*C165*C166</f>
        <v>0</v>
      </c>
      <c r="D167" s="316">
        <f ca="1">D164*D165*D166</f>
        <v>251.68</v>
      </c>
      <c r="E167" s="316">
        <f>E164*E165*E166</f>
        <v>0</v>
      </c>
      <c r="F167" s="316">
        <f t="shared" ref="F167:I167" si="16">F164*F165*F166</f>
        <v>0</v>
      </c>
      <c r="G167" s="316">
        <f t="shared" ca="1" si="16"/>
        <v>540.32000000000005</v>
      </c>
      <c r="H167" s="316">
        <f t="shared" si="16"/>
        <v>0</v>
      </c>
      <c r="I167" s="316">
        <f t="shared" si="16"/>
        <v>0</v>
      </c>
      <c r="J167" s="698" t="s">
        <v>1250</v>
      </c>
      <c r="K167" s="699"/>
      <c r="L167" s="699"/>
      <c r="M167" s="699"/>
      <c r="N167" s="699"/>
      <c r="O167" s="699"/>
      <c r="P167" s="699"/>
      <c r="Q167" s="699"/>
      <c r="R167" s="700"/>
    </row>
    <row r="168" spans="2:39" ht="25.5" customHeight="1" x14ac:dyDescent="0.25">
      <c r="B168" s="295">
        <v>5</v>
      </c>
      <c r="C168" s="316">
        <f t="shared" ref="C168:I168" si="17">C167*C155</f>
        <v>0</v>
      </c>
      <c r="D168" s="316">
        <f t="shared" ca="1" si="17"/>
        <v>151.00800000000001</v>
      </c>
      <c r="E168" s="316">
        <f t="shared" si="17"/>
        <v>0</v>
      </c>
      <c r="F168" s="316">
        <f t="shared" si="17"/>
        <v>0</v>
      </c>
      <c r="G168" s="316">
        <f t="shared" ca="1" si="17"/>
        <v>389.03039999999976</v>
      </c>
      <c r="H168" s="316">
        <f t="shared" si="17"/>
        <v>0</v>
      </c>
      <c r="I168" s="316">
        <f t="shared" si="17"/>
        <v>0</v>
      </c>
      <c r="J168" s="698" t="s">
        <v>1251</v>
      </c>
      <c r="K168" s="699"/>
      <c r="L168" s="699"/>
      <c r="M168" s="699"/>
      <c r="N168" s="699"/>
      <c r="O168" s="699"/>
      <c r="P168" s="699"/>
      <c r="Q168" s="699"/>
      <c r="R168" s="700"/>
    </row>
    <row r="169" spans="2:39" ht="25.5" customHeight="1" x14ac:dyDescent="0.25">
      <c r="B169" s="295">
        <v>6</v>
      </c>
      <c r="C169" s="316">
        <f t="shared" ref="C169:I169" si="18">C168*C156*C157*C158</f>
        <v>0</v>
      </c>
      <c r="D169" s="316">
        <f t="shared" ca="1" si="18"/>
        <v>763.19443199999989</v>
      </c>
      <c r="E169" s="316">
        <f t="shared" si="18"/>
        <v>0</v>
      </c>
      <c r="F169" s="316">
        <f t="shared" si="18"/>
        <v>0</v>
      </c>
      <c r="G169" s="316">
        <f t="shared" ca="1" si="18"/>
        <v>1966.1596415999986</v>
      </c>
      <c r="H169" s="316">
        <f t="shared" si="18"/>
        <v>0</v>
      </c>
      <c r="I169" s="316">
        <f t="shared" si="18"/>
        <v>0</v>
      </c>
      <c r="J169" s="698" t="s">
        <v>1252</v>
      </c>
      <c r="K169" s="699"/>
      <c r="L169" s="699"/>
      <c r="M169" s="699"/>
      <c r="N169" s="699"/>
      <c r="O169" s="699"/>
      <c r="P169" s="699"/>
      <c r="Q169" s="699"/>
      <c r="R169" s="700"/>
    </row>
    <row r="170" spans="2:39" ht="25.5" customHeight="1" x14ac:dyDescent="0.25">
      <c r="B170" s="295">
        <v>7</v>
      </c>
      <c r="C170" s="317"/>
      <c r="D170" s="317">
        <f t="shared" ref="D170:I170" ca="1" si="19">D169*D160</f>
        <v>228.95832959999996</v>
      </c>
      <c r="E170" s="317">
        <f t="shared" si="19"/>
        <v>0</v>
      </c>
      <c r="F170" s="317">
        <f t="shared" si="19"/>
        <v>0</v>
      </c>
      <c r="G170" s="317">
        <f t="shared" ca="1" si="19"/>
        <v>1179.6957849599992</v>
      </c>
      <c r="H170" s="317">
        <f t="shared" si="19"/>
        <v>0</v>
      </c>
      <c r="I170" s="317">
        <f t="shared" si="19"/>
        <v>0</v>
      </c>
      <c r="J170" s="698" t="s">
        <v>1253</v>
      </c>
      <c r="K170" s="699"/>
      <c r="L170" s="699"/>
      <c r="M170" s="699"/>
      <c r="N170" s="699"/>
      <c r="O170" s="699"/>
      <c r="P170" s="699"/>
      <c r="Q170" s="699"/>
      <c r="R170" s="700"/>
    </row>
    <row r="171" spans="2:39" ht="46.5" customHeight="1" x14ac:dyDescent="0.25">
      <c r="B171" s="295">
        <v>8</v>
      </c>
      <c r="C171" s="295"/>
      <c r="D171" s="701">
        <f ca="1">SUM(D170:I170)*1000</f>
        <v>1408654.114559999</v>
      </c>
      <c r="E171" s="701"/>
      <c r="F171" s="701"/>
      <c r="G171" s="701"/>
      <c r="H171" s="701"/>
      <c r="I171" s="701"/>
      <c r="J171" s="698" t="s">
        <v>1254</v>
      </c>
      <c r="K171" s="699"/>
      <c r="L171" s="699"/>
      <c r="M171" s="699"/>
      <c r="N171" s="699"/>
      <c r="O171" s="699"/>
      <c r="P171" s="699"/>
      <c r="Q171" s="699"/>
      <c r="R171" s="700"/>
    </row>
    <row r="172" spans="2:39" ht="41.25" customHeight="1" x14ac:dyDescent="0.25">
      <c r="B172" s="295">
        <v>9</v>
      </c>
      <c r="C172" s="295"/>
      <c r="D172" s="702">
        <f ca="1">ROUND(D171*0.8,0)</f>
        <v>1126923</v>
      </c>
      <c r="E172" s="703"/>
      <c r="F172" s="703"/>
      <c r="G172" s="703"/>
      <c r="H172" s="703"/>
      <c r="I172" s="704"/>
      <c r="J172" s="698" t="s">
        <v>1255</v>
      </c>
      <c r="K172" s="699"/>
      <c r="L172" s="699"/>
      <c r="M172" s="699"/>
      <c r="N172" s="699"/>
      <c r="O172" s="699"/>
      <c r="P172" s="699"/>
      <c r="Q172" s="699"/>
      <c r="R172" s="700"/>
    </row>
    <row r="173" spans="2:39" ht="28.5" customHeight="1" x14ac:dyDescent="0.25">
      <c r="B173" s="295">
        <v>11</v>
      </c>
      <c r="C173" s="295"/>
      <c r="D173" s="697">
        <f ca="1">D172</f>
        <v>1126923</v>
      </c>
      <c r="E173" s="697"/>
      <c r="F173" s="697"/>
      <c r="G173" s="697"/>
      <c r="H173" s="697"/>
      <c r="I173" s="697"/>
      <c r="J173" s="698" t="s">
        <v>1256</v>
      </c>
      <c r="K173" s="699"/>
      <c r="L173" s="699"/>
      <c r="M173" s="699"/>
      <c r="N173" s="699"/>
      <c r="O173" s="699"/>
      <c r="P173" s="699"/>
      <c r="Q173" s="699"/>
      <c r="R173" s="700"/>
      <c r="Y173" s="318">
        <f ca="1">D173</f>
        <v>1126923</v>
      </c>
      <c r="AD173" s="286">
        <v>1738682</v>
      </c>
      <c r="AI173" s="286">
        <v>1738682</v>
      </c>
      <c r="AM173" s="324"/>
    </row>
    <row r="174" spans="2:39" ht="14.25" x14ac:dyDescent="0.2">
      <c r="B174" s="289"/>
      <c r="C174" s="289"/>
      <c r="D174" s="319"/>
      <c r="E174" s="320"/>
      <c r="F174" s="320"/>
      <c r="G174" s="320"/>
      <c r="H174" s="320"/>
      <c r="I174" s="320"/>
      <c r="J174" s="321"/>
      <c r="K174" s="320"/>
      <c r="L174" s="322"/>
      <c r="M174" s="320"/>
      <c r="N174" s="320"/>
      <c r="O174" s="320"/>
      <c r="P174" s="320"/>
      <c r="Q174" s="320"/>
      <c r="R174" s="320"/>
    </row>
    <row r="175" spans="2:39"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3"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AB175"/>
  <sheetViews>
    <sheetView view="pageBreakPreview" topLeftCell="B149" zoomScale="70" zoomScaleSheetLayoutView="70" workbookViewId="0">
      <selection activeCell="D158" sqref="D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9.140625" style="286"/>
    <col min="25" max="25" width="14.28515625" style="286" bestFit="1" customWidth="1"/>
    <col min="26" max="27" width="9.140625" style="286" customWidth="1"/>
    <col min="28" max="28" width="12.42578125" style="286" bestFit="1" customWidth="1"/>
    <col min="29"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1278</v>
      </c>
      <c r="C4" s="731"/>
      <c r="D4" s="731"/>
      <c r="E4" s="731"/>
      <c r="F4" s="731"/>
      <c r="G4" s="731"/>
      <c r="H4" s="731"/>
      <c r="I4" s="731"/>
      <c r="J4" s="731"/>
      <c r="K4" s="731"/>
      <c r="L4" s="731"/>
      <c r="M4" s="731"/>
      <c r="N4" s="731"/>
      <c r="O4" s="731"/>
      <c r="P4" s="731"/>
      <c r="Q4" s="731"/>
      <c r="R4" s="731"/>
    </row>
    <row r="5" spans="2:20" x14ac:dyDescent="0.25">
      <c r="B5" s="731" t="s">
        <v>1279</v>
      </c>
      <c r="C5" s="731"/>
      <c r="D5" s="731"/>
      <c r="E5" s="731"/>
      <c r="F5" s="731"/>
      <c r="G5" s="731"/>
      <c r="H5" s="731"/>
      <c r="I5" s="731"/>
      <c r="J5" s="731"/>
      <c r="K5" s="731"/>
      <c r="L5" s="731"/>
      <c r="M5" s="731"/>
      <c r="N5" s="731"/>
      <c r="O5" s="731"/>
      <c r="P5" s="731"/>
      <c r="Q5" s="731"/>
      <c r="R5" s="731"/>
    </row>
    <row r="6" spans="2:20" ht="13.5" customHeight="1" x14ac:dyDescent="0.25">
      <c r="B6" s="286" t="s">
        <v>1036</v>
      </c>
      <c r="G6" s="732" t="s">
        <v>1277</v>
      </c>
      <c r="H6" s="733"/>
      <c r="I6" s="733"/>
      <c r="J6" s="733"/>
      <c r="K6" s="733"/>
      <c r="L6" s="733"/>
      <c r="M6" s="733"/>
      <c r="N6" s="733"/>
      <c r="O6" s="733"/>
      <c r="P6" s="733"/>
      <c r="Q6" s="733"/>
      <c r="R6" s="733"/>
    </row>
    <row r="7" spans="2:20"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'3.6.1 АСУЭ этап2'!G11</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1071</v>
      </c>
      <c r="I71" s="699"/>
      <c r="J71" s="699"/>
      <c r="K71" s="699"/>
      <c r="L71" s="700"/>
      <c r="M71" s="295">
        <f t="shared" ref="M71:R71" ca="1" si="0">IF(D24="Да",SUMIF($H72:$L77,$H71,M72:M77),0)</f>
        <v>1</v>
      </c>
      <c r="N71" s="295">
        <f t="shared" si="0"/>
        <v>0</v>
      </c>
      <c r="O71" s="295">
        <f t="shared" si="0"/>
        <v>0</v>
      </c>
      <c r="P71" s="295">
        <f t="shared" ca="1" si="0"/>
        <v>1</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1083</v>
      </c>
      <c r="I78" s="699"/>
      <c r="J78" s="699"/>
      <c r="K78" s="699"/>
      <c r="L78" s="700"/>
      <c r="M78" s="295">
        <f t="shared" ref="M78:R78" ca="1" si="1">IF(D24="Да",SUMIF($H79:$L85,$H78,M79:M85),0)</f>
        <v>2</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1130</v>
      </c>
      <c r="I86" s="699"/>
      <c r="J86" s="699"/>
      <c r="K86" s="699"/>
      <c r="L86" s="700"/>
      <c r="M86" s="295">
        <f t="shared" ref="M86:R86" ca="1" si="2">IF(D24="Да",SUMIF($H87:$L90,$H86,M87:M90),0)</f>
        <v>6</v>
      </c>
      <c r="N86" s="295">
        <f t="shared" si="2"/>
        <v>0</v>
      </c>
      <c r="O86" s="295">
        <f t="shared" si="2"/>
        <v>0</v>
      </c>
      <c r="P86" s="295">
        <f t="shared" ca="1" si="2"/>
        <v>5</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1137</v>
      </c>
      <c r="I91" s="699"/>
      <c r="J91" s="699"/>
      <c r="K91" s="699"/>
      <c r="L91" s="700"/>
      <c r="M91" s="295">
        <f t="shared" ref="M91:R91" ca="1" si="3">IF(D24="Да",SUMIF($H92:$L98,$H91,M92:M98),0)</f>
        <v>1</v>
      </c>
      <c r="N91" s="295">
        <f t="shared" si="3"/>
        <v>0</v>
      </c>
      <c r="O91" s="295">
        <f t="shared" si="3"/>
        <v>0</v>
      </c>
      <c r="P91" s="295">
        <f t="shared" ca="1" si="3"/>
        <v>1</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1159</v>
      </c>
      <c r="I99" s="699"/>
      <c r="J99" s="699"/>
      <c r="K99" s="699"/>
      <c r="L99" s="700"/>
      <c r="M99" s="295">
        <f t="shared" ref="M99:R99" ca="1" si="4">IF(D24="Да",SUMIF($H100:$L104,$H99,M100:M104),0)</f>
        <v>3</v>
      </c>
      <c r="N99" s="295">
        <f t="shared" si="4"/>
        <v>0</v>
      </c>
      <c r="O99" s="295">
        <f t="shared" si="4"/>
        <v>0</v>
      </c>
      <c r="P99" s="295">
        <f t="shared" ca="1" si="4"/>
        <v>4</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1093</v>
      </c>
      <c r="I105" s="699"/>
      <c r="J105" s="699"/>
      <c r="K105" s="699"/>
      <c r="L105" s="700"/>
      <c r="M105" s="295">
        <f t="shared" ref="M105:R105" ca="1" si="5">IF(D24="Да",SUMIF($H106:$L119,$H105,M106:M119),0)</f>
        <v>1</v>
      </c>
      <c r="N105" s="295">
        <f t="shared" si="5"/>
        <v>0</v>
      </c>
      <c r="O105" s="295">
        <f t="shared" si="5"/>
        <v>0</v>
      </c>
      <c r="P105" s="295">
        <f t="shared" ca="1" si="5"/>
        <v>1</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1082</v>
      </c>
      <c r="I120" s="699"/>
      <c r="J120" s="699"/>
      <c r="K120" s="699"/>
      <c r="L120" s="700"/>
      <c r="M120" s="295">
        <f t="shared" ref="M120:R120" ca="1" si="6">IF(D24="Да",SUMIF($H121:$L134,$H120,M121:M134),0)</f>
        <v>1</v>
      </c>
      <c r="N120" s="295">
        <f t="shared" si="6"/>
        <v>0</v>
      </c>
      <c r="O120" s="295">
        <f t="shared" si="6"/>
        <v>0</v>
      </c>
      <c r="P120" s="295">
        <f t="shared" ca="1" si="6"/>
        <v>1</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15</v>
      </c>
      <c r="N135" s="295">
        <f t="shared" ref="N135:R135" si="7">N71+N78+N86+N91+N99+N105+N120</f>
        <v>0</v>
      </c>
      <c r="O135" s="295">
        <f>O71+O78+O86+O91+O99+O105+O120</f>
        <v>0</v>
      </c>
      <c r="P135" s="295">
        <f t="shared" ca="1" si="7"/>
        <v>15</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v>
      </c>
      <c r="D149" s="295">
        <f t="shared" si="10"/>
        <v>1</v>
      </c>
      <c r="E149" s="295">
        <f t="shared" si="10"/>
        <v>1</v>
      </c>
      <c r="F149" s="295">
        <f t="shared" si="10"/>
        <v>1</v>
      </c>
      <c r="G149" s="295">
        <f t="shared" si="10"/>
        <v>1</v>
      </c>
      <c r="H149" s="295">
        <f t="shared" si="10"/>
        <v>1</v>
      </c>
      <c r="I149" s="295">
        <f t="shared" si="10"/>
        <v>1</v>
      </c>
      <c r="J149" s="295" t="s">
        <v>1223</v>
      </c>
      <c r="K149" s="311" t="s">
        <v>1209</v>
      </c>
      <c r="L149" s="716" t="s">
        <v>1224</v>
      </c>
      <c r="M149" s="716"/>
      <c r="N149" s="716"/>
      <c r="O149" s="716"/>
      <c r="P149" s="716"/>
      <c r="Q149" s="312" t="str">
        <f t="shared" si="11"/>
        <v>-</v>
      </c>
      <c r="R149" s="312" t="s">
        <v>1046</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v>
      </c>
      <c r="D154" s="295">
        <f>SUM(D142:D152)-10</f>
        <v>1</v>
      </c>
      <c r="E154" s="295">
        <f>SUM(E142:E152)-10</f>
        <v>1</v>
      </c>
      <c r="F154" s="295">
        <f t="shared" ref="F154:I154" si="13">SUM(F142:F152)-10</f>
        <v>1</v>
      </c>
      <c r="G154" s="295">
        <f t="shared" si="13"/>
        <v>1.1999999999999993</v>
      </c>
      <c r="H154" s="295">
        <f t="shared" si="13"/>
        <v>1</v>
      </c>
      <c r="I154" s="295">
        <f t="shared" si="13"/>
        <v>1</v>
      </c>
      <c r="J154" s="314"/>
      <c r="K154" s="698" t="s">
        <v>1232</v>
      </c>
      <c r="L154" s="699"/>
      <c r="M154" s="699"/>
      <c r="N154" s="699"/>
      <c r="O154" s="699"/>
      <c r="P154" s="699"/>
      <c r="Q154" s="699"/>
      <c r="R154" s="700"/>
    </row>
    <row r="155" spans="2:21" s="310" customFormat="1" ht="24.75" customHeight="1" x14ac:dyDescent="0.2">
      <c r="B155" s="295">
        <v>17</v>
      </c>
      <c r="C155" s="295">
        <f>C153*C154</f>
        <v>0.6</v>
      </c>
      <c r="D155" s="295">
        <f>D153*D154</f>
        <v>0.6</v>
      </c>
      <c r="E155" s="295">
        <f>E153*E154</f>
        <v>0.6</v>
      </c>
      <c r="F155" s="295">
        <f t="shared" ref="F155:I155" si="14">F153*F154</f>
        <v>0.6</v>
      </c>
      <c r="G155" s="295">
        <f t="shared" si="14"/>
        <v>0.71999999999999953</v>
      </c>
      <c r="H155" s="295">
        <f t="shared" si="14"/>
        <v>0.6</v>
      </c>
      <c r="I155" s="295">
        <f t="shared" si="14"/>
        <v>0.6</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8"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8"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8"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8" ht="25.5" customHeight="1" x14ac:dyDescent="0.25">
      <c r="B164" s="295">
        <v>1</v>
      </c>
      <c r="C164" s="295">
        <f>M67</f>
        <v>0</v>
      </c>
      <c r="D164" s="295">
        <f t="shared" ref="D164:I164" ca="1" si="15">M135</f>
        <v>15</v>
      </c>
      <c r="E164" s="295">
        <f t="shared" si="15"/>
        <v>0</v>
      </c>
      <c r="F164" s="295">
        <f t="shared" si="15"/>
        <v>0</v>
      </c>
      <c r="G164" s="295">
        <f t="shared" ca="1" si="15"/>
        <v>15</v>
      </c>
      <c r="H164" s="295">
        <f t="shared" si="15"/>
        <v>0</v>
      </c>
      <c r="I164" s="295">
        <f t="shared" si="15"/>
        <v>0</v>
      </c>
      <c r="J164" s="698" t="s">
        <v>1247</v>
      </c>
      <c r="K164" s="699"/>
      <c r="L164" s="699"/>
      <c r="M164" s="699"/>
      <c r="N164" s="699"/>
      <c r="O164" s="699"/>
      <c r="P164" s="699"/>
      <c r="Q164" s="699"/>
      <c r="R164" s="700"/>
    </row>
    <row r="165" spans="2:28"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8"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8" ht="25.5" customHeight="1" x14ac:dyDescent="0.25">
      <c r="B167" s="295">
        <v>4</v>
      </c>
      <c r="C167" s="316">
        <f>C164*C165*C166</f>
        <v>0</v>
      </c>
      <c r="D167" s="316">
        <f ca="1">D164*D165*D166</f>
        <v>235.95000000000002</v>
      </c>
      <c r="E167" s="316">
        <f>E164*E165*E166</f>
        <v>0</v>
      </c>
      <c r="F167" s="316">
        <f t="shared" ref="F167:I167" si="16">F164*F165*F166</f>
        <v>0</v>
      </c>
      <c r="G167" s="316">
        <f t="shared" ca="1" si="16"/>
        <v>506.55000000000007</v>
      </c>
      <c r="H167" s="316">
        <f t="shared" si="16"/>
        <v>0</v>
      </c>
      <c r="I167" s="316">
        <f t="shared" si="16"/>
        <v>0</v>
      </c>
      <c r="J167" s="698" t="s">
        <v>1250</v>
      </c>
      <c r="K167" s="699"/>
      <c r="L167" s="699"/>
      <c r="M167" s="699"/>
      <c r="N167" s="699"/>
      <c r="O167" s="699"/>
      <c r="P167" s="699"/>
      <c r="Q167" s="699"/>
      <c r="R167" s="700"/>
    </row>
    <row r="168" spans="2:28" ht="25.5" customHeight="1" x14ac:dyDescent="0.25">
      <c r="B168" s="295">
        <v>5</v>
      </c>
      <c r="C168" s="316">
        <f t="shared" ref="C168:I168" si="17">C167*C155</f>
        <v>0</v>
      </c>
      <c r="D168" s="316">
        <f t="shared" ca="1" si="17"/>
        <v>141.57</v>
      </c>
      <c r="E168" s="316">
        <f t="shared" si="17"/>
        <v>0</v>
      </c>
      <c r="F168" s="316">
        <f t="shared" si="17"/>
        <v>0</v>
      </c>
      <c r="G168" s="316">
        <f t="shared" ca="1" si="17"/>
        <v>364.71599999999984</v>
      </c>
      <c r="H168" s="316">
        <f t="shared" si="17"/>
        <v>0</v>
      </c>
      <c r="I168" s="316">
        <f t="shared" si="17"/>
        <v>0</v>
      </c>
      <c r="J168" s="698" t="s">
        <v>1251</v>
      </c>
      <c r="K168" s="699"/>
      <c r="L168" s="699"/>
      <c r="M168" s="699"/>
      <c r="N168" s="699"/>
      <c r="O168" s="699"/>
      <c r="P168" s="699"/>
      <c r="Q168" s="699"/>
      <c r="R168" s="700"/>
    </row>
    <row r="169" spans="2:28" ht="25.5" customHeight="1" x14ac:dyDescent="0.25">
      <c r="B169" s="295">
        <v>6</v>
      </c>
      <c r="C169" s="316">
        <f t="shared" ref="C169:I169" si="18">C168*C156*C157*C158</f>
        <v>0</v>
      </c>
      <c r="D169" s="316">
        <f t="shared" ca="1" si="18"/>
        <v>715.49477999999988</v>
      </c>
      <c r="E169" s="316">
        <f t="shared" si="18"/>
        <v>0</v>
      </c>
      <c r="F169" s="316">
        <f t="shared" si="18"/>
        <v>0</v>
      </c>
      <c r="G169" s="316">
        <f t="shared" ca="1" si="18"/>
        <v>1843.2746639999991</v>
      </c>
      <c r="H169" s="316">
        <f t="shared" si="18"/>
        <v>0</v>
      </c>
      <c r="I169" s="316">
        <f t="shared" si="18"/>
        <v>0</v>
      </c>
      <c r="J169" s="698" t="s">
        <v>1252</v>
      </c>
      <c r="K169" s="699"/>
      <c r="L169" s="699"/>
      <c r="M169" s="699"/>
      <c r="N169" s="699"/>
      <c r="O169" s="699"/>
      <c r="P169" s="699"/>
      <c r="Q169" s="699"/>
      <c r="R169" s="700"/>
    </row>
    <row r="170" spans="2:28" ht="25.5" customHeight="1" x14ac:dyDescent="0.25">
      <c r="B170" s="295">
        <v>7</v>
      </c>
      <c r="C170" s="317"/>
      <c r="D170" s="317">
        <f t="shared" ref="D170:I170" ca="1" si="19">D169*D160</f>
        <v>214.64843399999995</v>
      </c>
      <c r="E170" s="317">
        <f t="shared" si="19"/>
        <v>0</v>
      </c>
      <c r="F170" s="317">
        <f t="shared" si="19"/>
        <v>0</v>
      </c>
      <c r="G170" s="317">
        <f t="shared" ca="1" si="19"/>
        <v>1105.9647983999994</v>
      </c>
      <c r="H170" s="317">
        <f t="shared" si="19"/>
        <v>0</v>
      </c>
      <c r="I170" s="317">
        <f t="shared" si="19"/>
        <v>0</v>
      </c>
      <c r="J170" s="698" t="s">
        <v>1253</v>
      </c>
      <c r="K170" s="699"/>
      <c r="L170" s="699"/>
      <c r="M170" s="699"/>
      <c r="N170" s="699"/>
      <c r="O170" s="699"/>
      <c r="P170" s="699"/>
      <c r="Q170" s="699"/>
      <c r="R170" s="700"/>
    </row>
    <row r="171" spans="2:28" ht="46.5" customHeight="1" x14ac:dyDescent="0.25">
      <c r="B171" s="295">
        <v>8</v>
      </c>
      <c r="C171" s="295"/>
      <c r="D171" s="701">
        <f ca="1">SUM(D170:I170)*1000</f>
        <v>1320613.2323999994</v>
      </c>
      <c r="E171" s="701"/>
      <c r="F171" s="701"/>
      <c r="G171" s="701"/>
      <c r="H171" s="701"/>
      <c r="I171" s="701"/>
      <c r="J171" s="698" t="s">
        <v>1254</v>
      </c>
      <c r="K171" s="699"/>
      <c r="L171" s="699"/>
      <c r="M171" s="699"/>
      <c r="N171" s="699"/>
      <c r="O171" s="699"/>
      <c r="P171" s="699"/>
      <c r="Q171" s="699"/>
      <c r="R171" s="700"/>
    </row>
    <row r="172" spans="2:28" ht="41.25" customHeight="1" x14ac:dyDescent="0.25">
      <c r="B172" s="295">
        <v>9</v>
      </c>
      <c r="C172" s="295"/>
      <c r="D172" s="702">
        <f ca="1">ROUND(D171*0.8,0)</f>
        <v>1056491</v>
      </c>
      <c r="E172" s="703"/>
      <c r="F172" s="703"/>
      <c r="G172" s="703"/>
      <c r="H172" s="703"/>
      <c r="I172" s="704"/>
      <c r="J172" s="698" t="s">
        <v>1255</v>
      </c>
      <c r="K172" s="699"/>
      <c r="L172" s="699"/>
      <c r="M172" s="699"/>
      <c r="N172" s="699"/>
      <c r="O172" s="699"/>
      <c r="P172" s="699"/>
      <c r="Q172" s="699"/>
      <c r="R172" s="700"/>
    </row>
    <row r="173" spans="2:28" ht="28.5" customHeight="1" x14ac:dyDescent="0.25">
      <c r="B173" s="295">
        <v>11</v>
      </c>
      <c r="C173" s="295"/>
      <c r="D173" s="697">
        <f ca="1">D172</f>
        <v>1056491</v>
      </c>
      <c r="E173" s="697"/>
      <c r="F173" s="697"/>
      <c r="G173" s="697"/>
      <c r="H173" s="697"/>
      <c r="I173" s="697"/>
      <c r="J173" s="698" t="s">
        <v>1256</v>
      </c>
      <c r="K173" s="699"/>
      <c r="L173" s="699"/>
      <c r="M173" s="699"/>
      <c r="N173" s="699"/>
      <c r="O173" s="699"/>
      <c r="P173" s="699"/>
      <c r="Q173" s="699"/>
      <c r="R173" s="700"/>
      <c r="Y173" s="318">
        <f ca="1">D173</f>
        <v>1056491</v>
      </c>
      <c r="AB173" s="324"/>
    </row>
    <row r="174" spans="2:28" ht="14.25" x14ac:dyDescent="0.2">
      <c r="B174" s="289"/>
      <c r="C174" s="289"/>
      <c r="D174" s="319"/>
      <c r="E174" s="320"/>
      <c r="F174" s="320"/>
      <c r="G174" s="320"/>
      <c r="H174" s="320"/>
      <c r="I174" s="320"/>
      <c r="J174" s="321"/>
      <c r="K174" s="320"/>
      <c r="L174" s="322"/>
      <c r="M174" s="320"/>
      <c r="N174" s="320"/>
      <c r="O174" s="320"/>
      <c r="P174" s="320"/>
      <c r="Q174" s="320"/>
      <c r="R174" s="320"/>
    </row>
    <row r="175" spans="2:28"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disablePrompts="1"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79998168889431442"/>
    <pageSetUpPr fitToPage="1"/>
  </sheetPr>
  <dimension ref="A1:AB175"/>
  <sheetViews>
    <sheetView view="pageBreakPreview" topLeftCell="B149" zoomScale="70" zoomScaleSheetLayoutView="70" workbookViewId="0">
      <selection activeCell="I177" sqref="I177"/>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9.140625" style="286"/>
    <col min="25" max="25" width="14.140625" style="286" customWidth="1"/>
    <col min="26" max="27" width="0.140625" style="286" customWidth="1"/>
    <col min="28" max="28" width="44.7109375" style="286" customWidth="1"/>
    <col min="29"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1280</v>
      </c>
      <c r="C4" s="731"/>
      <c r="D4" s="731"/>
      <c r="E4" s="731"/>
      <c r="F4" s="731"/>
      <c r="G4" s="731"/>
      <c r="H4" s="731"/>
      <c r="I4" s="731"/>
      <c r="J4" s="731"/>
      <c r="K4" s="731"/>
      <c r="L4" s="731"/>
      <c r="M4" s="731"/>
      <c r="N4" s="731"/>
      <c r="O4" s="731"/>
      <c r="P4" s="731"/>
      <c r="Q4" s="731"/>
      <c r="R4" s="731"/>
    </row>
    <row r="5" spans="2:20" x14ac:dyDescent="0.25">
      <c r="B5" s="731" t="s">
        <v>1281</v>
      </c>
      <c r="C5" s="731"/>
      <c r="D5" s="731"/>
      <c r="E5" s="731"/>
      <c r="F5" s="731"/>
      <c r="G5" s="731"/>
      <c r="H5" s="731"/>
      <c r="I5" s="731"/>
      <c r="J5" s="731"/>
      <c r="K5" s="731"/>
      <c r="L5" s="731"/>
      <c r="M5" s="731"/>
      <c r="N5" s="731"/>
      <c r="O5" s="731"/>
      <c r="P5" s="731"/>
      <c r="Q5" s="731"/>
      <c r="R5" s="731"/>
    </row>
    <row r="6" spans="2:20" ht="13.5" customHeight="1" x14ac:dyDescent="0.25">
      <c r="B6" s="286" t="s">
        <v>1036</v>
      </c>
      <c r="G6" s="732" t="s">
        <v>1282</v>
      </c>
      <c r="H6" s="733"/>
      <c r="I6" s="733"/>
      <c r="J6" s="733"/>
      <c r="K6" s="733"/>
      <c r="L6" s="733"/>
      <c r="M6" s="733"/>
      <c r="N6" s="733"/>
      <c r="O6" s="733"/>
      <c r="P6" s="733"/>
      <c r="Q6" s="733"/>
      <c r="R6" s="733"/>
    </row>
    <row r="7" spans="2:20"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'3.6.2 АСУЭ этап15'!G11</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1071</v>
      </c>
      <c r="I71" s="699"/>
      <c r="J71" s="699"/>
      <c r="K71" s="699"/>
      <c r="L71" s="700"/>
      <c r="M71" s="295">
        <f t="shared" ref="M71:R71" ca="1" si="0">IF(D24="Да",SUMIF($H72:$L77,$H71,M72:M77),0)</f>
        <v>1</v>
      </c>
      <c r="N71" s="295">
        <f t="shared" si="0"/>
        <v>0</v>
      </c>
      <c r="O71" s="295">
        <f t="shared" si="0"/>
        <v>0</v>
      </c>
      <c r="P71" s="295">
        <f t="shared" ca="1" si="0"/>
        <v>1</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1083</v>
      </c>
      <c r="I78" s="699"/>
      <c r="J78" s="699"/>
      <c r="K78" s="699"/>
      <c r="L78" s="700"/>
      <c r="M78" s="295">
        <f t="shared" ref="M78:R78" ca="1" si="1">IF(D24="Да",SUMIF($H79:$L85,$H78,M79:M85),0)</f>
        <v>2</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1130</v>
      </c>
      <c r="I86" s="699"/>
      <c r="J86" s="699"/>
      <c r="K86" s="699"/>
      <c r="L86" s="700"/>
      <c r="M86" s="295">
        <f t="shared" ref="M86:R86" ca="1" si="2">IF(D24="Да",SUMIF($H87:$L90,$H86,M87:M90),0)</f>
        <v>6</v>
      </c>
      <c r="N86" s="295">
        <f t="shared" si="2"/>
        <v>0</v>
      </c>
      <c r="O86" s="295">
        <f t="shared" si="2"/>
        <v>0</v>
      </c>
      <c r="P86" s="295">
        <f t="shared" ca="1" si="2"/>
        <v>5</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1137</v>
      </c>
      <c r="I91" s="699"/>
      <c r="J91" s="699"/>
      <c r="K91" s="699"/>
      <c r="L91" s="700"/>
      <c r="M91" s="295">
        <f t="shared" ref="M91:R91" ca="1" si="3">IF(D24="Да",SUMIF($H92:$L98,$H91,M92:M98),0)</f>
        <v>1</v>
      </c>
      <c r="N91" s="295">
        <f t="shared" si="3"/>
        <v>0</v>
      </c>
      <c r="O91" s="295">
        <f t="shared" si="3"/>
        <v>0</v>
      </c>
      <c r="P91" s="295">
        <f t="shared" ca="1" si="3"/>
        <v>1</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1159</v>
      </c>
      <c r="I99" s="699"/>
      <c r="J99" s="699"/>
      <c r="K99" s="699"/>
      <c r="L99" s="700"/>
      <c r="M99" s="295">
        <f t="shared" ref="M99:R99" ca="1" si="4">IF(D24="Да",SUMIF($H100:$L104,$H99,M100:M104),0)</f>
        <v>3</v>
      </c>
      <c r="N99" s="295">
        <f t="shared" si="4"/>
        <v>0</v>
      </c>
      <c r="O99" s="295">
        <f t="shared" si="4"/>
        <v>0</v>
      </c>
      <c r="P99" s="295">
        <f t="shared" ca="1" si="4"/>
        <v>4</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1101</v>
      </c>
      <c r="I105" s="699"/>
      <c r="J105" s="699"/>
      <c r="K105" s="699"/>
      <c r="L105" s="700"/>
      <c r="M105" s="295">
        <f t="shared" ref="M105:R105" ca="1" si="5">IF(D24="Да",SUMIF($H106:$L119,$H105,M106:M119),0)</f>
        <v>3</v>
      </c>
      <c r="N105" s="295">
        <f t="shared" si="5"/>
        <v>0</v>
      </c>
      <c r="O105" s="295">
        <f t="shared" si="5"/>
        <v>0</v>
      </c>
      <c r="P105" s="295">
        <f t="shared" ca="1" si="5"/>
        <v>5</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1082</v>
      </c>
      <c r="I120" s="699"/>
      <c r="J120" s="699"/>
      <c r="K120" s="699"/>
      <c r="L120" s="700"/>
      <c r="M120" s="295">
        <f t="shared" ref="M120:R120" ca="1" si="6">IF(D24="Да",SUMIF($H121:$L134,$H120,M121:M134),0)</f>
        <v>1</v>
      </c>
      <c r="N120" s="295">
        <f t="shared" si="6"/>
        <v>0</v>
      </c>
      <c r="O120" s="295">
        <f t="shared" si="6"/>
        <v>0</v>
      </c>
      <c r="P120" s="295">
        <f t="shared" ca="1" si="6"/>
        <v>1</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17</v>
      </c>
      <c r="N135" s="295">
        <f t="shared" ref="N135:R135" si="7">N71+N78+N86+N91+N99+N105+N120</f>
        <v>0</v>
      </c>
      <c r="O135" s="295">
        <f>O71+O78+O86+O91+O99+O105+O120</f>
        <v>0</v>
      </c>
      <c r="P135" s="295">
        <f t="shared" ca="1" si="7"/>
        <v>19</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v>
      </c>
      <c r="D149" s="295">
        <f t="shared" si="10"/>
        <v>1</v>
      </c>
      <c r="E149" s="295">
        <f t="shared" si="10"/>
        <v>1</v>
      </c>
      <c r="F149" s="295">
        <f t="shared" si="10"/>
        <v>1</v>
      </c>
      <c r="G149" s="295">
        <f t="shared" si="10"/>
        <v>1</v>
      </c>
      <c r="H149" s="295">
        <f t="shared" si="10"/>
        <v>1</v>
      </c>
      <c r="I149" s="295">
        <f t="shared" si="10"/>
        <v>1</v>
      </c>
      <c r="J149" s="295" t="s">
        <v>1223</v>
      </c>
      <c r="K149" s="311" t="s">
        <v>1209</v>
      </c>
      <c r="L149" s="716" t="s">
        <v>1224</v>
      </c>
      <c r="M149" s="716"/>
      <c r="N149" s="716"/>
      <c r="O149" s="716"/>
      <c r="P149" s="716"/>
      <c r="Q149" s="312" t="str">
        <f t="shared" si="11"/>
        <v>-</v>
      </c>
      <c r="R149" s="312" t="s">
        <v>1046</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v>
      </c>
      <c r="D154" s="295">
        <f>SUM(D142:D152)-10</f>
        <v>1</v>
      </c>
      <c r="E154" s="295">
        <f>SUM(E142:E152)-10</f>
        <v>1</v>
      </c>
      <c r="F154" s="295">
        <f t="shared" ref="F154:I154" si="13">SUM(F142:F152)-10</f>
        <v>1</v>
      </c>
      <c r="G154" s="295">
        <f t="shared" si="13"/>
        <v>1.1999999999999993</v>
      </c>
      <c r="H154" s="295">
        <f t="shared" si="13"/>
        <v>1</v>
      </c>
      <c r="I154" s="295">
        <f t="shared" si="13"/>
        <v>1</v>
      </c>
      <c r="J154" s="314"/>
      <c r="K154" s="698" t="s">
        <v>1232</v>
      </c>
      <c r="L154" s="699"/>
      <c r="M154" s="699"/>
      <c r="N154" s="699"/>
      <c r="O154" s="699"/>
      <c r="P154" s="699"/>
      <c r="Q154" s="699"/>
      <c r="R154" s="700"/>
    </row>
    <row r="155" spans="2:21" s="310" customFormat="1" ht="24.75" customHeight="1" x14ac:dyDescent="0.2">
      <c r="B155" s="295">
        <v>17</v>
      </c>
      <c r="C155" s="295">
        <f>C153*C154</f>
        <v>0.6</v>
      </c>
      <c r="D155" s="295">
        <f>D153*D154</f>
        <v>0.6</v>
      </c>
      <c r="E155" s="295">
        <f>E153*E154</f>
        <v>0.6</v>
      </c>
      <c r="F155" s="295">
        <f t="shared" ref="F155:I155" si="14">F153*F154</f>
        <v>0.6</v>
      </c>
      <c r="G155" s="295">
        <f t="shared" si="14"/>
        <v>0.71999999999999953</v>
      </c>
      <c r="H155" s="295">
        <f t="shared" si="14"/>
        <v>0.6</v>
      </c>
      <c r="I155" s="295">
        <f t="shared" si="14"/>
        <v>0.6</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8"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8"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8"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8" ht="25.5" customHeight="1" x14ac:dyDescent="0.25">
      <c r="B164" s="295">
        <v>1</v>
      </c>
      <c r="C164" s="295">
        <f>M67</f>
        <v>0</v>
      </c>
      <c r="D164" s="295">
        <f t="shared" ref="D164:I164" ca="1" si="15">M135</f>
        <v>17</v>
      </c>
      <c r="E164" s="295">
        <f t="shared" si="15"/>
        <v>0</v>
      </c>
      <c r="F164" s="295">
        <f t="shared" si="15"/>
        <v>0</v>
      </c>
      <c r="G164" s="295">
        <f t="shared" ca="1" si="15"/>
        <v>19</v>
      </c>
      <c r="H164" s="295">
        <f t="shared" si="15"/>
        <v>0</v>
      </c>
      <c r="I164" s="295">
        <f t="shared" si="15"/>
        <v>0</v>
      </c>
      <c r="J164" s="698" t="s">
        <v>1247</v>
      </c>
      <c r="K164" s="699"/>
      <c r="L164" s="699"/>
      <c r="M164" s="699"/>
      <c r="N164" s="699"/>
      <c r="O164" s="699"/>
      <c r="P164" s="699"/>
      <c r="Q164" s="699"/>
      <c r="R164" s="700"/>
    </row>
    <row r="165" spans="2:28"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8"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8" ht="25.5" customHeight="1" x14ac:dyDescent="0.25">
      <c r="B167" s="295">
        <v>4</v>
      </c>
      <c r="C167" s="316">
        <f>C164*C165*C166</f>
        <v>0</v>
      </c>
      <c r="D167" s="316">
        <f ca="1">D164*D165*D166</f>
        <v>267.41000000000003</v>
      </c>
      <c r="E167" s="316">
        <f>E164*E165*E166</f>
        <v>0</v>
      </c>
      <c r="F167" s="316">
        <f t="shared" ref="F167:I167" si="16">F164*F165*F166</f>
        <v>0</v>
      </c>
      <c r="G167" s="316">
        <f t="shared" ca="1" si="16"/>
        <v>641.63000000000011</v>
      </c>
      <c r="H167" s="316">
        <f t="shared" si="16"/>
        <v>0</v>
      </c>
      <c r="I167" s="316">
        <f t="shared" si="16"/>
        <v>0</v>
      </c>
      <c r="J167" s="698" t="s">
        <v>1250</v>
      </c>
      <c r="K167" s="699"/>
      <c r="L167" s="699"/>
      <c r="M167" s="699"/>
      <c r="N167" s="699"/>
      <c r="O167" s="699"/>
      <c r="P167" s="699"/>
      <c r="Q167" s="699"/>
      <c r="R167" s="700"/>
    </row>
    <row r="168" spans="2:28" ht="25.5" customHeight="1" x14ac:dyDescent="0.25">
      <c r="B168" s="295">
        <v>5</v>
      </c>
      <c r="C168" s="316">
        <f t="shared" ref="C168:I168" si="17">C167*C155</f>
        <v>0</v>
      </c>
      <c r="D168" s="316">
        <f t="shared" ca="1" si="17"/>
        <v>160.446</v>
      </c>
      <c r="E168" s="316">
        <f t="shared" si="17"/>
        <v>0</v>
      </c>
      <c r="F168" s="316">
        <f t="shared" si="17"/>
        <v>0</v>
      </c>
      <c r="G168" s="316">
        <f t="shared" ca="1" si="17"/>
        <v>461.97359999999975</v>
      </c>
      <c r="H168" s="316">
        <f t="shared" si="17"/>
        <v>0</v>
      </c>
      <c r="I168" s="316">
        <f t="shared" si="17"/>
        <v>0</v>
      </c>
      <c r="J168" s="698" t="s">
        <v>1251</v>
      </c>
      <c r="K168" s="699"/>
      <c r="L168" s="699"/>
      <c r="M168" s="699"/>
      <c r="N168" s="699"/>
      <c r="O168" s="699"/>
      <c r="P168" s="699"/>
      <c r="Q168" s="699"/>
      <c r="R168" s="700"/>
    </row>
    <row r="169" spans="2:28" ht="25.5" customHeight="1" x14ac:dyDescent="0.25">
      <c r="B169" s="295">
        <v>6</v>
      </c>
      <c r="C169" s="316">
        <f t="shared" ref="C169:I169" si="18">C168*C156*C157*C158</f>
        <v>0</v>
      </c>
      <c r="D169" s="316">
        <f t="shared" ca="1" si="18"/>
        <v>810.89408399999991</v>
      </c>
      <c r="E169" s="316">
        <f t="shared" si="18"/>
        <v>0</v>
      </c>
      <c r="F169" s="316">
        <f t="shared" si="18"/>
        <v>0</v>
      </c>
      <c r="G169" s="316">
        <f t="shared" ca="1" si="18"/>
        <v>2334.8145743999985</v>
      </c>
      <c r="H169" s="316">
        <f t="shared" si="18"/>
        <v>0</v>
      </c>
      <c r="I169" s="316">
        <f t="shared" si="18"/>
        <v>0</v>
      </c>
      <c r="J169" s="698" t="s">
        <v>1252</v>
      </c>
      <c r="K169" s="699"/>
      <c r="L169" s="699"/>
      <c r="M169" s="699"/>
      <c r="N169" s="699"/>
      <c r="O169" s="699"/>
      <c r="P169" s="699"/>
      <c r="Q169" s="699"/>
      <c r="R169" s="700"/>
    </row>
    <row r="170" spans="2:28" ht="25.5" customHeight="1" x14ac:dyDescent="0.25">
      <c r="B170" s="295">
        <v>7</v>
      </c>
      <c r="C170" s="317"/>
      <c r="D170" s="317">
        <f t="shared" ref="D170:I170" ca="1" si="19">D169*D160</f>
        <v>243.26822519999996</v>
      </c>
      <c r="E170" s="317">
        <f t="shared" si="19"/>
        <v>0</v>
      </c>
      <c r="F170" s="317">
        <f t="shared" si="19"/>
        <v>0</v>
      </c>
      <c r="G170" s="317">
        <f t="shared" ca="1" si="19"/>
        <v>1400.888744639999</v>
      </c>
      <c r="H170" s="317">
        <f t="shared" si="19"/>
        <v>0</v>
      </c>
      <c r="I170" s="317">
        <f t="shared" si="19"/>
        <v>0</v>
      </c>
      <c r="J170" s="698" t="s">
        <v>1253</v>
      </c>
      <c r="K170" s="699"/>
      <c r="L170" s="699"/>
      <c r="M170" s="699"/>
      <c r="N170" s="699"/>
      <c r="O170" s="699"/>
      <c r="P170" s="699"/>
      <c r="Q170" s="699"/>
      <c r="R170" s="700"/>
    </row>
    <row r="171" spans="2:28" ht="46.5" customHeight="1" x14ac:dyDescent="0.25">
      <c r="B171" s="295">
        <v>8</v>
      </c>
      <c r="C171" s="295"/>
      <c r="D171" s="701">
        <f ca="1">SUM(D170:I170)*1000</f>
        <v>1644156.969839999</v>
      </c>
      <c r="E171" s="701"/>
      <c r="F171" s="701"/>
      <c r="G171" s="701"/>
      <c r="H171" s="701"/>
      <c r="I171" s="701"/>
      <c r="J171" s="698" t="s">
        <v>1254</v>
      </c>
      <c r="K171" s="699"/>
      <c r="L171" s="699"/>
      <c r="M171" s="699"/>
      <c r="N171" s="699"/>
      <c r="O171" s="699"/>
      <c r="P171" s="699"/>
      <c r="Q171" s="699"/>
      <c r="R171" s="700"/>
    </row>
    <row r="172" spans="2:28" ht="41.25" customHeight="1" x14ac:dyDescent="0.25">
      <c r="B172" s="295">
        <v>9</v>
      </c>
      <c r="C172" s="295"/>
      <c r="D172" s="702">
        <f ca="1">ROUND(D171*0.8,0)</f>
        <v>1315326</v>
      </c>
      <c r="E172" s="703"/>
      <c r="F172" s="703"/>
      <c r="G172" s="703"/>
      <c r="H172" s="703"/>
      <c r="I172" s="704"/>
      <c r="J172" s="698" t="s">
        <v>1255</v>
      </c>
      <c r="K172" s="699"/>
      <c r="L172" s="699"/>
      <c r="M172" s="699"/>
      <c r="N172" s="699"/>
      <c r="O172" s="699"/>
      <c r="P172" s="699"/>
      <c r="Q172" s="699"/>
      <c r="R172" s="700"/>
    </row>
    <row r="173" spans="2:28" ht="28.5" customHeight="1" x14ac:dyDescent="0.25">
      <c r="B173" s="295">
        <v>11</v>
      </c>
      <c r="C173" s="295"/>
      <c r="D173" s="697">
        <f ca="1">D172</f>
        <v>1315326</v>
      </c>
      <c r="E173" s="697"/>
      <c r="F173" s="697"/>
      <c r="G173" s="697"/>
      <c r="H173" s="697"/>
      <c r="I173" s="697"/>
      <c r="J173" s="698" t="s">
        <v>1256</v>
      </c>
      <c r="K173" s="699"/>
      <c r="L173" s="699"/>
      <c r="M173" s="699"/>
      <c r="N173" s="699"/>
      <c r="O173" s="699"/>
      <c r="P173" s="699"/>
      <c r="Q173" s="699"/>
      <c r="R173" s="700"/>
      <c r="Y173" s="318">
        <f ca="1">D173</f>
        <v>1315326</v>
      </c>
      <c r="AB173" s="324">
        <v>2029359</v>
      </c>
    </row>
    <row r="174" spans="2:28" ht="14.25" x14ac:dyDescent="0.2">
      <c r="B174" s="289"/>
      <c r="C174" s="289"/>
      <c r="D174" s="319"/>
      <c r="E174" s="320"/>
      <c r="F174" s="320"/>
      <c r="G174" s="320"/>
      <c r="H174" s="320"/>
      <c r="I174" s="320"/>
      <c r="J174" s="321"/>
      <c r="K174" s="320"/>
      <c r="L174" s="322"/>
      <c r="M174" s="320"/>
      <c r="N174" s="320"/>
      <c r="O174" s="320"/>
      <c r="P174" s="320"/>
      <c r="Q174" s="320"/>
      <c r="R174" s="320"/>
    </row>
    <row r="175" spans="2:28"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J167:R167"/>
    <mergeCell ref="J168:R168"/>
    <mergeCell ref="J169:R169"/>
    <mergeCell ref="J170:R170"/>
    <mergeCell ref="D171:I171"/>
    <mergeCell ref="J171:R171"/>
    <mergeCell ref="D172:I172"/>
    <mergeCell ref="J172:R172"/>
    <mergeCell ref="D173:I173"/>
    <mergeCell ref="J173:R173"/>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8"/>
    <pageSetUpPr fitToPage="1"/>
  </sheetPr>
  <dimension ref="A1:AC175"/>
  <sheetViews>
    <sheetView view="pageBreakPreview" topLeftCell="B149" zoomScale="70" zoomScaleSheetLayoutView="70" workbookViewId="0">
      <selection activeCell="D158" sqref="D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6" width="8.7109375" style="286" customWidth="1"/>
    <col min="17" max="17" width="11.7109375" style="286" customWidth="1"/>
    <col min="18" max="18" width="8.7109375" style="286" customWidth="1"/>
    <col min="19" max="19" width="0" style="286" hidden="1" customWidth="1"/>
    <col min="20" max="23" width="9.140625" style="286" hidden="1" customWidth="1"/>
    <col min="24" max="24" width="9.140625" style="286"/>
    <col min="25" max="25" width="14.28515625" style="286" bestFit="1" customWidth="1"/>
    <col min="26" max="28" width="9.140625" style="286"/>
    <col min="29" max="29" width="12.42578125" style="286" bestFit="1" customWidth="1"/>
    <col min="30"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1283</v>
      </c>
      <c r="C4" s="731"/>
      <c r="D4" s="731"/>
      <c r="E4" s="731"/>
      <c r="F4" s="731"/>
      <c r="G4" s="731"/>
      <c r="H4" s="731"/>
      <c r="I4" s="731"/>
      <c r="J4" s="731"/>
      <c r="K4" s="731"/>
      <c r="L4" s="731"/>
      <c r="M4" s="731"/>
      <c r="N4" s="731"/>
      <c r="O4" s="731"/>
      <c r="P4" s="731"/>
      <c r="Q4" s="731"/>
      <c r="R4" s="731"/>
    </row>
    <row r="5" spans="2:20" x14ac:dyDescent="0.25">
      <c r="B5" s="731" t="s">
        <v>1284</v>
      </c>
      <c r="C5" s="731"/>
      <c r="D5" s="731"/>
      <c r="E5" s="731"/>
      <c r="F5" s="731"/>
      <c r="G5" s="731"/>
      <c r="H5" s="731"/>
      <c r="I5" s="731"/>
      <c r="J5" s="731"/>
      <c r="K5" s="731"/>
      <c r="L5" s="731"/>
      <c r="M5" s="731"/>
      <c r="N5" s="731"/>
      <c r="O5" s="731"/>
      <c r="P5" s="731"/>
      <c r="Q5" s="731"/>
      <c r="R5" s="731"/>
    </row>
    <row r="6" spans="2:20" ht="13.5" customHeight="1" x14ac:dyDescent="0.25">
      <c r="B6" s="286" t="s">
        <v>1036</v>
      </c>
      <c r="G6" s="732" t="s">
        <v>1277</v>
      </c>
      <c r="H6" s="733"/>
      <c r="I6" s="733"/>
      <c r="J6" s="733"/>
      <c r="K6" s="733"/>
      <c r="L6" s="733"/>
      <c r="M6" s="733"/>
      <c r="N6" s="733"/>
      <c r="O6" s="733"/>
      <c r="P6" s="733"/>
      <c r="Q6" s="733"/>
      <c r="R6" s="733"/>
    </row>
    <row r="7" spans="2:20"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775" t="s">
        <v>7</v>
      </c>
      <c r="H11" s="775"/>
      <c r="I11" s="775"/>
      <c r="J11" s="775"/>
      <c r="K11" s="775"/>
      <c r="L11" s="775"/>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1071</v>
      </c>
      <c r="I71" s="699"/>
      <c r="J71" s="699"/>
      <c r="K71" s="699"/>
      <c r="L71" s="700"/>
      <c r="M71" s="295">
        <f t="shared" ref="M71:R71" ca="1" si="0">IF(D24="Да",SUMIF($H72:$L77,$H71,M72:M77),0)</f>
        <v>1</v>
      </c>
      <c r="N71" s="295">
        <f t="shared" si="0"/>
        <v>0</v>
      </c>
      <c r="O71" s="295">
        <f t="shared" si="0"/>
        <v>0</v>
      </c>
      <c r="P71" s="295">
        <f t="shared" ca="1" si="0"/>
        <v>1</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1083</v>
      </c>
      <c r="I78" s="699"/>
      <c r="J78" s="699"/>
      <c r="K78" s="699"/>
      <c r="L78" s="700"/>
      <c r="M78" s="295">
        <f t="shared" ref="M78:R78" ca="1" si="1">IF(D24="Да",SUMIF($H79:$L85,$H78,M79:M85),0)</f>
        <v>2</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1130</v>
      </c>
      <c r="I86" s="699"/>
      <c r="J86" s="699"/>
      <c r="K86" s="699"/>
      <c r="L86" s="700"/>
      <c r="M86" s="295">
        <f t="shared" ref="M86:R86" ca="1" si="2">IF(D24="Да",SUMIF($H87:$L90,$H86,M87:M90),0)</f>
        <v>6</v>
      </c>
      <c r="N86" s="295">
        <f t="shared" si="2"/>
        <v>0</v>
      </c>
      <c r="O86" s="295">
        <f t="shared" si="2"/>
        <v>0</v>
      </c>
      <c r="P86" s="295">
        <f t="shared" ca="1" si="2"/>
        <v>5</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1137</v>
      </c>
      <c r="I91" s="699"/>
      <c r="J91" s="699"/>
      <c r="K91" s="699"/>
      <c r="L91" s="700"/>
      <c r="M91" s="295">
        <f t="shared" ref="M91:R91" ca="1" si="3">IF(D24="Да",SUMIF($H92:$L98,$H91,M92:M98),0)</f>
        <v>1</v>
      </c>
      <c r="N91" s="295">
        <f t="shared" si="3"/>
        <v>0</v>
      </c>
      <c r="O91" s="295">
        <f t="shared" si="3"/>
        <v>0</v>
      </c>
      <c r="P91" s="295">
        <f t="shared" ca="1" si="3"/>
        <v>1</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1159</v>
      </c>
      <c r="I99" s="699"/>
      <c r="J99" s="699"/>
      <c r="K99" s="699"/>
      <c r="L99" s="700"/>
      <c r="M99" s="295">
        <f t="shared" ref="M99:R99" ca="1" si="4">IF(D24="Да",SUMIF($H100:$L104,$H99,M100:M104),0)</f>
        <v>3</v>
      </c>
      <c r="N99" s="295">
        <f t="shared" si="4"/>
        <v>0</v>
      </c>
      <c r="O99" s="295">
        <f t="shared" si="4"/>
        <v>0</v>
      </c>
      <c r="P99" s="295">
        <f t="shared" ca="1" si="4"/>
        <v>4</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1093</v>
      </c>
      <c r="I105" s="699"/>
      <c r="J105" s="699"/>
      <c r="K105" s="699"/>
      <c r="L105" s="700"/>
      <c r="M105" s="295">
        <f t="shared" ref="M105:R105" ca="1" si="5">IF(D24="Да",SUMIF($H106:$L119,$H105,M106:M119),0)</f>
        <v>1</v>
      </c>
      <c r="N105" s="295">
        <f t="shared" si="5"/>
        <v>0</v>
      </c>
      <c r="O105" s="295">
        <f t="shared" si="5"/>
        <v>0</v>
      </c>
      <c r="P105" s="295">
        <f t="shared" ca="1" si="5"/>
        <v>1</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1082</v>
      </c>
      <c r="I120" s="699"/>
      <c r="J120" s="699"/>
      <c r="K120" s="699"/>
      <c r="L120" s="700"/>
      <c r="M120" s="295">
        <f t="shared" ref="M120:R120" ca="1" si="6">IF(D24="Да",SUMIF($H121:$L134,$H120,M121:M134),0)</f>
        <v>1</v>
      </c>
      <c r="N120" s="295">
        <f t="shared" si="6"/>
        <v>0</v>
      </c>
      <c r="O120" s="295">
        <f t="shared" si="6"/>
        <v>0</v>
      </c>
      <c r="P120" s="295">
        <f t="shared" ca="1" si="6"/>
        <v>1</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15</v>
      </c>
      <c r="N135" s="295">
        <f t="shared" ref="N135:R135" si="7">N71+N78+N86+N91+N99+N105+N120</f>
        <v>0</v>
      </c>
      <c r="O135" s="295">
        <f>O71+O78+O86+O91+O99+O105+O120</f>
        <v>0</v>
      </c>
      <c r="P135" s="295">
        <f t="shared" ca="1" si="7"/>
        <v>15</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v>
      </c>
      <c r="D149" s="295">
        <f t="shared" si="10"/>
        <v>1</v>
      </c>
      <c r="E149" s="295">
        <f t="shared" si="10"/>
        <v>1</v>
      </c>
      <c r="F149" s="295">
        <f t="shared" si="10"/>
        <v>1</v>
      </c>
      <c r="G149" s="295">
        <f t="shared" si="10"/>
        <v>1</v>
      </c>
      <c r="H149" s="295">
        <f t="shared" si="10"/>
        <v>1</v>
      </c>
      <c r="I149" s="295">
        <f t="shared" si="10"/>
        <v>1</v>
      </c>
      <c r="J149" s="295" t="s">
        <v>1223</v>
      </c>
      <c r="K149" s="311" t="s">
        <v>1209</v>
      </c>
      <c r="L149" s="716" t="s">
        <v>1224</v>
      </c>
      <c r="M149" s="716"/>
      <c r="N149" s="716"/>
      <c r="O149" s="716"/>
      <c r="P149" s="716"/>
      <c r="Q149" s="312" t="str">
        <f t="shared" si="11"/>
        <v>-</v>
      </c>
      <c r="R149" s="312" t="s">
        <v>1046</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v>
      </c>
      <c r="D154" s="295">
        <f>SUM(D142:D152)-10</f>
        <v>1</v>
      </c>
      <c r="E154" s="295">
        <f>SUM(E142:E152)-10</f>
        <v>1</v>
      </c>
      <c r="F154" s="295">
        <f t="shared" ref="F154:I154" si="13">SUM(F142:F152)-10</f>
        <v>1</v>
      </c>
      <c r="G154" s="295">
        <f t="shared" si="13"/>
        <v>1.1999999999999993</v>
      </c>
      <c r="H154" s="295">
        <f t="shared" si="13"/>
        <v>1</v>
      </c>
      <c r="I154" s="295">
        <f t="shared" si="13"/>
        <v>1</v>
      </c>
      <c r="J154" s="314"/>
      <c r="K154" s="698" t="s">
        <v>1232</v>
      </c>
      <c r="L154" s="699"/>
      <c r="M154" s="699"/>
      <c r="N154" s="699"/>
      <c r="O154" s="699"/>
      <c r="P154" s="699"/>
      <c r="Q154" s="699"/>
      <c r="R154" s="700"/>
    </row>
    <row r="155" spans="2:21" s="310" customFormat="1" ht="24.75" customHeight="1" x14ac:dyDescent="0.2">
      <c r="B155" s="295">
        <v>17</v>
      </c>
      <c r="C155" s="295">
        <f>C153*C154</f>
        <v>0.6</v>
      </c>
      <c r="D155" s="295">
        <f>D153*D154</f>
        <v>0.6</v>
      </c>
      <c r="E155" s="295">
        <f>E153*E154</f>
        <v>0.6</v>
      </c>
      <c r="F155" s="295">
        <f t="shared" ref="F155:I155" si="14">F153*F154</f>
        <v>0.6</v>
      </c>
      <c r="G155" s="295">
        <f t="shared" si="14"/>
        <v>0.71999999999999953</v>
      </c>
      <c r="H155" s="295">
        <f t="shared" si="14"/>
        <v>0.6</v>
      </c>
      <c r="I155" s="295">
        <f t="shared" si="14"/>
        <v>0.6</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9"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9"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9"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9" ht="25.5" customHeight="1" x14ac:dyDescent="0.25">
      <c r="B164" s="295">
        <v>1</v>
      </c>
      <c r="C164" s="295">
        <f>M67</f>
        <v>0</v>
      </c>
      <c r="D164" s="295">
        <f t="shared" ref="D164:I164" ca="1" si="15">M135</f>
        <v>15</v>
      </c>
      <c r="E164" s="295">
        <f t="shared" si="15"/>
        <v>0</v>
      </c>
      <c r="F164" s="295">
        <f t="shared" si="15"/>
        <v>0</v>
      </c>
      <c r="G164" s="295">
        <f t="shared" ca="1" si="15"/>
        <v>15</v>
      </c>
      <c r="H164" s="295">
        <f t="shared" si="15"/>
        <v>0</v>
      </c>
      <c r="I164" s="295">
        <f t="shared" si="15"/>
        <v>0</v>
      </c>
      <c r="J164" s="698" t="s">
        <v>1247</v>
      </c>
      <c r="K164" s="699"/>
      <c r="L164" s="699"/>
      <c r="M164" s="699"/>
      <c r="N164" s="699"/>
      <c r="O164" s="699"/>
      <c r="P164" s="699"/>
      <c r="Q164" s="699"/>
      <c r="R164" s="700"/>
    </row>
    <row r="165" spans="2:29"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9"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9" ht="25.5" customHeight="1" x14ac:dyDescent="0.25">
      <c r="B167" s="295">
        <v>4</v>
      </c>
      <c r="C167" s="316">
        <f>C164*C165*C166</f>
        <v>0</v>
      </c>
      <c r="D167" s="316">
        <f ca="1">D164*D165*D166</f>
        <v>235.95000000000002</v>
      </c>
      <c r="E167" s="316">
        <f>E164*E165*E166</f>
        <v>0</v>
      </c>
      <c r="F167" s="316">
        <f t="shared" ref="F167:I167" si="16">F164*F165*F166</f>
        <v>0</v>
      </c>
      <c r="G167" s="316">
        <f t="shared" ca="1" si="16"/>
        <v>506.55000000000007</v>
      </c>
      <c r="H167" s="316">
        <f t="shared" si="16"/>
        <v>0</v>
      </c>
      <c r="I167" s="316">
        <f t="shared" si="16"/>
        <v>0</v>
      </c>
      <c r="J167" s="698" t="s">
        <v>1250</v>
      </c>
      <c r="K167" s="699"/>
      <c r="L167" s="699"/>
      <c r="M167" s="699"/>
      <c r="N167" s="699"/>
      <c r="O167" s="699"/>
      <c r="P167" s="699"/>
      <c r="Q167" s="699"/>
      <c r="R167" s="700"/>
    </row>
    <row r="168" spans="2:29" ht="25.5" customHeight="1" x14ac:dyDescent="0.25">
      <c r="B168" s="295">
        <v>5</v>
      </c>
      <c r="C168" s="316">
        <f t="shared" ref="C168:I168" si="17">C167*C155</f>
        <v>0</v>
      </c>
      <c r="D168" s="316">
        <f t="shared" ca="1" si="17"/>
        <v>141.57</v>
      </c>
      <c r="E168" s="316">
        <f t="shared" si="17"/>
        <v>0</v>
      </c>
      <c r="F168" s="316">
        <f t="shared" si="17"/>
        <v>0</v>
      </c>
      <c r="G168" s="316">
        <f t="shared" ca="1" si="17"/>
        <v>364.71599999999984</v>
      </c>
      <c r="H168" s="316">
        <f t="shared" si="17"/>
        <v>0</v>
      </c>
      <c r="I168" s="316">
        <f t="shared" si="17"/>
        <v>0</v>
      </c>
      <c r="J168" s="698" t="s">
        <v>1251</v>
      </c>
      <c r="K168" s="699"/>
      <c r="L168" s="699"/>
      <c r="M168" s="699"/>
      <c r="N168" s="699"/>
      <c r="O168" s="699"/>
      <c r="P168" s="699"/>
      <c r="Q168" s="699"/>
      <c r="R168" s="700"/>
    </row>
    <row r="169" spans="2:29" ht="25.5" customHeight="1" x14ac:dyDescent="0.25">
      <c r="B169" s="295">
        <v>6</v>
      </c>
      <c r="C169" s="316">
        <f t="shared" ref="C169:I169" si="18">C168*C156*C157*C158</f>
        <v>0</v>
      </c>
      <c r="D169" s="316">
        <f t="shared" ca="1" si="18"/>
        <v>715.49477999999988</v>
      </c>
      <c r="E169" s="316">
        <f t="shared" si="18"/>
        <v>0</v>
      </c>
      <c r="F169" s="316">
        <f t="shared" si="18"/>
        <v>0</v>
      </c>
      <c r="G169" s="316">
        <f t="shared" ca="1" si="18"/>
        <v>1843.2746639999991</v>
      </c>
      <c r="H169" s="316">
        <f t="shared" si="18"/>
        <v>0</v>
      </c>
      <c r="I169" s="316">
        <f t="shared" si="18"/>
        <v>0</v>
      </c>
      <c r="J169" s="698" t="s">
        <v>1252</v>
      </c>
      <c r="K169" s="699"/>
      <c r="L169" s="699"/>
      <c r="M169" s="699"/>
      <c r="N169" s="699"/>
      <c r="O169" s="699"/>
      <c r="P169" s="699"/>
      <c r="Q169" s="699"/>
      <c r="R169" s="700"/>
    </row>
    <row r="170" spans="2:29" ht="25.5" customHeight="1" x14ac:dyDescent="0.25">
      <c r="B170" s="295">
        <v>7</v>
      </c>
      <c r="C170" s="317"/>
      <c r="D170" s="317">
        <f t="shared" ref="D170:I170" ca="1" si="19">D169*D160</f>
        <v>214.64843399999995</v>
      </c>
      <c r="E170" s="317">
        <f t="shared" si="19"/>
        <v>0</v>
      </c>
      <c r="F170" s="317">
        <f t="shared" si="19"/>
        <v>0</v>
      </c>
      <c r="G170" s="317">
        <f t="shared" ca="1" si="19"/>
        <v>1105.9647983999994</v>
      </c>
      <c r="H170" s="317">
        <f t="shared" si="19"/>
        <v>0</v>
      </c>
      <c r="I170" s="317">
        <f t="shared" si="19"/>
        <v>0</v>
      </c>
      <c r="J170" s="698" t="s">
        <v>1253</v>
      </c>
      <c r="K170" s="699"/>
      <c r="L170" s="699"/>
      <c r="M170" s="699"/>
      <c r="N170" s="699"/>
      <c r="O170" s="699"/>
      <c r="P170" s="699"/>
      <c r="Q170" s="699"/>
      <c r="R170" s="700"/>
    </row>
    <row r="171" spans="2:29" ht="46.5" customHeight="1" x14ac:dyDescent="0.25">
      <c r="B171" s="295">
        <v>8</v>
      </c>
      <c r="C171" s="295"/>
      <c r="D171" s="701">
        <f ca="1">SUM(D170:I170)*1000</f>
        <v>1320613.2323999994</v>
      </c>
      <c r="E171" s="701"/>
      <c r="F171" s="701"/>
      <c r="G171" s="701"/>
      <c r="H171" s="701"/>
      <c r="I171" s="701"/>
      <c r="J171" s="698" t="s">
        <v>1254</v>
      </c>
      <c r="K171" s="699"/>
      <c r="L171" s="699"/>
      <c r="M171" s="699"/>
      <c r="N171" s="699"/>
      <c r="O171" s="699"/>
      <c r="P171" s="699"/>
      <c r="Q171" s="699"/>
      <c r="R171" s="700"/>
    </row>
    <row r="172" spans="2:29" ht="41.25" customHeight="1" x14ac:dyDescent="0.25">
      <c r="B172" s="295">
        <v>9</v>
      </c>
      <c r="C172" s="295"/>
      <c r="D172" s="702">
        <f ca="1">ROUND(D171*0.8,0)</f>
        <v>1056491</v>
      </c>
      <c r="E172" s="703"/>
      <c r="F172" s="703"/>
      <c r="G172" s="703"/>
      <c r="H172" s="703"/>
      <c r="I172" s="704"/>
      <c r="J172" s="698" t="s">
        <v>1255</v>
      </c>
      <c r="K172" s="699"/>
      <c r="L172" s="699"/>
      <c r="M172" s="699"/>
      <c r="N172" s="699"/>
      <c r="O172" s="699"/>
      <c r="P172" s="699"/>
      <c r="Q172" s="699"/>
      <c r="R172" s="700"/>
    </row>
    <row r="173" spans="2:29" ht="28.5" customHeight="1" x14ac:dyDescent="0.25">
      <c r="B173" s="295">
        <v>11</v>
      </c>
      <c r="C173" s="295"/>
      <c r="D173" s="697">
        <f ca="1">D172</f>
        <v>1056491</v>
      </c>
      <c r="E173" s="697"/>
      <c r="F173" s="697"/>
      <c r="G173" s="697"/>
      <c r="H173" s="697"/>
      <c r="I173" s="697"/>
      <c r="J173" s="698" t="s">
        <v>1256</v>
      </c>
      <c r="K173" s="699"/>
      <c r="L173" s="699"/>
      <c r="M173" s="699"/>
      <c r="N173" s="699"/>
      <c r="O173" s="699"/>
      <c r="P173" s="699"/>
      <c r="Q173" s="699"/>
      <c r="R173" s="700"/>
      <c r="Y173" s="318">
        <f ca="1">D173</f>
        <v>1056491</v>
      </c>
      <c r="AC173" s="324"/>
    </row>
    <row r="174" spans="2:29" ht="14.25" x14ac:dyDescent="0.2">
      <c r="B174" s="289"/>
      <c r="C174" s="289"/>
      <c r="D174" s="319"/>
      <c r="E174" s="320"/>
      <c r="F174" s="320"/>
      <c r="G174" s="320"/>
      <c r="H174" s="320"/>
      <c r="I174" s="320"/>
      <c r="J174" s="321"/>
      <c r="K174" s="320"/>
      <c r="L174" s="322"/>
      <c r="M174" s="320"/>
      <c r="N174" s="320"/>
      <c r="O174" s="320"/>
      <c r="P174" s="320"/>
      <c r="Q174" s="320"/>
      <c r="R174" s="320"/>
    </row>
    <row r="175" spans="2:29" ht="14.25" x14ac:dyDescent="0.2">
      <c r="D175" s="319"/>
      <c r="J175" s="321"/>
      <c r="L175" s="323"/>
    </row>
  </sheetData>
  <mergeCells count="222">
    <mergeCell ref="O2:R2"/>
    <mergeCell ref="B4:R4"/>
    <mergeCell ref="B5:R5"/>
    <mergeCell ref="G6:R7"/>
    <mergeCell ref="G11:L11"/>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52:L52">
      <formula1>$H$53:$H$66</formula1>
    </dataValidation>
    <dataValidation type="list" allowBlank="1" showInputMessage="1" showErrorMessage="1" sqref="H43:L43">
      <formula1>$H$44:$H$51</formula1>
    </dataValidation>
    <dataValidation type="list" allowBlank="1" showInputMessage="1" showErrorMessage="1" sqref="H36:L36">
      <formula1>$H$37:$H$42</formula1>
    </dataValidation>
    <dataValidation type="list" allowBlank="1" showInputMessage="1" showErrorMessage="1" sqref="H31:L31">
      <formula1>$H$32:$H$35</formula1>
    </dataValidation>
    <dataValidation type="list" allowBlank="1" showInputMessage="1" showErrorMessage="1" sqref="D24:I24">
      <formula1>$D$25:$D$26</formula1>
    </dataValidation>
    <dataValidation type="list" allowBlank="1" showInputMessage="1" showErrorMessage="1" sqref="H19">
      <formula1>$H$20:$H$21</formula1>
    </dataValidation>
    <dataValidation type="list" allowBlank="1" showInputMessage="1" showErrorMessage="1" sqref="B16:C16">
      <formula1>$B$17:$B$18</formula1>
    </dataValidation>
    <dataValidation type="list" allowBlank="1" showInputMessage="1" showErrorMessage="1" sqref="R139:R152">
      <formula1>$W$140:$W$141</formula1>
    </dataValidation>
    <dataValidation type="list" allowBlank="1" showInputMessage="1" showErrorMessage="1" sqref="H120:L120">
      <formula1>$H$121:$H$134</formula1>
    </dataValidation>
    <dataValidation type="list" allowBlank="1" showInputMessage="1" showErrorMessage="1" sqref="H105:L105">
      <formula1>$H$106:$H$119</formula1>
    </dataValidation>
    <dataValidation type="list" allowBlank="1" showInputMessage="1" showErrorMessage="1" sqref="H99:L99">
      <formula1>$H$100:$H$104</formula1>
    </dataValidation>
    <dataValidation type="list" allowBlank="1" showInputMessage="1" showErrorMessage="1" sqref="H91:L91">
      <formula1>$H$92:$H$98</formula1>
    </dataValidation>
    <dataValidation type="list" allowBlank="1" showInputMessage="1" showErrorMessage="1" sqref="H86:L86">
      <formula1>$H$87:$H$90</formula1>
    </dataValidation>
    <dataValidation type="list" allowBlank="1" showInputMessage="1" showErrorMessage="1" sqref="H78:L78">
      <formula1>$H$79:$H$85</formula1>
    </dataValidation>
    <dataValidation type="list" allowBlank="1" showInputMessage="1" showErrorMessage="1" sqref="H71:L71">
      <formula1>$H$72:$H$77</formula1>
    </dataValidation>
  </dataValidations>
  <pageMargins left="0.7" right="0.7" top="0.75" bottom="0.75" header="0.3" footer="0.3"/>
  <pageSetup paperSize="9" scale="53"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6"/>
    <pageSetUpPr fitToPage="1"/>
  </sheetPr>
  <dimension ref="A1:AB175"/>
  <sheetViews>
    <sheetView view="pageBreakPreview" topLeftCell="B149" zoomScale="70" zoomScaleSheetLayoutView="70" workbookViewId="0">
      <selection activeCell="D158" sqref="D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9.140625" style="286"/>
    <col min="25" max="25" width="12.42578125" style="286" bestFit="1" customWidth="1"/>
    <col min="26" max="27" width="9.140625" style="286"/>
    <col min="28" max="28" width="13.5703125" style="286" customWidth="1"/>
    <col min="29"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1285</v>
      </c>
      <c r="C4" s="731"/>
      <c r="D4" s="731"/>
      <c r="E4" s="731"/>
      <c r="F4" s="731"/>
      <c r="G4" s="731"/>
      <c r="H4" s="731"/>
      <c r="I4" s="731"/>
      <c r="J4" s="731"/>
      <c r="K4" s="731"/>
      <c r="L4" s="731"/>
      <c r="M4" s="731"/>
      <c r="N4" s="731"/>
      <c r="O4" s="731"/>
      <c r="P4" s="731"/>
      <c r="Q4" s="731"/>
      <c r="R4" s="731"/>
    </row>
    <row r="5" spans="2:20" x14ac:dyDescent="0.25">
      <c r="B5" s="731" t="s">
        <v>1286</v>
      </c>
      <c r="C5" s="731"/>
      <c r="D5" s="731"/>
      <c r="E5" s="731"/>
      <c r="F5" s="731"/>
      <c r="G5" s="731"/>
      <c r="H5" s="731"/>
      <c r="I5" s="731"/>
      <c r="J5" s="731"/>
      <c r="K5" s="731"/>
      <c r="L5" s="731"/>
      <c r="M5" s="731"/>
      <c r="N5" s="731"/>
      <c r="O5" s="731"/>
      <c r="P5" s="731"/>
      <c r="Q5" s="731"/>
      <c r="R5" s="731"/>
    </row>
    <row r="6" spans="2:20" ht="13.5" customHeight="1" x14ac:dyDescent="0.25">
      <c r="B6" s="286" t="s">
        <v>1036</v>
      </c>
      <c r="G6" s="732" t="s">
        <v>1277</v>
      </c>
      <c r="H6" s="733"/>
      <c r="I6" s="733"/>
      <c r="J6" s="733"/>
      <c r="K6" s="733"/>
      <c r="L6" s="733"/>
      <c r="M6" s="733"/>
      <c r="N6" s="733"/>
      <c r="O6" s="733"/>
      <c r="P6" s="733"/>
      <c r="Q6" s="733"/>
      <c r="R6" s="733"/>
    </row>
    <row r="7" spans="2:20"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'3.5.4 АСУТП этап27'!G11</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1071</v>
      </c>
      <c r="I71" s="699"/>
      <c r="J71" s="699"/>
      <c r="K71" s="699"/>
      <c r="L71" s="700"/>
      <c r="M71" s="295">
        <f t="shared" ref="M71:R71" ca="1" si="0">IF(D24="Да",SUMIF($H72:$L77,$H71,M72:M77),0)</f>
        <v>1</v>
      </c>
      <c r="N71" s="295">
        <f t="shared" si="0"/>
        <v>0</v>
      </c>
      <c r="O71" s="295">
        <f t="shared" si="0"/>
        <v>0</v>
      </c>
      <c r="P71" s="295">
        <f t="shared" ca="1" si="0"/>
        <v>1</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1082</v>
      </c>
      <c r="I78" s="699"/>
      <c r="J78" s="699"/>
      <c r="K78" s="699"/>
      <c r="L78" s="700"/>
      <c r="M78" s="295">
        <f t="shared" ref="M78:R78" ca="1" si="1">IF(D24="Да",SUMIF($H79:$L85,$H78,M79:M85),0)</f>
        <v>1</v>
      </c>
      <c r="N78" s="295">
        <f t="shared" si="1"/>
        <v>0</v>
      </c>
      <c r="O78" s="295">
        <f t="shared" si="1"/>
        <v>0</v>
      </c>
      <c r="P78" s="295">
        <f t="shared" ca="1" si="1"/>
        <v>1</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1131</v>
      </c>
      <c r="I86" s="699"/>
      <c r="J86" s="699"/>
      <c r="K86" s="699"/>
      <c r="L86" s="700"/>
      <c r="M86" s="295">
        <f t="shared" ref="M86:R86" ca="1" si="2">IF(D24="Да",SUMIF($H87:$L90,$H86,M87:M90),0)</f>
        <v>1</v>
      </c>
      <c r="N86" s="295">
        <f t="shared" si="2"/>
        <v>0</v>
      </c>
      <c r="O86" s="295">
        <f t="shared" si="2"/>
        <v>0</v>
      </c>
      <c r="P86" s="295">
        <f t="shared" ca="1" si="2"/>
        <v>1</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1137</v>
      </c>
      <c r="I91" s="699"/>
      <c r="J91" s="699"/>
      <c r="K91" s="699"/>
      <c r="L91" s="700"/>
      <c r="M91" s="295">
        <f t="shared" ref="M91:R91" ca="1" si="3">IF(D24="Да",SUMIF($H92:$L98,$H91,M92:M98),0)</f>
        <v>1</v>
      </c>
      <c r="N91" s="295">
        <f t="shared" si="3"/>
        <v>0</v>
      </c>
      <c r="O91" s="295">
        <f t="shared" si="3"/>
        <v>0</v>
      </c>
      <c r="P91" s="295">
        <f t="shared" ca="1" si="3"/>
        <v>1</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1157</v>
      </c>
      <c r="I99" s="699"/>
      <c r="J99" s="699"/>
      <c r="K99" s="699"/>
      <c r="L99" s="700"/>
      <c r="M99" s="295">
        <f t="shared" ref="M99:R99" ca="1" si="4">IF(D24="Да",SUMIF($H100:$L104,$H99,M100:M104),0)</f>
        <v>2</v>
      </c>
      <c r="N99" s="295">
        <f t="shared" si="4"/>
        <v>0</v>
      </c>
      <c r="O99" s="295">
        <f t="shared" si="4"/>
        <v>0</v>
      </c>
      <c r="P99" s="295">
        <f t="shared" ca="1" si="4"/>
        <v>2</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1093</v>
      </c>
      <c r="I105" s="699"/>
      <c r="J105" s="699"/>
      <c r="K105" s="699"/>
      <c r="L105" s="700"/>
      <c r="M105" s="295">
        <f t="shared" ref="M105:R105" ca="1" si="5">IF(D24="Да",SUMIF($H106:$L119,$H105,M106:M119),0)</f>
        <v>1</v>
      </c>
      <c r="N105" s="295">
        <f t="shared" si="5"/>
        <v>0</v>
      </c>
      <c r="O105" s="295">
        <f t="shared" si="5"/>
        <v>0</v>
      </c>
      <c r="P105" s="295">
        <f t="shared" ca="1" si="5"/>
        <v>1</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1082</v>
      </c>
      <c r="I120" s="699"/>
      <c r="J120" s="699"/>
      <c r="K120" s="699"/>
      <c r="L120" s="700"/>
      <c r="M120" s="295">
        <f t="shared" ref="M120:R120" ca="1" si="6">IF(D24="Да",SUMIF($H121:$L134,$H120,M121:M134),0)</f>
        <v>1</v>
      </c>
      <c r="N120" s="295">
        <f t="shared" si="6"/>
        <v>0</v>
      </c>
      <c r="O120" s="295">
        <f t="shared" si="6"/>
        <v>0</v>
      </c>
      <c r="P120" s="295">
        <f t="shared" ca="1" si="6"/>
        <v>1</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8</v>
      </c>
      <c r="N135" s="295">
        <f t="shared" ref="N135:R135" si="7">N71+N78+N86+N91+N99+N105+N120</f>
        <v>0</v>
      </c>
      <c r="O135" s="295">
        <f>O71+O78+O86+O91+O99+O105+O120</f>
        <v>0</v>
      </c>
      <c r="P135" s="295">
        <f t="shared" ca="1" si="7"/>
        <v>8</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v>
      </c>
      <c r="D149" s="295">
        <f t="shared" si="10"/>
        <v>1</v>
      </c>
      <c r="E149" s="295">
        <f t="shared" si="10"/>
        <v>1</v>
      </c>
      <c r="F149" s="295">
        <f t="shared" si="10"/>
        <v>1</v>
      </c>
      <c r="G149" s="295">
        <f t="shared" si="10"/>
        <v>1</v>
      </c>
      <c r="H149" s="295">
        <f t="shared" si="10"/>
        <v>1</v>
      </c>
      <c r="I149" s="295">
        <f t="shared" si="10"/>
        <v>1</v>
      </c>
      <c r="J149" s="295" t="s">
        <v>1223</v>
      </c>
      <c r="K149" s="311" t="s">
        <v>1209</v>
      </c>
      <c r="L149" s="716" t="s">
        <v>1224</v>
      </c>
      <c r="M149" s="716"/>
      <c r="N149" s="716"/>
      <c r="O149" s="716"/>
      <c r="P149" s="716"/>
      <c r="Q149" s="312" t="str">
        <f t="shared" si="11"/>
        <v>-</v>
      </c>
      <c r="R149" s="312" t="s">
        <v>1046</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v>
      </c>
      <c r="D154" s="295">
        <f>SUM(D142:D152)-10</f>
        <v>1</v>
      </c>
      <c r="E154" s="295">
        <f>SUM(E142:E152)-10</f>
        <v>1</v>
      </c>
      <c r="F154" s="295">
        <f t="shared" ref="F154:I154" si="13">SUM(F142:F152)-10</f>
        <v>1</v>
      </c>
      <c r="G154" s="295">
        <f t="shared" si="13"/>
        <v>1.1999999999999993</v>
      </c>
      <c r="H154" s="295">
        <f t="shared" si="13"/>
        <v>1</v>
      </c>
      <c r="I154" s="295">
        <f t="shared" si="13"/>
        <v>1</v>
      </c>
      <c r="J154" s="314"/>
      <c r="K154" s="698" t="s">
        <v>1232</v>
      </c>
      <c r="L154" s="699"/>
      <c r="M154" s="699"/>
      <c r="N154" s="699"/>
      <c r="O154" s="699"/>
      <c r="P154" s="699"/>
      <c r="Q154" s="699"/>
      <c r="R154" s="700"/>
    </row>
    <row r="155" spans="2:21" s="310" customFormat="1" ht="24.75" customHeight="1" x14ac:dyDescent="0.2">
      <c r="B155" s="295">
        <v>17</v>
      </c>
      <c r="C155" s="295">
        <f>C153*C154</f>
        <v>0.6</v>
      </c>
      <c r="D155" s="295">
        <f>D153*D154</f>
        <v>0.6</v>
      </c>
      <c r="E155" s="295">
        <f>E153*E154</f>
        <v>0.6</v>
      </c>
      <c r="F155" s="295">
        <f t="shared" ref="F155:I155" si="14">F153*F154</f>
        <v>0.6</v>
      </c>
      <c r="G155" s="295">
        <f t="shared" si="14"/>
        <v>0.71999999999999953</v>
      </c>
      <c r="H155" s="295">
        <f t="shared" si="14"/>
        <v>0.6</v>
      </c>
      <c r="I155" s="295">
        <f t="shared" si="14"/>
        <v>0.6</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8"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8"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8"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8" ht="25.5" customHeight="1" x14ac:dyDescent="0.25">
      <c r="B164" s="295">
        <v>1</v>
      </c>
      <c r="C164" s="295">
        <f>M67</f>
        <v>0</v>
      </c>
      <c r="D164" s="295">
        <f t="shared" ref="D164:I164" ca="1" si="15">M135</f>
        <v>8</v>
      </c>
      <c r="E164" s="295">
        <f t="shared" si="15"/>
        <v>0</v>
      </c>
      <c r="F164" s="295">
        <f t="shared" si="15"/>
        <v>0</v>
      </c>
      <c r="G164" s="295">
        <f t="shared" ca="1" si="15"/>
        <v>8</v>
      </c>
      <c r="H164" s="295">
        <f t="shared" si="15"/>
        <v>0</v>
      </c>
      <c r="I164" s="295">
        <f t="shared" si="15"/>
        <v>0</v>
      </c>
      <c r="J164" s="698" t="s">
        <v>1247</v>
      </c>
      <c r="K164" s="699"/>
      <c r="L164" s="699"/>
      <c r="M164" s="699"/>
      <c r="N164" s="699"/>
      <c r="O164" s="699"/>
      <c r="P164" s="699"/>
      <c r="Q164" s="699"/>
      <c r="R164" s="700"/>
    </row>
    <row r="165" spans="2:28"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8"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8" ht="25.5" customHeight="1" x14ac:dyDescent="0.25">
      <c r="B167" s="295">
        <v>4</v>
      </c>
      <c r="C167" s="316">
        <f>C164*C165*C166</f>
        <v>0</v>
      </c>
      <c r="D167" s="316">
        <f ca="1">D164*D165*D166</f>
        <v>125.84</v>
      </c>
      <c r="E167" s="316">
        <f>E164*E165*E166</f>
        <v>0</v>
      </c>
      <c r="F167" s="316">
        <f t="shared" ref="F167:I167" si="16">F164*F165*F166</f>
        <v>0</v>
      </c>
      <c r="G167" s="316">
        <f t="shared" ca="1" si="16"/>
        <v>270.16000000000003</v>
      </c>
      <c r="H167" s="316">
        <f t="shared" si="16"/>
        <v>0</v>
      </c>
      <c r="I167" s="316">
        <f t="shared" si="16"/>
        <v>0</v>
      </c>
      <c r="J167" s="698" t="s">
        <v>1250</v>
      </c>
      <c r="K167" s="699"/>
      <c r="L167" s="699"/>
      <c r="M167" s="699"/>
      <c r="N167" s="699"/>
      <c r="O167" s="699"/>
      <c r="P167" s="699"/>
      <c r="Q167" s="699"/>
      <c r="R167" s="700"/>
    </row>
    <row r="168" spans="2:28" ht="25.5" customHeight="1" x14ac:dyDescent="0.25">
      <c r="B168" s="295">
        <v>5</v>
      </c>
      <c r="C168" s="316">
        <f t="shared" ref="C168:I168" si="17">C167*C155</f>
        <v>0</v>
      </c>
      <c r="D168" s="316">
        <f t="shared" ca="1" si="17"/>
        <v>75.504000000000005</v>
      </c>
      <c r="E168" s="316">
        <f t="shared" si="17"/>
        <v>0</v>
      </c>
      <c r="F168" s="316">
        <f t="shared" si="17"/>
        <v>0</v>
      </c>
      <c r="G168" s="316">
        <f t="shared" ca="1" si="17"/>
        <v>194.51519999999988</v>
      </c>
      <c r="H168" s="316">
        <f t="shared" si="17"/>
        <v>0</v>
      </c>
      <c r="I168" s="316">
        <f t="shared" si="17"/>
        <v>0</v>
      </c>
      <c r="J168" s="698" t="s">
        <v>1251</v>
      </c>
      <c r="K168" s="699"/>
      <c r="L168" s="699"/>
      <c r="M168" s="699"/>
      <c r="N168" s="699"/>
      <c r="O168" s="699"/>
      <c r="P168" s="699"/>
      <c r="Q168" s="699"/>
      <c r="R168" s="700"/>
    </row>
    <row r="169" spans="2:28" ht="25.5" customHeight="1" x14ac:dyDescent="0.25">
      <c r="B169" s="295">
        <v>6</v>
      </c>
      <c r="C169" s="316">
        <f t="shared" ref="C169:I169" si="18">C168*C156*C157*C158</f>
        <v>0</v>
      </c>
      <c r="D169" s="316">
        <f t="shared" ca="1" si="18"/>
        <v>381.59721599999995</v>
      </c>
      <c r="E169" s="316">
        <f t="shared" si="18"/>
        <v>0</v>
      </c>
      <c r="F169" s="316">
        <f t="shared" si="18"/>
        <v>0</v>
      </c>
      <c r="G169" s="316">
        <f t="shared" ca="1" si="18"/>
        <v>983.07982079999931</v>
      </c>
      <c r="H169" s="316">
        <f t="shared" si="18"/>
        <v>0</v>
      </c>
      <c r="I169" s="316">
        <f t="shared" si="18"/>
        <v>0</v>
      </c>
      <c r="J169" s="698" t="s">
        <v>1252</v>
      </c>
      <c r="K169" s="699"/>
      <c r="L169" s="699"/>
      <c r="M169" s="699"/>
      <c r="N169" s="699"/>
      <c r="O169" s="699"/>
      <c r="P169" s="699"/>
      <c r="Q169" s="699"/>
      <c r="R169" s="700"/>
    </row>
    <row r="170" spans="2:28" ht="25.5" customHeight="1" x14ac:dyDescent="0.25">
      <c r="B170" s="295">
        <v>7</v>
      </c>
      <c r="C170" s="317"/>
      <c r="D170" s="317">
        <f t="shared" ref="D170:I170" ca="1" si="19">D169*D160</f>
        <v>114.47916479999998</v>
      </c>
      <c r="E170" s="317">
        <f t="shared" si="19"/>
        <v>0</v>
      </c>
      <c r="F170" s="317">
        <f t="shared" si="19"/>
        <v>0</v>
      </c>
      <c r="G170" s="317">
        <f t="shared" ca="1" si="19"/>
        <v>589.84789247999959</v>
      </c>
      <c r="H170" s="317">
        <f t="shared" si="19"/>
        <v>0</v>
      </c>
      <c r="I170" s="317">
        <f t="shared" si="19"/>
        <v>0</v>
      </c>
      <c r="J170" s="698" t="s">
        <v>1253</v>
      </c>
      <c r="K170" s="699"/>
      <c r="L170" s="699"/>
      <c r="M170" s="699"/>
      <c r="N170" s="699"/>
      <c r="O170" s="699"/>
      <c r="P170" s="699"/>
      <c r="Q170" s="699"/>
      <c r="R170" s="700"/>
    </row>
    <row r="171" spans="2:28" ht="46.5" customHeight="1" x14ac:dyDescent="0.25">
      <c r="B171" s="295">
        <v>8</v>
      </c>
      <c r="C171" s="295"/>
      <c r="D171" s="701">
        <f ca="1">SUM(D170:I170)*1000</f>
        <v>704327.05727999948</v>
      </c>
      <c r="E171" s="701"/>
      <c r="F171" s="701"/>
      <c r="G171" s="701"/>
      <c r="H171" s="701"/>
      <c r="I171" s="701"/>
      <c r="J171" s="698" t="s">
        <v>1254</v>
      </c>
      <c r="K171" s="699"/>
      <c r="L171" s="699"/>
      <c r="M171" s="699"/>
      <c r="N171" s="699"/>
      <c r="O171" s="699"/>
      <c r="P171" s="699"/>
      <c r="Q171" s="699"/>
      <c r="R171" s="700"/>
    </row>
    <row r="172" spans="2:28" ht="41.25" customHeight="1" x14ac:dyDescent="0.25">
      <c r="B172" s="295">
        <v>9</v>
      </c>
      <c r="C172" s="295"/>
      <c r="D172" s="702">
        <f ca="1">ROUND(D171*0.8,0)</f>
        <v>563462</v>
      </c>
      <c r="E172" s="703"/>
      <c r="F172" s="703"/>
      <c r="G172" s="703"/>
      <c r="H172" s="703"/>
      <c r="I172" s="704"/>
      <c r="J172" s="698" t="s">
        <v>1255</v>
      </c>
      <c r="K172" s="699"/>
      <c r="L172" s="699"/>
      <c r="M172" s="699"/>
      <c r="N172" s="699"/>
      <c r="O172" s="699"/>
      <c r="P172" s="699"/>
      <c r="Q172" s="699"/>
      <c r="R172" s="700"/>
    </row>
    <row r="173" spans="2:28" ht="28.5" customHeight="1" x14ac:dyDescent="0.25">
      <c r="B173" s="295">
        <v>11</v>
      </c>
      <c r="C173" s="295"/>
      <c r="D173" s="697">
        <f ca="1">D172</f>
        <v>563462</v>
      </c>
      <c r="E173" s="697"/>
      <c r="F173" s="697"/>
      <c r="G173" s="697"/>
      <c r="H173" s="697"/>
      <c r="I173" s="697"/>
      <c r="J173" s="698" t="s">
        <v>1256</v>
      </c>
      <c r="K173" s="699"/>
      <c r="L173" s="699"/>
      <c r="M173" s="699"/>
      <c r="N173" s="699"/>
      <c r="O173" s="699"/>
      <c r="P173" s="699"/>
      <c r="Q173" s="699"/>
      <c r="R173" s="700"/>
      <c r="Y173" s="318">
        <f ca="1">D173</f>
        <v>563462</v>
      </c>
      <c r="AB173" s="324"/>
    </row>
    <row r="174" spans="2:28" ht="14.25" x14ac:dyDescent="0.2">
      <c r="B174" s="289"/>
      <c r="C174" s="289"/>
      <c r="D174" s="319"/>
      <c r="E174" s="320"/>
      <c r="F174" s="320"/>
      <c r="G174" s="320"/>
      <c r="H174" s="320"/>
      <c r="I174" s="320"/>
      <c r="J174" s="321"/>
      <c r="K174" s="320"/>
      <c r="L174" s="322"/>
      <c r="M174" s="320"/>
      <c r="N174" s="320"/>
      <c r="O174" s="320"/>
      <c r="P174" s="320"/>
      <c r="Q174" s="320"/>
      <c r="R174" s="320"/>
    </row>
    <row r="175" spans="2:28"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6"/>
    <pageSetUpPr fitToPage="1"/>
  </sheetPr>
  <dimension ref="A1:AB175"/>
  <sheetViews>
    <sheetView view="pageBreakPreview" topLeftCell="B155" zoomScale="70" zoomScaleSheetLayoutView="70" workbookViewId="0">
      <selection activeCell="D158" sqref="D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9.140625" style="286"/>
    <col min="25" max="25" width="12.42578125" style="286" bestFit="1" customWidth="1"/>
    <col min="26" max="27" width="9.140625" style="286"/>
    <col min="28" max="28" width="10.28515625" style="286" bestFit="1" customWidth="1"/>
    <col min="29"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1287</v>
      </c>
      <c r="C4" s="731"/>
      <c r="D4" s="731"/>
      <c r="E4" s="731"/>
      <c r="F4" s="731"/>
      <c r="G4" s="731"/>
      <c r="H4" s="731"/>
      <c r="I4" s="731"/>
      <c r="J4" s="731"/>
      <c r="K4" s="731"/>
      <c r="L4" s="731"/>
      <c r="M4" s="731"/>
      <c r="N4" s="731"/>
      <c r="O4" s="731"/>
      <c r="P4" s="731"/>
      <c r="Q4" s="731"/>
      <c r="R4" s="731"/>
    </row>
    <row r="5" spans="2:20" x14ac:dyDescent="0.25">
      <c r="B5" s="731" t="s">
        <v>1288</v>
      </c>
      <c r="C5" s="731"/>
      <c r="D5" s="731"/>
      <c r="E5" s="731"/>
      <c r="F5" s="731"/>
      <c r="G5" s="731"/>
      <c r="H5" s="731"/>
      <c r="I5" s="731"/>
      <c r="J5" s="731"/>
      <c r="K5" s="731"/>
      <c r="L5" s="731"/>
      <c r="M5" s="731"/>
      <c r="N5" s="731"/>
      <c r="O5" s="731"/>
      <c r="P5" s="731"/>
      <c r="Q5" s="731"/>
      <c r="R5" s="731"/>
    </row>
    <row r="6" spans="2:20" ht="13.5" customHeight="1" x14ac:dyDescent="0.25">
      <c r="B6" s="286" t="s">
        <v>1036</v>
      </c>
      <c r="G6" s="732" t="s">
        <v>1277</v>
      </c>
      <c r="H6" s="733"/>
      <c r="I6" s="733"/>
      <c r="J6" s="733"/>
      <c r="K6" s="733"/>
      <c r="L6" s="733"/>
      <c r="M6" s="733"/>
      <c r="N6" s="733"/>
      <c r="O6" s="733"/>
      <c r="P6" s="733"/>
      <c r="Q6" s="733"/>
      <c r="R6" s="733"/>
    </row>
    <row r="7" spans="2:20"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'3.6.1 АСУЭ этап2'!G11</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1071</v>
      </c>
      <c r="I71" s="699"/>
      <c r="J71" s="699"/>
      <c r="K71" s="699"/>
      <c r="L71" s="700"/>
      <c r="M71" s="295">
        <f t="shared" ref="M71:R71" ca="1" si="0">IF(D24="Да",SUMIF($H72:$L77,$H71,M72:M77),0)</f>
        <v>1</v>
      </c>
      <c r="N71" s="295">
        <f t="shared" si="0"/>
        <v>0</v>
      </c>
      <c r="O71" s="295">
        <f t="shared" si="0"/>
        <v>0</v>
      </c>
      <c r="P71" s="295">
        <f t="shared" ca="1" si="0"/>
        <v>1</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1082</v>
      </c>
      <c r="I78" s="699"/>
      <c r="J78" s="699"/>
      <c r="K78" s="699"/>
      <c r="L78" s="700"/>
      <c r="M78" s="295">
        <f t="shared" ref="M78:R78" ca="1" si="1">IF(D24="Да",SUMIF($H79:$L85,$H78,M79:M85),0)</f>
        <v>1</v>
      </c>
      <c r="N78" s="295">
        <f t="shared" si="1"/>
        <v>0</v>
      </c>
      <c r="O78" s="295">
        <f t="shared" si="1"/>
        <v>0</v>
      </c>
      <c r="P78" s="295">
        <f t="shared" ca="1" si="1"/>
        <v>1</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1131</v>
      </c>
      <c r="I86" s="699"/>
      <c r="J86" s="699"/>
      <c r="K86" s="699"/>
      <c r="L86" s="700"/>
      <c r="M86" s="295">
        <f t="shared" ref="M86:R86" ca="1" si="2">IF(D24="Да",SUMIF($H87:$L90,$H86,M87:M90),0)</f>
        <v>1</v>
      </c>
      <c r="N86" s="295">
        <f t="shared" si="2"/>
        <v>0</v>
      </c>
      <c r="O86" s="295">
        <f t="shared" si="2"/>
        <v>0</v>
      </c>
      <c r="P86" s="295">
        <f t="shared" ca="1" si="2"/>
        <v>1</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1137</v>
      </c>
      <c r="I91" s="699"/>
      <c r="J91" s="699"/>
      <c r="K91" s="699"/>
      <c r="L91" s="700"/>
      <c r="M91" s="295">
        <f t="shared" ref="M91:R91" ca="1" si="3">IF(D24="Да",SUMIF($H92:$L98,$H91,M92:M98),0)</f>
        <v>1</v>
      </c>
      <c r="N91" s="295">
        <f t="shared" si="3"/>
        <v>0</v>
      </c>
      <c r="O91" s="295">
        <f t="shared" si="3"/>
        <v>0</v>
      </c>
      <c r="P91" s="295">
        <f t="shared" ca="1" si="3"/>
        <v>1</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1157</v>
      </c>
      <c r="I99" s="699"/>
      <c r="J99" s="699"/>
      <c r="K99" s="699"/>
      <c r="L99" s="700"/>
      <c r="M99" s="295">
        <f t="shared" ref="M99:R99" ca="1" si="4">IF(D24="Да",SUMIF($H100:$L104,$H99,M100:M104),0)</f>
        <v>2</v>
      </c>
      <c r="N99" s="295">
        <f t="shared" si="4"/>
        <v>0</v>
      </c>
      <c r="O99" s="295">
        <f t="shared" si="4"/>
        <v>0</v>
      </c>
      <c r="P99" s="295">
        <f t="shared" ca="1" si="4"/>
        <v>2</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1093</v>
      </c>
      <c r="I105" s="699"/>
      <c r="J105" s="699"/>
      <c r="K105" s="699"/>
      <c r="L105" s="700"/>
      <c r="M105" s="295">
        <f t="shared" ref="M105:R105" ca="1" si="5">IF(D24="Да",SUMIF($H106:$L119,$H105,M106:M119),0)</f>
        <v>1</v>
      </c>
      <c r="N105" s="295">
        <f t="shared" si="5"/>
        <v>0</v>
      </c>
      <c r="O105" s="295">
        <f t="shared" si="5"/>
        <v>0</v>
      </c>
      <c r="P105" s="295">
        <f t="shared" ca="1" si="5"/>
        <v>1</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1082</v>
      </c>
      <c r="I120" s="699"/>
      <c r="J120" s="699"/>
      <c r="K120" s="699"/>
      <c r="L120" s="700"/>
      <c r="M120" s="295">
        <f t="shared" ref="M120:R120" ca="1" si="6">IF(D24="Да",SUMIF($H121:$L134,$H120,M121:M134),0)</f>
        <v>1</v>
      </c>
      <c r="N120" s="295">
        <f t="shared" si="6"/>
        <v>0</v>
      </c>
      <c r="O120" s="295">
        <f t="shared" si="6"/>
        <v>0</v>
      </c>
      <c r="P120" s="295">
        <f t="shared" ca="1" si="6"/>
        <v>1</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8</v>
      </c>
      <c r="N135" s="295">
        <f t="shared" ref="N135:R135" si="7">N71+N78+N86+N91+N99+N105+N120</f>
        <v>0</v>
      </c>
      <c r="O135" s="295">
        <f>O71+O78+O86+O91+O99+O105+O120</f>
        <v>0</v>
      </c>
      <c r="P135" s="295">
        <f t="shared" ca="1" si="7"/>
        <v>8</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v>
      </c>
      <c r="D149" s="295">
        <f t="shared" si="10"/>
        <v>1</v>
      </c>
      <c r="E149" s="295">
        <f t="shared" si="10"/>
        <v>1</v>
      </c>
      <c r="F149" s="295">
        <f t="shared" si="10"/>
        <v>1</v>
      </c>
      <c r="G149" s="295">
        <f t="shared" si="10"/>
        <v>1</v>
      </c>
      <c r="H149" s="295">
        <f t="shared" si="10"/>
        <v>1</v>
      </c>
      <c r="I149" s="295">
        <f t="shared" si="10"/>
        <v>1</v>
      </c>
      <c r="J149" s="295" t="s">
        <v>1223</v>
      </c>
      <c r="K149" s="311" t="s">
        <v>1209</v>
      </c>
      <c r="L149" s="716" t="s">
        <v>1224</v>
      </c>
      <c r="M149" s="716"/>
      <c r="N149" s="716"/>
      <c r="O149" s="716"/>
      <c r="P149" s="716"/>
      <c r="Q149" s="312" t="str">
        <f t="shared" si="11"/>
        <v>-</v>
      </c>
      <c r="R149" s="312" t="s">
        <v>1046</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v>
      </c>
      <c r="D154" s="295">
        <f>SUM(D142:D152)-10</f>
        <v>1</v>
      </c>
      <c r="E154" s="295">
        <f>SUM(E142:E152)-10</f>
        <v>1</v>
      </c>
      <c r="F154" s="295">
        <f t="shared" ref="F154:I154" si="13">SUM(F142:F152)-10</f>
        <v>1</v>
      </c>
      <c r="G154" s="295">
        <f t="shared" si="13"/>
        <v>1.1999999999999993</v>
      </c>
      <c r="H154" s="295">
        <f t="shared" si="13"/>
        <v>1</v>
      </c>
      <c r="I154" s="295">
        <f t="shared" si="13"/>
        <v>1</v>
      </c>
      <c r="J154" s="314"/>
      <c r="K154" s="698" t="s">
        <v>1232</v>
      </c>
      <c r="L154" s="699"/>
      <c r="M154" s="699"/>
      <c r="N154" s="699"/>
      <c r="O154" s="699"/>
      <c r="P154" s="699"/>
      <c r="Q154" s="699"/>
      <c r="R154" s="700"/>
    </row>
    <row r="155" spans="2:21" s="310" customFormat="1" ht="24.75" customHeight="1" x14ac:dyDescent="0.2">
      <c r="B155" s="295">
        <v>17</v>
      </c>
      <c r="C155" s="295">
        <f>C153*C154</f>
        <v>0.6</v>
      </c>
      <c r="D155" s="295">
        <f>D153*D154</f>
        <v>0.6</v>
      </c>
      <c r="E155" s="295">
        <f>E153*E154</f>
        <v>0.6</v>
      </c>
      <c r="F155" s="295">
        <f t="shared" ref="F155:I155" si="14">F153*F154</f>
        <v>0.6</v>
      </c>
      <c r="G155" s="295">
        <f t="shared" si="14"/>
        <v>0.71999999999999953</v>
      </c>
      <c r="H155" s="295">
        <f t="shared" si="14"/>
        <v>0.6</v>
      </c>
      <c r="I155" s="295">
        <f t="shared" si="14"/>
        <v>0.6</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8"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8"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8"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8" ht="25.5" customHeight="1" x14ac:dyDescent="0.25">
      <c r="B164" s="295">
        <v>1</v>
      </c>
      <c r="C164" s="295">
        <f>M67</f>
        <v>0</v>
      </c>
      <c r="D164" s="295">
        <f t="shared" ref="D164:I164" ca="1" si="15">M135</f>
        <v>8</v>
      </c>
      <c r="E164" s="295">
        <f t="shared" si="15"/>
        <v>0</v>
      </c>
      <c r="F164" s="295">
        <f t="shared" si="15"/>
        <v>0</v>
      </c>
      <c r="G164" s="295">
        <f t="shared" ca="1" si="15"/>
        <v>8</v>
      </c>
      <c r="H164" s="295">
        <f t="shared" si="15"/>
        <v>0</v>
      </c>
      <c r="I164" s="295">
        <f t="shared" si="15"/>
        <v>0</v>
      </c>
      <c r="J164" s="698" t="s">
        <v>1247</v>
      </c>
      <c r="K164" s="699"/>
      <c r="L164" s="699"/>
      <c r="M164" s="699"/>
      <c r="N164" s="699"/>
      <c r="O164" s="699"/>
      <c r="P164" s="699"/>
      <c r="Q164" s="699"/>
      <c r="R164" s="700"/>
    </row>
    <row r="165" spans="2:28"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8"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8" ht="25.5" customHeight="1" x14ac:dyDescent="0.25">
      <c r="B167" s="295">
        <v>4</v>
      </c>
      <c r="C167" s="316">
        <f>C164*C165*C166</f>
        <v>0</v>
      </c>
      <c r="D167" s="316">
        <f ca="1">D164*D165*D166</f>
        <v>125.84</v>
      </c>
      <c r="E167" s="316">
        <f>E164*E165*E166</f>
        <v>0</v>
      </c>
      <c r="F167" s="316">
        <f t="shared" ref="F167:I167" si="16">F164*F165*F166</f>
        <v>0</v>
      </c>
      <c r="G167" s="316">
        <f t="shared" ca="1" si="16"/>
        <v>270.16000000000003</v>
      </c>
      <c r="H167" s="316">
        <f t="shared" si="16"/>
        <v>0</v>
      </c>
      <c r="I167" s="316">
        <f t="shared" si="16"/>
        <v>0</v>
      </c>
      <c r="J167" s="698" t="s">
        <v>1250</v>
      </c>
      <c r="K167" s="699"/>
      <c r="L167" s="699"/>
      <c r="M167" s="699"/>
      <c r="N167" s="699"/>
      <c r="O167" s="699"/>
      <c r="P167" s="699"/>
      <c r="Q167" s="699"/>
      <c r="R167" s="700"/>
    </row>
    <row r="168" spans="2:28" ht="25.5" customHeight="1" x14ac:dyDescent="0.25">
      <c r="B168" s="295">
        <v>5</v>
      </c>
      <c r="C168" s="316">
        <f t="shared" ref="C168:I168" si="17">C167*C155</f>
        <v>0</v>
      </c>
      <c r="D168" s="316">
        <f t="shared" ca="1" si="17"/>
        <v>75.504000000000005</v>
      </c>
      <c r="E168" s="316">
        <f t="shared" si="17"/>
        <v>0</v>
      </c>
      <c r="F168" s="316">
        <f t="shared" si="17"/>
        <v>0</v>
      </c>
      <c r="G168" s="316">
        <f t="shared" ca="1" si="17"/>
        <v>194.51519999999988</v>
      </c>
      <c r="H168" s="316">
        <f t="shared" si="17"/>
        <v>0</v>
      </c>
      <c r="I168" s="316">
        <f t="shared" si="17"/>
        <v>0</v>
      </c>
      <c r="J168" s="698" t="s">
        <v>1251</v>
      </c>
      <c r="K168" s="699"/>
      <c r="L168" s="699"/>
      <c r="M168" s="699"/>
      <c r="N168" s="699"/>
      <c r="O168" s="699"/>
      <c r="P168" s="699"/>
      <c r="Q168" s="699"/>
      <c r="R168" s="700"/>
    </row>
    <row r="169" spans="2:28" ht="25.5" customHeight="1" x14ac:dyDescent="0.25">
      <c r="B169" s="295">
        <v>6</v>
      </c>
      <c r="C169" s="316">
        <f t="shared" ref="C169:I169" si="18">C168*C156*C157*C158</f>
        <v>0</v>
      </c>
      <c r="D169" s="316">
        <f t="shared" ca="1" si="18"/>
        <v>381.59721599999995</v>
      </c>
      <c r="E169" s="316">
        <f t="shared" si="18"/>
        <v>0</v>
      </c>
      <c r="F169" s="316">
        <f t="shared" si="18"/>
        <v>0</v>
      </c>
      <c r="G169" s="316">
        <f t="shared" ca="1" si="18"/>
        <v>983.07982079999931</v>
      </c>
      <c r="H169" s="316">
        <f t="shared" si="18"/>
        <v>0</v>
      </c>
      <c r="I169" s="316">
        <f t="shared" si="18"/>
        <v>0</v>
      </c>
      <c r="J169" s="698" t="s">
        <v>1252</v>
      </c>
      <c r="K169" s="699"/>
      <c r="L169" s="699"/>
      <c r="M169" s="699"/>
      <c r="N169" s="699"/>
      <c r="O169" s="699"/>
      <c r="P169" s="699"/>
      <c r="Q169" s="699"/>
      <c r="R169" s="700"/>
    </row>
    <row r="170" spans="2:28" ht="25.5" customHeight="1" x14ac:dyDescent="0.25">
      <c r="B170" s="295">
        <v>7</v>
      </c>
      <c r="C170" s="317"/>
      <c r="D170" s="317">
        <f t="shared" ref="D170:I170" ca="1" si="19">D169*D160</f>
        <v>114.47916479999998</v>
      </c>
      <c r="E170" s="317">
        <f t="shared" si="19"/>
        <v>0</v>
      </c>
      <c r="F170" s="317">
        <f t="shared" si="19"/>
        <v>0</v>
      </c>
      <c r="G170" s="317">
        <f t="shared" ca="1" si="19"/>
        <v>589.84789247999959</v>
      </c>
      <c r="H170" s="317">
        <f t="shared" si="19"/>
        <v>0</v>
      </c>
      <c r="I170" s="317">
        <f t="shared" si="19"/>
        <v>0</v>
      </c>
      <c r="J170" s="698" t="s">
        <v>1253</v>
      </c>
      <c r="K170" s="699"/>
      <c r="L170" s="699"/>
      <c r="M170" s="699"/>
      <c r="N170" s="699"/>
      <c r="O170" s="699"/>
      <c r="P170" s="699"/>
      <c r="Q170" s="699"/>
      <c r="R170" s="700"/>
    </row>
    <row r="171" spans="2:28" ht="46.5" customHeight="1" x14ac:dyDescent="0.25">
      <c r="B171" s="295">
        <v>8</v>
      </c>
      <c r="C171" s="295"/>
      <c r="D171" s="701">
        <f ca="1">SUM(D170:I170)*1000</f>
        <v>704327.05727999948</v>
      </c>
      <c r="E171" s="701"/>
      <c r="F171" s="701"/>
      <c r="G171" s="701"/>
      <c r="H171" s="701"/>
      <c r="I171" s="701"/>
      <c r="J171" s="698" t="s">
        <v>1254</v>
      </c>
      <c r="K171" s="699"/>
      <c r="L171" s="699"/>
      <c r="M171" s="699"/>
      <c r="N171" s="699"/>
      <c r="O171" s="699"/>
      <c r="P171" s="699"/>
      <c r="Q171" s="699"/>
      <c r="R171" s="700"/>
    </row>
    <row r="172" spans="2:28" ht="41.25" customHeight="1" x14ac:dyDescent="0.25">
      <c r="B172" s="295">
        <v>9</v>
      </c>
      <c r="C172" s="295"/>
      <c r="D172" s="702">
        <f ca="1">ROUND(D171*0.8,0)</f>
        <v>563462</v>
      </c>
      <c r="E172" s="703"/>
      <c r="F172" s="703"/>
      <c r="G172" s="703"/>
      <c r="H172" s="703"/>
      <c r="I172" s="704"/>
      <c r="J172" s="698" t="s">
        <v>1255</v>
      </c>
      <c r="K172" s="699"/>
      <c r="L172" s="699"/>
      <c r="M172" s="699"/>
      <c r="N172" s="699"/>
      <c r="O172" s="699"/>
      <c r="P172" s="699"/>
      <c r="Q172" s="699"/>
      <c r="R172" s="700"/>
    </row>
    <row r="173" spans="2:28" ht="28.5" customHeight="1" x14ac:dyDescent="0.25">
      <c r="B173" s="295">
        <v>11</v>
      </c>
      <c r="C173" s="295"/>
      <c r="D173" s="697">
        <f ca="1">D172</f>
        <v>563462</v>
      </c>
      <c r="E173" s="697"/>
      <c r="F173" s="697"/>
      <c r="G173" s="697"/>
      <c r="H173" s="697"/>
      <c r="I173" s="697"/>
      <c r="J173" s="698" t="s">
        <v>1256</v>
      </c>
      <c r="K173" s="699"/>
      <c r="L173" s="699"/>
      <c r="M173" s="699"/>
      <c r="N173" s="699"/>
      <c r="O173" s="699"/>
      <c r="P173" s="699"/>
      <c r="Q173" s="699"/>
      <c r="R173" s="700"/>
      <c r="Y173" s="318">
        <f ca="1">D173</f>
        <v>563462</v>
      </c>
      <c r="AB173" s="324"/>
    </row>
    <row r="174" spans="2:28" ht="14.25" x14ac:dyDescent="0.2">
      <c r="B174" s="289"/>
      <c r="C174" s="289"/>
      <c r="D174" s="319"/>
      <c r="E174" s="320"/>
      <c r="F174" s="320"/>
      <c r="G174" s="320"/>
      <c r="H174" s="320"/>
      <c r="I174" s="320"/>
      <c r="J174" s="321"/>
      <c r="K174" s="320"/>
      <c r="L174" s="322"/>
      <c r="M174" s="320"/>
      <c r="N174" s="320"/>
      <c r="O174" s="320"/>
      <c r="P174" s="320"/>
      <c r="Q174" s="320"/>
      <c r="R174" s="320"/>
    </row>
    <row r="175" spans="2:28"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8"/>
    <pageSetUpPr fitToPage="1"/>
  </sheetPr>
  <dimension ref="A1:AA175"/>
  <sheetViews>
    <sheetView view="pageBreakPreview" topLeftCell="B153" zoomScale="70" zoomScaleSheetLayoutView="70" workbookViewId="0">
      <selection activeCell="D158" sqref="D158:R158"/>
    </sheetView>
  </sheetViews>
  <sheetFormatPr defaultColWidth="9.140625" defaultRowHeight="12.75" outlineLevelRow="1" x14ac:dyDescent="0.25"/>
  <cols>
    <col min="1" max="1" width="4.5703125" style="325" hidden="1" customWidth="1"/>
    <col min="2" max="2" width="4.5703125" style="325" customWidth="1"/>
    <col min="3" max="3" width="11" style="325" hidden="1" customWidth="1"/>
    <col min="4" max="8" width="11" style="325" customWidth="1"/>
    <col min="9" max="9" width="15.5703125" style="325" customWidth="1"/>
    <col min="10" max="11" width="8.7109375" style="325" customWidth="1"/>
    <col min="12" max="12" width="15" style="325" customWidth="1"/>
    <col min="13" max="16" width="8.7109375" style="325" customWidth="1"/>
    <col min="17" max="17" width="11.7109375" style="325" customWidth="1"/>
    <col min="18" max="18" width="8.7109375" style="325" customWidth="1"/>
    <col min="19" max="19" width="0" style="325" hidden="1" customWidth="1"/>
    <col min="20" max="23" width="9.140625" style="325" hidden="1" customWidth="1"/>
    <col min="24" max="24" width="9.140625" style="325"/>
    <col min="25" max="25" width="18.28515625" style="325" customWidth="1"/>
    <col min="26" max="26" width="9.140625" style="325"/>
    <col min="27" max="27" width="10.7109375" style="325" bestFit="1" customWidth="1"/>
    <col min="28" max="16384" width="9.140625" style="325"/>
  </cols>
  <sheetData>
    <row r="1" spans="2:20" hidden="1" x14ac:dyDescent="0.25">
      <c r="B1" s="325">
        <v>5</v>
      </c>
    </row>
    <row r="2" spans="2:20" ht="17.25" hidden="1" customHeight="1" x14ac:dyDescent="0.25">
      <c r="O2" s="767"/>
      <c r="P2" s="767"/>
      <c r="Q2" s="767"/>
      <c r="R2" s="767"/>
      <c r="S2" s="326"/>
      <c r="T2" s="326"/>
    </row>
    <row r="3" spans="2:20" hidden="1" x14ac:dyDescent="0.25"/>
    <row r="4" spans="2:20" ht="15.75" customHeight="1" x14ac:dyDescent="0.25">
      <c r="B4" s="768" t="s">
        <v>1289</v>
      </c>
      <c r="C4" s="768"/>
      <c r="D4" s="768"/>
      <c r="E4" s="768"/>
      <c r="F4" s="768"/>
      <c r="G4" s="768"/>
      <c r="H4" s="768"/>
      <c r="I4" s="768"/>
      <c r="J4" s="768"/>
      <c r="K4" s="768"/>
      <c r="L4" s="768"/>
      <c r="M4" s="768"/>
      <c r="N4" s="768"/>
      <c r="O4" s="768"/>
      <c r="P4" s="768"/>
      <c r="Q4" s="768"/>
      <c r="R4" s="768"/>
    </row>
    <row r="5" spans="2:20" x14ac:dyDescent="0.25">
      <c r="B5" s="768" t="s">
        <v>1290</v>
      </c>
      <c r="C5" s="768"/>
      <c r="D5" s="768"/>
      <c r="E5" s="768"/>
      <c r="F5" s="768"/>
      <c r="G5" s="768"/>
      <c r="H5" s="768"/>
      <c r="I5" s="768"/>
      <c r="J5" s="768"/>
      <c r="K5" s="768"/>
      <c r="L5" s="768"/>
      <c r="M5" s="768"/>
      <c r="N5" s="768"/>
      <c r="O5" s="768"/>
      <c r="P5" s="768"/>
      <c r="Q5" s="768"/>
      <c r="R5" s="768"/>
    </row>
    <row r="6" spans="2:20" ht="13.5" customHeight="1" x14ac:dyDescent="0.25">
      <c r="B6" s="325" t="s">
        <v>1036</v>
      </c>
      <c r="G6" s="769" t="s">
        <v>1277</v>
      </c>
      <c r="H6" s="770"/>
      <c r="I6" s="770"/>
      <c r="J6" s="770"/>
      <c r="K6" s="770"/>
      <c r="L6" s="770"/>
      <c r="M6" s="770"/>
      <c r="N6" s="770"/>
      <c r="O6" s="770"/>
      <c r="P6" s="770"/>
      <c r="Q6" s="770"/>
      <c r="R6" s="770"/>
    </row>
    <row r="7" spans="2:20" x14ac:dyDescent="0.25">
      <c r="G7" s="770"/>
      <c r="H7" s="770"/>
      <c r="I7" s="770"/>
      <c r="J7" s="770"/>
      <c r="K7" s="770"/>
      <c r="L7" s="770"/>
      <c r="M7" s="770"/>
      <c r="N7" s="770"/>
      <c r="O7" s="770"/>
      <c r="P7" s="770"/>
      <c r="Q7" s="770"/>
      <c r="R7" s="770"/>
    </row>
    <row r="8" spans="2:20" x14ac:dyDescent="0.25">
      <c r="B8" s="325" t="s">
        <v>1038</v>
      </c>
      <c r="G8" s="325" t="s">
        <v>5</v>
      </c>
    </row>
    <row r="9" spans="2:20" ht="3.75" customHeight="1" x14ac:dyDescent="0.25"/>
    <row r="10" spans="2:20" hidden="1" x14ac:dyDescent="0.25">
      <c r="B10" s="325" t="s">
        <v>1039</v>
      </c>
      <c r="G10" s="357"/>
    </row>
    <row r="11" spans="2:20" x14ac:dyDescent="0.25">
      <c r="B11" s="325" t="s">
        <v>1040</v>
      </c>
      <c r="G11" s="775" t="s">
        <v>7</v>
      </c>
      <c r="H11" s="775"/>
      <c r="I11" s="775"/>
      <c r="J11" s="775"/>
      <c r="K11" s="775"/>
      <c r="L11" s="775"/>
    </row>
    <row r="13" spans="2:20" x14ac:dyDescent="0.25">
      <c r="B13" s="772" t="s">
        <v>1041</v>
      </c>
      <c r="C13" s="772"/>
      <c r="D13" s="772"/>
      <c r="E13" s="772"/>
      <c r="F13" s="772"/>
      <c r="G13" s="772"/>
      <c r="H13" s="772"/>
      <c r="I13" s="772"/>
      <c r="J13" s="772"/>
      <c r="K13" s="772"/>
      <c r="L13" s="772"/>
      <c r="M13" s="772"/>
      <c r="N13" s="772"/>
      <c r="O13" s="772"/>
      <c r="P13" s="772"/>
      <c r="Q13" s="772"/>
      <c r="R13" s="772"/>
    </row>
    <row r="15" spans="2:20" ht="25.5" customHeight="1" x14ac:dyDescent="0.25">
      <c r="B15" s="745" t="s">
        <v>1042</v>
      </c>
      <c r="C15" s="746"/>
      <c r="D15" s="746"/>
      <c r="E15" s="746"/>
      <c r="F15" s="746"/>
      <c r="G15" s="746"/>
      <c r="H15" s="746"/>
      <c r="I15" s="773"/>
      <c r="J15" s="773"/>
      <c r="K15" s="773"/>
      <c r="L15" s="773"/>
      <c r="M15" s="773"/>
      <c r="N15" s="773"/>
      <c r="O15" s="773"/>
      <c r="P15" s="773"/>
      <c r="Q15" s="773"/>
      <c r="R15" s="774"/>
    </row>
    <row r="16" spans="2:20" hidden="1" x14ac:dyDescent="0.25">
      <c r="B16" s="327" t="s">
        <v>1043</v>
      </c>
      <c r="C16" s="328"/>
      <c r="D16" s="328"/>
      <c r="E16" s="328"/>
      <c r="F16" s="328"/>
      <c r="G16" s="328"/>
      <c r="H16" s="328"/>
      <c r="I16" s="329"/>
      <c r="J16" s="329"/>
      <c r="K16" s="329"/>
      <c r="L16" s="329"/>
      <c r="M16" s="329"/>
      <c r="N16" s="329"/>
      <c r="O16" s="329"/>
      <c r="P16" s="329"/>
      <c r="Q16" s="329"/>
      <c r="R16" s="330"/>
    </row>
    <row r="17" spans="2:18" hidden="1" x14ac:dyDescent="0.25">
      <c r="B17" s="327" t="s">
        <v>1043</v>
      </c>
      <c r="C17" s="328"/>
      <c r="D17" s="328"/>
      <c r="E17" s="328"/>
      <c r="F17" s="328"/>
      <c r="G17" s="328"/>
      <c r="H17" s="328"/>
      <c r="R17" s="331"/>
    </row>
    <row r="18" spans="2:18" hidden="1" x14ac:dyDescent="0.25">
      <c r="B18" s="327" t="s">
        <v>1044</v>
      </c>
      <c r="C18" s="328"/>
      <c r="D18" s="328"/>
      <c r="E18" s="328"/>
      <c r="F18" s="328"/>
      <c r="G18" s="328"/>
      <c r="H18" s="328"/>
      <c r="R18" s="331"/>
    </row>
    <row r="19" spans="2:18" x14ac:dyDescent="0.25">
      <c r="B19" s="327" t="s">
        <v>1045</v>
      </c>
      <c r="C19" s="328"/>
      <c r="D19" s="328"/>
      <c r="E19" s="328"/>
      <c r="F19" s="328"/>
      <c r="G19" s="328"/>
      <c r="H19" s="332" t="s">
        <v>1046</v>
      </c>
      <c r="R19" s="331"/>
    </row>
    <row r="20" spans="2:18" hidden="1" x14ac:dyDescent="0.25">
      <c r="B20" s="327"/>
      <c r="C20" s="328"/>
      <c r="D20" s="328"/>
      <c r="E20" s="328"/>
      <c r="F20" s="328"/>
      <c r="G20" s="328"/>
      <c r="H20" s="328" t="s">
        <v>1047</v>
      </c>
      <c r="R20" s="331"/>
    </row>
    <row r="21" spans="2:18" hidden="1" x14ac:dyDescent="0.25">
      <c r="B21" s="327"/>
      <c r="C21" s="328"/>
      <c r="D21" s="328"/>
      <c r="E21" s="328"/>
      <c r="F21" s="328"/>
      <c r="G21" s="328"/>
      <c r="H21" s="328" t="s">
        <v>1046</v>
      </c>
      <c r="R21" s="331"/>
    </row>
    <row r="22" spans="2:18" x14ac:dyDescent="0.25">
      <c r="B22" s="327" t="s">
        <v>1048</v>
      </c>
      <c r="C22" s="328"/>
      <c r="D22" s="328"/>
      <c r="E22" s="328"/>
      <c r="F22" s="328"/>
      <c r="G22" s="328"/>
      <c r="H22" s="328"/>
      <c r="R22" s="331"/>
    </row>
    <row r="23" spans="2:18" x14ac:dyDescent="0.25">
      <c r="B23" s="327"/>
      <c r="D23" s="333" t="s">
        <v>1049</v>
      </c>
      <c r="E23" s="333" t="s">
        <v>1050</v>
      </c>
      <c r="F23" s="333" t="s">
        <v>1051</v>
      </c>
      <c r="G23" s="333" t="s">
        <v>1052</v>
      </c>
      <c r="H23" s="333" t="s">
        <v>1053</v>
      </c>
      <c r="I23" s="333" t="s">
        <v>1054</v>
      </c>
      <c r="R23" s="331"/>
    </row>
    <row r="24" spans="2:18" x14ac:dyDescent="0.25">
      <c r="B24" s="327"/>
      <c r="D24" s="332" t="s">
        <v>1047</v>
      </c>
      <c r="E24" s="332" t="s">
        <v>1046</v>
      </c>
      <c r="F24" s="332" t="s">
        <v>1046</v>
      </c>
      <c r="G24" s="332" t="s">
        <v>1047</v>
      </c>
      <c r="H24" s="332" t="s">
        <v>1046</v>
      </c>
      <c r="I24" s="332" t="s">
        <v>1046</v>
      </c>
      <c r="R24" s="331"/>
    </row>
    <row r="25" spans="2:18" hidden="1" x14ac:dyDescent="0.25">
      <c r="B25" s="327"/>
      <c r="C25" s="328"/>
      <c r="D25" s="334" t="s">
        <v>1047</v>
      </c>
      <c r="E25" s="334" t="s">
        <v>1047</v>
      </c>
      <c r="F25" s="334" t="s">
        <v>1047</v>
      </c>
      <c r="G25" s="334" t="s">
        <v>1047</v>
      </c>
      <c r="H25" s="334" t="s">
        <v>1047</v>
      </c>
      <c r="I25" s="335" t="s">
        <v>1047</v>
      </c>
      <c r="J25" s="336"/>
      <c r="K25" s="336"/>
      <c r="L25" s="336"/>
      <c r="M25" s="336"/>
      <c r="N25" s="336"/>
      <c r="O25" s="336"/>
      <c r="P25" s="336"/>
      <c r="Q25" s="336"/>
      <c r="R25" s="337"/>
    </row>
    <row r="26" spans="2:18" hidden="1" x14ac:dyDescent="0.25">
      <c r="B26" s="327"/>
      <c r="C26" s="328"/>
      <c r="D26" s="334" t="s">
        <v>1046</v>
      </c>
      <c r="E26" s="334" t="s">
        <v>1046</v>
      </c>
      <c r="F26" s="334" t="s">
        <v>1046</v>
      </c>
      <c r="G26" s="334" t="s">
        <v>1046</v>
      </c>
      <c r="H26" s="334" t="s">
        <v>1046</v>
      </c>
      <c r="I26" s="334" t="s">
        <v>1046</v>
      </c>
      <c r="J26" s="328"/>
      <c r="K26" s="328"/>
      <c r="L26" s="328"/>
      <c r="M26" s="328"/>
      <c r="N26" s="328"/>
      <c r="O26" s="328"/>
      <c r="P26" s="328"/>
      <c r="Q26" s="328"/>
      <c r="R26" s="338"/>
    </row>
    <row r="27" spans="2:18" ht="25.5" customHeight="1" x14ac:dyDescent="0.25">
      <c r="B27" s="745" t="s">
        <v>1055</v>
      </c>
      <c r="C27" s="746"/>
      <c r="D27" s="746"/>
      <c r="E27" s="746"/>
      <c r="F27" s="746"/>
      <c r="G27" s="746"/>
      <c r="H27" s="746"/>
      <c r="I27" s="746"/>
      <c r="J27" s="746"/>
      <c r="K27" s="746"/>
      <c r="L27" s="746"/>
      <c r="M27" s="746"/>
      <c r="N27" s="746"/>
      <c r="O27" s="746"/>
      <c r="P27" s="746"/>
      <c r="Q27" s="746"/>
      <c r="R27" s="747"/>
    </row>
    <row r="28" spans="2:18" hidden="1" x14ac:dyDescent="0.25">
      <c r="B28" s="327" t="s">
        <v>1056</v>
      </c>
      <c r="C28" s="328"/>
      <c r="D28" s="328"/>
      <c r="E28" s="328"/>
      <c r="F28" s="328"/>
      <c r="G28" s="328"/>
      <c r="H28" s="328"/>
      <c r="I28" s="328"/>
      <c r="J28" s="328"/>
      <c r="K28" s="328"/>
      <c r="L28" s="328"/>
      <c r="M28" s="328"/>
      <c r="N28" s="328"/>
      <c r="O28" s="329"/>
      <c r="P28" s="329"/>
      <c r="Q28" s="329"/>
      <c r="R28" s="330"/>
    </row>
    <row r="29" spans="2:18" hidden="1" x14ac:dyDescent="0.25">
      <c r="B29" s="748" t="s">
        <v>1057</v>
      </c>
      <c r="C29" s="748"/>
      <c r="D29" s="748"/>
      <c r="E29" s="748"/>
      <c r="F29" s="748"/>
      <c r="G29" s="748"/>
      <c r="H29" s="748"/>
      <c r="I29" s="748"/>
      <c r="J29" s="766"/>
      <c r="K29" s="766"/>
      <c r="L29" s="766"/>
      <c r="M29" s="750" t="s">
        <v>1058</v>
      </c>
      <c r="N29" s="751"/>
      <c r="O29" s="339"/>
      <c r="R29" s="331"/>
    </row>
    <row r="30" spans="2:18" ht="25.5" hidden="1" x14ac:dyDescent="0.25">
      <c r="B30" s="333" t="s">
        <v>90</v>
      </c>
      <c r="C30" s="754" t="s">
        <v>1059</v>
      </c>
      <c r="D30" s="756"/>
      <c r="E30" s="754" t="s">
        <v>1060</v>
      </c>
      <c r="F30" s="755"/>
      <c r="G30" s="756"/>
      <c r="H30" s="754" t="s">
        <v>1061</v>
      </c>
      <c r="I30" s="755"/>
      <c r="J30" s="755"/>
      <c r="K30" s="755"/>
      <c r="L30" s="756"/>
      <c r="M30" s="754" t="s">
        <v>1062</v>
      </c>
      <c r="N30" s="755"/>
      <c r="O30" s="339"/>
      <c r="R30" s="331"/>
    </row>
    <row r="31" spans="2:18" ht="24" hidden="1" customHeight="1" x14ac:dyDescent="0.25">
      <c r="B31" s="332">
        <v>1</v>
      </c>
      <c r="C31" s="757" t="s">
        <v>1063</v>
      </c>
      <c r="D31" s="758"/>
      <c r="E31" s="738" t="s">
        <v>1064</v>
      </c>
      <c r="F31" s="739"/>
      <c r="G31" s="740"/>
      <c r="H31" s="738" t="s">
        <v>1065</v>
      </c>
      <c r="I31" s="739"/>
      <c r="J31" s="739"/>
      <c r="K31" s="739"/>
      <c r="L31" s="740"/>
      <c r="M31" s="757">
        <f>IF(H19="Да",SUMIF($H32:$L35,$H31,M32:N35),0)</f>
        <v>0</v>
      </c>
      <c r="N31" s="765"/>
      <c r="O31" s="339"/>
      <c r="R31" s="331"/>
    </row>
    <row r="32" spans="2:18" ht="29.25" hidden="1" customHeight="1" x14ac:dyDescent="0.25">
      <c r="B32" s="343" t="s">
        <v>40</v>
      </c>
      <c r="C32" s="344"/>
      <c r="D32" s="328"/>
      <c r="E32" s="328"/>
      <c r="F32" s="328"/>
      <c r="G32" s="328"/>
      <c r="H32" s="738" t="s">
        <v>1065</v>
      </c>
      <c r="I32" s="739"/>
      <c r="J32" s="739"/>
      <c r="K32" s="739"/>
      <c r="L32" s="740"/>
      <c r="M32" s="757">
        <v>1</v>
      </c>
      <c r="N32" s="765"/>
      <c r="O32" s="339"/>
      <c r="R32" s="331"/>
    </row>
    <row r="33" spans="2:18" ht="28.5" hidden="1" customHeight="1" x14ac:dyDescent="0.25">
      <c r="B33" s="343" t="s">
        <v>42</v>
      </c>
      <c r="C33" s="344"/>
      <c r="D33" s="328"/>
      <c r="E33" s="328"/>
      <c r="F33" s="328"/>
      <c r="G33" s="328"/>
      <c r="H33" s="738" t="s">
        <v>1066</v>
      </c>
      <c r="I33" s="739"/>
      <c r="J33" s="739"/>
      <c r="K33" s="739"/>
      <c r="L33" s="740"/>
      <c r="M33" s="757">
        <v>2</v>
      </c>
      <c r="N33" s="765"/>
      <c r="O33" s="339"/>
      <c r="R33" s="331"/>
    </row>
    <row r="34" spans="2:18" ht="39" hidden="1" customHeight="1" x14ac:dyDescent="0.25">
      <c r="B34" s="343" t="s">
        <v>44</v>
      </c>
      <c r="C34" s="344"/>
      <c r="D34" s="328"/>
      <c r="E34" s="328"/>
      <c r="F34" s="328"/>
      <c r="G34" s="328"/>
      <c r="H34" s="738" t="s">
        <v>1067</v>
      </c>
      <c r="I34" s="739"/>
      <c r="J34" s="739"/>
      <c r="K34" s="739"/>
      <c r="L34" s="740"/>
      <c r="M34" s="757">
        <v>4</v>
      </c>
      <c r="N34" s="765"/>
      <c r="O34" s="339"/>
      <c r="R34" s="331"/>
    </row>
    <row r="35" spans="2:18" ht="25.5" hidden="1" customHeight="1" x14ac:dyDescent="0.25">
      <c r="B35" s="343" t="s">
        <v>46</v>
      </c>
      <c r="C35" s="344"/>
      <c r="D35" s="328"/>
      <c r="E35" s="328"/>
      <c r="F35" s="328"/>
      <c r="G35" s="328"/>
      <c r="H35" s="738" t="s">
        <v>1068</v>
      </c>
      <c r="I35" s="739"/>
      <c r="J35" s="739"/>
      <c r="K35" s="739"/>
      <c r="L35" s="740"/>
      <c r="M35" s="757">
        <v>8</v>
      </c>
      <c r="N35" s="765"/>
      <c r="O35" s="339"/>
      <c r="R35" s="331"/>
    </row>
    <row r="36" spans="2:18" ht="25.5" hidden="1" customHeight="1" x14ac:dyDescent="0.25">
      <c r="B36" s="332">
        <v>2</v>
      </c>
      <c r="C36" s="757" t="s">
        <v>1069</v>
      </c>
      <c r="D36" s="758"/>
      <c r="E36" s="738" t="s">
        <v>1070</v>
      </c>
      <c r="F36" s="739"/>
      <c r="G36" s="740"/>
      <c r="H36" s="738" t="s">
        <v>1071</v>
      </c>
      <c r="I36" s="739"/>
      <c r="J36" s="739"/>
      <c r="K36" s="739"/>
      <c r="L36" s="740"/>
      <c r="M36" s="757">
        <f>IF(H19="Да",SUMIF($H37:$L42,$H36,M37:N42),0)</f>
        <v>0</v>
      </c>
      <c r="N36" s="765"/>
      <c r="O36" s="339"/>
      <c r="R36" s="331"/>
    </row>
    <row r="37" spans="2:18" ht="38.25" hidden="1" customHeight="1" x14ac:dyDescent="0.25">
      <c r="B37" s="343" t="s">
        <v>48</v>
      </c>
      <c r="C37" s="344"/>
      <c r="D37" s="328"/>
      <c r="E37" s="328"/>
      <c r="F37" s="328"/>
      <c r="G37" s="328"/>
      <c r="H37" s="738" t="s">
        <v>1071</v>
      </c>
      <c r="I37" s="739"/>
      <c r="J37" s="739"/>
      <c r="K37" s="739"/>
      <c r="L37" s="740"/>
      <c r="M37" s="757">
        <v>1</v>
      </c>
      <c r="N37" s="765"/>
      <c r="O37" s="339"/>
      <c r="R37" s="331"/>
    </row>
    <row r="38" spans="2:18" ht="50.25" hidden="1" customHeight="1" x14ac:dyDescent="0.25">
      <c r="B38" s="343" t="s">
        <v>50</v>
      </c>
      <c r="C38" s="344"/>
      <c r="D38" s="328"/>
      <c r="E38" s="328"/>
      <c r="F38" s="328"/>
      <c r="G38" s="328"/>
      <c r="H38" s="738" t="s">
        <v>1072</v>
      </c>
      <c r="I38" s="739"/>
      <c r="J38" s="739"/>
      <c r="K38" s="739"/>
      <c r="L38" s="740"/>
      <c r="M38" s="757">
        <v>2</v>
      </c>
      <c r="N38" s="765"/>
      <c r="O38" s="339"/>
      <c r="R38" s="331"/>
    </row>
    <row r="39" spans="2:18" ht="27.75" hidden="1" customHeight="1" x14ac:dyDescent="0.25">
      <c r="B39" s="343" t="s">
        <v>52</v>
      </c>
      <c r="C39" s="344"/>
      <c r="D39" s="328"/>
      <c r="E39" s="328"/>
      <c r="F39" s="328"/>
      <c r="G39" s="328"/>
      <c r="H39" s="738" t="s">
        <v>1073</v>
      </c>
      <c r="I39" s="739"/>
      <c r="J39" s="739"/>
      <c r="K39" s="739"/>
      <c r="L39" s="740"/>
      <c r="M39" s="757">
        <v>4</v>
      </c>
      <c r="N39" s="765"/>
      <c r="O39" s="339"/>
      <c r="R39" s="331"/>
    </row>
    <row r="40" spans="2:18" ht="39" hidden="1" customHeight="1" x14ac:dyDescent="0.25">
      <c r="B40" s="343" t="s">
        <v>54</v>
      </c>
      <c r="C40" s="344"/>
      <c r="D40" s="328"/>
      <c r="E40" s="328"/>
      <c r="F40" s="328"/>
      <c r="G40" s="328"/>
      <c r="H40" s="738" t="s">
        <v>1074</v>
      </c>
      <c r="I40" s="739"/>
      <c r="J40" s="739"/>
      <c r="K40" s="739"/>
      <c r="L40" s="740"/>
      <c r="M40" s="757">
        <v>5</v>
      </c>
      <c r="N40" s="765"/>
      <c r="O40" s="339"/>
      <c r="R40" s="331"/>
    </row>
    <row r="41" spans="2:18" ht="39" hidden="1" customHeight="1" x14ac:dyDescent="0.25">
      <c r="B41" s="343" t="s">
        <v>1075</v>
      </c>
      <c r="C41" s="344"/>
      <c r="D41" s="328"/>
      <c r="E41" s="328"/>
      <c r="F41" s="328"/>
      <c r="G41" s="328"/>
      <c r="H41" s="738" t="s">
        <v>1076</v>
      </c>
      <c r="I41" s="739"/>
      <c r="J41" s="739"/>
      <c r="K41" s="739"/>
      <c r="L41" s="740"/>
      <c r="M41" s="757">
        <v>4</v>
      </c>
      <c r="N41" s="765"/>
      <c r="O41" s="339"/>
      <c r="R41" s="331"/>
    </row>
    <row r="42" spans="2:18" ht="26.25" hidden="1" customHeight="1" x14ac:dyDescent="0.25">
      <c r="B42" s="343" t="s">
        <v>1077</v>
      </c>
      <c r="C42" s="344"/>
      <c r="D42" s="328"/>
      <c r="E42" s="328"/>
      <c r="F42" s="328"/>
      <c r="G42" s="328"/>
      <c r="H42" s="738" t="s">
        <v>1078</v>
      </c>
      <c r="I42" s="739"/>
      <c r="J42" s="739"/>
      <c r="K42" s="739"/>
      <c r="L42" s="740"/>
      <c r="M42" s="757">
        <v>3</v>
      </c>
      <c r="N42" s="765"/>
      <c r="O42" s="339"/>
      <c r="R42" s="331"/>
    </row>
    <row r="43" spans="2:18" ht="32.25" hidden="1" customHeight="1" x14ac:dyDescent="0.25">
      <c r="B43" s="332">
        <v>3</v>
      </c>
      <c r="C43" s="757" t="s">
        <v>1079</v>
      </c>
      <c r="D43" s="758"/>
      <c r="E43" s="738" t="s">
        <v>1080</v>
      </c>
      <c r="F43" s="739"/>
      <c r="G43" s="740"/>
      <c r="H43" s="738" t="s">
        <v>1081</v>
      </c>
      <c r="I43" s="739"/>
      <c r="J43" s="739"/>
      <c r="K43" s="739"/>
      <c r="L43" s="740"/>
      <c r="M43" s="757">
        <f>IF(H19="Да",SUMIF($H44:$L51,$H43,M44:N51),0)</f>
        <v>0</v>
      </c>
      <c r="N43" s="765"/>
      <c r="O43" s="339"/>
      <c r="R43" s="331"/>
    </row>
    <row r="44" spans="2:18" hidden="1" x14ac:dyDescent="0.25">
      <c r="B44" s="343" t="s">
        <v>55</v>
      </c>
      <c r="C44" s="344"/>
      <c r="D44" s="328"/>
      <c r="E44" s="328"/>
      <c r="F44" s="328"/>
      <c r="G44" s="328"/>
      <c r="H44" s="738" t="s">
        <v>1082</v>
      </c>
      <c r="I44" s="739"/>
      <c r="J44" s="739"/>
      <c r="K44" s="739"/>
      <c r="L44" s="740"/>
      <c r="M44" s="757">
        <v>1</v>
      </c>
      <c r="N44" s="765"/>
      <c r="O44" s="339"/>
      <c r="R44" s="331"/>
    </row>
    <row r="45" spans="2:18" ht="12.75" hidden="1" customHeight="1" x14ac:dyDescent="0.25">
      <c r="B45" s="343" t="s">
        <v>57</v>
      </c>
      <c r="C45" s="344"/>
      <c r="D45" s="328"/>
      <c r="E45" s="328"/>
      <c r="F45" s="328"/>
      <c r="G45" s="328"/>
      <c r="H45" s="738" t="s">
        <v>1083</v>
      </c>
      <c r="I45" s="739"/>
      <c r="J45" s="739"/>
      <c r="K45" s="739"/>
      <c r="L45" s="740"/>
      <c r="M45" s="757">
        <v>2</v>
      </c>
      <c r="N45" s="765"/>
      <c r="O45" s="339"/>
      <c r="R45" s="331"/>
    </row>
    <row r="46" spans="2:18" ht="12.75" hidden="1" customHeight="1" x14ac:dyDescent="0.25">
      <c r="B46" s="343" t="s">
        <v>59</v>
      </c>
      <c r="C46" s="344"/>
      <c r="D46" s="328"/>
      <c r="E46" s="328"/>
      <c r="F46" s="328"/>
      <c r="G46" s="328"/>
      <c r="H46" s="738" t="s">
        <v>1081</v>
      </c>
      <c r="I46" s="739"/>
      <c r="J46" s="739"/>
      <c r="K46" s="739"/>
      <c r="L46" s="740"/>
      <c r="M46" s="757">
        <v>4</v>
      </c>
      <c r="N46" s="765"/>
      <c r="O46" s="339"/>
      <c r="R46" s="331"/>
    </row>
    <row r="47" spans="2:18" ht="12.75" hidden="1" customHeight="1" x14ac:dyDescent="0.25">
      <c r="B47" s="343" t="s">
        <v>61</v>
      </c>
      <c r="C47" s="344"/>
      <c r="D47" s="328"/>
      <c r="E47" s="328"/>
      <c r="F47" s="328"/>
      <c r="G47" s="328"/>
      <c r="H47" s="738" t="s">
        <v>1084</v>
      </c>
      <c r="I47" s="739"/>
      <c r="J47" s="739"/>
      <c r="K47" s="739"/>
      <c r="L47" s="740"/>
      <c r="M47" s="757">
        <v>5</v>
      </c>
      <c r="N47" s="765"/>
      <c r="O47" s="339"/>
      <c r="R47" s="331"/>
    </row>
    <row r="48" spans="2:18" ht="12.75" hidden="1" customHeight="1" x14ac:dyDescent="0.25">
      <c r="B48" s="343" t="s">
        <v>63</v>
      </c>
      <c r="C48" s="344"/>
      <c r="D48" s="328"/>
      <c r="E48" s="328"/>
      <c r="F48" s="328"/>
      <c r="G48" s="328"/>
      <c r="H48" s="738" t="s">
        <v>1085</v>
      </c>
      <c r="I48" s="739"/>
      <c r="J48" s="739"/>
      <c r="K48" s="739"/>
      <c r="L48" s="740"/>
      <c r="M48" s="757">
        <v>7</v>
      </c>
      <c r="N48" s="765"/>
      <c r="O48" s="339"/>
      <c r="R48" s="331"/>
    </row>
    <row r="49" spans="2:18" ht="12.75" hidden="1" customHeight="1" x14ac:dyDescent="0.25">
      <c r="B49" s="343" t="s">
        <v>65</v>
      </c>
      <c r="C49" s="344"/>
      <c r="D49" s="328"/>
      <c r="E49" s="328"/>
      <c r="F49" s="328"/>
      <c r="G49" s="328"/>
      <c r="H49" s="738" t="s">
        <v>1086</v>
      </c>
      <c r="I49" s="739"/>
      <c r="J49" s="739"/>
      <c r="K49" s="739"/>
      <c r="L49" s="740"/>
      <c r="M49" s="757">
        <v>9</v>
      </c>
      <c r="N49" s="765"/>
      <c r="O49" s="339"/>
      <c r="R49" s="331"/>
    </row>
    <row r="50" spans="2:18" ht="12.75" hidden="1" customHeight="1" x14ac:dyDescent="0.25">
      <c r="B50" s="343" t="s">
        <v>67</v>
      </c>
      <c r="C50" s="344"/>
      <c r="D50" s="328"/>
      <c r="E50" s="328"/>
      <c r="F50" s="328"/>
      <c r="G50" s="328"/>
      <c r="H50" s="738" t="s">
        <v>1087</v>
      </c>
      <c r="I50" s="739"/>
      <c r="J50" s="739"/>
      <c r="K50" s="739"/>
      <c r="L50" s="740"/>
      <c r="M50" s="757">
        <v>10</v>
      </c>
      <c r="N50" s="765"/>
      <c r="O50" s="339"/>
      <c r="R50" s="331"/>
    </row>
    <row r="51" spans="2:18" ht="12.75" hidden="1" customHeight="1" x14ac:dyDescent="0.25">
      <c r="B51" s="343" t="s">
        <v>69</v>
      </c>
      <c r="C51" s="344"/>
      <c r="D51" s="328"/>
      <c r="E51" s="328"/>
      <c r="F51" s="328"/>
      <c r="G51" s="328"/>
      <c r="H51" s="738" t="s">
        <v>1088</v>
      </c>
      <c r="I51" s="739"/>
      <c r="J51" s="739"/>
      <c r="K51" s="739"/>
      <c r="L51" s="740"/>
      <c r="M51" s="757">
        <v>11</v>
      </c>
      <c r="N51" s="765"/>
      <c r="O51" s="339"/>
      <c r="R51" s="331"/>
    </row>
    <row r="52" spans="2:18" ht="27" hidden="1" customHeight="1" x14ac:dyDescent="0.25">
      <c r="B52" s="332">
        <v>4</v>
      </c>
      <c r="C52" s="757" t="s">
        <v>1089</v>
      </c>
      <c r="D52" s="758"/>
      <c r="E52" s="738" t="s">
        <v>1090</v>
      </c>
      <c r="F52" s="739"/>
      <c r="G52" s="740"/>
      <c r="H52" s="738" t="s">
        <v>1091</v>
      </c>
      <c r="I52" s="739"/>
      <c r="J52" s="739"/>
      <c r="K52" s="739"/>
      <c r="L52" s="740"/>
      <c r="M52" s="757">
        <f>IF(H19="Да",SUMIF($H53:$L66,$H52,M53:N66),0)</f>
        <v>0</v>
      </c>
      <c r="N52" s="765"/>
      <c r="O52" s="339"/>
      <c r="R52" s="331"/>
    </row>
    <row r="53" spans="2:18" hidden="1" x14ac:dyDescent="0.25">
      <c r="B53" s="343" t="s">
        <v>1092</v>
      </c>
      <c r="C53" s="344"/>
      <c r="D53" s="328"/>
      <c r="E53" s="328"/>
      <c r="F53" s="328"/>
      <c r="G53" s="328"/>
      <c r="H53" s="738" t="s">
        <v>1093</v>
      </c>
      <c r="I53" s="739"/>
      <c r="J53" s="739"/>
      <c r="K53" s="739"/>
      <c r="L53" s="740"/>
      <c r="M53" s="757">
        <v>1</v>
      </c>
      <c r="N53" s="765"/>
      <c r="O53" s="339"/>
      <c r="R53" s="331"/>
    </row>
    <row r="54" spans="2:18" ht="12.75" hidden="1" customHeight="1" x14ac:dyDescent="0.25">
      <c r="B54" s="343" t="s">
        <v>1094</v>
      </c>
      <c r="C54" s="344"/>
      <c r="D54" s="328"/>
      <c r="E54" s="328"/>
      <c r="F54" s="328"/>
      <c r="G54" s="328"/>
      <c r="H54" s="738" t="s">
        <v>1095</v>
      </c>
      <c r="I54" s="739"/>
      <c r="J54" s="739"/>
      <c r="K54" s="739"/>
      <c r="L54" s="740"/>
      <c r="M54" s="757">
        <v>2</v>
      </c>
      <c r="N54" s="765"/>
      <c r="O54" s="339"/>
      <c r="R54" s="331"/>
    </row>
    <row r="55" spans="2:18" ht="12.75" hidden="1" customHeight="1" x14ac:dyDescent="0.25">
      <c r="B55" s="343" t="s">
        <v>1096</v>
      </c>
      <c r="C55" s="344"/>
      <c r="D55" s="328"/>
      <c r="E55" s="328"/>
      <c r="F55" s="328"/>
      <c r="G55" s="328"/>
      <c r="H55" s="738" t="s">
        <v>1097</v>
      </c>
      <c r="I55" s="739"/>
      <c r="J55" s="739"/>
      <c r="K55" s="739"/>
      <c r="L55" s="740"/>
      <c r="M55" s="757">
        <v>3</v>
      </c>
      <c r="N55" s="765"/>
      <c r="O55" s="339"/>
      <c r="R55" s="331"/>
    </row>
    <row r="56" spans="2:18" ht="12.75" hidden="1" customHeight="1" x14ac:dyDescent="0.25">
      <c r="B56" s="343" t="s">
        <v>1098</v>
      </c>
      <c r="C56" s="344"/>
      <c r="D56" s="328"/>
      <c r="E56" s="328"/>
      <c r="F56" s="328"/>
      <c r="G56" s="328"/>
      <c r="H56" s="738" t="s">
        <v>1099</v>
      </c>
      <c r="I56" s="739"/>
      <c r="J56" s="739"/>
      <c r="K56" s="739"/>
      <c r="L56" s="740"/>
      <c r="M56" s="757">
        <v>4</v>
      </c>
      <c r="N56" s="765"/>
      <c r="O56" s="339"/>
      <c r="R56" s="331"/>
    </row>
    <row r="57" spans="2:18" ht="12.75" hidden="1" customHeight="1" x14ac:dyDescent="0.25">
      <c r="B57" s="343" t="s">
        <v>1100</v>
      </c>
      <c r="C57" s="344"/>
      <c r="D57" s="328"/>
      <c r="E57" s="328"/>
      <c r="F57" s="328"/>
      <c r="G57" s="328"/>
      <c r="H57" s="738" t="s">
        <v>1101</v>
      </c>
      <c r="I57" s="739"/>
      <c r="J57" s="739"/>
      <c r="K57" s="739"/>
      <c r="L57" s="740"/>
      <c r="M57" s="757">
        <v>5</v>
      </c>
      <c r="N57" s="765"/>
      <c r="O57" s="339"/>
      <c r="R57" s="331"/>
    </row>
    <row r="58" spans="2:18" ht="12.75" hidden="1" customHeight="1" x14ac:dyDescent="0.25">
      <c r="B58" s="343" t="s">
        <v>1102</v>
      </c>
      <c r="C58" s="344"/>
      <c r="D58" s="328"/>
      <c r="E58" s="328"/>
      <c r="F58" s="328"/>
      <c r="G58" s="328"/>
      <c r="H58" s="738" t="s">
        <v>1103</v>
      </c>
      <c r="I58" s="739"/>
      <c r="J58" s="739"/>
      <c r="K58" s="739"/>
      <c r="L58" s="740"/>
      <c r="M58" s="757">
        <v>6</v>
      </c>
      <c r="N58" s="765"/>
      <c r="O58" s="339"/>
      <c r="R58" s="331"/>
    </row>
    <row r="59" spans="2:18" ht="12.75" hidden="1" customHeight="1" x14ac:dyDescent="0.25">
      <c r="B59" s="343" t="s">
        <v>1104</v>
      </c>
      <c r="C59" s="344"/>
      <c r="D59" s="328"/>
      <c r="E59" s="328"/>
      <c r="F59" s="328"/>
      <c r="G59" s="328"/>
      <c r="H59" s="738" t="s">
        <v>1105</v>
      </c>
      <c r="I59" s="739"/>
      <c r="J59" s="739"/>
      <c r="K59" s="739"/>
      <c r="L59" s="740"/>
      <c r="M59" s="757">
        <v>7</v>
      </c>
      <c r="N59" s="765"/>
      <c r="O59" s="339"/>
      <c r="R59" s="331"/>
    </row>
    <row r="60" spans="2:18" ht="12.75" hidden="1" customHeight="1" x14ac:dyDescent="0.25">
      <c r="B60" s="343" t="s">
        <v>1106</v>
      </c>
      <c r="C60" s="344"/>
      <c r="D60" s="328"/>
      <c r="E60" s="328"/>
      <c r="F60" s="328"/>
      <c r="G60" s="328"/>
      <c r="H60" s="738" t="s">
        <v>1091</v>
      </c>
      <c r="I60" s="739"/>
      <c r="J60" s="739"/>
      <c r="K60" s="739"/>
      <c r="L60" s="740"/>
      <c r="M60" s="757">
        <v>8</v>
      </c>
      <c r="N60" s="765"/>
      <c r="O60" s="339"/>
      <c r="R60" s="331"/>
    </row>
    <row r="61" spans="2:18" ht="12.75" hidden="1" customHeight="1" x14ac:dyDescent="0.25">
      <c r="B61" s="343" t="s">
        <v>1107</v>
      </c>
      <c r="C61" s="344"/>
      <c r="D61" s="328"/>
      <c r="E61" s="328"/>
      <c r="F61" s="328"/>
      <c r="G61" s="328"/>
      <c r="H61" s="738" t="s">
        <v>1108</v>
      </c>
      <c r="I61" s="739"/>
      <c r="J61" s="739"/>
      <c r="K61" s="739"/>
      <c r="L61" s="740"/>
      <c r="M61" s="757">
        <v>9</v>
      </c>
      <c r="N61" s="765"/>
      <c r="O61" s="339"/>
      <c r="R61" s="331"/>
    </row>
    <row r="62" spans="2:18" ht="12.75" hidden="1" customHeight="1" x14ac:dyDescent="0.25">
      <c r="B62" s="343" t="s">
        <v>1109</v>
      </c>
      <c r="C62" s="344"/>
      <c r="D62" s="328"/>
      <c r="E62" s="328"/>
      <c r="F62" s="328"/>
      <c r="G62" s="328"/>
      <c r="H62" s="738" t="s">
        <v>1110</v>
      </c>
      <c r="I62" s="739"/>
      <c r="J62" s="739"/>
      <c r="K62" s="739"/>
      <c r="L62" s="740"/>
      <c r="M62" s="757">
        <v>10</v>
      </c>
      <c r="N62" s="765"/>
      <c r="O62" s="339"/>
      <c r="R62" s="331"/>
    </row>
    <row r="63" spans="2:18" ht="12.75" hidden="1" customHeight="1" x14ac:dyDescent="0.25">
      <c r="B63" s="343" t="s">
        <v>1111</v>
      </c>
      <c r="C63" s="344"/>
      <c r="D63" s="328"/>
      <c r="E63" s="328"/>
      <c r="F63" s="328"/>
      <c r="G63" s="328"/>
      <c r="H63" s="738" t="s">
        <v>1112</v>
      </c>
      <c r="I63" s="739"/>
      <c r="J63" s="739"/>
      <c r="K63" s="739"/>
      <c r="L63" s="740"/>
      <c r="M63" s="757">
        <v>11</v>
      </c>
      <c r="N63" s="765"/>
      <c r="O63" s="339"/>
      <c r="R63" s="331"/>
    </row>
    <row r="64" spans="2:18" ht="12.75" hidden="1" customHeight="1" x14ac:dyDescent="0.25">
      <c r="B64" s="343" t="s">
        <v>1113</v>
      </c>
      <c r="C64" s="344"/>
      <c r="D64" s="328"/>
      <c r="E64" s="328"/>
      <c r="F64" s="328"/>
      <c r="G64" s="328"/>
      <c r="H64" s="738" t="s">
        <v>1114</v>
      </c>
      <c r="I64" s="739"/>
      <c r="J64" s="739"/>
      <c r="K64" s="739"/>
      <c r="L64" s="740"/>
      <c r="M64" s="757">
        <v>12</v>
      </c>
      <c r="N64" s="765"/>
      <c r="O64" s="339"/>
      <c r="R64" s="331"/>
    </row>
    <row r="65" spans="2:18" ht="12.75" hidden="1" customHeight="1" x14ac:dyDescent="0.25">
      <c r="B65" s="343" t="s">
        <v>1115</v>
      </c>
      <c r="C65" s="344"/>
      <c r="D65" s="328"/>
      <c r="E65" s="328"/>
      <c r="F65" s="328"/>
      <c r="G65" s="328"/>
      <c r="H65" s="738" t="s">
        <v>1116</v>
      </c>
      <c r="I65" s="739"/>
      <c r="J65" s="739"/>
      <c r="K65" s="739"/>
      <c r="L65" s="740"/>
      <c r="M65" s="757">
        <v>13</v>
      </c>
      <c r="N65" s="765"/>
      <c r="O65" s="339"/>
      <c r="R65" s="331"/>
    </row>
    <row r="66" spans="2:18" ht="12.75" hidden="1" customHeight="1" x14ac:dyDescent="0.25">
      <c r="B66" s="343" t="s">
        <v>1117</v>
      </c>
      <c r="C66" s="344"/>
      <c r="D66" s="328"/>
      <c r="E66" s="328"/>
      <c r="F66" s="328"/>
      <c r="G66" s="328"/>
      <c r="H66" s="738" t="s">
        <v>1118</v>
      </c>
      <c r="I66" s="739"/>
      <c r="J66" s="739"/>
      <c r="K66" s="739"/>
      <c r="L66" s="740"/>
      <c r="M66" s="757">
        <v>14</v>
      </c>
      <c r="N66" s="765"/>
      <c r="O66" s="339"/>
      <c r="R66" s="331"/>
    </row>
    <row r="67" spans="2:18" hidden="1" x14ac:dyDescent="0.25">
      <c r="B67" s="332">
        <v>5</v>
      </c>
      <c r="C67" s="334"/>
      <c r="D67" s="328"/>
      <c r="E67" s="328"/>
      <c r="F67" s="328"/>
      <c r="G67" s="328"/>
      <c r="H67" s="328"/>
      <c r="I67" s="328"/>
      <c r="J67" s="328"/>
      <c r="K67" s="328"/>
      <c r="L67" s="345" t="s">
        <v>1119</v>
      </c>
      <c r="M67" s="757">
        <f>M31+M36+M43+M52</f>
        <v>0</v>
      </c>
      <c r="N67" s="765"/>
      <c r="O67" s="339"/>
      <c r="R67" s="331"/>
    </row>
    <row r="68" spans="2:18" x14ac:dyDescent="0.25">
      <c r="B68" s="327" t="s">
        <v>1120</v>
      </c>
      <c r="C68" s="328"/>
      <c r="D68" s="328"/>
      <c r="E68" s="328"/>
      <c r="F68" s="328"/>
      <c r="G68" s="328"/>
      <c r="H68" s="328"/>
      <c r="I68" s="328"/>
      <c r="J68" s="336"/>
      <c r="K68" s="336"/>
      <c r="L68" s="336"/>
      <c r="M68" s="336"/>
      <c r="N68" s="336"/>
      <c r="O68" s="336"/>
      <c r="P68" s="336"/>
      <c r="Q68" s="336"/>
      <c r="R68" s="337"/>
    </row>
    <row r="69" spans="2:18" ht="26.25" customHeight="1" x14ac:dyDescent="0.25">
      <c r="B69" s="748" t="s">
        <v>1057</v>
      </c>
      <c r="C69" s="748"/>
      <c r="D69" s="748"/>
      <c r="E69" s="748"/>
      <c r="F69" s="748"/>
      <c r="G69" s="748"/>
      <c r="H69" s="748"/>
      <c r="I69" s="748"/>
      <c r="J69" s="766"/>
      <c r="K69" s="766"/>
      <c r="L69" s="766"/>
      <c r="M69" s="766" t="s">
        <v>1121</v>
      </c>
      <c r="N69" s="766"/>
      <c r="O69" s="766"/>
      <c r="P69" s="766"/>
      <c r="Q69" s="766"/>
      <c r="R69" s="766"/>
    </row>
    <row r="70" spans="2:18" ht="25.5" x14ac:dyDescent="0.25">
      <c r="B70" s="333" t="s">
        <v>90</v>
      </c>
      <c r="C70" s="754" t="s">
        <v>1059</v>
      </c>
      <c r="D70" s="756"/>
      <c r="E70" s="748" t="s">
        <v>1060</v>
      </c>
      <c r="F70" s="748"/>
      <c r="G70" s="748"/>
      <c r="H70" s="748" t="s">
        <v>1061</v>
      </c>
      <c r="I70" s="748"/>
      <c r="J70" s="748"/>
      <c r="K70" s="748"/>
      <c r="L70" s="748"/>
      <c r="M70" s="333" t="s">
        <v>1049</v>
      </c>
      <c r="N70" s="333" t="s">
        <v>1050</v>
      </c>
      <c r="O70" s="333" t="s">
        <v>1051</v>
      </c>
      <c r="P70" s="333" t="s">
        <v>1052</v>
      </c>
      <c r="Q70" s="333" t="s">
        <v>1053</v>
      </c>
      <c r="R70" s="333" t="s">
        <v>1054</v>
      </c>
    </row>
    <row r="71" spans="2:18" ht="53.25" customHeight="1" collapsed="1" x14ac:dyDescent="0.25">
      <c r="B71" s="332">
        <v>1</v>
      </c>
      <c r="C71" s="757" t="s">
        <v>1069</v>
      </c>
      <c r="D71" s="758"/>
      <c r="E71" s="753" t="s">
        <v>1070</v>
      </c>
      <c r="F71" s="753"/>
      <c r="G71" s="753"/>
      <c r="H71" s="738" t="s">
        <v>1071</v>
      </c>
      <c r="I71" s="739"/>
      <c r="J71" s="739"/>
      <c r="K71" s="739"/>
      <c r="L71" s="740"/>
      <c r="M71" s="332">
        <f t="shared" ref="M71:R71" ca="1" si="0">IF(D24="Да",SUMIF($H72:$L77,$H71,M72:M77),0)</f>
        <v>1</v>
      </c>
      <c r="N71" s="332">
        <f t="shared" si="0"/>
        <v>0</v>
      </c>
      <c r="O71" s="332">
        <f t="shared" si="0"/>
        <v>0</v>
      </c>
      <c r="P71" s="332">
        <f t="shared" ca="1" si="0"/>
        <v>1</v>
      </c>
      <c r="Q71" s="332">
        <f t="shared" si="0"/>
        <v>0</v>
      </c>
      <c r="R71" s="332">
        <f t="shared" si="0"/>
        <v>0</v>
      </c>
    </row>
    <row r="72" spans="2:18" ht="53.25" hidden="1" customHeight="1" outlineLevel="1" x14ac:dyDescent="0.25">
      <c r="B72" s="343" t="s">
        <v>40</v>
      </c>
      <c r="C72" s="343"/>
      <c r="D72" s="332"/>
      <c r="E72" s="346"/>
      <c r="F72" s="346"/>
      <c r="G72" s="346"/>
      <c r="H72" s="738" t="s">
        <v>1071</v>
      </c>
      <c r="I72" s="739"/>
      <c r="J72" s="739"/>
      <c r="K72" s="739"/>
      <c r="L72" s="740"/>
      <c r="M72" s="332">
        <v>1</v>
      </c>
      <c r="N72" s="332">
        <v>1</v>
      </c>
      <c r="O72" s="332">
        <v>1</v>
      </c>
      <c r="P72" s="332">
        <v>1</v>
      </c>
      <c r="Q72" s="332">
        <v>1</v>
      </c>
      <c r="R72" s="332">
        <v>1</v>
      </c>
    </row>
    <row r="73" spans="2:18" ht="53.25" hidden="1" customHeight="1" outlineLevel="1" x14ac:dyDescent="0.25">
      <c r="B73" s="343" t="s">
        <v>42</v>
      </c>
      <c r="C73" s="343"/>
      <c r="D73" s="332"/>
      <c r="E73" s="346"/>
      <c r="F73" s="346"/>
      <c r="G73" s="346"/>
      <c r="H73" s="738" t="s">
        <v>1072</v>
      </c>
      <c r="I73" s="739"/>
      <c r="J73" s="739"/>
      <c r="K73" s="739"/>
      <c r="L73" s="740"/>
      <c r="M73" s="332">
        <v>2</v>
      </c>
      <c r="N73" s="332">
        <v>1</v>
      </c>
      <c r="O73" s="332">
        <v>2</v>
      </c>
      <c r="P73" s="332">
        <v>1</v>
      </c>
      <c r="Q73" s="332">
        <v>2</v>
      </c>
      <c r="R73" s="332">
        <v>2</v>
      </c>
    </row>
    <row r="74" spans="2:18" ht="53.25" hidden="1" customHeight="1" outlineLevel="1" x14ac:dyDescent="0.25">
      <c r="B74" s="343" t="s">
        <v>44</v>
      </c>
      <c r="C74" s="343"/>
      <c r="D74" s="332"/>
      <c r="E74" s="346"/>
      <c r="F74" s="346"/>
      <c r="G74" s="346"/>
      <c r="H74" s="738" t="s">
        <v>1073</v>
      </c>
      <c r="I74" s="739"/>
      <c r="J74" s="739"/>
      <c r="K74" s="739"/>
      <c r="L74" s="740"/>
      <c r="M74" s="332">
        <v>3</v>
      </c>
      <c r="N74" s="332">
        <v>3</v>
      </c>
      <c r="O74" s="332">
        <v>3</v>
      </c>
      <c r="P74" s="332">
        <v>3</v>
      </c>
      <c r="Q74" s="332">
        <v>3</v>
      </c>
      <c r="R74" s="332">
        <v>3</v>
      </c>
    </row>
    <row r="75" spans="2:18" ht="53.25" hidden="1" customHeight="1" outlineLevel="1" x14ac:dyDescent="0.25">
      <c r="B75" s="343" t="s">
        <v>46</v>
      </c>
      <c r="C75" s="343"/>
      <c r="D75" s="332"/>
      <c r="E75" s="346"/>
      <c r="F75" s="346"/>
      <c r="G75" s="346"/>
      <c r="H75" s="738" t="s">
        <v>1074</v>
      </c>
      <c r="I75" s="739"/>
      <c r="J75" s="739"/>
      <c r="K75" s="739"/>
      <c r="L75" s="740"/>
      <c r="M75" s="332">
        <v>4</v>
      </c>
      <c r="N75" s="332">
        <v>3</v>
      </c>
      <c r="O75" s="332">
        <v>4</v>
      </c>
      <c r="P75" s="332">
        <v>3</v>
      </c>
      <c r="Q75" s="332">
        <v>4</v>
      </c>
      <c r="R75" s="332">
        <v>4</v>
      </c>
    </row>
    <row r="76" spans="2:18" ht="53.25" hidden="1" customHeight="1" outlineLevel="1" x14ac:dyDescent="0.25">
      <c r="B76" s="343" t="s">
        <v>1122</v>
      </c>
      <c r="C76" s="343"/>
      <c r="D76" s="332"/>
      <c r="E76" s="346"/>
      <c r="F76" s="346"/>
      <c r="G76" s="346"/>
      <c r="H76" s="738" t="s">
        <v>1076</v>
      </c>
      <c r="I76" s="739"/>
      <c r="J76" s="739"/>
      <c r="K76" s="739"/>
      <c r="L76" s="740"/>
      <c r="M76" s="332">
        <v>3</v>
      </c>
      <c r="N76" s="332">
        <v>2</v>
      </c>
      <c r="O76" s="332">
        <v>3</v>
      </c>
      <c r="P76" s="332">
        <v>2</v>
      </c>
      <c r="Q76" s="332">
        <v>3</v>
      </c>
      <c r="R76" s="332">
        <v>3</v>
      </c>
    </row>
    <row r="77" spans="2:18" ht="53.25" hidden="1" customHeight="1" outlineLevel="1" x14ac:dyDescent="0.25">
      <c r="B77" s="343" t="s">
        <v>1123</v>
      </c>
      <c r="C77" s="343"/>
      <c r="D77" s="332"/>
      <c r="E77" s="346"/>
      <c r="F77" s="346"/>
      <c r="G77" s="346"/>
      <c r="H77" s="738" t="s">
        <v>1078</v>
      </c>
      <c r="I77" s="739"/>
      <c r="J77" s="739"/>
      <c r="K77" s="739"/>
      <c r="L77" s="740"/>
      <c r="M77" s="332">
        <v>2</v>
      </c>
      <c r="N77" s="332">
        <v>2</v>
      </c>
      <c r="O77" s="332">
        <v>2</v>
      </c>
      <c r="P77" s="332">
        <v>2</v>
      </c>
      <c r="Q77" s="332">
        <v>3</v>
      </c>
      <c r="R77" s="332">
        <v>3</v>
      </c>
    </row>
    <row r="78" spans="2:18" ht="53.25" customHeight="1" collapsed="1" x14ac:dyDescent="0.25">
      <c r="B78" s="332">
        <v>2</v>
      </c>
      <c r="C78" s="757" t="s">
        <v>1124</v>
      </c>
      <c r="D78" s="758"/>
      <c r="E78" s="753" t="s">
        <v>1125</v>
      </c>
      <c r="F78" s="753"/>
      <c r="G78" s="753"/>
      <c r="H78" s="738" t="s">
        <v>1082</v>
      </c>
      <c r="I78" s="739"/>
      <c r="J78" s="739"/>
      <c r="K78" s="739"/>
      <c r="L78" s="740"/>
      <c r="M78" s="332">
        <f t="shared" ref="M78:R78" ca="1" si="1">IF(D24="Да",SUMIF($H79:$L85,$H78,M79:M85),0)</f>
        <v>1</v>
      </c>
      <c r="N78" s="332">
        <f t="shared" si="1"/>
        <v>0</v>
      </c>
      <c r="O78" s="332">
        <f t="shared" si="1"/>
        <v>0</v>
      </c>
      <c r="P78" s="332">
        <f t="shared" ca="1" si="1"/>
        <v>1</v>
      </c>
      <c r="Q78" s="332">
        <f t="shared" si="1"/>
        <v>0</v>
      </c>
      <c r="R78" s="332">
        <f t="shared" si="1"/>
        <v>0</v>
      </c>
    </row>
    <row r="79" spans="2:18" ht="53.25" hidden="1" customHeight="1" outlineLevel="1" x14ac:dyDescent="0.25">
      <c r="B79" s="343" t="s">
        <v>48</v>
      </c>
      <c r="C79" s="343"/>
      <c r="D79" s="332"/>
      <c r="E79" s="759" t="s">
        <v>1126</v>
      </c>
      <c r="F79" s="760"/>
      <c r="G79" s="346"/>
      <c r="H79" s="738" t="s">
        <v>1082</v>
      </c>
      <c r="I79" s="739"/>
      <c r="J79" s="739"/>
      <c r="K79" s="739"/>
      <c r="L79" s="740"/>
      <c r="M79" s="332">
        <v>1</v>
      </c>
      <c r="N79" s="332">
        <v>1</v>
      </c>
      <c r="O79" s="332">
        <v>1</v>
      </c>
      <c r="P79" s="332">
        <v>1</v>
      </c>
      <c r="Q79" s="332">
        <v>1</v>
      </c>
      <c r="R79" s="332">
        <v>1</v>
      </c>
    </row>
    <row r="80" spans="2:18" ht="53.25" hidden="1" customHeight="1" outlineLevel="1" x14ac:dyDescent="0.25">
      <c r="B80" s="343" t="s">
        <v>50</v>
      </c>
      <c r="C80" s="343"/>
      <c r="D80" s="332"/>
      <c r="E80" s="761"/>
      <c r="F80" s="762"/>
      <c r="G80" s="346"/>
      <c r="H80" s="738" t="s">
        <v>1083</v>
      </c>
      <c r="I80" s="739"/>
      <c r="J80" s="739"/>
      <c r="K80" s="739"/>
      <c r="L80" s="740"/>
      <c r="M80" s="332">
        <v>2</v>
      </c>
      <c r="N80" s="332">
        <v>2</v>
      </c>
      <c r="O80" s="332">
        <v>2</v>
      </c>
      <c r="P80" s="332">
        <v>2</v>
      </c>
      <c r="Q80" s="332">
        <v>2</v>
      </c>
      <c r="R80" s="332">
        <v>2</v>
      </c>
    </row>
    <row r="81" spans="2:18" ht="53.25" hidden="1" customHeight="1" outlineLevel="1" x14ac:dyDescent="0.25">
      <c r="B81" s="343" t="s">
        <v>52</v>
      </c>
      <c r="C81" s="343"/>
      <c r="D81" s="332"/>
      <c r="E81" s="761"/>
      <c r="F81" s="762"/>
      <c r="G81" s="346"/>
      <c r="H81" s="738" t="s">
        <v>1081</v>
      </c>
      <c r="I81" s="739"/>
      <c r="J81" s="739"/>
      <c r="K81" s="739"/>
      <c r="L81" s="740"/>
      <c r="M81" s="332">
        <v>3</v>
      </c>
      <c r="N81" s="332">
        <v>2</v>
      </c>
      <c r="O81" s="332">
        <v>3</v>
      </c>
      <c r="P81" s="332">
        <v>2</v>
      </c>
      <c r="Q81" s="332">
        <v>3</v>
      </c>
      <c r="R81" s="332">
        <v>3</v>
      </c>
    </row>
    <row r="82" spans="2:18" ht="53.25" hidden="1" customHeight="1" outlineLevel="1" x14ac:dyDescent="0.25">
      <c r="B82" s="343" t="s">
        <v>54</v>
      </c>
      <c r="C82" s="343"/>
      <c r="D82" s="332"/>
      <c r="E82" s="761"/>
      <c r="F82" s="762"/>
      <c r="G82" s="346"/>
      <c r="H82" s="738" t="s">
        <v>1084</v>
      </c>
      <c r="I82" s="739"/>
      <c r="J82" s="739"/>
      <c r="K82" s="739"/>
      <c r="L82" s="740"/>
      <c r="M82" s="332">
        <v>4</v>
      </c>
      <c r="N82" s="332">
        <v>3</v>
      </c>
      <c r="O82" s="332">
        <v>4</v>
      </c>
      <c r="P82" s="332">
        <v>3</v>
      </c>
      <c r="Q82" s="332">
        <v>4</v>
      </c>
      <c r="R82" s="332">
        <v>4</v>
      </c>
    </row>
    <row r="83" spans="2:18" ht="53.25" hidden="1" customHeight="1" outlineLevel="1" x14ac:dyDescent="0.25">
      <c r="B83" s="343" t="s">
        <v>1075</v>
      </c>
      <c r="C83" s="343"/>
      <c r="D83" s="332"/>
      <c r="E83" s="761"/>
      <c r="F83" s="762"/>
      <c r="G83" s="346"/>
      <c r="H83" s="738" t="s">
        <v>1085</v>
      </c>
      <c r="I83" s="739"/>
      <c r="J83" s="739"/>
      <c r="K83" s="739"/>
      <c r="L83" s="740"/>
      <c r="M83" s="332">
        <v>5</v>
      </c>
      <c r="N83" s="332">
        <v>3</v>
      </c>
      <c r="O83" s="332">
        <v>5</v>
      </c>
      <c r="P83" s="332">
        <v>3</v>
      </c>
      <c r="Q83" s="332">
        <v>5</v>
      </c>
      <c r="R83" s="332">
        <v>5</v>
      </c>
    </row>
    <row r="84" spans="2:18" ht="53.25" hidden="1" customHeight="1" outlineLevel="1" x14ac:dyDescent="0.25">
      <c r="B84" s="343" t="s">
        <v>1077</v>
      </c>
      <c r="C84" s="343"/>
      <c r="D84" s="332"/>
      <c r="E84" s="761"/>
      <c r="F84" s="762"/>
      <c r="G84" s="346"/>
      <c r="H84" s="738" t="s">
        <v>1086</v>
      </c>
      <c r="I84" s="739"/>
      <c r="J84" s="739"/>
      <c r="K84" s="739"/>
      <c r="L84" s="740"/>
      <c r="M84" s="332">
        <v>6</v>
      </c>
      <c r="N84" s="332">
        <v>4</v>
      </c>
      <c r="O84" s="332">
        <v>6</v>
      </c>
      <c r="P84" s="332">
        <v>4</v>
      </c>
      <c r="Q84" s="332">
        <v>6</v>
      </c>
      <c r="R84" s="332">
        <v>6</v>
      </c>
    </row>
    <row r="85" spans="2:18" ht="53.25" hidden="1" customHeight="1" outlineLevel="1" x14ac:dyDescent="0.25">
      <c r="B85" s="343" t="s">
        <v>1127</v>
      </c>
      <c r="C85" s="343"/>
      <c r="D85" s="332"/>
      <c r="E85" s="763"/>
      <c r="F85" s="764"/>
      <c r="G85" s="346"/>
      <c r="H85" s="738" t="s">
        <v>1087</v>
      </c>
      <c r="I85" s="739"/>
      <c r="J85" s="739"/>
      <c r="K85" s="739"/>
      <c r="L85" s="740"/>
      <c r="M85" s="332">
        <v>7</v>
      </c>
      <c r="N85" s="332">
        <v>5</v>
      </c>
      <c r="O85" s="332">
        <v>7</v>
      </c>
      <c r="P85" s="332">
        <v>5</v>
      </c>
      <c r="Q85" s="332">
        <v>7</v>
      </c>
      <c r="R85" s="332">
        <v>7</v>
      </c>
    </row>
    <row r="86" spans="2:18" ht="53.25" customHeight="1" collapsed="1" x14ac:dyDescent="0.25">
      <c r="B86" s="332">
        <v>3</v>
      </c>
      <c r="C86" s="757" t="s">
        <v>1128</v>
      </c>
      <c r="D86" s="758"/>
      <c r="E86" s="753" t="s">
        <v>1129</v>
      </c>
      <c r="F86" s="753"/>
      <c r="G86" s="753"/>
      <c r="H86" s="738" t="s">
        <v>1131</v>
      </c>
      <c r="I86" s="739"/>
      <c r="J86" s="739"/>
      <c r="K86" s="739"/>
      <c r="L86" s="740"/>
      <c r="M86" s="332">
        <f t="shared" ref="M86:R86" ca="1" si="2">IF(D24="Да",SUMIF($H87:$L90,$H86,M87:M90),0)</f>
        <v>1</v>
      </c>
      <c r="N86" s="332">
        <f t="shared" si="2"/>
        <v>0</v>
      </c>
      <c r="O86" s="332">
        <f t="shared" si="2"/>
        <v>0</v>
      </c>
      <c r="P86" s="332">
        <f t="shared" ca="1" si="2"/>
        <v>1</v>
      </c>
      <c r="Q86" s="332">
        <f t="shared" si="2"/>
        <v>0</v>
      </c>
      <c r="R86" s="332">
        <f t="shared" si="2"/>
        <v>0</v>
      </c>
    </row>
    <row r="87" spans="2:18" ht="53.25" hidden="1" customHeight="1" outlineLevel="1" x14ac:dyDescent="0.25">
      <c r="B87" s="343" t="s">
        <v>55</v>
      </c>
      <c r="C87" s="343"/>
      <c r="D87" s="332"/>
      <c r="E87" s="346"/>
      <c r="F87" s="346"/>
      <c r="G87" s="346"/>
      <c r="H87" s="738" t="s">
        <v>1131</v>
      </c>
      <c r="I87" s="739"/>
      <c r="J87" s="739"/>
      <c r="K87" s="739"/>
      <c r="L87" s="740"/>
      <c r="M87" s="332">
        <v>1</v>
      </c>
      <c r="N87" s="332">
        <v>1</v>
      </c>
      <c r="O87" s="332">
        <v>1</v>
      </c>
      <c r="P87" s="332">
        <v>1</v>
      </c>
      <c r="Q87" s="332">
        <v>1</v>
      </c>
      <c r="R87" s="332">
        <v>1</v>
      </c>
    </row>
    <row r="88" spans="2:18" ht="53.25" hidden="1" customHeight="1" outlineLevel="1" x14ac:dyDescent="0.25">
      <c r="B88" s="343" t="s">
        <v>57</v>
      </c>
      <c r="C88" s="343"/>
      <c r="D88" s="332"/>
      <c r="E88" s="346"/>
      <c r="F88" s="346"/>
      <c r="G88" s="346"/>
      <c r="H88" s="738" t="s">
        <v>1132</v>
      </c>
      <c r="I88" s="739"/>
      <c r="J88" s="739"/>
      <c r="K88" s="739"/>
      <c r="L88" s="740"/>
      <c r="M88" s="332">
        <v>3</v>
      </c>
      <c r="N88" s="332">
        <v>2</v>
      </c>
      <c r="O88" s="332">
        <v>3</v>
      </c>
      <c r="P88" s="332">
        <v>3</v>
      </c>
      <c r="Q88" s="332">
        <v>3</v>
      </c>
      <c r="R88" s="332">
        <v>3</v>
      </c>
    </row>
    <row r="89" spans="2:18" ht="53.25" hidden="1" customHeight="1" outlineLevel="1" x14ac:dyDescent="0.25">
      <c r="B89" s="343" t="s">
        <v>59</v>
      </c>
      <c r="C89" s="343"/>
      <c r="D89" s="332"/>
      <c r="E89" s="346"/>
      <c r="F89" s="346"/>
      <c r="G89" s="346"/>
      <c r="H89" s="738" t="s">
        <v>1130</v>
      </c>
      <c r="I89" s="739"/>
      <c r="J89" s="739"/>
      <c r="K89" s="739"/>
      <c r="L89" s="740"/>
      <c r="M89" s="332">
        <v>6</v>
      </c>
      <c r="N89" s="332">
        <v>2</v>
      </c>
      <c r="O89" s="332">
        <v>6</v>
      </c>
      <c r="P89" s="332">
        <v>5</v>
      </c>
      <c r="Q89" s="332">
        <v>6</v>
      </c>
      <c r="R89" s="332">
        <v>6</v>
      </c>
    </row>
    <row r="90" spans="2:18" ht="53.25" hidden="1" customHeight="1" outlineLevel="1" x14ac:dyDescent="0.25">
      <c r="B90" s="343" t="s">
        <v>61</v>
      </c>
      <c r="C90" s="343"/>
      <c r="D90" s="332"/>
      <c r="E90" s="346"/>
      <c r="F90" s="346"/>
      <c r="G90" s="346"/>
      <c r="H90" s="738" t="s">
        <v>1133</v>
      </c>
      <c r="I90" s="739"/>
      <c r="J90" s="739"/>
      <c r="K90" s="739"/>
      <c r="L90" s="740"/>
      <c r="M90" s="332">
        <v>9</v>
      </c>
      <c r="N90" s="332">
        <v>3</v>
      </c>
      <c r="O90" s="332">
        <v>9</v>
      </c>
      <c r="P90" s="332">
        <v>8</v>
      </c>
      <c r="Q90" s="332">
        <v>9</v>
      </c>
      <c r="R90" s="332">
        <v>9</v>
      </c>
    </row>
    <row r="91" spans="2:18" ht="53.25" customHeight="1" collapsed="1" x14ac:dyDescent="0.25">
      <c r="B91" s="332">
        <v>4</v>
      </c>
      <c r="C91" s="757" t="s">
        <v>1134</v>
      </c>
      <c r="D91" s="758"/>
      <c r="E91" s="753" t="s">
        <v>1135</v>
      </c>
      <c r="F91" s="753"/>
      <c r="G91" s="753"/>
      <c r="H91" s="738" t="s">
        <v>1137</v>
      </c>
      <c r="I91" s="739"/>
      <c r="J91" s="739"/>
      <c r="K91" s="739"/>
      <c r="L91" s="740"/>
      <c r="M91" s="332">
        <f t="shared" ref="M91:R91" ca="1" si="3">IF(D24="Да",SUMIF($H92:$L98,$H91,M92:M98),0)</f>
        <v>1</v>
      </c>
      <c r="N91" s="332">
        <f t="shared" si="3"/>
        <v>0</v>
      </c>
      <c r="O91" s="332">
        <f t="shared" si="3"/>
        <v>0</v>
      </c>
      <c r="P91" s="332">
        <f t="shared" ca="1" si="3"/>
        <v>1</v>
      </c>
      <c r="Q91" s="332">
        <f t="shared" si="3"/>
        <v>0</v>
      </c>
      <c r="R91" s="332">
        <f t="shared" si="3"/>
        <v>0</v>
      </c>
    </row>
    <row r="92" spans="2:18" ht="53.25" hidden="1" customHeight="1" outlineLevel="1" x14ac:dyDescent="0.25">
      <c r="B92" s="343">
        <v>7.22</v>
      </c>
      <c r="C92" s="343"/>
      <c r="D92" s="332"/>
      <c r="E92" s="346"/>
      <c r="F92" s="346"/>
      <c r="G92" s="346"/>
      <c r="H92" s="738" t="s">
        <v>1137</v>
      </c>
      <c r="I92" s="739"/>
      <c r="J92" s="739"/>
      <c r="K92" s="739"/>
      <c r="L92" s="740"/>
      <c r="M92" s="332">
        <v>1</v>
      </c>
      <c r="N92" s="332">
        <v>1</v>
      </c>
      <c r="O92" s="332">
        <v>1</v>
      </c>
      <c r="P92" s="332">
        <v>1</v>
      </c>
      <c r="Q92" s="332">
        <v>1</v>
      </c>
      <c r="R92" s="332">
        <v>1</v>
      </c>
    </row>
    <row r="93" spans="2:18" ht="53.25" hidden="1" customHeight="1" outlineLevel="1" x14ac:dyDescent="0.25">
      <c r="B93" s="343" t="s">
        <v>1138</v>
      </c>
      <c r="C93" s="343"/>
      <c r="D93" s="332"/>
      <c r="E93" s="346"/>
      <c r="F93" s="346"/>
      <c r="G93" s="346"/>
      <c r="H93" s="738" t="s">
        <v>1139</v>
      </c>
      <c r="I93" s="739"/>
      <c r="J93" s="739"/>
      <c r="K93" s="739"/>
      <c r="L93" s="740"/>
      <c r="M93" s="332">
        <v>3</v>
      </c>
      <c r="N93" s="332">
        <v>2</v>
      </c>
      <c r="O93" s="332">
        <v>3</v>
      </c>
      <c r="P93" s="332">
        <v>3</v>
      </c>
      <c r="Q93" s="332">
        <v>3</v>
      </c>
      <c r="R93" s="332">
        <v>3</v>
      </c>
    </row>
    <row r="94" spans="2:18" ht="53.25" hidden="1" customHeight="1" outlineLevel="1" x14ac:dyDescent="0.25">
      <c r="B94" s="343" t="s">
        <v>1140</v>
      </c>
      <c r="C94" s="343"/>
      <c r="D94" s="332"/>
      <c r="E94" s="346"/>
      <c r="F94" s="346"/>
      <c r="G94" s="346"/>
      <c r="H94" s="738" t="s">
        <v>1136</v>
      </c>
      <c r="I94" s="739"/>
      <c r="J94" s="739"/>
      <c r="K94" s="739"/>
      <c r="L94" s="740"/>
      <c r="M94" s="332">
        <v>5</v>
      </c>
      <c r="N94" s="332">
        <v>2</v>
      </c>
      <c r="O94" s="332">
        <v>5</v>
      </c>
      <c r="P94" s="332">
        <v>5</v>
      </c>
      <c r="Q94" s="332">
        <v>5</v>
      </c>
      <c r="R94" s="332">
        <v>5</v>
      </c>
    </row>
    <row r="95" spans="2:18" ht="53.25" hidden="1" customHeight="1" outlineLevel="1" x14ac:dyDescent="0.25">
      <c r="B95" s="343" t="s">
        <v>1141</v>
      </c>
      <c r="C95" s="343"/>
      <c r="D95" s="332"/>
      <c r="E95" s="346"/>
      <c r="F95" s="346"/>
      <c r="G95" s="346"/>
      <c r="H95" s="738" t="s">
        <v>1142</v>
      </c>
      <c r="I95" s="739"/>
      <c r="J95" s="739"/>
      <c r="K95" s="739"/>
      <c r="L95" s="740"/>
      <c r="M95" s="332">
        <v>6</v>
      </c>
      <c r="N95" s="332">
        <v>3</v>
      </c>
      <c r="O95" s="332">
        <v>7</v>
      </c>
      <c r="P95" s="332">
        <v>7</v>
      </c>
      <c r="Q95" s="332">
        <v>7</v>
      </c>
      <c r="R95" s="332">
        <v>7</v>
      </c>
    </row>
    <row r="96" spans="2:18" ht="53.25" hidden="1" customHeight="1" outlineLevel="1" x14ac:dyDescent="0.25">
      <c r="B96" s="343" t="s">
        <v>1143</v>
      </c>
      <c r="C96" s="343"/>
      <c r="D96" s="332"/>
      <c r="E96" s="346"/>
      <c r="F96" s="346"/>
      <c r="G96" s="346"/>
      <c r="H96" s="738" t="s">
        <v>1144</v>
      </c>
      <c r="I96" s="739"/>
      <c r="J96" s="739"/>
      <c r="K96" s="739"/>
      <c r="L96" s="740"/>
      <c r="M96" s="332">
        <v>8</v>
      </c>
      <c r="N96" s="332">
        <v>4</v>
      </c>
      <c r="O96" s="332">
        <v>10</v>
      </c>
      <c r="P96" s="332">
        <v>9</v>
      </c>
      <c r="Q96" s="332">
        <v>11</v>
      </c>
      <c r="R96" s="332">
        <v>11</v>
      </c>
    </row>
    <row r="97" spans="2:18" ht="53.25" hidden="1" customHeight="1" outlineLevel="1" x14ac:dyDescent="0.25">
      <c r="B97" s="343" t="s">
        <v>1145</v>
      </c>
      <c r="C97" s="343"/>
      <c r="D97" s="332"/>
      <c r="E97" s="346"/>
      <c r="F97" s="346"/>
      <c r="G97" s="346"/>
      <c r="H97" s="738" t="s">
        <v>1146</v>
      </c>
      <c r="I97" s="739"/>
      <c r="J97" s="739"/>
      <c r="K97" s="739"/>
      <c r="L97" s="740"/>
      <c r="M97" s="332">
        <v>9</v>
      </c>
      <c r="N97" s="332">
        <v>4</v>
      </c>
      <c r="O97" s="332">
        <v>11</v>
      </c>
      <c r="P97" s="332">
        <v>10</v>
      </c>
      <c r="Q97" s="332">
        <v>13</v>
      </c>
      <c r="R97" s="332">
        <v>13</v>
      </c>
    </row>
    <row r="98" spans="2:18" ht="53.25" hidden="1" customHeight="1" outlineLevel="1" x14ac:dyDescent="0.25">
      <c r="B98" s="343" t="s">
        <v>1147</v>
      </c>
      <c r="C98" s="343"/>
      <c r="D98" s="332"/>
      <c r="E98" s="346"/>
      <c r="F98" s="346"/>
      <c r="G98" s="346"/>
      <c r="H98" s="738" t="s">
        <v>1148</v>
      </c>
      <c r="I98" s="739"/>
      <c r="J98" s="739"/>
      <c r="K98" s="739"/>
      <c r="L98" s="740"/>
      <c r="M98" s="332">
        <v>10</v>
      </c>
      <c r="N98" s="332">
        <v>5</v>
      </c>
      <c r="O98" s="332">
        <v>12</v>
      </c>
      <c r="P98" s="332">
        <v>11</v>
      </c>
      <c r="Q98" s="332">
        <v>14</v>
      </c>
      <c r="R98" s="332">
        <v>14</v>
      </c>
    </row>
    <row r="99" spans="2:18" ht="53.25" customHeight="1" collapsed="1" x14ac:dyDescent="0.25">
      <c r="B99" s="332">
        <v>5</v>
      </c>
      <c r="C99" s="757" t="s">
        <v>1149</v>
      </c>
      <c r="D99" s="758"/>
      <c r="E99" s="753" t="s">
        <v>1150</v>
      </c>
      <c r="F99" s="753"/>
      <c r="G99" s="753"/>
      <c r="H99" s="738" t="s">
        <v>1157</v>
      </c>
      <c r="I99" s="739"/>
      <c r="J99" s="739"/>
      <c r="K99" s="739"/>
      <c r="L99" s="740"/>
      <c r="M99" s="332">
        <f t="shared" ref="M99:R99" ca="1" si="4">IF(D24="Да",SUMIF($H100:$L104,$H99,M100:M104),0)</f>
        <v>2</v>
      </c>
      <c r="N99" s="332">
        <f t="shared" si="4"/>
        <v>0</v>
      </c>
      <c r="O99" s="332">
        <f t="shared" si="4"/>
        <v>0</v>
      </c>
      <c r="P99" s="332">
        <f t="shared" ca="1" si="4"/>
        <v>2</v>
      </c>
      <c r="Q99" s="332">
        <f t="shared" si="4"/>
        <v>0</v>
      </c>
      <c r="R99" s="332">
        <f t="shared" si="4"/>
        <v>0</v>
      </c>
    </row>
    <row r="100" spans="2:18" ht="53.25" hidden="1" customHeight="1" outlineLevel="1" x14ac:dyDescent="0.25">
      <c r="B100" s="343" t="s">
        <v>1152</v>
      </c>
      <c r="C100" s="343"/>
      <c r="D100" s="332"/>
      <c r="E100" s="346"/>
      <c r="F100" s="346"/>
      <c r="G100" s="346"/>
      <c r="H100" s="738" t="s">
        <v>1153</v>
      </c>
      <c r="I100" s="739"/>
      <c r="J100" s="739"/>
      <c r="K100" s="739"/>
      <c r="L100" s="740"/>
      <c r="M100" s="332">
        <v>1</v>
      </c>
      <c r="N100" s="332">
        <v>1</v>
      </c>
      <c r="O100" s="332">
        <v>1</v>
      </c>
      <c r="P100" s="332">
        <v>1</v>
      </c>
      <c r="Q100" s="332">
        <v>1</v>
      </c>
      <c r="R100" s="332">
        <v>1</v>
      </c>
    </row>
    <row r="101" spans="2:18" ht="53.25" hidden="1" customHeight="1" outlineLevel="1" x14ac:dyDescent="0.25">
      <c r="B101" s="343" t="s">
        <v>1154</v>
      </c>
      <c r="C101" s="343"/>
      <c r="D101" s="332"/>
      <c r="E101" s="346"/>
      <c r="F101" s="346"/>
      <c r="G101" s="346"/>
      <c r="H101" s="738" t="s">
        <v>1155</v>
      </c>
      <c r="I101" s="739"/>
      <c r="J101" s="739"/>
      <c r="K101" s="739"/>
      <c r="L101" s="740"/>
      <c r="M101" s="332">
        <v>1</v>
      </c>
      <c r="N101" s="332">
        <v>1</v>
      </c>
      <c r="O101" s="332">
        <v>2</v>
      </c>
      <c r="P101" s="332">
        <v>1</v>
      </c>
      <c r="Q101" s="332">
        <v>2</v>
      </c>
      <c r="R101" s="332">
        <v>2</v>
      </c>
    </row>
    <row r="102" spans="2:18" ht="53.25" hidden="1" customHeight="1" outlineLevel="1" x14ac:dyDescent="0.25">
      <c r="B102" s="343" t="s">
        <v>1156</v>
      </c>
      <c r="C102" s="343"/>
      <c r="D102" s="332"/>
      <c r="E102" s="346"/>
      <c r="F102" s="346"/>
      <c r="G102" s="346"/>
      <c r="H102" s="738" t="s">
        <v>1157</v>
      </c>
      <c r="I102" s="739"/>
      <c r="J102" s="739"/>
      <c r="K102" s="739"/>
      <c r="L102" s="740"/>
      <c r="M102" s="332">
        <v>2</v>
      </c>
      <c r="N102" s="332">
        <v>2</v>
      </c>
      <c r="O102" s="332">
        <v>2</v>
      </c>
      <c r="P102" s="332">
        <v>2</v>
      </c>
      <c r="Q102" s="332">
        <v>3</v>
      </c>
      <c r="R102" s="332">
        <v>3</v>
      </c>
    </row>
    <row r="103" spans="2:18" ht="53.25" hidden="1" customHeight="1" outlineLevel="1" x14ac:dyDescent="0.25">
      <c r="B103" s="343" t="s">
        <v>1158</v>
      </c>
      <c r="C103" s="343"/>
      <c r="D103" s="332"/>
      <c r="E103" s="346"/>
      <c r="F103" s="346"/>
      <c r="G103" s="346"/>
      <c r="H103" s="738" t="s">
        <v>1159</v>
      </c>
      <c r="I103" s="739"/>
      <c r="J103" s="739"/>
      <c r="K103" s="739"/>
      <c r="L103" s="740"/>
      <c r="M103" s="332">
        <v>3</v>
      </c>
      <c r="N103" s="332">
        <v>2</v>
      </c>
      <c r="O103" s="332">
        <v>3</v>
      </c>
      <c r="P103" s="332">
        <v>4</v>
      </c>
      <c r="Q103" s="332">
        <v>4</v>
      </c>
      <c r="R103" s="332">
        <v>4</v>
      </c>
    </row>
    <row r="104" spans="2:18" ht="53.25" hidden="1" customHeight="1" outlineLevel="1" x14ac:dyDescent="0.25">
      <c r="B104" s="343" t="s">
        <v>1160</v>
      </c>
      <c r="C104" s="343"/>
      <c r="D104" s="332"/>
      <c r="E104" s="346"/>
      <c r="F104" s="346"/>
      <c r="G104" s="346"/>
      <c r="H104" s="738" t="s">
        <v>1151</v>
      </c>
      <c r="I104" s="739"/>
      <c r="J104" s="739"/>
      <c r="K104" s="739"/>
      <c r="L104" s="740"/>
      <c r="M104" s="332">
        <v>5</v>
      </c>
      <c r="N104" s="332">
        <v>3</v>
      </c>
      <c r="O104" s="332">
        <v>5</v>
      </c>
      <c r="P104" s="332">
        <v>7</v>
      </c>
      <c r="Q104" s="332">
        <v>7</v>
      </c>
      <c r="R104" s="332">
        <v>7</v>
      </c>
    </row>
    <row r="105" spans="2:18" ht="53.25" customHeight="1" collapsed="1" x14ac:dyDescent="0.25">
      <c r="B105" s="332">
        <v>6</v>
      </c>
      <c r="C105" s="757" t="s">
        <v>1161</v>
      </c>
      <c r="D105" s="758"/>
      <c r="E105" s="753" t="s">
        <v>1162</v>
      </c>
      <c r="F105" s="753"/>
      <c r="G105" s="753"/>
      <c r="H105" s="738" t="s">
        <v>1093</v>
      </c>
      <c r="I105" s="739"/>
      <c r="J105" s="739"/>
      <c r="K105" s="739"/>
      <c r="L105" s="740"/>
      <c r="M105" s="332">
        <f t="shared" ref="M105:R105" ca="1" si="5">IF(D24="Да",SUMIF($H106:$L119,$H105,M106:M119),0)</f>
        <v>1</v>
      </c>
      <c r="N105" s="332">
        <f t="shared" si="5"/>
        <v>0</v>
      </c>
      <c r="O105" s="332">
        <f t="shared" si="5"/>
        <v>0</v>
      </c>
      <c r="P105" s="332">
        <f t="shared" ca="1" si="5"/>
        <v>1</v>
      </c>
      <c r="Q105" s="332">
        <f t="shared" si="5"/>
        <v>0</v>
      </c>
      <c r="R105" s="332">
        <f t="shared" si="5"/>
        <v>0</v>
      </c>
    </row>
    <row r="106" spans="2:18" ht="53.25" hidden="1" customHeight="1" outlineLevel="1" x14ac:dyDescent="0.25">
      <c r="B106" s="343" t="s">
        <v>1163</v>
      </c>
      <c r="C106" s="343"/>
      <c r="D106" s="332"/>
      <c r="E106" s="346"/>
      <c r="F106" s="346"/>
      <c r="G106" s="346"/>
      <c r="H106" s="738" t="s">
        <v>1093</v>
      </c>
      <c r="I106" s="739"/>
      <c r="J106" s="739"/>
      <c r="K106" s="739"/>
      <c r="L106" s="740"/>
      <c r="M106" s="332">
        <v>1</v>
      </c>
      <c r="N106" s="332">
        <v>1</v>
      </c>
      <c r="O106" s="332">
        <v>1</v>
      </c>
      <c r="P106" s="332">
        <v>1</v>
      </c>
      <c r="Q106" s="332">
        <v>1</v>
      </c>
      <c r="R106" s="332">
        <v>1</v>
      </c>
    </row>
    <row r="107" spans="2:18" ht="53.25" hidden="1" customHeight="1" outlineLevel="1" x14ac:dyDescent="0.25">
      <c r="B107" s="343" t="s">
        <v>1164</v>
      </c>
      <c r="C107" s="343"/>
      <c r="D107" s="332"/>
      <c r="E107" s="346"/>
      <c r="F107" s="346"/>
      <c r="G107" s="346"/>
      <c r="H107" s="738" t="s">
        <v>1095</v>
      </c>
      <c r="I107" s="739"/>
      <c r="J107" s="739"/>
      <c r="K107" s="739"/>
      <c r="L107" s="740"/>
      <c r="M107" s="332">
        <v>2</v>
      </c>
      <c r="N107" s="332">
        <v>1</v>
      </c>
      <c r="O107" s="332">
        <v>2</v>
      </c>
      <c r="P107" s="332">
        <v>2</v>
      </c>
      <c r="Q107" s="332">
        <v>2</v>
      </c>
      <c r="R107" s="332">
        <v>2</v>
      </c>
    </row>
    <row r="108" spans="2:18" ht="53.25" hidden="1" customHeight="1" outlineLevel="1" x14ac:dyDescent="0.25">
      <c r="B108" s="343" t="s">
        <v>1165</v>
      </c>
      <c r="C108" s="343"/>
      <c r="D108" s="332"/>
      <c r="E108" s="346"/>
      <c r="F108" s="346"/>
      <c r="G108" s="346"/>
      <c r="H108" s="738" t="s">
        <v>1097</v>
      </c>
      <c r="I108" s="739"/>
      <c r="J108" s="739"/>
      <c r="K108" s="739"/>
      <c r="L108" s="740"/>
      <c r="M108" s="332">
        <v>2</v>
      </c>
      <c r="N108" s="332">
        <v>2</v>
      </c>
      <c r="O108" s="332">
        <v>3</v>
      </c>
      <c r="P108" s="332">
        <v>3</v>
      </c>
      <c r="Q108" s="332">
        <v>3</v>
      </c>
      <c r="R108" s="332">
        <v>3</v>
      </c>
    </row>
    <row r="109" spans="2:18" ht="53.25" hidden="1" customHeight="1" outlineLevel="1" x14ac:dyDescent="0.25">
      <c r="B109" s="343" t="s">
        <v>1166</v>
      </c>
      <c r="C109" s="343"/>
      <c r="D109" s="332"/>
      <c r="E109" s="346"/>
      <c r="F109" s="346"/>
      <c r="G109" s="346"/>
      <c r="H109" s="738" t="s">
        <v>1099</v>
      </c>
      <c r="I109" s="739"/>
      <c r="J109" s="739"/>
      <c r="K109" s="739"/>
      <c r="L109" s="740"/>
      <c r="M109" s="332">
        <v>3</v>
      </c>
      <c r="N109" s="332">
        <v>2</v>
      </c>
      <c r="O109" s="332">
        <v>4</v>
      </c>
      <c r="P109" s="332">
        <v>4</v>
      </c>
      <c r="Q109" s="332">
        <v>4</v>
      </c>
      <c r="R109" s="332">
        <v>4</v>
      </c>
    </row>
    <row r="110" spans="2:18" ht="53.25" hidden="1" customHeight="1" outlineLevel="1" x14ac:dyDescent="0.25">
      <c r="B110" s="343" t="s">
        <v>1167</v>
      </c>
      <c r="C110" s="343"/>
      <c r="D110" s="332"/>
      <c r="E110" s="346"/>
      <c r="F110" s="346"/>
      <c r="G110" s="346"/>
      <c r="H110" s="738" t="s">
        <v>1101</v>
      </c>
      <c r="I110" s="739"/>
      <c r="J110" s="739"/>
      <c r="K110" s="739"/>
      <c r="L110" s="740"/>
      <c r="M110" s="332">
        <v>3</v>
      </c>
      <c r="N110" s="332">
        <v>3</v>
      </c>
      <c r="O110" s="332">
        <v>5</v>
      </c>
      <c r="P110" s="332">
        <v>5</v>
      </c>
      <c r="Q110" s="332">
        <v>5</v>
      </c>
      <c r="R110" s="332">
        <v>5</v>
      </c>
    </row>
    <row r="111" spans="2:18" ht="53.25" hidden="1" customHeight="1" outlineLevel="1" x14ac:dyDescent="0.25">
      <c r="B111" s="343" t="s">
        <v>1168</v>
      </c>
      <c r="C111" s="343"/>
      <c r="D111" s="332"/>
      <c r="E111" s="346"/>
      <c r="F111" s="346"/>
      <c r="G111" s="346"/>
      <c r="H111" s="738" t="s">
        <v>1103</v>
      </c>
      <c r="I111" s="739"/>
      <c r="J111" s="739"/>
      <c r="K111" s="739"/>
      <c r="L111" s="740"/>
      <c r="M111" s="332">
        <v>4</v>
      </c>
      <c r="N111" s="332">
        <v>3</v>
      </c>
      <c r="O111" s="332">
        <v>6</v>
      </c>
      <c r="P111" s="332">
        <v>6</v>
      </c>
      <c r="Q111" s="332">
        <v>6</v>
      </c>
      <c r="R111" s="332">
        <v>6</v>
      </c>
    </row>
    <row r="112" spans="2:18" ht="53.25" hidden="1" customHeight="1" outlineLevel="1" x14ac:dyDescent="0.25">
      <c r="B112" s="343" t="s">
        <v>1169</v>
      </c>
      <c r="C112" s="343"/>
      <c r="D112" s="332"/>
      <c r="E112" s="346"/>
      <c r="F112" s="346"/>
      <c r="G112" s="346"/>
      <c r="H112" s="738" t="s">
        <v>1105</v>
      </c>
      <c r="I112" s="739"/>
      <c r="J112" s="739"/>
      <c r="K112" s="739"/>
      <c r="L112" s="740"/>
      <c r="M112" s="332">
        <v>4</v>
      </c>
      <c r="N112" s="332">
        <v>4</v>
      </c>
      <c r="O112" s="332">
        <v>7</v>
      </c>
      <c r="P112" s="332">
        <v>7</v>
      </c>
      <c r="Q112" s="332">
        <v>7</v>
      </c>
      <c r="R112" s="332">
        <v>7</v>
      </c>
    </row>
    <row r="113" spans="2:18" ht="53.25" hidden="1" customHeight="1" outlineLevel="1" x14ac:dyDescent="0.25">
      <c r="B113" s="343" t="s">
        <v>1170</v>
      </c>
      <c r="C113" s="343"/>
      <c r="D113" s="332"/>
      <c r="E113" s="346"/>
      <c r="F113" s="346"/>
      <c r="G113" s="346"/>
      <c r="H113" s="738" t="s">
        <v>1091</v>
      </c>
      <c r="I113" s="739"/>
      <c r="J113" s="739"/>
      <c r="K113" s="739"/>
      <c r="L113" s="740"/>
      <c r="M113" s="332">
        <v>5</v>
      </c>
      <c r="N113" s="332">
        <v>4</v>
      </c>
      <c r="O113" s="332">
        <v>8</v>
      </c>
      <c r="P113" s="332">
        <v>8</v>
      </c>
      <c r="Q113" s="332">
        <v>8</v>
      </c>
      <c r="R113" s="332">
        <v>8</v>
      </c>
    </row>
    <row r="114" spans="2:18" ht="53.25" hidden="1" customHeight="1" outlineLevel="1" x14ac:dyDescent="0.25">
      <c r="B114" s="343" t="s">
        <v>1171</v>
      </c>
      <c r="C114" s="343"/>
      <c r="D114" s="332"/>
      <c r="E114" s="346"/>
      <c r="F114" s="346"/>
      <c r="G114" s="346"/>
      <c r="H114" s="738" t="s">
        <v>1108</v>
      </c>
      <c r="I114" s="739"/>
      <c r="J114" s="739"/>
      <c r="K114" s="739"/>
      <c r="L114" s="740"/>
      <c r="M114" s="332">
        <v>5</v>
      </c>
      <c r="N114" s="332">
        <v>5</v>
      </c>
      <c r="O114" s="332">
        <v>9</v>
      </c>
      <c r="P114" s="332">
        <v>9</v>
      </c>
      <c r="Q114" s="332">
        <v>9</v>
      </c>
      <c r="R114" s="332">
        <v>9</v>
      </c>
    </row>
    <row r="115" spans="2:18" ht="53.25" hidden="1" customHeight="1" outlineLevel="1" x14ac:dyDescent="0.25">
      <c r="B115" s="343" t="s">
        <v>1172</v>
      </c>
      <c r="C115" s="343"/>
      <c r="D115" s="332"/>
      <c r="E115" s="346"/>
      <c r="F115" s="346"/>
      <c r="G115" s="346"/>
      <c r="H115" s="738" t="s">
        <v>1110</v>
      </c>
      <c r="I115" s="739"/>
      <c r="J115" s="739"/>
      <c r="K115" s="739"/>
      <c r="L115" s="740"/>
      <c r="M115" s="332">
        <v>6</v>
      </c>
      <c r="N115" s="332">
        <v>5</v>
      </c>
      <c r="O115" s="332">
        <v>10</v>
      </c>
      <c r="P115" s="332">
        <v>10</v>
      </c>
      <c r="Q115" s="332">
        <v>10</v>
      </c>
      <c r="R115" s="332">
        <v>10</v>
      </c>
    </row>
    <row r="116" spans="2:18" ht="53.25" hidden="1" customHeight="1" outlineLevel="1" x14ac:dyDescent="0.25">
      <c r="B116" s="343" t="s">
        <v>1173</v>
      </c>
      <c r="C116" s="343"/>
      <c r="D116" s="332"/>
      <c r="E116" s="346"/>
      <c r="F116" s="346"/>
      <c r="G116" s="346"/>
      <c r="H116" s="738" t="s">
        <v>1112</v>
      </c>
      <c r="I116" s="739"/>
      <c r="J116" s="739"/>
      <c r="K116" s="739"/>
      <c r="L116" s="740"/>
      <c r="M116" s="332">
        <v>7</v>
      </c>
      <c r="N116" s="332">
        <v>6</v>
      </c>
      <c r="O116" s="332">
        <v>11</v>
      </c>
      <c r="P116" s="332">
        <v>11</v>
      </c>
      <c r="Q116" s="332">
        <v>11</v>
      </c>
      <c r="R116" s="332">
        <v>11</v>
      </c>
    </row>
    <row r="117" spans="2:18" ht="53.25" hidden="1" customHeight="1" outlineLevel="1" x14ac:dyDescent="0.25">
      <c r="B117" s="343" t="s">
        <v>1174</v>
      </c>
      <c r="C117" s="343"/>
      <c r="D117" s="332"/>
      <c r="E117" s="346"/>
      <c r="F117" s="346"/>
      <c r="G117" s="346"/>
      <c r="H117" s="738" t="s">
        <v>1114</v>
      </c>
      <c r="I117" s="739"/>
      <c r="J117" s="739"/>
      <c r="K117" s="739"/>
      <c r="L117" s="740"/>
      <c r="M117" s="332">
        <v>8</v>
      </c>
      <c r="N117" s="332">
        <v>6</v>
      </c>
      <c r="O117" s="332">
        <v>12</v>
      </c>
      <c r="P117" s="332">
        <v>12</v>
      </c>
      <c r="Q117" s="332">
        <v>12</v>
      </c>
      <c r="R117" s="332">
        <v>12</v>
      </c>
    </row>
    <row r="118" spans="2:18" ht="53.25" hidden="1" customHeight="1" outlineLevel="1" x14ac:dyDescent="0.25">
      <c r="B118" s="343" t="s">
        <v>1175</v>
      </c>
      <c r="C118" s="343"/>
      <c r="D118" s="332"/>
      <c r="E118" s="346"/>
      <c r="F118" s="346"/>
      <c r="G118" s="346"/>
      <c r="H118" s="738" t="s">
        <v>1116</v>
      </c>
      <c r="I118" s="739"/>
      <c r="J118" s="739"/>
      <c r="K118" s="739"/>
      <c r="L118" s="740"/>
      <c r="M118" s="332">
        <v>9</v>
      </c>
      <c r="N118" s="332">
        <v>7</v>
      </c>
      <c r="O118" s="332">
        <v>13</v>
      </c>
      <c r="P118" s="332">
        <v>13</v>
      </c>
      <c r="Q118" s="332">
        <v>13</v>
      </c>
      <c r="R118" s="332">
        <v>13</v>
      </c>
    </row>
    <row r="119" spans="2:18" ht="53.25" hidden="1" customHeight="1" outlineLevel="1" x14ac:dyDescent="0.25">
      <c r="B119" s="343" t="s">
        <v>1176</v>
      </c>
      <c r="C119" s="343"/>
      <c r="D119" s="332"/>
      <c r="E119" s="346"/>
      <c r="F119" s="346"/>
      <c r="G119" s="346"/>
      <c r="H119" s="738" t="s">
        <v>1118</v>
      </c>
      <c r="I119" s="739"/>
      <c r="J119" s="739"/>
      <c r="K119" s="739"/>
      <c r="L119" s="740"/>
      <c r="M119" s="332">
        <v>1</v>
      </c>
      <c r="N119" s="332">
        <v>1</v>
      </c>
      <c r="O119" s="332">
        <v>1</v>
      </c>
      <c r="P119" s="332">
        <v>1</v>
      </c>
      <c r="Q119" s="332">
        <v>1</v>
      </c>
      <c r="R119" s="332">
        <v>1</v>
      </c>
    </row>
    <row r="120" spans="2:18" ht="53.25" customHeight="1" collapsed="1" x14ac:dyDescent="0.25">
      <c r="B120" s="332">
        <v>7</v>
      </c>
      <c r="C120" s="757" t="s">
        <v>1177</v>
      </c>
      <c r="D120" s="758"/>
      <c r="E120" s="753" t="s">
        <v>1178</v>
      </c>
      <c r="F120" s="753"/>
      <c r="G120" s="753"/>
      <c r="H120" s="738" t="s">
        <v>1082</v>
      </c>
      <c r="I120" s="739"/>
      <c r="J120" s="739"/>
      <c r="K120" s="739"/>
      <c r="L120" s="740"/>
      <c r="M120" s="332">
        <f t="shared" ref="M120:R120" ca="1" si="6">IF(D24="Да",SUMIF($H121:$L134,$H120,M121:M134),0)</f>
        <v>1</v>
      </c>
      <c r="N120" s="332">
        <f t="shared" si="6"/>
        <v>0</v>
      </c>
      <c r="O120" s="332">
        <f t="shared" si="6"/>
        <v>0</v>
      </c>
      <c r="P120" s="332">
        <f t="shared" ca="1" si="6"/>
        <v>1</v>
      </c>
      <c r="Q120" s="332">
        <f t="shared" si="6"/>
        <v>0</v>
      </c>
      <c r="R120" s="332">
        <f t="shared" si="6"/>
        <v>0</v>
      </c>
    </row>
    <row r="121" spans="2:18" ht="53.25" hidden="1" customHeight="1" outlineLevel="1" x14ac:dyDescent="0.25">
      <c r="B121" s="343">
        <v>7.22</v>
      </c>
      <c r="C121" s="344"/>
      <c r="D121" s="334"/>
      <c r="E121" s="341"/>
      <c r="F121" s="341"/>
      <c r="G121" s="341"/>
      <c r="H121" s="738" t="s">
        <v>1082</v>
      </c>
      <c r="I121" s="739"/>
      <c r="J121" s="739"/>
      <c r="K121" s="739"/>
      <c r="L121" s="740"/>
      <c r="M121" s="332">
        <v>1</v>
      </c>
      <c r="N121" s="332">
        <v>1</v>
      </c>
      <c r="O121" s="332">
        <v>1</v>
      </c>
      <c r="P121" s="332">
        <v>1</v>
      </c>
      <c r="Q121" s="332">
        <v>1</v>
      </c>
      <c r="R121" s="332">
        <v>1</v>
      </c>
    </row>
    <row r="122" spans="2:18" ht="53.25" hidden="1" customHeight="1" outlineLevel="1" x14ac:dyDescent="0.25">
      <c r="B122" s="343" t="s">
        <v>1138</v>
      </c>
      <c r="C122" s="344"/>
      <c r="D122" s="334"/>
      <c r="E122" s="341"/>
      <c r="F122" s="341"/>
      <c r="G122" s="341"/>
      <c r="H122" s="738" t="s">
        <v>1083</v>
      </c>
      <c r="I122" s="739"/>
      <c r="J122" s="739"/>
      <c r="K122" s="739"/>
      <c r="L122" s="740"/>
      <c r="M122" s="332">
        <v>2</v>
      </c>
      <c r="N122" s="332">
        <v>1</v>
      </c>
      <c r="O122" s="332">
        <v>2</v>
      </c>
      <c r="P122" s="332">
        <v>2</v>
      </c>
      <c r="Q122" s="332">
        <v>2</v>
      </c>
      <c r="R122" s="332">
        <v>2</v>
      </c>
    </row>
    <row r="123" spans="2:18" ht="53.25" hidden="1" customHeight="1" outlineLevel="1" x14ac:dyDescent="0.25">
      <c r="B123" s="343" t="s">
        <v>1140</v>
      </c>
      <c r="C123" s="344"/>
      <c r="D123" s="334"/>
      <c r="E123" s="341"/>
      <c r="F123" s="341"/>
      <c r="G123" s="341"/>
      <c r="H123" s="738" t="s">
        <v>1081</v>
      </c>
      <c r="I123" s="739"/>
      <c r="J123" s="739"/>
      <c r="K123" s="739"/>
      <c r="L123" s="740"/>
      <c r="M123" s="332">
        <v>3</v>
      </c>
      <c r="N123" s="332">
        <v>2</v>
      </c>
      <c r="O123" s="332">
        <v>3</v>
      </c>
      <c r="P123" s="332">
        <v>3</v>
      </c>
      <c r="Q123" s="332">
        <v>3</v>
      </c>
      <c r="R123" s="332">
        <v>3</v>
      </c>
    </row>
    <row r="124" spans="2:18" ht="53.25" hidden="1" customHeight="1" outlineLevel="1" x14ac:dyDescent="0.25">
      <c r="B124" s="343" t="s">
        <v>1141</v>
      </c>
      <c r="C124" s="344"/>
      <c r="D124" s="334"/>
      <c r="E124" s="341"/>
      <c r="F124" s="341"/>
      <c r="G124" s="341"/>
      <c r="H124" s="738" t="s">
        <v>1180</v>
      </c>
      <c r="I124" s="739"/>
      <c r="J124" s="739"/>
      <c r="K124" s="739"/>
      <c r="L124" s="740"/>
      <c r="M124" s="332">
        <v>3</v>
      </c>
      <c r="N124" s="332">
        <v>2</v>
      </c>
      <c r="O124" s="332">
        <v>4</v>
      </c>
      <c r="P124" s="332">
        <v>4</v>
      </c>
      <c r="Q124" s="332">
        <v>4</v>
      </c>
      <c r="R124" s="332">
        <v>4</v>
      </c>
    </row>
    <row r="125" spans="2:18" ht="53.25" hidden="1" customHeight="1" outlineLevel="1" x14ac:dyDescent="0.25">
      <c r="B125" s="343" t="s">
        <v>1143</v>
      </c>
      <c r="C125" s="344"/>
      <c r="D125" s="334"/>
      <c r="E125" s="341"/>
      <c r="F125" s="341"/>
      <c r="G125" s="341"/>
      <c r="H125" s="738" t="s">
        <v>1181</v>
      </c>
      <c r="I125" s="739"/>
      <c r="J125" s="739"/>
      <c r="K125" s="739"/>
      <c r="L125" s="740"/>
      <c r="M125" s="332">
        <v>4</v>
      </c>
      <c r="N125" s="332">
        <v>3</v>
      </c>
      <c r="O125" s="332">
        <v>5</v>
      </c>
      <c r="P125" s="332">
        <v>5</v>
      </c>
      <c r="Q125" s="332">
        <v>5</v>
      </c>
      <c r="R125" s="332">
        <v>5</v>
      </c>
    </row>
    <row r="126" spans="2:18" ht="53.25" hidden="1" customHeight="1" outlineLevel="1" x14ac:dyDescent="0.25">
      <c r="B126" s="343" t="s">
        <v>1145</v>
      </c>
      <c r="C126" s="344"/>
      <c r="D126" s="334"/>
      <c r="E126" s="341"/>
      <c r="F126" s="341"/>
      <c r="G126" s="341"/>
      <c r="H126" s="738" t="s">
        <v>1182</v>
      </c>
      <c r="I126" s="739"/>
      <c r="J126" s="739"/>
      <c r="K126" s="739"/>
      <c r="L126" s="740"/>
      <c r="M126" s="332">
        <v>4</v>
      </c>
      <c r="N126" s="332">
        <v>3</v>
      </c>
      <c r="O126" s="332">
        <v>6</v>
      </c>
      <c r="P126" s="332">
        <v>6</v>
      </c>
      <c r="Q126" s="332">
        <v>6</v>
      </c>
      <c r="R126" s="332">
        <v>6</v>
      </c>
    </row>
    <row r="127" spans="2:18" ht="53.25" hidden="1" customHeight="1" outlineLevel="1" x14ac:dyDescent="0.25">
      <c r="B127" s="343" t="s">
        <v>1147</v>
      </c>
      <c r="C127" s="344"/>
      <c r="D127" s="334"/>
      <c r="E127" s="341"/>
      <c r="F127" s="341"/>
      <c r="G127" s="341"/>
      <c r="H127" s="738" t="s">
        <v>1179</v>
      </c>
      <c r="I127" s="739"/>
      <c r="J127" s="739"/>
      <c r="K127" s="739"/>
      <c r="L127" s="740"/>
      <c r="M127" s="332">
        <v>5</v>
      </c>
      <c r="N127" s="332">
        <v>4</v>
      </c>
      <c r="O127" s="332">
        <v>7</v>
      </c>
      <c r="P127" s="332">
        <v>7</v>
      </c>
      <c r="Q127" s="332">
        <v>7</v>
      </c>
      <c r="R127" s="332">
        <v>7</v>
      </c>
    </row>
    <row r="128" spans="2:18" ht="53.25" hidden="1" customHeight="1" outlineLevel="1" x14ac:dyDescent="0.25">
      <c r="B128" s="343" t="s">
        <v>1183</v>
      </c>
      <c r="C128" s="344"/>
      <c r="D128" s="334"/>
      <c r="E128" s="341"/>
      <c r="F128" s="341"/>
      <c r="G128" s="341"/>
      <c r="H128" s="738" t="s">
        <v>1184</v>
      </c>
      <c r="I128" s="739"/>
      <c r="J128" s="739"/>
      <c r="K128" s="739"/>
      <c r="L128" s="740"/>
      <c r="M128" s="332">
        <v>5</v>
      </c>
      <c r="N128" s="332">
        <v>4</v>
      </c>
      <c r="O128" s="332">
        <v>8</v>
      </c>
      <c r="P128" s="332">
        <v>8</v>
      </c>
      <c r="Q128" s="332">
        <v>8</v>
      </c>
      <c r="R128" s="332">
        <v>8</v>
      </c>
    </row>
    <row r="129" spans="2:23" ht="53.25" hidden="1" customHeight="1" outlineLevel="1" x14ac:dyDescent="0.25">
      <c r="B129" s="343" t="s">
        <v>1185</v>
      </c>
      <c r="C129" s="344"/>
      <c r="D129" s="334"/>
      <c r="E129" s="341"/>
      <c r="F129" s="341"/>
      <c r="G129" s="341"/>
      <c r="H129" s="738" t="s">
        <v>1186</v>
      </c>
      <c r="I129" s="739"/>
      <c r="J129" s="739"/>
      <c r="K129" s="739"/>
      <c r="L129" s="740"/>
      <c r="M129" s="332">
        <v>6</v>
      </c>
      <c r="N129" s="332">
        <v>5</v>
      </c>
      <c r="O129" s="332">
        <v>9</v>
      </c>
      <c r="P129" s="332">
        <v>9</v>
      </c>
      <c r="Q129" s="332">
        <v>9</v>
      </c>
      <c r="R129" s="332">
        <v>9</v>
      </c>
    </row>
    <row r="130" spans="2:23" ht="53.25" hidden="1" customHeight="1" outlineLevel="1" x14ac:dyDescent="0.25">
      <c r="B130" s="343">
        <v>7.22</v>
      </c>
      <c r="C130" s="344"/>
      <c r="D130" s="334"/>
      <c r="E130" s="341"/>
      <c r="F130" s="341"/>
      <c r="G130" s="341"/>
      <c r="H130" s="738" t="s">
        <v>1187</v>
      </c>
      <c r="I130" s="739"/>
      <c r="J130" s="739"/>
      <c r="K130" s="739"/>
      <c r="L130" s="740"/>
      <c r="M130" s="332">
        <v>7</v>
      </c>
      <c r="N130" s="332">
        <v>5</v>
      </c>
      <c r="O130" s="332">
        <v>10</v>
      </c>
      <c r="P130" s="332">
        <v>10</v>
      </c>
      <c r="Q130" s="332">
        <v>10</v>
      </c>
      <c r="R130" s="332">
        <v>10</v>
      </c>
    </row>
    <row r="131" spans="2:23" ht="53.25" hidden="1" customHeight="1" outlineLevel="1" x14ac:dyDescent="0.25">
      <c r="B131" s="343">
        <v>7.2210000000000001</v>
      </c>
      <c r="C131" s="344"/>
      <c r="D131" s="334"/>
      <c r="E131" s="341"/>
      <c r="F131" s="341"/>
      <c r="G131" s="341"/>
      <c r="H131" s="738" t="s">
        <v>1188</v>
      </c>
      <c r="I131" s="739"/>
      <c r="J131" s="739"/>
      <c r="K131" s="739"/>
      <c r="L131" s="740"/>
      <c r="M131" s="332">
        <v>8</v>
      </c>
      <c r="N131" s="332">
        <v>6</v>
      </c>
      <c r="O131" s="332">
        <v>11</v>
      </c>
      <c r="P131" s="332">
        <v>11</v>
      </c>
      <c r="Q131" s="332">
        <v>11</v>
      </c>
      <c r="R131" s="332">
        <v>11</v>
      </c>
    </row>
    <row r="132" spans="2:23" ht="53.25" hidden="1" customHeight="1" outlineLevel="1" x14ac:dyDescent="0.25">
      <c r="B132" s="343">
        <v>7.2220000000000004</v>
      </c>
      <c r="C132" s="344"/>
      <c r="D132" s="334"/>
      <c r="E132" s="341"/>
      <c r="F132" s="341"/>
      <c r="G132" s="341"/>
      <c r="H132" s="738" t="s">
        <v>1189</v>
      </c>
      <c r="I132" s="739"/>
      <c r="J132" s="739"/>
      <c r="K132" s="739"/>
      <c r="L132" s="740"/>
      <c r="M132" s="332">
        <v>9</v>
      </c>
      <c r="N132" s="332">
        <v>6</v>
      </c>
      <c r="O132" s="332">
        <v>12</v>
      </c>
      <c r="P132" s="332">
        <v>12</v>
      </c>
      <c r="Q132" s="332">
        <v>12</v>
      </c>
      <c r="R132" s="332">
        <v>12</v>
      </c>
    </row>
    <row r="133" spans="2:23" ht="53.25" hidden="1" customHeight="1" outlineLevel="1" x14ac:dyDescent="0.25">
      <c r="B133" s="343">
        <v>7.2229999999999999</v>
      </c>
      <c r="C133" s="344"/>
      <c r="D133" s="334"/>
      <c r="E133" s="341"/>
      <c r="F133" s="341"/>
      <c r="G133" s="341"/>
      <c r="H133" s="738" t="s">
        <v>1190</v>
      </c>
      <c r="I133" s="739"/>
      <c r="J133" s="739"/>
      <c r="K133" s="739"/>
      <c r="L133" s="740"/>
      <c r="M133" s="332">
        <v>10</v>
      </c>
      <c r="N133" s="332">
        <v>7</v>
      </c>
      <c r="O133" s="332">
        <v>13</v>
      </c>
      <c r="P133" s="332">
        <v>13</v>
      </c>
      <c r="Q133" s="332">
        <v>13</v>
      </c>
      <c r="R133" s="332">
        <v>13</v>
      </c>
    </row>
    <row r="134" spans="2:23" ht="53.25" hidden="1" customHeight="1" outlineLevel="1" x14ac:dyDescent="0.25">
      <c r="B134" s="343">
        <v>7.2240000000000002</v>
      </c>
      <c r="C134" s="344"/>
      <c r="D134" s="334"/>
      <c r="E134" s="341"/>
      <c r="F134" s="341"/>
      <c r="G134" s="341"/>
      <c r="H134" s="738" t="s">
        <v>1191</v>
      </c>
      <c r="I134" s="739"/>
      <c r="J134" s="739"/>
      <c r="K134" s="739"/>
      <c r="L134" s="740"/>
      <c r="M134" s="332">
        <v>1</v>
      </c>
      <c r="N134" s="332">
        <v>1</v>
      </c>
      <c r="O134" s="332">
        <v>1</v>
      </c>
      <c r="P134" s="332">
        <v>1</v>
      </c>
      <c r="Q134" s="332">
        <v>1</v>
      </c>
      <c r="R134" s="332">
        <v>1</v>
      </c>
    </row>
    <row r="135" spans="2:23" ht="26.25" customHeight="1" collapsed="1" x14ac:dyDescent="0.25">
      <c r="B135" s="332">
        <v>8</v>
      </c>
      <c r="C135" s="334"/>
      <c r="D135" s="334"/>
      <c r="E135" s="328"/>
      <c r="F135" s="328"/>
      <c r="G135" s="328"/>
      <c r="H135" s="328"/>
      <c r="I135" s="328"/>
      <c r="J135" s="328"/>
      <c r="K135" s="328"/>
      <c r="L135" s="345" t="s">
        <v>1119</v>
      </c>
      <c r="M135" s="332">
        <f ca="1">M71+M78+M86+M91+M99+M105+M120</f>
        <v>8</v>
      </c>
      <c r="N135" s="332">
        <f t="shared" ref="N135:R135" si="7">N71+N78+N86+N91+N99+N105+N120</f>
        <v>0</v>
      </c>
      <c r="O135" s="332">
        <f>O71+O78+O86+O91+O99+O105+O120</f>
        <v>0</v>
      </c>
      <c r="P135" s="332">
        <f t="shared" ca="1" si="7"/>
        <v>8</v>
      </c>
      <c r="Q135" s="332">
        <f t="shared" si="7"/>
        <v>0</v>
      </c>
      <c r="R135" s="332">
        <f t="shared" si="7"/>
        <v>0</v>
      </c>
    </row>
    <row r="136" spans="2:23" ht="26.25" customHeight="1" x14ac:dyDescent="0.25">
      <c r="B136" s="745" t="s">
        <v>1192</v>
      </c>
      <c r="C136" s="746"/>
      <c r="D136" s="746"/>
      <c r="E136" s="746"/>
      <c r="F136" s="746"/>
      <c r="G136" s="746"/>
      <c r="H136" s="746"/>
      <c r="I136" s="746"/>
      <c r="J136" s="746"/>
      <c r="K136" s="746"/>
      <c r="L136" s="746"/>
      <c r="M136" s="746"/>
      <c r="N136" s="746"/>
      <c r="O136" s="746"/>
      <c r="P136" s="746"/>
      <c r="Q136" s="746"/>
      <c r="R136" s="747"/>
    </row>
    <row r="137" spans="2:23" ht="26.25" customHeight="1" x14ac:dyDescent="0.25">
      <c r="B137" s="748" t="s">
        <v>90</v>
      </c>
      <c r="C137" s="754" t="s">
        <v>1193</v>
      </c>
      <c r="D137" s="755"/>
      <c r="E137" s="755"/>
      <c r="F137" s="755"/>
      <c r="G137" s="755"/>
      <c r="H137" s="755"/>
      <c r="I137" s="756"/>
      <c r="J137" s="748" t="s">
        <v>1194</v>
      </c>
      <c r="K137" s="748"/>
      <c r="L137" s="748"/>
      <c r="M137" s="748"/>
      <c r="N137" s="748"/>
      <c r="O137" s="748"/>
      <c r="P137" s="748"/>
      <c r="Q137" s="748"/>
      <c r="R137" s="748"/>
    </row>
    <row r="138" spans="2:23" ht="22.5" customHeight="1" x14ac:dyDescent="0.25">
      <c r="B138" s="748"/>
      <c r="C138" s="333" t="s">
        <v>1062</v>
      </c>
      <c r="D138" s="333" t="s">
        <v>1049</v>
      </c>
      <c r="E138" s="333" t="s">
        <v>1050</v>
      </c>
      <c r="F138" s="333" t="s">
        <v>1051</v>
      </c>
      <c r="G138" s="333" t="s">
        <v>1052</v>
      </c>
      <c r="H138" s="333" t="s">
        <v>1053</v>
      </c>
      <c r="I138" s="333" t="s">
        <v>1054</v>
      </c>
      <c r="J138" s="333" t="s">
        <v>1195</v>
      </c>
      <c r="K138" s="333" t="s">
        <v>1196</v>
      </c>
      <c r="L138" s="748" t="s">
        <v>1197</v>
      </c>
      <c r="M138" s="748"/>
      <c r="N138" s="748"/>
      <c r="O138" s="748"/>
      <c r="P138" s="748"/>
      <c r="Q138" s="333" t="s">
        <v>1198</v>
      </c>
      <c r="R138" s="333" t="s">
        <v>1199</v>
      </c>
      <c r="U138" s="325" t="s">
        <v>1200</v>
      </c>
    </row>
    <row r="139" spans="2:23" s="347" customFormat="1" ht="39.75" customHeight="1" x14ac:dyDescent="0.2">
      <c r="B139" s="332">
        <v>1</v>
      </c>
      <c r="C139" s="332">
        <f t="shared" ref="C139:C140" si="8">IF($R139="Да",$Q139,1)</f>
        <v>0.6</v>
      </c>
      <c r="D139" s="332">
        <f t="shared" ref="D139:D140" si="9">IF($R139="Да",$Q139,1)</f>
        <v>0.6</v>
      </c>
      <c r="E139" s="332">
        <f t="shared" ref="C139:I152" si="10">IF($R139="Да",$Q139,1)</f>
        <v>0.6</v>
      </c>
      <c r="F139" s="332">
        <f t="shared" si="10"/>
        <v>0.6</v>
      </c>
      <c r="G139" s="332">
        <f t="shared" si="10"/>
        <v>0.6</v>
      </c>
      <c r="H139" s="332">
        <f t="shared" si="10"/>
        <v>0.6</v>
      </c>
      <c r="I139" s="332">
        <f t="shared" si="10"/>
        <v>0.6</v>
      </c>
      <c r="J139" s="332" t="s">
        <v>1201</v>
      </c>
      <c r="K139" s="348" t="s">
        <v>1202</v>
      </c>
      <c r="L139" s="753" t="s">
        <v>1203</v>
      </c>
      <c r="M139" s="753"/>
      <c r="N139" s="753"/>
      <c r="O139" s="753"/>
      <c r="P139" s="753"/>
      <c r="Q139" s="349">
        <f t="shared" ref="Q139:Q152" si="11">IF(R139="Да",U139,"-")</f>
        <v>0.6</v>
      </c>
      <c r="R139" s="349" t="s">
        <v>1047</v>
      </c>
      <c r="U139" s="350">
        <v>0.6</v>
      </c>
    </row>
    <row r="140" spans="2:23" s="347" customFormat="1" ht="39.75" customHeight="1" x14ac:dyDescent="0.2">
      <c r="B140" s="332">
        <v>2</v>
      </c>
      <c r="C140" s="332">
        <f t="shared" si="8"/>
        <v>1</v>
      </c>
      <c r="D140" s="332">
        <f t="shared" si="9"/>
        <v>1</v>
      </c>
      <c r="E140" s="332">
        <f t="shared" si="10"/>
        <v>1</v>
      </c>
      <c r="F140" s="332">
        <f t="shared" si="10"/>
        <v>1</v>
      </c>
      <c r="G140" s="332">
        <f t="shared" si="10"/>
        <v>1</v>
      </c>
      <c r="H140" s="332">
        <f t="shared" si="10"/>
        <v>1</v>
      </c>
      <c r="I140" s="332">
        <f t="shared" si="10"/>
        <v>1</v>
      </c>
      <c r="J140" s="332" t="s">
        <v>1204</v>
      </c>
      <c r="K140" s="348" t="s">
        <v>1202</v>
      </c>
      <c r="L140" s="753" t="s">
        <v>1205</v>
      </c>
      <c r="M140" s="753"/>
      <c r="N140" s="753"/>
      <c r="O140" s="753"/>
      <c r="P140" s="753"/>
      <c r="Q140" s="349" t="str">
        <f t="shared" si="11"/>
        <v>-</v>
      </c>
      <c r="R140" s="349" t="s">
        <v>1046</v>
      </c>
      <c r="U140" s="350">
        <v>0.5</v>
      </c>
      <c r="W140" s="347" t="s">
        <v>1047</v>
      </c>
    </row>
    <row r="141" spans="2:23" s="347" customFormat="1" ht="47.25" customHeight="1" x14ac:dyDescent="0.2">
      <c r="B141" s="332">
        <v>3</v>
      </c>
      <c r="C141" s="332">
        <v>1</v>
      </c>
      <c r="D141" s="332">
        <f t="shared" si="10"/>
        <v>1</v>
      </c>
      <c r="E141" s="332">
        <f t="shared" si="10"/>
        <v>1</v>
      </c>
      <c r="F141" s="332">
        <f t="shared" si="10"/>
        <v>1</v>
      </c>
      <c r="G141" s="332">
        <f t="shared" si="10"/>
        <v>1</v>
      </c>
      <c r="H141" s="332">
        <f t="shared" si="10"/>
        <v>1</v>
      </c>
      <c r="I141" s="332">
        <f t="shared" si="10"/>
        <v>1</v>
      </c>
      <c r="J141" s="332" t="s">
        <v>1206</v>
      </c>
      <c r="K141" s="348" t="s">
        <v>1202</v>
      </c>
      <c r="L141" s="753" t="s">
        <v>1207</v>
      </c>
      <c r="M141" s="753"/>
      <c r="N141" s="753"/>
      <c r="O141" s="753"/>
      <c r="P141" s="753"/>
      <c r="Q141" s="349" t="str">
        <f t="shared" si="11"/>
        <v>-</v>
      </c>
      <c r="R141" s="349" t="s">
        <v>1046</v>
      </c>
      <c r="U141" s="350">
        <v>0.8</v>
      </c>
      <c r="W141" s="347" t="s">
        <v>1046</v>
      </c>
    </row>
    <row r="142" spans="2:23" s="347" customFormat="1" ht="39.75" customHeight="1" x14ac:dyDescent="0.2">
      <c r="B142" s="332">
        <v>4</v>
      </c>
      <c r="C142" s="332">
        <f t="shared" si="10"/>
        <v>1</v>
      </c>
      <c r="D142" s="332">
        <f t="shared" si="10"/>
        <v>1</v>
      </c>
      <c r="E142" s="332">
        <f t="shared" si="10"/>
        <v>1</v>
      </c>
      <c r="F142" s="332">
        <f t="shared" si="10"/>
        <v>1</v>
      </c>
      <c r="G142" s="332">
        <f t="shared" si="10"/>
        <v>1</v>
      </c>
      <c r="H142" s="332">
        <f t="shared" si="10"/>
        <v>1</v>
      </c>
      <c r="I142" s="332">
        <f t="shared" si="10"/>
        <v>1</v>
      </c>
      <c r="J142" s="332" t="s">
        <v>1208</v>
      </c>
      <c r="K142" s="348" t="s">
        <v>1209</v>
      </c>
      <c r="L142" s="753" t="s">
        <v>1210</v>
      </c>
      <c r="M142" s="753"/>
      <c r="N142" s="753"/>
      <c r="O142" s="753"/>
      <c r="P142" s="753"/>
      <c r="Q142" s="349" t="str">
        <f t="shared" si="11"/>
        <v>-</v>
      </c>
      <c r="R142" s="349" t="s">
        <v>1046</v>
      </c>
      <c r="U142" s="350">
        <v>1.2</v>
      </c>
    </row>
    <row r="143" spans="2:23" s="347" customFormat="1" ht="60.75" customHeight="1" x14ac:dyDescent="0.2">
      <c r="B143" s="332">
        <v>5</v>
      </c>
      <c r="C143" s="332">
        <f t="shared" si="10"/>
        <v>1</v>
      </c>
      <c r="D143" s="332">
        <v>1</v>
      </c>
      <c r="E143" s="332">
        <v>1</v>
      </c>
      <c r="F143" s="332">
        <v>1</v>
      </c>
      <c r="G143" s="332">
        <v>1</v>
      </c>
      <c r="H143" s="332">
        <v>1</v>
      </c>
      <c r="I143" s="332">
        <v>1</v>
      </c>
      <c r="J143" s="332" t="s">
        <v>1211</v>
      </c>
      <c r="K143" s="348" t="s">
        <v>1209</v>
      </c>
      <c r="L143" s="753" t="s">
        <v>1212</v>
      </c>
      <c r="M143" s="753"/>
      <c r="N143" s="753"/>
      <c r="O143" s="753"/>
      <c r="P143" s="753"/>
      <c r="Q143" s="349" t="str">
        <f t="shared" si="11"/>
        <v>-</v>
      </c>
      <c r="R143" s="349" t="s">
        <v>1046</v>
      </c>
      <c r="U143" s="350">
        <v>1.1000000000000001</v>
      </c>
    </row>
    <row r="144" spans="2:23" s="347" customFormat="1" ht="62.25" customHeight="1" x14ac:dyDescent="0.2">
      <c r="B144" s="332">
        <v>6</v>
      </c>
      <c r="C144" s="332">
        <f t="shared" si="10"/>
        <v>1</v>
      </c>
      <c r="D144" s="332">
        <f t="shared" si="10"/>
        <v>1</v>
      </c>
      <c r="E144" s="332">
        <f t="shared" si="10"/>
        <v>1</v>
      </c>
      <c r="F144" s="332">
        <f t="shared" si="10"/>
        <v>1</v>
      </c>
      <c r="G144" s="332">
        <f t="shared" si="10"/>
        <v>1</v>
      </c>
      <c r="H144" s="332">
        <f t="shared" si="10"/>
        <v>1</v>
      </c>
      <c r="I144" s="332">
        <f t="shared" si="10"/>
        <v>1</v>
      </c>
      <c r="J144" s="332" t="s">
        <v>1213</v>
      </c>
      <c r="K144" s="348" t="s">
        <v>1209</v>
      </c>
      <c r="L144" s="753" t="s">
        <v>1214</v>
      </c>
      <c r="M144" s="753"/>
      <c r="N144" s="753"/>
      <c r="O144" s="753"/>
      <c r="P144" s="753"/>
      <c r="Q144" s="349" t="str">
        <f t="shared" si="11"/>
        <v>-</v>
      </c>
      <c r="R144" s="349" t="s">
        <v>1046</v>
      </c>
      <c r="U144" s="350">
        <v>1.05</v>
      </c>
    </row>
    <row r="145" spans="2:21" s="347" customFormat="1" ht="53.25" customHeight="1" x14ac:dyDescent="0.2">
      <c r="B145" s="332">
        <v>7</v>
      </c>
      <c r="C145" s="332">
        <v>1</v>
      </c>
      <c r="D145" s="332">
        <f t="shared" si="10"/>
        <v>1</v>
      </c>
      <c r="E145" s="332">
        <f t="shared" si="10"/>
        <v>1</v>
      </c>
      <c r="F145" s="332">
        <f t="shared" si="10"/>
        <v>1</v>
      </c>
      <c r="G145" s="332">
        <f t="shared" si="10"/>
        <v>1</v>
      </c>
      <c r="H145" s="332">
        <f t="shared" si="10"/>
        <v>1</v>
      </c>
      <c r="I145" s="332">
        <f t="shared" si="10"/>
        <v>1</v>
      </c>
      <c r="J145" s="332" t="s">
        <v>1215</v>
      </c>
      <c r="K145" s="348" t="s">
        <v>1209</v>
      </c>
      <c r="L145" s="753" t="s">
        <v>1216</v>
      </c>
      <c r="M145" s="753"/>
      <c r="N145" s="753"/>
      <c r="O145" s="753"/>
      <c r="P145" s="753"/>
      <c r="Q145" s="349" t="str">
        <f t="shared" si="11"/>
        <v>-</v>
      </c>
      <c r="R145" s="349" t="s">
        <v>1046</v>
      </c>
      <c r="U145" s="350">
        <v>1.05</v>
      </c>
    </row>
    <row r="146" spans="2:21" s="347" customFormat="1" ht="53.25" customHeight="1" x14ac:dyDescent="0.2">
      <c r="B146" s="332">
        <v>8</v>
      </c>
      <c r="C146" s="332">
        <v>1</v>
      </c>
      <c r="D146" s="332">
        <f t="shared" si="10"/>
        <v>1</v>
      </c>
      <c r="E146" s="332">
        <f t="shared" si="10"/>
        <v>1</v>
      </c>
      <c r="F146" s="332">
        <f t="shared" si="10"/>
        <v>1</v>
      </c>
      <c r="G146" s="332">
        <f t="shared" si="10"/>
        <v>1</v>
      </c>
      <c r="H146" s="332">
        <f t="shared" si="10"/>
        <v>1</v>
      </c>
      <c r="I146" s="332">
        <f t="shared" si="10"/>
        <v>1</v>
      </c>
      <c r="J146" s="332" t="s">
        <v>1217</v>
      </c>
      <c r="K146" s="348" t="s">
        <v>1209</v>
      </c>
      <c r="L146" s="753" t="s">
        <v>1218</v>
      </c>
      <c r="M146" s="753"/>
      <c r="N146" s="753"/>
      <c r="O146" s="753"/>
      <c r="P146" s="753"/>
      <c r="Q146" s="349" t="str">
        <f t="shared" si="11"/>
        <v>-</v>
      </c>
      <c r="R146" s="349" t="s">
        <v>1046</v>
      </c>
      <c r="U146" s="350">
        <v>1.25</v>
      </c>
    </row>
    <row r="147" spans="2:21" s="347" customFormat="1" ht="68.25" customHeight="1" x14ac:dyDescent="0.2">
      <c r="B147" s="332">
        <v>9</v>
      </c>
      <c r="C147" s="332">
        <v>1</v>
      </c>
      <c r="D147" s="332">
        <v>1</v>
      </c>
      <c r="E147" s="332">
        <v>1</v>
      </c>
      <c r="F147" s="332">
        <v>1</v>
      </c>
      <c r="G147" s="332">
        <f t="shared" si="10"/>
        <v>1</v>
      </c>
      <c r="H147" s="332">
        <v>1</v>
      </c>
      <c r="I147" s="332">
        <f t="shared" si="10"/>
        <v>1</v>
      </c>
      <c r="J147" s="332" t="s">
        <v>1219</v>
      </c>
      <c r="K147" s="348" t="s">
        <v>1209</v>
      </c>
      <c r="L147" s="753" t="s">
        <v>1220</v>
      </c>
      <c r="M147" s="753"/>
      <c r="N147" s="753"/>
      <c r="O147" s="753"/>
      <c r="P147" s="753"/>
      <c r="Q147" s="349" t="str">
        <f t="shared" si="11"/>
        <v>-</v>
      </c>
      <c r="R147" s="349" t="s">
        <v>1046</v>
      </c>
      <c r="U147" s="350">
        <v>1.1000000000000001</v>
      </c>
    </row>
    <row r="148" spans="2:21" s="347" customFormat="1" ht="89.25" customHeight="1" x14ac:dyDescent="0.2">
      <c r="B148" s="332">
        <v>10</v>
      </c>
      <c r="C148" s="332">
        <f t="shared" si="10"/>
        <v>1</v>
      </c>
      <c r="D148" s="332">
        <f t="shared" si="10"/>
        <v>1</v>
      </c>
      <c r="E148" s="332">
        <f t="shared" si="10"/>
        <v>1</v>
      </c>
      <c r="F148" s="332">
        <f t="shared" si="10"/>
        <v>1</v>
      </c>
      <c r="G148" s="332">
        <f t="shared" si="10"/>
        <v>1</v>
      </c>
      <c r="H148" s="332">
        <f t="shared" si="10"/>
        <v>1</v>
      </c>
      <c r="I148" s="332">
        <f t="shared" si="10"/>
        <v>1</v>
      </c>
      <c r="J148" s="332" t="s">
        <v>1221</v>
      </c>
      <c r="K148" s="348" t="s">
        <v>1209</v>
      </c>
      <c r="L148" s="753" t="s">
        <v>1222</v>
      </c>
      <c r="M148" s="753"/>
      <c r="N148" s="753"/>
      <c r="O148" s="753"/>
      <c r="P148" s="753"/>
      <c r="Q148" s="349" t="str">
        <f t="shared" si="11"/>
        <v>-</v>
      </c>
      <c r="R148" s="349" t="s">
        <v>1046</v>
      </c>
      <c r="U148" s="350">
        <v>1.3</v>
      </c>
    </row>
    <row r="149" spans="2:21" s="347" customFormat="1" ht="39.75" customHeight="1" x14ac:dyDescent="0.2">
      <c r="B149" s="332">
        <v>11</v>
      </c>
      <c r="C149" s="332">
        <f t="shared" si="10"/>
        <v>1</v>
      </c>
      <c r="D149" s="332">
        <f t="shared" si="10"/>
        <v>1</v>
      </c>
      <c r="E149" s="332">
        <f t="shared" si="10"/>
        <v>1</v>
      </c>
      <c r="F149" s="332">
        <f t="shared" si="10"/>
        <v>1</v>
      </c>
      <c r="G149" s="332">
        <f t="shared" si="10"/>
        <v>1</v>
      </c>
      <c r="H149" s="332">
        <f t="shared" si="10"/>
        <v>1</v>
      </c>
      <c r="I149" s="332">
        <f t="shared" si="10"/>
        <v>1</v>
      </c>
      <c r="J149" s="332" t="s">
        <v>1223</v>
      </c>
      <c r="K149" s="348" t="s">
        <v>1209</v>
      </c>
      <c r="L149" s="753" t="s">
        <v>1224</v>
      </c>
      <c r="M149" s="753"/>
      <c r="N149" s="753"/>
      <c r="O149" s="753"/>
      <c r="P149" s="753"/>
      <c r="Q149" s="349" t="str">
        <f t="shared" si="11"/>
        <v>-</v>
      </c>
      <c r="R149" s="349" t="s">
        <v>1046</v>
      </c>
      <c r="U149" s="350">
        <v>1.05</v>
      </c>
    </row>
    <row r="150" spans="2:21" s="347" customFormat="1" ht="39.75" customHeight="1" x14ac:dyDescent="0.2">
      <c r="B150" s="332">
        <v>12</v>
      </c>
      <c r="C150" s="332">
        <f t="shared" si="10"/>
        <v>1</v>
      </c>
      <c r="D150" s="332">
        <v>1</v>
      </c>
      <c r="E150" s="332">
        <v>1</v>
      </c>
      <c r="F150" s="332">
        <v>1</v>
      </c>
      <c r="G150" s="332">
        <f t="shared" si="10"/>
        <v>1</v>
      </c>
      <c r="H150" s="332">
        <v>1</v>
      </c>
      <c r="I150" s="332">
        <v>1</v>
      </c>
      <c r="J150" s="332" t="s">
        <v>1225</v>
      </c>
      <c r="K150" s="348" t="s">
        <v>1209</v>
      </c>
      <c r="L150" s="753" t="s">
        <v>1226</v>
      </c>
      <c r="M150" s="753"/>
      <c r="N150" s="753"/>
      <c r="O150" s="753"/>
      <c r="P150" s="753"/>
      <c r="Q150" s="349" t="str">
        <f t="shared" si="11"/>
        <v>-</v>
      </c>
      <c r="R150" s="349" t="s">
        <v>1046</v>
      </c>
      <c r="U150" s="350">
        <v>1.1000000000000001</v>
      </c>
    </row>
    <row r="151" spans="2:21" s="347" customFormat="1" ht="72" customHeight="1" x14ac:dyDescent="0.2">
      <c r="B151" s="332">
        <v>13</v>
      </c>
      <c r="C151" s="332">
        <v>1</v>
      </c>
      <c r="D151" s="332">
        <v>1</v>
      </c>
      <c r="E151" s="332">
        <v>1</v>
      </c>
      <c r="F151" s="332">
        <v>1</v>
      </c>
      <c r="G151" s="332">
        <f t="shared" si="10"/>
        <v>1.2</v>
      </c>
      <c r="H151" s="332">
        <v>1</v>
      </c>
      <c r="I151" s="332">
        <v>1</v>
      </c>
      <c r="J151" s="332" t="s">
        <v>1227</v>
      </c>
      <c r="K151" s="348" t="s">
        <v>1209</v>
      </c>
      <c r="L151" s="753" t="s">
        <v>1228</v>
      </c>
      <c r="M151" s="753"/>
      <c r="N151" s="753"/>
      <c r="O151" s="753"/>
      <c r="P151" s="753"/>
      <c r="Q151" s="349">
        <f t="shared" si="11"/>
        <v>1.2</v>
      </c>
      <c r="R151" s="349" t="s">
        <v>1047</v>
      </c>
      <c r="U151" s="350">
        <v>1.2</v>
      </c>
    </row>
    <row r="152" spans="2:21" s="347" customFormat="1" ht="39.75" customHeight="1" x14ac:dyDescent="0.2">
      <c r="B152" s="332">
        <v>14</v>
      </c>
      <c r="C152" s="332">
        <v>1</v>
      </c>
      <c r="D152" s="332">
        <v>1</v>
      </c>
      <c r="E152" s="332">
        <v>1</v>
      </c>
      <c r="F152" s="332">
        <f t="shared" si="10"/>
        <v>1</v>
      </c>
      <c r="G152" s="332">
        <f t="shared" si="10"/>
        <v>1</v>
      </c>
      <c r="H152" s="332">
        <v>1</v>
      </c>
      <c r="I152" s="332">
        <f t="shared" si="10"/>
        <v>1</v>
      </c>
      <c r="J152" s="332" t="s">
        <v>1229</v>
      </c>
      <c r="K152" s="348" t="s">
        <v>1209</v>
      </c>
      <c r="L152" s="753" t="s">
        <v>1230</v>
      </c>
      <c r="M152" s="753"/>
      <c r="N152" s="753"/>
      <c r="O152" s="753"/>
      <c r="P152" s="753"/>
      <c r="Q152" s="349" t="str">
        <f t="shared" si="11"/>
        <v>-</v>
      </c>
      <c r="R152" s="349" t="s">
        <v>1046</v>
      </c>
      <c r="U152" s="350">
        <v>1.2</v>
      </c>
    </row>
    <row r="153" spans="2:21" s="347" customFormat="1" ht="24.75" customHeight="1" x14ac:dyDescent="0.2">
      <c r="B153" s="332">
        <v>15</v>
      </c>
      <c r="C153" s="332">
        <f>PRODUCT(C139,C141,C140)</f>
        <v>0.6</v>
      </c>
      <c r="D153" s="332">
        <f>PRODUCT(D139,D141,D140)</f>
        <v>0.6</v>
      </c>
      <c r="E153" s="332">
        <f t="shared" ref="E153:H153" si="12">PRODUCT(E139,E141,E140)</f>
        <v>0.6</v>
      </c>
      <c r="F153" s="332">
        <f t="shared" si="12"/>
        <v>0.6</v>
      </c>
      <c r="G153" s="332">
        <f t="shared" si="12"/>
        <v>0.6</v>
      </c>
      <c r="H153" s="332">
        <f t="shared" si="12"/>
        <v>0.6</v>
      </c>
      <c r="I153" s="332">
        <f>PRODUCT(I139,I141,I140)</f>
        <v>0.6</v>
      </c>
      <c r="J153" s="351"/>
      <c r="K153" s="738" t="s">
        <v>1231</v>
      </c>
      <c r="L153" s="739"/>
      <c r="M153" s="739"/>
      <c r="N153" s="739"/>
      <c r="O153" s="739"/>
      <c r="P153" s="739"/>
      <c r="Q153" s="739"/>
      <c r="R153" s="740"/>
    </row>
    <row r="154" spans="2:21" s="347" customFormat="1" ht="24.75" customHeight="1" x14ac:dyDescent="0.2">
      <c r="B154" s="332">
        <v>16</v>
      </c>
      <c r="C154" s="332">
        <f>SUM(C142:C152)-10</f>
        <v>1</v>
      </c>
      <c r="D154" s="332">
        <f>SUM(D142:D152)-10</f>
        <v>1</v>
      </c>
      <c r="E154" s="332">
        <f>SUM(E142:E152)-10</f>
        <v>1</v>
      </c>
      <c r="F154" s="332">
        <f t="shared" ref="F154:I154" si="13">SUM(F142:F152)-10</f>
        <v>1</v>
      </c>
      <c r="G154" s="332">
        <f t="shared" si="13"/>
        <v>1.1999999999999993</v>
      </c>
      <c r="H154" s="332">
        <f t="shared" si="13"/>
        <v>1</v>
      </c>
      <c r="I154" s="332">
        <f t="shared" si="13"/>
        <v>1</v>
      </c>
      <c r="J154" s="351"/>
      <c r="K154" s="738" t="s">
        <v>1232</v>
      </c>
      <c r="L154" s="739"/>
      <c r="M154" s="739"/>
      <c r="N154" s="739"/>
      <c r="O154" s="739"/>
      <c r="P154" s="739"/>
      <c r="Q154" s="739"/>
      <c r="R154" s="740"/>
    </row>
    <row r="155" spans="2:21" s="347" customFormat="1" ht="24.75" customHeight="1" x14ac:dyDescent="0.2">
      <c r="B155" s="332">
        <v>17</v>
      </c>
      <c r="C155" s="332">
        <f>C153*C154</f>
        <v>0.6</v>
      </c>
      <c r="D155" s="332">
        <f>D153*D154</f>
        <v>0.6</v>
      </c>
      <c r="E155" s="332">
        <f>E153*E154</f>
        <v>0.6</v>
      </c>
      <c r="F155" s="332">
        <f t="shared" ref="F155:I155" si="14">F153*F154</f>
        <v>0.6</v>
      </c>
      <c r="G155" s="332">
        <f t="shared" si="14"/>
        <v>0.71999999999999953</v>
      </c>
      <c r="H155" s="332">
        <f t="shared" si="14"/>
        <v>0.6</v>
      </c>
      <c r="I155" s="332">
        <f t="shared" si="14"/>
        <v>0.6</v>
      </c>
      <c r="J155" s="351" t="s">
        <v>1233</v>
      </c>
      <c r="K155" s="738" t="s">
        <v>1234</v>
      </c>
      <c r="L155" s="739"/>
      <c r="M155" s="739"/>
      <c r="N155" s="739"/>
      <c r="O155" s="739"/>
      <c r="P155" s="739"/>
      <c r="Q155" s="739"/>
      <c r="R155" s="740"/>
    </row>
    <row r="156" spans="2:21" s="347" customFormat="1" ht="24.75" customHeight="1" x14ac:dyDescent="0.2">
      <c r="B156" s="332">
        <v>18</v>
      </c>
      <c r="C156" s="332">
        <v>1.08</v>
      </c>
      <c r="D156" s="332">
        <v>1</v>
      </c>
      <c r="E156" s="332">
        <v>1</v>
      </c>
      <c r="F156" s="332">
        <v>1</v>
      </c>
      <c r="G156" s="332">
        <v>1</v>
      </c>
      <c r="H156" s="332">
        <v>1</v>
      </c>
      <c r="I156" s="332">
        <v>1</v>
      </c>
      <c r="J156" s="351" t="s">
        <v>1235</v>
      </c>
      <c r="K156" s="738" t="s">
        <v>1236</v>
      </c>
      <c r="L156" s="739"/>
      <c r="M156" s="739"/>
      <c r="N156" s="739"/>
      <c r="O156" s="739"/>
      <c r="P156" s="739"/>
      <c r="Q156" s="739"/>
      <c r="R156" s="740"/>
    </row>
    <row r="157" spans="2:21" s="347" customFormat="1" ht="24.75" customHeight="1" x14ac:dyDescent="0.2">
      <c r="B157" s="332">
        <v>19</v>
      </c>
      <c r="C157" s="332">
        <v>7.22</v>
      </c>
      <c r="D157" s="332">
        <v>7.22</v>
      </c>
      <c r="E157" s="332">
        <v>7.22</v>
      </c>
      <c r="F157" s="332">
        <v>7.22</v>
      </c>
      <c r="G157" s="332">
        <v>7.22</v>
      </c>
      <c r="H157" s="332">
        <v>7.22</v>
      </c>
      <c r="I157" s="332">
        <v>7.22</v>
      </c>
      <c r="J157" s="351" t="s">
        <v>1237</v>
      </c>
      <c r="K157" s="738" t="s">
        <v>1238</v>
      </c>
      <c r="L157" s="739"/>
      <c r="M157" s="739"/>
      <c r="N157" s="739"/>
      <c r="O157" s="739"/>
      <c r="P157" s="739"/>
      <c r="Q157" s="739"/>
      <c r="R157" s="740"/>
    </row>
    <row r="158" spans="2:21" s="347" customFormat="1" ht="24.75" customHeight="1" x14ac:dyDescent="0.2">
      <c r="B158" s="332">
        <v>20</v>
      </c>
      <c r="C158" s="332">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47" customFormat="1" ht="34.5" hidden="1" customHeight="1" x14ac:dyDescent="0.2">
      <c r="B159" s="332">
        <v>21</v>
      </c>
      <c r="C159" s="332">
        <v>1</v>
      </c>
      <c r="D159" s="332">
        <v>0.7</v>
      </c>
      <c r="E159" s="332">
        <v>0.3</v>
      </c>
      <c r="F159" s="332">
        <v>0.4</v>
      </c>
      <c r="G159" s="332">
        <v>0.4</v>
      </c>
      <c r="H159" s="332">
        <v>0.8</v>
      </c>
      <c r="I159" s="332">
        <v>0.1</v>
      </c>
      <c r="J159" s="351" t="s">
        <v>1239</v>
      </c>
      <c r="K159" s="738" t="s">
        <v>1240</v>
      </c>
      <c r="L159" s="739"/>
      <c r="M159" s="739"/>
      <c r="N159" s="739"/>
      <c r="O159" s="739"/>
      <c r="P159" s="739"/>
      <c r="Q159" s="739"/>
      <c r="R159" s="740"/>
    </row>
    <row r="160" spans="2:21" s="347" customFormat="1" ht="34.5" customHeight="1" x14ac:dyDescent="0.2">
      <c r="B160" s="332">
        <v>21</v>
      </c>
      <c r="C160" s="332">
        <v>1</v>
      </c>
      <c r="D160" s="332">
        <v>0.3</v>
      </c>
      <c r="E160" s="332">
        <v>0.7</v>
      </c>
      <c r="F160" s="332">
        <v>0.6</v>
      </c>
      <c r="G160" s="332">
        <v>0.6</v>
      </c>
      <c r="H160" s="332">
        <v>0.2</v>
      </c>
      <c r="I160" s="332">
        <v>0.9</v>
      </c>
      <c r="J160" s="351" t="s">
        <v>1241</v>
      </c>
      <c r="K160" s="738" t="s">
        <v>1242</v>
      </c>
      <c r="L160" s="739"/>
      <c r="M160" s="739"/>
      <c r="N160" s="739"/>
      <c r="O160" s="739"/>
      <c r="P160" s="739"/>
      <c r="Q160" s="739"/>
      <c r="R160" s="740"/>
    </row>
    <row r="161" spans="2:27" ht="27" customHeight="1" x14ac:dyDescent="0.25">
      <c r="B161" s="745" t="s">
        <v>1243</v>
      </c>
      <c r="C161" s="746"/>
      <c r="D161" s="746"/>
      <c r="E161" s="746"/>
      <c r="F161" s="746"/>
      <c r="G161" s="746"/>
      <c r="H161" s="746"/>
      <c r="I161" s="746"/>
      <c r="J161" s="746"/>
      <c r="K161" s="746"/>
      <c r="L161" s="746"/>
      <c r="M161" s="746"/>
      <c r="N161" s="746"/>
      <c r="O161" s="746"/>
      <c r="P161" s="746"/>
      <c r="Q161" s="746"/>
      <c r="R161" s="747"/>
    </row>
    <row r="162" spans="2:27" ht="22.5" customHeight="1" x14ac:dyDescent="0.25">
      <c r="B162" s="748" t="s">
        <v>1244</v>
      </c>
      <c r="C162" s="750" t="s">
        <v>1245</v>
      </c>
      <c r="D162" s="751"/>
      <c r="E162" s="751"/>
      <c r="F162" s="751"/>
      <c r="G162" s="751"/>
      <c r="H162" s="751"/>
      <c r="I162" s="752"/>
      <c r="J162" s="749" t="s">
        <v>1246</v>
      </c>
      <c r="K162" s="749"/>
      <c r="L162" s="749"/>
      <c r="M162" s="749"/>
      <c r="N162" s="749"/>
      <c r="O162" s="749"/>
      <c r="P162" s="749"/>
      <c r="Q162" s="749"/>
      <c r="R162" s="749"/>
    </row>
    <row r="163" spans="2:27" ht="22.5" customHeight="1" x14ac:dyDescent="0.25">
      <c r="B163" s="749"/>
      <c r="C163" s="352" t="s">
        <v>1062</v>
      </c>
      <c r="D163" s="352" t="s">
        <v>1049</v>
      </c>
      <c r="E163" s="352" t="s">
        <v>1050</v>
      </c>
      <c r="F163" s="352" t="s">
        <v>1051</v>
      </c>
      <c r="G163" s="352" t="s">
        <v>1052</v>
      </c>
      <c r="H163" s="352" t="s">
        <v>1053</v>
      </c>
      <c r="I163" s="352" t="s">
        <v>1054</v>
      </c>
      <c r="J163" s="749"/>
      <c r="K163" s="749"/>
      <c r="L163" s="749"/>
      <c r="M163" s="749"/>
      <c r="N163" s="749"/>
      <c r="O163" s="749"/>
      <c r="P163" s="749"/>
      <c r="Q163" s="749"/>
      <c r="R163" s="749"/>
    </row>
    <row r="164" spans="2:27" ht="25.5" customHeight="1" x14ac:dyDescent="0.25">
      <c r="B164" s="332">
        <v>1</v>
      </c>
      <c r="C164" s="332">
        <f>M67</f>
        <v>0</v>
      </c>
      <c r="D164" s="332">
        <f t="shared" ref="D164:I164" ca="1" si="15">M135</f>
        <v>8</v>
      </c>
      <c r="E164" s="332">
        <f t="shared" si="15"/>
        <v>0</v>
      </c>
      <c r="F164" s="332">
        <f t="shared" si="15"/>
        <v>0</v>
      </c>
      <c r="G164" s="332">
        <f t="shared" ca="1" si="15"/>
        <v>8</v>
      </c>
      <c r="H164" s="332">
        <f t="shared" si="15"/>
        <v>0</v>
      </c>
      <c r="I164" s="332">
        <f t="shared" si="15"/>
        <v>0</v>
      </c>
      <c r="J164" s="738" t="s">
        <v>1247</v>
      </c>
      <c r="K164" s="739"/>
      <c r="L164" s="739"/>
      <c r="M164" s="739"/>
      <c r="N164" s="739"/>
      <c r="O164" s="739"/>
      <c r="P164" s="739"/>
      <c r="Q164" s="739"/>
      <c r="R164" s="740"/>
    </row>
    <row r="165" spans="2:27" ht="25.5" customHeight="1" x14ac:dyDescent="0.25">
      <c r="B165" s="332">
        <v>2</v>
      </c>
      <c r="C165" s="332">
        <v>21.28</v>
      </c>
      <c r="D165" s="353">
        <v>15.73</v>
      </c>
      <c r="E165" s="353">
        <v>9.56</v>
      </c>
      <c r="F165" s="353">
        <v>14.11</v>
      </c>
      <c r="G165" s="353">
        <v>33.770000000000003</v>
      </c>
      <c r="H165" s="353">
        <v>37.93</v>
      </c>
      <c r="I165" s="353">
        <v>46.26</v>
      </c>
      <c r="J165" s="738" t="s">
        <v>1248</v>
      </c>
      <c r="K165" s="739"/>
      <c r="L165" s="739"/>
      <c r="M165" s="739"/>
      <c r="N165" s="739"/>
      <c r="O165" s="739"/>
      <c r="P165" s="739"/>
      <c r="Q165" s="739"/>
      <c r="R165" s="740"/>
    </row>
    <row r="166" spans="2:27" ht="25.5" customHeight="1" x14ac:dyDescent="0.25">
      <c r="B166" s="332">
        <v>3</v>
      </c>
      <c r="C166" s="353">
        <v>1</v>
      </c>
      <c r="D166" s="353">
        <v>1</v>
      </c>
      <c r="E166" s="353">
        <v>1</v>
      </c>
      <c r="F166" s="353">
        <v>1</v>
      </c>
      <c r="G166" s="353">
        <v>1</v>
      </c>
      <c r="H166" s="353">
        <v>1</v>
      </c>
      <c r="I166" s="353">
        <v>1</v>
      </c>
      <c r="J166" s="340" t="s">
        <v>1249</v>
      </c>
      <c r="K166" s="341"/>
      <c r="L166" s="341"/>
      <c r="M166" s="341"/>
      <c r="N166" s="341"/>
      <c r="O166" s="341"/>
      <c r="P166" s="341"/>
      <c r="Q166" s="341"/>
      <c r="R166" s="342"/>
    </row>
    <row r="167" spans="2:27" ht="25.5" customHeight="1" x14ac:dyDescent="0.25">
      <c r="B167" s="332">
        <v>4</v>
      </c>
      <c r="C167" s="353">
        <f>C164*C165*C166</f>
        <v>0</v>
      </c>
      <c r="D167" s="353">
        <f ca="1">D164*D165*D166</f>
        <v>125.84</v>
      </c>
      <c r="E167" s="353">
        <f>E164*E165*E166</f>
        <v>0</v>
      </c>
      <c r="F167" s="353">
        <f t="shared" ref="F167:I167" si="16">F164*F165*F166</f>
        <v>0</v>
      </c>
      <c r="G167" s="353">
        <f t="shared" ca="1" si="16"/>
        <v>270.16000000000003</v>
      </c>
      <c r="H167" s="353">
        <f t="shared" si="16"/>
        <v>0</v>
      </c>
      <c r="I167" s="353">
        <f t="shared" si="16"/>
        <v>0</v>
      </c>
      <c r="J167" s="738" t="s">
        <v>1250</v>
      </c>
      <c r="K167" s="739"/>
      <c r="L167" s="739"/>
      <c r="M167" s="739"/>
      <c r="N167" s="739"/>
      <c r="O167" s="739"/>
      <c r="P167" s="739"/>
      <c r="Q167" s="739"/>
      <c r="R167" s="740"/>
    </row>
    <row r="168" spans="2:27" ht="25.5" customHeight="1" x14ac:dyDescent="0.25">
      <c r="B168" s="332">
        <v>5</v>
      </c>
      <c r="C168" s="353">
        <f t="shared" ref="C168:I168" si="17">C167*C155</f>
        <v>0</v>
      </c>
      <c r="D168" s="353">
        <f t="shared" ca="1" si="17"/>
        <v>75.504000000000005</v>
      </c>
      <c r="E168" s="353">
        <f t="shared" si="17"/>
        <v>0</v>
      </c>
      <c r="F168" s="353">
        <f t="shared" si="17"/>
        <v>0</v>
      </c>
      <c r="G168" s="353">
        <f t="shared" ca="1" si="17"/>
        <v>194.51519999999988</v>
      </c>
      <c r="H168" s="353">
        <f t="shared" si="17"/>
        <v>0</v>
      </c>
      <c r="I168" s="353">
        <f t="shared" si="17"/>
        <v>0</v>
      </c>
      <c r="J168" s="738" t="s">
        <v>1251</v>
      </c>
      <c r="K168" s="739"/>
      <c r="L168" s="739"/>
      <c r="M168" s="739"/>
      <c r="N168" s="739"/>
      <c r="O168" s="739"/>
      <c r="P168" s="739"/>
      <c r="Q168" s="739"/>
      <c r="R168" s="740"/>
    </row>
    <row r="169" spans="2:27" ht="25.5" customHeight="1" x14ac:dyDescent="0.25">
      <c r="B169" s="332">
        <v>6</v>
      </c>
      <c r="C169" s="353">
        <f t="shared" ref="C169:I169" si="18">C168*C156*C157*C158</f>
        <v>0</v>
      </c>
      <c r="D169" s="353">
        <f t="shared" ca="1" si="18"/>
        <v>381.59721599999995</v>
      </c>
      <c r="E169" s="353">
        <f t="shared" si="18"/>
        <v>0</v>
      </c>
      <c r="F169" s="353">
        <f t="shared" si="18"/>
        <v>0</v>
      </c>
      <c r="G169" s="353">
        <f t="shared" ca="1" si="18"/>
        <v>983.07982079999931</v>
      </c>
      <c r="H169" s="353">
        <f t="shared" si="18"/>
        <v>0</v>
      </c>
      <c r="I169" s="353">
        <f t="shared" si="18"/>
        <v>0</v>
      </c>
      <c r="J169" s="738" t="s">
        <v>1252</v>
      </c>
      <c r="K169" s="739"/>
      <c r="L169" s="739"/>
      <c r="M169" s="739"/>
      <c r="N169" s="739"/>
      <c r="O169" s="739"/>
      <c r="P169" s="739"/>
      <c r="Q169" s="739"/>
      <c r="R169" s="740"/>
    </row>
    <row r="170" spans="2:27" ht="25.5" customHeight="1" x14ac:dyDescent="0.25">
      <c r="B170" s="332">
        <v>7</v>
      </c>
      <c r="C170" s="354"/>
      <c r="D170" s="354">
        <f t="shared" ref="D170:I170" ca="1" si="19">D169*D160</f>
        <v>114.47916479999998</v>
      </c>
      <c r="E170" s="354">
        <f t="shared" si="19"/>
        <v>0</v>
      </c>
      <c r="F170" s="354">
        <f t="shared" si="19"/>
        <v>0</v>
      </c>
      <c r="G170" s="354">
        <f t="shared" ca="1" si="19"/>
        <v>589.84789247999959</v>
      </c>
      <c r="H170" s="354">
        <f t="shared" si="19"/>
        <v>0</v>
      </c>
      <c r="I170" s="354">
        <f t="shared" si="19"/>
        <v>0</v>
      </c>
      <c r="J170" s="738" t="s">
        <v>1253</v>
      </c>
      <c r="K170" s="739"/>
      <c r="L170" s="739"/>
      <c r="M170" s="739"/>
      <c r="N170" s="739"/>
      <c r="O170" s="739"/>
      <c r="P170" s="739"/>
      <c r="Q170" s="739"/>
      <c r="R170" s="740"/>
    </row>
    <row r="171" spans="2:27" ht="46.5" customHeight="1" x14ac:dyDescent="0.25">
      <c r="B171" s="332">
        <v>8</v>
      </c>
      <c r="C171" s="332"/>
      <c r="D171" s="741">
        <f ca="1">SUM(D170:I170)*1000</f>
        <v>704327.05727999948</v>
      </c>
      <c r="E171" s="741"/>
      <c r="F171" s="741"/>
      <c r="G171" s="741"/>
      <c r="H171" s="741"/>
      <c r="I171" s="741"/>
      <c r="J171" s="738" t="s">
        <v>1254</v>
      </c>
      <c r="K171" s="739"/>
      <c r="L171" s="739"/>
      <c r="M171" s="739"/>
      <c r="N171" s="739"/>
      <c r="O171" s="739"/>
      <c r="P171" s="739"/>
      <c r="Q171" s="739"/>
      <c r="R171" s="740"/>
    </row>
    <row r="172" spans="2:27" ht="41.25" customHeight="1" x14ac:dyDescent="0.25">
      <c r="B172" s="332">
        <v>9</v>
      </c>
      <c r="C172" s="332"/>
      <c r="D172" s="742">
        <f ca="1">ROUND(D171*0.8,0)</f>
        <v>563462</v>
      </c>
      <c r="E172" s="743"/>
      <c r="F172" s="743"/>
      <c r="G172" s="743"/>
      <c r="H172" s="743"/>
      <c r="I172" s="744"/>
      <c r="J172" s="738" t="s">
        <v>1255</v>
      </c>
      <c r="K172" s="739"/>
      <c r="L172" s="739"/>
      <c r="M172" s="739"/>
      <c r="N172" s="739"/>
      <c r="O172" s="739"/>
      <c r="P172" s="739"/>
      <c r="Q172" s="739"/>
      <c r="R172" s="740"/>
    </row>
    <row r="173" spans="2:27" ht="28.5" customHeight="1" x14ac:dyDescent="0.25">
      <c r="B173" s="332">
        <v>11</v>
      </c>
      <c r="C173" s="332"/>
      <c r="D173" s="737">
        <f ca="1">D172</f>
        <v>563462</v>
      </c>
      <c r="E173" s="737"/>
      <c r="F173" s="737"/>
      <c r="G173" s="737"/>
      <c r="H173" s="737"/>
      <c r="I173" s="737"/>
      <c r="J173" s="738" t="s">
        <v>1256</v>
      </c>
      <c r="K173" s="739"/>
      <c r="L173" s="739"/>
      <c r="M173" s="739"/>
      <c r="N173" s="739"/>
      <c r="O173" s="739"/>
      <c r="P173" s="739"/>
      <c r="Q173" s="739"/>
      <c r="R173" s="740"/>
      <c r="Y173" s="355">
        <f ca="1">D173</f>
        <v>563462</v>
      </c>
      <c r="AA173" s="356">
        <v>760673</v>
      </c>
    </row>
    <row r="174" spans="2:27" ht="14.25" x14ac:dyDescent="0.2">
      <c r="B174" s="357"/>
      <c r="C174" s="357"/>
      <c r="D174" s="319"/>
      <c r="E174" s="358"/>
      <c r="F174" s="358"/>
      <c r="G174" s="358"/>
      <c r="H174" s="358"/>
      <c r="I174" s="358"/>
      <c r="J174" s="359"/>
      <c r="K174" s="358"/>
      <c r="L174" s="360"/>
      <c r="M174" s="358"/>
      <c r="N174" s="358"/>
      <c r="O174" s="358"/>
      <c r="P174" s="358"/>
      <c r="Q174" s="358"/>
      <c r="R174" s="358"/>
    </row>
    <row r="175" spans="2:27" ht="14.25" x14ac:dyDescent="0.2">
      <c r="D175" s="319"/>
      <c r="J175" s="359"/>
      <c r="L175" s="361"/>
    </row>
  </sheetData>
  <mergeCells count="222">
    <mergeCell ref="O2:R2"/>
    <mergeCell ref="B4:R4"/>
    <mergeCell ref="B5:R5"/>
    <mergeCell ref="G6:R7"/>
    <mergeCell ref="G11:L11"/>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52:L52">
      <formula1>$H$53:$H$66</formula1>
    </dataValidation>
    <dataValidation type="list" allowBlank="1" showInputMessage="1" showErrorMessage="1" sqref="H43:L43">
      <formula1>$H$44:$H$51</formula1>
    </dataValidation>
    <dataValidation type="list" allowBlank="1" showInputMessage="1" showErrorMessage="1" sqref="H36:L36">
      <formula1>$H$37:$H$42</formula1>
    </dataValidation>
    <dataValidation type="list" allowBlank="1" showInputMessage="1" showErrorMessage="1" sqref="H31:L31">
      <formula1>$H$32:$H$35</formula1>
    </dataValidation>
    <dataValidation type="list" allowBlank="1" showInputMessage="1" showErrorMessage="1" sqref="D24:I24">
      <formula1>$D$25:$D$26</formula1>
    </dataValidation>
    <dataValidation type="list" allowBlank="1" showInputMessage="1" showErrorMessage="1" sqref="H19">
      <formula1>$H$20:$H$21</formula1>
    </dataValidation>
    <dataValidation type="list" allowBlank="1" showInputMessage="1" showErrorMessage="1" sqref="B16:C16">
      <formula1>$B$17:$B$18</formula1>
    </dataValidation>
    <dataValidation type="list" allowBlank="1" showInputMessage="1" showErrorMessage="1" sqref="R139:R152">
      <formula1>$W$140:$W$141</formula1>
    </dataValidation>
    <dataValidation type="list" allowBlank="1" showInputMessage="1" showErrorMessage="1" sqref="H120:L120">
      <formula1>$H$121:$H$134</formula1>
    </dataValidation>
    <dataValidation type="list" allowBlank="1" showInputMessage="1" showErrorMessage="1" sqref="H105:L105">
      <formula1>$H$106:$H$119</formula1>
    </dataValidation>
    <dataValidation type="list" allowBlank="1" showInputMessage="1" showErrorMessage="1" sqref="H99:L99">
      <formula1>$H$100:$H$104</formula1>
    </dataValidation>
    <dataValidation type="list" allowBlank="1" showInputMessage="1" showErrorMessage="1" sqref="H91:L91">
      <formula1>$H$92:$H$98</formula1>
    </dataValidation>
    <dataValidation type="list" allowBlank="1" showInputMessage="1" showErrorMessage="1" sqref="H86:L86">
      <formula1>$H$87:$H$90</formula1>
    </dataValidation>
    <dataValidation type="list" allowBlank="1" showInputMessage="1" showErrorMessage="1" sqref="H78:L78">
      <formula1>$H$79:$H$85</formula1>
    </dataValidation>
    <dataValidation type="list" allowBlank="1" showInputMessage="1" showErrorMessage="1" sqref="H71:L71">
      <formula1>$H$72:$H$77</formula1>
    </dataValidation>
  </dataValidations>
  <pageMargins left="0.7" right="0.7" top="0.75" bottom="0.75" header="0.3" footer="0.3"/>
  <pageSetup paperSize="9" scale="53" fitToHeight="0"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pageSetUpPr fitToPage="1"/>
  </sheetPr>
  <dimension ref="A1:AA175"/>
  <sheetViews>
    <sheetView view="pageBreakPreview" topLeftCell="B149" zoomScale="70" zoomScaleSheetLayoutView="70" workbookViewId="0">
      <selection activeCell="K158" sqref="D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9.140625" style="286"/>
    <col min="25" max="25" width="14.28515625" style="286" bestFit="1" customWidth="1"/>
    <col min="26" max="26" width="9.140625" style="286"/>
    <col min="27" max="27" width="14" style="286" customWidth="1"/>
    <col min="28"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1291</v>
      </c>
      <c r="C4" s="731"/>
      <c r="D4" s="731"/>
      <c r="E4" s="731"/>
      <c r="F4" s="731"/>
      <c r="G4" s="731"/>
      <c r="H4" s="731"/>
      <c r="I4" s="731"/>
      <c r="J4" s="731"/>
      <c r="K4" s="731"/>
      <c r="L4" s="731"/>
      <c r="M4" s="731"/>
      <c r="N4" s="731"/>
      <c r="O4" s="731"/>
      <c r="P4" s="731"/>
      <c r="Q4" s="731"/>
      <c r="R4" s="731"/>
    </row>
    <row r="5" spans="2:20" x14ac:dyDescent="0.25">
      <c r="B5" s="731" t="s">
        <v>1292</v>
      </c>
      <c r="C5" s="731"/>
      <c r="D5" s="731"/>
      <c r="E5" s="731"/>
      <c r="F5" s="731"/>
      <c r="G5" s="731"/>
      <c r="H5" s="731"/>
      <c r="I5" s="731"/>
      <c r="J5" s="731"/>
      <c r="K5" s="731"/>
      <c r="L5" s="731"/>
      <c r="M5" s="731"/>
      <c r="N5" s="731"/>
      <c r="O5" s="731"/>
      <c r="P5" s="731"/>
      <c r="Q5" s="731"/>
      <c r="R5" s="731"/>
    </row>
    <row r="6" spans="2:20" ht="13.5" customHeight="1" x14ac:dyDescent="0.25">
      <c r="B6" s="286" t="s">
        <v>1036</v>
      </c>
      <c r="G6" s="732" t="s">
        <v>1293</v>
      </c>
      <c r="H6" s="733"/>
      <c r="I6" s="733"/>
      <c r="J6" s="733"/>
      <c r="K6" s="733"/>
      <c r="L6" s="733"/>
      <c r="M6" s="733"/>
      <c r="N6" s="733"/>
      <c r="O6" s="733"/>
      <c r="P6" s="733"/>
      <c r="Q6" s="733"/>
      <c r="R6" s="733"/>
    </row>
    <row r="7" spans="2:20" ht="16.5" customHeight="1"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СВОД!D14</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1073</v>
      </c>
      <c r="I71" s="699"/>
      <c r="J71" s="699"/>
      <c r="K71" s="699"/>
      <c r="L71" s="700"/>
      <c r="M71" s="295">
        <f t="shared" ref="M71:R71" ca="1" si="0">IF(D24="Да",SUMIF($H72:$L77,$H71,M72:M77),0)</f>
        <v>3</v>
      </c>
      <c r="N71" s="295">
        <f t="shared" si="0"/>
        <v>0</v>
      </c>
      <c r="O71" s="295">
        <f t="shared" si="0"/>
        <v>0</v>
      </c>
      <c r="P71" s="295">
        <f t="shared" ca="1" si="0"/>
        <v>3</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1083</v>
      </c>
      <c r="I78" s="699"/>
      <c r="J78" s="699"/>
      <c r="K78" s="699"/>
      <c r="L78" s="700"/>
      <c r="M78" s="295">
        <f t="shared" ref="M78:R78" ca="1" si="1">IF(D24="Да",SUMIF($H79:$L85,$H78,M79:M85),0)</f>
        <v>2</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1132</v>
      </c>
      <c r="I86" s="699"/>
      <c r="J86" s="699"/>
      <c r="K86" s="699"/>
      <c r="L86" s="700"/>
      <c r="M86" s="295">
        <f t="shared" ref="M86:R86" ca="1" si="2">IF(D24="Да",SUMIF($H87:$L90,$H86,M87:M90),0)</f>
        <v>3</v>
      </c>
      <c r="N86" s="295">
        <f t="shared" si="2"/>
        <v>0</v>
      </c>
      <c r="O86" s="295">
        <f t="shared" si="2"/>
        <v>0</v>
      </c>
      <c r="P86" s="295">
        <f t="shared" ca="1" si="2"/>
        <v>3</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1139</v>
      </c>
      <c r="I91" s="699"/>
      <c r="J91" s="699"/>
      <c r="K91" s="699"/>
      <c r="L91" s="700"/>
      <c r="M91" s="295">
        <f t="shared" ref="M91:R91" ca="1" si="3">IF(D24="Да",SUMIF($H92:$L98,$H91,M92:M98),0)</f>
        <v>3</v>
      </c>
      <c r="N91" s="295">
        <f t="shared" si="3"/>
        <v>0</v>
      </c>
      <c r="O91" s="295">
        <f t="shared" si="3"/>
        <v>0</v>
      </c>
      <c r="P91" s="295">
        <f t="shared" ca="1" si="3"/>
        <v>3</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1151</v>
      </c>
      <c r="I99" s="699"/>
      <c r="J99" s="699"/>
      <c r="K99" s="699"/>
      <c r="L99" s="700"/>
      <c r="M99" s="295">
        <f t="shared" ref="M99:R99" ca="1" si="4">IF(D24="Да",SUMIF($H100:$L104,$H99,M100:M104),0)</f>
        <v>5</v>
      </c>
      <c r="N99" s="295">
        <f t="shared" si="4"/>
        <v>0</v>
      </c>
      <c r="O99" s="295">
        <f t="shared" si="4"/>
        <v>0</v>
      </c>
      <c r="P99" s="295">
        <f t="shared" ca="1" si="4"/>
        <v>7</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1097</v>
      </c>
      <c r="I105" s="699"/>
      <c r="J105" s="699"/>
      <c r="K105" s="699"/>
      <c r="L105" s="700"/>
      <c r="M105" s="295">
        <f t="shared" ref="M105:R105" ca="1" si="5">IF(D24="Да",SUMIF($H106:$L119,$H105,M106:M119),0)</f>
        <v>2</v>
      </c>
      <c r="N105" s="295">
        <f t="shared" si="5"/>
        <v>0</v>
      </c>
      <c r="O105" s="295">
        <f t="shared" si="5"/>
        <v>0</v>
      </c>
      <c r="P105" s="295">
        <f t="shared" ca="1" si="5"/>
        <v>3</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1182</v>
      </c>
      <c r="I120" s="699"/>
      <c r="J120" s="699"/>
      <c r="K120" s="699"/>
      <c r="L120" s="700"/>
      <c r="M120" s="295">
        <f t="shared" ref="M120:R120" ca="1" si="6">IF(D24="Да",SUMIF($H121:$L134,$H120,M121:M134),0)</f>
        <v>4</v>
      </c>
      <c r="N120" s="295">
        <f t="shared" si="6"/>
        <v>0</v>
      </c>
      <c r="O120" s="295">
        <f t="shared" si="6"/>
        <v>0</v>
      </c>
      <c r="P120" s="295">
        <f t="shared" ca="1" si="6"/>
        <v>6</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22</v>
      </c>
      <c r="N135" s="295">
        <f t="shared" ref="N135:R135" si="7">N71+N78+N86+N91+N99+N105+N120</f>
        <v>0</v>
      </c>
      <c r="O135" s="295">
        <f>O71+O78+O86+O91+O99+O105+O120</f>
        <v>0</v>
      </c>
      <c r="P135" s="295">
        <f t="shared" ca="1" si="7"/>
        <v>27</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1.05</v>
      </c>
      <c r="D149" s="295">
        <f t="shared" si="10"/>
        <v>1.05</v>
      </c>
      <c r="E149" s="295">
        <f t="shared" si="10"/>
        <v>1.05</v>
      </c>
      <c r="F149" s="295">
        <f t="shared" si="10"/>
        <v>1.05</v>
      </c>
      <c r="G149" s="295">
        <f t="shared" si="10"/>
        <v>1.05</v>
      </c>
      <c r="H149" s="295">
        <f t="shared" si="10"/>
        <v>1.05</v>
      </c>
      <c r="I149" s="295">
        <f t="shared" si="10"/>
        <v>1.05</v>
      </c>
      <c r="J149" s="295" t="s">
        <v>1223</v>
      </c>
      <c r="K149" s="311" t="s">
        <v>1209</v>
      </c>
      <c r="L149" s="716" t="s">
        <v>1224</v>
      </c>
      <c r="M149" s="716"/>
      <c r="N149" s="716"/>
      <c r="O149" s="716"/>
      <c r="P149" s="716"/>
      <c r="Q149" s="312">
        <f t="shared" si="11"/>
        <v>1.05</v>
      </c>
      <c r="R149" s="312" t="s">
        <v>1047</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1.0500000000000007</v>
      </c>
      <c r="D154" s="295">
        <f>SUM(D142:D152)-10</f>
        <v>1.0500000000000007</v>
      </c>
      <c r="E154" s="295">
        <f>SUM(E142:E152)-10</f>
        <v>1.0500000000000007</v>
      </c>
      <c r="F154" s="295">
        <f t="shared" ref="F154:I154" si="13">SUM(F142:F152)-10</f>
        <v>1.0500000000000007</v>
      </c>
      <c r="G154" s="295">
        <f t="shared" si="13"/>
        <v>1.25</v>
      </c>
      <c r="H154" s="295">
        <f t="shared" si="13"/>
        <v>1.0500000000000007</v>
      </c>
      <c r="I154" s="295">
        <f t="shared" si="13"/>
        <v>1.0500000000000007</v>
      </c>
      <c r="J154" s="314"/>
      <c r="K154" s="698" t="s">
        <v>1232</v>
      </c>
      <c r="L154" s="699"/>
      <c r="M154" s="699"/>
      <c r="N154" s="699"/>
      <c r="O154" s="699"/>
      <c r="P154" s="699"/>
      <c r="Q154" s="699"/>
      <c r="R154" s="700"/>
    </row>
    <row r="155" spans="2:21" s="310" customFormat="1" ht="24.75" customHeight="1" x14ac:dyDescent="0.2">
      <c r="B155" s="295">
        <v>17</v>
      </c>
      <c r="C155" s="295">
        <f>C153*C154</f>
        <v>0.63000000000000045</v>
      </c>
      <c r="D155" s="295">
        <f>D153*D154</f>
        <v>0.63000000000000045</v>
      </c>
      <c r="E155" s="295">
        <f>E153*E154</f>
        <v>0.63000000000000045</v>
      </c>
      <c r="F155" s="295">
        <f t="shared" ref="F155:I155" si="14">F153*F154</f>
        <v>0.63000000000000045</v>
      </c>
      <c r="G155" s="295">
        <f t="shared" si="14"/>
        <v>0.75</v>
      </c>
      <c r="H155" s="295">
        <f t="shared" si="14"/>
        <v>0.63000000000000045</v>
      </c>
      <c r="I155" s="295">
        <f t="shared" si="14"/>
        <v>0.63000000000000045</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7"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7"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7"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7" ht="25.5" customHeight="1" x14ac:dyDescent="0.25">
      <c r="B164" s="295">
        <v>1</v>
      </c>
      <c r="C164" s="295">
        <f>M67</f>
        <v>0</v>
      </c>
      <c r="D164" s="295">
        <f t="shared" ref="D164:I164" ca="1" si="15">M135</f>
        <v>22</v>
      </c>
      <c r="E164" s="295">
        <f t="shared" si="15"/>
        <v>0</v>
      </c>
      <c r="F164" s="295">
        <f t="shared" si="15"/>
        <v>0</v>
      </c>
      <c r="G164" s="295">
        <f t="shared" ca="1" si="15"/>
        <v>27</v>
      </c>
      <c r="H164" s="295">
        <f t="shared" si="15"/>
        <v>0</v>
      </c>
      <c r="I164" s="295">
        <f t="shared" si="15"/>
        <v>0</v>
      </c>
      <c r="J164" s="698" t="s">
        <v>1247</v>
      </c>
      <c r="K164" s="699"/>
      <c r="L164" s="699"/>
      <c r="M164" s="699"/>
      <c r="N164" s="699"/>
      <c r="O164" s="699"/>
      <c r="P164" s="699"/>
      <c r="Q164" s="699"/>
      <c r="R164" s="700"/>
    </row>
    <row r="165" spans="2:27"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7"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7" ht="25.5" customHeight="1" x14ac:dyDescent="0.25">
      <c r="B167" s="295">
        <v>4</v>
      </c>
      <c r="C167" s="316">
        <f>C164*C165*C166</f>
        <v>0</v>
      </c>
      <c r="D167" s="316">
        <f ca="1">D164*D165*D166</f>
        <v>346.06</v>
      </c>
      <c r="E167" s="316">
        <f>E164*E165*E166</f>
        <v>0</v>
      </c>
      <c r="F167" s="316">
        <f t="shared" ref="F167:I167" si="16">F164*F165*F166</f>
        <v>0</v>
      </c>
      <c r="G167" s="316">
        <f t="shared" ca="1" si="16"/>
        <v>911.79000000000008</v>
      </c>
      <c r="H167" s="316">
        <f t="shared" si="16"/>
        <v>0</v>
      </c>
      <c r="I167" s="316">
        <f t="shared" si="16"/>
        <v>0</v>
      </c>
      <c r="J167" s="698" t="s">
        <v>1250</v>
      </c>
      <c r="K167" s="699"/>
      <c r="L167" s="699"/>
      <c r="M167" s="699"/>
      <c r="N167" s="699"/>
      <c r="O167" s="699"/>
      <c r="P167" s="699"/>
      <c r="Q167" s="699"/>
      <c r="R167" s="700"/>
    </row>
    <row r="168" spans="2:27" ht="25.5" customHeight="1" x14ac:dyDescent="0.25">
      <c r="B168" s="295">
        <v>5</v>
      </c>
      <c r="C168" s="316">
        <f t="shared" ref="C168:I168" si="17">C167*C155</f>
        <v>0</v>
      </c>
      <c r="D168" s="316">
        <f t="shared" ca="1" si="17"/>
        <v>218.01780000000016</v>
      </c>
      <c r="E168" s="316">
        <f t="shared" si="17"/>
        <v>0</v>
      </c>
      <c r="F168" s="316">
        <f t="shared" si="17"/>
        <v>0</v>
      </c>
      <c r="G168" s="316">
        <f t="shared" ca="1" si="17"/>
        <v>683.84250000000009</v>
      </c>
      <c r="H168" s="316">
        <f t="shared" si="17"/>
        <v>0</v>
      </c>
      <c r="I168" s="316">
        <f t="shared" si="17"/>
        <v>0</v>
      </c>
      <c r="J168" s="698" t="s">
        <v>1251</v>
      </c>
      <c r="K168" s="699"/>
      <c r="L168" s="699"/>
      <c r="M168" s="699"/>
      <c r="N168" s="699"/>
      <c r="O168" s="699"/>
      <c r="P168" s="699"/>
      <c r="Q168" s="699"/>
      <c r="R168" s="700"/>
    </row>
    <row r="169" spans="2:27" ht="25.5" customHeight="1" x14ac:dyDescent="0.25">
      <c r="B169" s="295">
        <v>6</v>
      </c>
      <c r="C169" s="316">
        <f t="shared" ref="C169:I169" si="18">C168*C156*C157*C158</f>
        <v>0</v>
      </c>
      <c r="D169" s="316">
        <f t="shared" ca="1" si="18"/>
        <v>1101.8619612000007</v>
      </c>
      <c r="E169" s="316">
        <f t="shared" si="18"/>
        <v>0</v>
      </c>
      <c r="F169" s="316">
        <f t="shared" si="18"/>
        <v>0</v>
      </c>
      <c r="G169" s="316">
        <f t="shared" ca="1" si="18"/>
        <v>3456.1399950000005</v>
      </c>
      <c r="H169" s="316">
        <f t="shared" si="18"/>
        <v>0</v>
      </c>
      <c r="I169" s="316">
        <f t="shared" si="18"/>
        <v>0</v>
      </c>
      <c r="J169" s="698" t="s">
        <v>1252</v>
      </c>
      <c r="K169" s="699"/>
      <c r="L169" s="699"/>
      <c r="M169" s="699"/>
      <c r="N169" s="699"/>
      <c r="O169" s="699"/>
      <c r="P169" s="699"/>
      <c r="Q169" s="699"/>
      <c r="R169" s="700"/>
    </row>
    <row r="170" spans="2:27" ht="25.5" customHeight="1" x14ac:dyDescent="0.25">
      <c r="B170" s="295">
        <v>7</v>
      </c>
      <c r="C170" s="317"/>
      <c r="D170" s="317">
        <f t="shared" ref="D170:I170" ca="1" si="19">D169*D160</f>
        <v>330.55858836000021</v>
      </c>
      <c r="E170" s="317">
        <f t="shared" si="19"/>
        <v>0</v>
      </c>
      <c r="F170" s="317">
        <f t="shared" si="19"/>
        <v>0</v>
      </c>
      <c r="G170" s="317">
        <f t="shared" ca="1" si="19"/>
        <v>2073.6839970000001</v>
      </c>
      <c r="H170" s="317">
        <f t="shared" si="19"/>
        <v>0</v>
      </c>
      <c r="I170" s="317">
        <f t="shared" si="19"/>
        <v>0</v>
      </c>
      <c r="J170" s="698" t="s">
        <v>1253</v>
      </c>
      <c r="K170" s="699"/>
      <c r="L170" s="699"/>
      <c r="M170" s="699"/>
      <c r="N170" s="699"/>
      <c r="O170" s="699"/>
      <c r="P170" s="699"/>
      <c r="Q170" s="699"/>
      <c r="R170" s="700"/>
    </row>
    <row r="171" spans="2:27" ht="46.5" customHeight="1" x14ac:dyDescent="0.25">
      <c r="B171" s="295">
        <v>8</v>
      </c>
      <c r="C171" s="295"/>
      <c r="D171" s="701">
        <f ca="1">SUM(D170:I170)*1000</f>
        <v>2404242.5853600004</v>
      </c>
      <c r="E171" s="701"/>
      <c r="F171" s="701"/>
      <c r="G171" s="701"/>
      <c r="H171" s="701"/>
      <c r="I171" s="701"/>
      <c r="J171" s="698" t="s">
        <v>1254</v>
      </c>
      <c r="K171" s="699"/>
      <c r="L171" s="699"/>
      <c r="M171" s="699"/>
      <c r="N171" s="699"/>
      <c r="O171" s="699"/>
      <c r="P171" s="699"/>
      <c r="Q171" s="699"/>
      <c r="R171" s="700"/>
    </row>
    <row r="172" spans="2:27" ht="41.25" customHeight="1" x14ac:dyDescent="0.25">
      <c r="B172" s="295">
        <v>9</v>
      </c>
      <c r="C172" s="295"/>
      <c r="D172" s="702">
        <f ca="1">ROUND(D171*0.8,0)</f>
        <v>1923394</v>
      </c>
      <c r="E172" s="703"/>
      <c r="F172" s="703"/>
      <c r="G172" s="703"/>
      <c r="H172" s="703"/>
      <c r="I172" s="704"/>
      <c r="J172" s="698" t="s">
        <v>1255</v>
      </c>
      <c r="K172" s="699"/>
      <c r="L172" s="699"/>
      <c r="M172" s="699"/>
      <c r="N172" s="699"/>
      <c r="O172" s="699"/>
      <c r="P172" s="699"/>
      <c r="Q172" s="699"/>
      <c r="R172" s="700"/>
    </row>
    <row r="173" spans="2:27" ht="26.25" customHeight="1" x14ac:dyDescent="0.25">
      <c r="B173" s="295">
        <v>11</v>
      </c>
      <c r="C173" s="295"/>
      <c r="D173" s="697">
        <f ca="1">D172</f>
        <v>1923394</v>
      </c>
      <c r="E173" s="697"/>
      <c r="F173" s="697"/>
      <c r="G173" s="697"/>
      <c r="H173" s="697"/>
      <c r="I173" s="697"/>
      <c r="J173" s="698" t="s">
        <v>1256</v>
      </c>
      <c r="K173" s="699"/>
      <c r="L173" s="699"/>
      <c r="M173" s="699"/>
      <c r="N173" s="699"/>
      <c r="O173" s="699"/>
      <c r="P173" s="699"/>
      <c r="Q173" s="699"/>
      <c r="R173" s="700"/>
      <c r="Y173" s="318">
        <f ca="1">D173</f>
        <v>1923394</v>
      </c>
      <c r="AA173" s="324"/>
    </row>
    <row r="174" spans="2:27" ht="14.25" x14ac:dyDescent="0.2">
      <c r="B174" s="289"/>
      <c r="C174" s="289"/>
      <c r="D174" s="319"/>
      <c r="E174" s="320"/>
      <c r="F174" s="320"/>
      <c r="G174" s="320"/>
      <c r="H174" s="320"/>
      <c r="I174" s="320"/>
      <c r="J174" s="321"/>
      <c r="K174" s="320"/>
      <c r="L174" s="322"/>
      <c r="M174" s="320"/>
      <c r="N174" s="320"/>
      <c r="O174" s="320"/>
      <c r="P174" s="320"/>
      <c r="Q174" s="320"/>
      <c r="R174" s="320"/>
    </row>
    <row r="175" spans="2:27"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pageSetUpPr fitToPage="1"/>
  </sheetPr>
  <dimension ref="A1:AA177"/>
  <sheetViews>
    <sheetView view="pageBreakPreview" topLeftCell="B149" zoomScale="70" zoomScaleSheetLayoutView="70" workbookViewId="0">
      <selection activeCell="D158" sqref="D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9.140625" style="286"/>
    <col min="25" max="25" width="14.28515625" style="286" bestFit="1" customWidth="1"/>
    <col min="26" max="26" width="9.140625" style="286"/>
    <col min="27" max="27" width="12.42578125" style="286" bestFit="1" customWidth="1"/>
    <col min="28"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1294</v>
      </c>
      <c r="C4" s="731"/>
      <c r="D4" s="731"/>
      <c r="E4" s="731"/>
      <c r="F4" s="731"/>
      <c r="G4" s="731"/>
      <c r="H4" s="731"/>
      <c r="I4" s="731"/>
      <c r="J4" s="731"/>
      <c r="K4" s="731"/>
      <c r="L4" s="731"/>
      <c r="M4" s="731"/>
      <c r="N4" s="731"/>
      <c r="O4" s="731"/>
      <c r="P4" s="731"/>
      <c r="Q4" s="731"/>
      <c r="R4" s="731"/>
    </row>
    <row r="5" spans="2:20" x14ac:dyDescent="0.25">
      <c r="B5" s="731" t="s">
        <v>1295</v>
      </c>
      <c r="C5" s="731"/>
      <c r="D5" s="731"/>
      <c r="E5" s="731"/>
      <c r="F5" s="731"/>
      <c r="G5" s="731"/>
      <c r="H5" s="731"/>
      <c r="I5" s="731"/>
      <c r="J5" s="731"/>
      <c r="K5" s="731"/>
      <c r="L5" s="731"/>
      <c r="M5" s="731"/>
      <c r="N5" s="731"/>
      <c r="O5" s="731"/>
      <c r="P5" s="731"/>
      <c r="Q5" s="731"/>
      <c r="R5" s="731"/>
    </row>
    <row r="6" spans="2:20" ht="13.5" customHeight="1" x14ac:dyDescent="0.25">
      <c r="B6" s="286" t="s">
        <v>1036</v>
      </c>
      <c r="G6" s="732" t="s">
        <v>1296</v>
      </c>
      <c r="H6" s="733"/>
      <c r="I6" s="733"/>
      <c r="J6" s="733"/>
      <c r="K6" s="733"/>
      <c r="L6" s="733"/>
      <c r="M6" s="733"/>
      <c r="N6" s="733"/>
      <c r="O6" s="733"/>
      <c r="P6" s="733"/>
      <c r="Q6" s="733"/>
      <c r="R6" s="733"/>
    </row>
    <row r="7" spans="2:20" ht="16.5" customHeight="1"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'3.6.2 АСУЭ этап15'!G11</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1073</v>
      </c>
      <c r="I71" s="699"/>
      <c r="J71" s="699"/>
      <c r="K71" s="699"/>
      <c r="L71" s="700"/>
      <c r="M71" s="295">
        <f t="shared" ref="M71:R71" ca="1" si="0">IF(D24="Да",SUMIF($H72:$L77,$H71,M72:M77),0)</f>
        <v>3</v>
      </c>
      <c r="N71" s="295">
        <f t="shared" si="0"/>
        <v>0</v>
      </c>
      <c r="O71" s="295">
        <f t="shared" si="0"/>
        <v>0</v>
      </c>
      <c r="P71" s="295">
        <f t="shared" ca="1" si="0"/>
        <v>3</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1083</v>
      </c>
      <c r="I78" s="699"/>
      <c r="J78" s="699"/>
      <c r="K78" s="699"/>
      <c r="L78" s="700"/>
      <c r="M78" s="295">
        <f t="shared" ref="M78:R78" ca="1" si="1">IF(D24="Да",SUMIF($H79:$L85,$H78,M79:M85),0)</f>
        <v>2</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1132</v>
      </c>
      <c r="I86" s="699"/>
      <c r="J86" s="699"/>
      <c r="K86" s="699"/>
      <c r="L86" s="700"/>
      <c r="M86" s="295">
        <f t="shared" ref="M86:R86" ca="1" si="2">IF(D24="Да",SUMIF($H87:$L90,$H86,M87:M90),0)</f>
        <v>3</v>
      </c>
      <c r="N86" s="295">
        <f t="shared" si="2"/>
        <v>0</v>
      </c>
      <c r="O86" s="295">
        <f t="shared" si="2"/>
        <v>0</v>
      </c>
      <c r="P86" s="295">
        <f t="shared" ca="1" si="2"/>
        <v>3</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1139</v>
      </c>
      <c r="I91" s="699"/>
      <c r="J91" s="699"/>
      <c r="K91" s="699"/>
      <c r="L91" s="700"/>
      <c r="M91" s="295">
        <f t="shared" ref="M91:R91" ca="1" si="3">IF(D24="Да",SUMIF($H92:$L98,$H91,M92:M98),0)</f>
        <v>3</v>
      </c>
      <c r="N91" s="295">
        <f t="shared" si="3"/>
        <v>0</v>
      </c>
      <c r="O91" s="295">
        <f t="shared" si="3"/>
        <v>0</v>
      </c>
      <c r="P91" s="295">
        <f t="shared" ca="1" si="3"/>
        <v>3</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1151</v>
      </c>
      <c r="I99" s="699"/>
      <c r="J99" s="699"/>
      <c r="K99" s="699"/>
      <c r="L99" s="700"/>
      <c r="M99" s="295">
        <f t="shared" ref="M99:R99" ca="1" si="4">IF(D24="Да",SUMIF($H100:$L104,$H99,M100:M104),0)</f>
        <v>5</v>
      </c>
      <c r="N99" s="295">
        <f t="shared" si="4"/>
        <v>0</v>
      </c>
      <c r="O99" s="295">
        <f t="shared" si="4"/>
        <v>0</v>
      </c>
      <c r="P99" s="295">
        <f t="shared" ca="1" si="4"/>
        <v>7</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1101</v>
      </c>
      <c r="I105" s="699"/>
      <c r="J105" s="699"/>
      <c r="K105" s="699"/>
      <c r="L105" s="700"/>
      <c r="M105" s="295">
        <f t="shared" ref="M105:R105" ca="1" si="5">IF(D24="Да",SUMIF($H106:$L119,$H105,M106:M119),0)</f>
        <v>3</v>
      </c>
      <c r="N105" s="295">
        <f t="shared" si="5"/>
        <v>0</v>
      </c>
      <c r="O105" s="295">
        <f t="shared" si="5"/>
        <v>0</v>
      </c>
      <c r="P105" s="295">
        <f t="shared" ca="1" si="5"/>
        <v>5</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1184</v>
      </c>
      <c r="I120" s="699"/>
      <c r="J120" s="699"/>
      <c r="K120" s="699"/>
      <c r="L120" s="700"/>
      <c r="M120" s="295">
        <f t="shared" ref="M120:R120" ca="1" si="6">IF(D24="Да",SUMIF($H121:$L134,$H120,M121:M134),0)</f>
        <v>5</v>
      </c>
      <c r="N120" s="295">
        <f t="shared" si="6"/>
        <v>0</v>
      </c>
      <c r="O120" s="295">
        <f t="shared" si="6"/>
        <v>0</v>
      </c>
      <c r="P120" s="295">
        <f t="shared" ca="1" si="6"/>
        <v>8</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24</v>
      </c>
      <c r="N135" s="295">
        <f t="shared" ref="N135:R135" si="7">N71+N78+N86+N91+N99+N105+N120</f>
        <v>0</v>
      </c>
      <c r="O135" s="295">
        <f>O71+O78+O86+O91+O99+O105+O120</f>
        <v>0</v>
      </c>
      <c r="P135" s="295">
        <f t="shared" ca="1" si="7"/>
        <v>31</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1.05</v>
      </c>
      <c r="D149" s="295">
        <f t="shared" si="10"/>
        <v>1.05</v>
      </c>
      <c r="E149" s="295">
        <f t="shared" si="10"/>
        <v>1.05</v>
      </c>
      <c r="F149" s="295">
        <f t="shared" si="10"/>
        <v>1.05</v>
      </c>
      <c r="G149" s="295">
        <f t="shared" si="10"/>
        <v>1.05</v>
      </c>
      <c r="H149" s="295">
        <f t="shared" si="10"/>
        <v>1.05</v>
      </c>
      <c r="I149" s="295">
        <f t="shared" si="10"/>
        <v>1.05</v>
      </c>
      <c r="J149" s="295" t="s">
        <v>1223</v>
      </c>
      <c r="K149" s="311" t="s">
        <v>1209</v>
      </c>
      <c r="L149" s="716" t="s">
        <v>1224</v>
      </c>
      <c r="M149" s="716"/>
      <c r="N149" s="716"/>
      <c r="O149" s="716"/>
      <c r="P149" s="716"/>
      <c r="Q149" s="312">
        <f t="shared" si="11"/>
        <v>1.05</v>
      </c>
      <c r="R149" s="312" t="s">
        <v>1047</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1.0500000000000007</v>
      </c>
      <c r="D154" s="295">
        <f>SUM(D142:D152)-10</f>
        <v>1.0500000000000007</v>
      </c>
      <c r="E154" s="295">
        <f>SUM(E142:E152)-10</f>
        <v>1.0500000000000007</v>
      </c>
      <c r="F154" s="295">
        <f t="shared" ref="F154:I154" si="13">SUM(F142:F152)-10</f>
        <v>1.0500000000000007</v>
      </c>
      <c r="G154" s="295">
        <f t="shared" si="13"/>
        <v>1.25</v>
      </c>
      <c r="H154" s="295">
        <f t="shared" si="13"/>
        <v>1.0500000000000007</v>
      </c>
      <c r="I154" s="295">
        <f t="shared" si="13"/>
        <v>1.0500000000000007</v>
      </c>
      <c r="J154" s="314"/>
      <c r="K154" s="698" t="s">
        <v>1232</v>
      </c>
      <c r="L154" s="699"/>
      <c r="M154" s="699"/>
      <c r="N154" s="699"/>
      <c r="O154" s="699"/>
      <c r="P154" s="699"/>
      <c r="Q154" s="699"/>
      <c r="R154" s="700"/>
    </row>
    <row r="155" spans="2:21" s="310" customFormat="1" ht="24.75" customHeight="1" x14ac:dyDescent="0.2">
      <c r="B155" s="295">
        <v>17</v>
      </c>
      <c r="C155" s="295">
        <f>C153*C154</f>
        <v>0.63000000000000045</v>
      </c>
      <c r="D155" s="295">
        <f>D153*D154</f>
        <v>0.63000000000000045</v>
      </c>
      <c r="E155" s="295">
        <f>E153*E154</f>
        <v>0.63000000000000045</v>
      </c>
      <c r="F155" s="295">
        <f t="shared" ref="F155:I155" si="14">F153*F154</f>
        <v>0.63000000000000045</v>
      </c>
      <c r="G155" s="295">
        <f t="shared" si="14"/>
        <v>0.75</v>
      </c>
      <c r="H155" s="295">
        <f t="shared" si="14"/>
        <v>0.63000000000000045</v>
      </c>
      <c r="I155" s="295">
        <f t="shared" si="14"/>
        <v>0.63000000000000045</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7"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7"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7"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7" ht="25.5" customHeight="1" x14ac:dyDescent="0.25">
      <c r="B164" s="295">
        <v>1</v>
      </c>
      <c r="C164" s="295">
        <f>M67</f>
        <v>0</v>
      </c>
      <c r="D164" s="295">
        <f t="shared" ref="D164:I164" ca="1" si="15">M135</f>
        <v>24</v>
      </c>
      <c r="E164" s="295">
        <f t="shared" si="15"/>
        <v>0</v>
      </c>
      <c r="F164" s="295">
        <f t="shared" si="15"/>
        <v>0</v>
      </c>
      <c r="G164" s="295">
        <f t="shared" ca="1" si="15"/>
        <v>31</v>
      </c>
      <c r="H164" s="295">
        <f t="shared" si="15"/>
        <v>0</v>
      </c>
      <c r="I164" s="295">
        <f t="shared" si="15"/>
        <v>0</v>
      </c>
      <c r="J164" s="698" t="s">
        <v>1247</v>
      </c>
      <c r="K164" s="699"/>
      <c r="L164" s="699"/>
      <c r="M164" s="699"/>
      <c r="N164" s="699"/>
      <c r="O164" s="699"/>
      <c r="P164" s="699"/>
      <c r="Q164" s="699"/>
      <c r="R164" s="700"/>
    </row>
    <row r="165" spans="2:27"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7"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7" ht="25.5" customHeight="1" x14ac:dyDescent="0.25">
      <c r="B167" s="295">
        <v>4</v>
      </c>
      <c r="C167" s="316">
        <f>C164*C165*C166</f>
        <v>0</v>
      </c>
      <c r="D167" s="316">
        <f ca="1">D164*D165*D166</f>
        <v>377.52</v>
      </c>
      <c r="E167" s="316">
        <f>E164*E165*E166</f>
        <v>0</v>
      </c>
      <c r="F167" s="316">
        <f t="shared" ref="F167:I167" si="16">F164*F165*F166</f>
        <v>0</v>
      </c>
      <c r="G167" s="316">
        <f t="shared" ca="1" si="16"/>
        <v>1046.8700000000001</v>
      </c>
      <c r="H167" s="316">
        <f t="shared" si="16"/>
        <v>0</v>
      </c>
      <c r="I167" s="316">
        <f t="shared" si="16"/>
        <v>0</v>
      </c>
      <c r="J167" s="698" t="s">
        <v>1250</v>
      </c>
      <c r="K167" s="699"/>
      <c r="L167" s="699"/>
      <c r="M167" s="699"/>
      <c r="N167" s="699"/>
      <c r="O167" s="699"/>
      <c r="P167" s="699"/>
      <c r="Q167" s="699"/>
      <c r="R167" s="700"/>
    </row>
    <row r="168" spans="2:27" ht="25.5" customHeight="1" x14ac:dyDescent="0.25">
      <c r="B168" s="295">
        <v>5</v>
      </c>
      <c r="C168" s="316">
        <f t="shared" ref="C168:I168" si="17">C167*C155</f>
        <v>0</v>
      </c>
      <c r="D168" s="316">
        <f t="shared" ca="1" si="17"/>
        <v>237.83760000000015</v>
      </c>
      <c r="E168" s="316">
        <f t="shared" si="17"/>
        <v>0</v>
      </c>
      <c r="F168" s="316">
        <f t="shared" si="17"/>
        <v>0</v>
      </c>
      <c r="G168" s="316">
        <f t="shared" ca="1" si="17"/>
        <v>785.15250000000015</v>
      </c>
      <c r="H168" s="316">
        <f t="shared" si="17"/>
        <v>0</v>
      </c>
      <c r="I168" s="316">
        <f t="shared" si="17"/>
        <v>0</v>
      </c>
      <c r="J168" s="698" t="s">
        <v>1251</v>
      </c>
      <c r="K168" s="699"/>
      <c r="L168" s="699"/>
      <c r="M168" s="699"/>
      <c r="N168" s="699"/>
      <c r="O168" s="699"/>
      <c r="P168" s="699"/>
      <c r="Q168" s="699"/>
      <c r="R168" s="700"/>
    </row>
    <row r="169" spans="2:27" ht="25.5" customHeight="1" x14ac:dyDescent="0.25">
      <c r="B169" s="295">
        <v>6</v>
      </c>
      <c r="C169" s="316">
        <f t="shared" ref="C169:I169" si="18">C168*C156*C157*C158</f>
        <v>0</v>
      </c>
      <c r="D169" s="316">
        <f t="shared" ca="1" si="18"/>
        <v>1202.0312304000006</v>
      </c>
      <c r="E169" s="316">
        <f t="shared" si="18"/>
        <v>0</v>
      </c>
      <c r="F169" s="316">
        <f t="shared" si="18"/>
        <v>0</v>
      </c>
      <c r="G169" s="316">
        <f t="shared" ca="1" si="18"/>
        <v>3968.1607350000004</v>
      </c>
      <c r="H169" s="316">
        <f t="shared" si="18"/>
        <v>0</v>
      </c>
      <c r="I169" s="316">
        <f t="shared" si="18"/>
        <v>0</v>
      </c>
      <c r="J169" s="698" t="s">
        <v>1252</v>
      </c>
      <c r="K169" s="699"/>
      <c r="L169" s="699"/>
      <c r="M169" s="699"/>
      <c r="N169" s="699"/>
      <c r="O169" s="699"/>
      <c r="P169" s="699"/>
      <c r="Q169" s="699"/>
      <c r="R169" s="700"/>
    </row>
    <row r="170" spans="2:27" ht="25.5" customHeight="1" x14ac:dyDescent="0.25">
      <c r="B170" s="295">
        <v>7</v>
      </c>
      <c r="C170" s="317"/>
      <c r="D170" s="317">
        <f t="shared" ref="D170:I170" ca="1" si="19">D169*D160</f>
        <v>360.60936912000017</v>
      </c>
      <c r="E170" s="317">
        <f t="shared" si="19"/>
        <v>0</v>
      </c>
      <c r="F170" s="317">
        <f t="shared" si="19"/>
        <v>0</v>
      </c>
      <c r="G170" s="317">
        <f t="shared" ca="1" si="19"/>
        <v>2380.8964410000003</v>
      </c>
      <c r="H170" s="317">
        <f t="shared" si="19"/>
        <v>0</v>
      </c>
      <c r="I170" s="317">
        <f t="shared" si="19"/>
        <v>0</v>
      </c>
      <c r="J170" s="698" t="s">
        <v>1253</v>
      </c>
      <c r="K170" s="699"/>
      <c r="L170" s="699"/>
      <c r="M170" s="699"/>
      <c r="N170" s="699"/>
      <c r="O170" s="699"/>
      <c r="P170" s="699"/>
      <c r="Q170" s="699"/>
      <c r="R170" s="700"/>
    </row>
    <row r="171" spans="2:27" ht="46.5" customHeight="1" x14ac:dyDescent="0.25">
      <c r="B171" s="295">
        <v>8</v>
      </c>
      <c r="C171" s="295"/>
      <c r="D171" s="701">
        <f ca="1">SUM(D170:I170)*1000</f>
        <v>2741505.8101200005</v>
      </c>
      <c r="E171" s="701"/>
      <c r="F171" s="701"/>
      <c r="G171" s="701"/>
      <c r="H171" s="701"/>
      <c r="I171" s="701"/>
      <c r="J171" s="698" t="s">
        <v>1254</v>
      </c>
      <c r="K171" s="699"/>
      <c r="L171" s="699"/>
      <c r="M171" s="699"/>
      <c r="N171" s="699"/>
      <c r="O171" s="699"/>
      <c r="P171" s="699"/>
      <c r="Q171" s="699"/>
      <c r="R171" s="700"/>
    </row>
    <row r="172" spans="2:27" ht="41.25" customHeight="1" x14ac:dyDescent="0.25">
      <c r="B172" s="295">
        <v>9</v>
      </c>
      <c r="C172" s="295"/>
      <c r="D172" s="702">
        <f ca="1">ROUND(D171*0.8,0)</f>
        <v>2193205</v>
      </c>
      <c r="E172" s="703"/>
      <c r="F172" s="703"/>
      <c r="G172" s="703"/>
      <c r="H172" s="703"/>
      <c r="I172" s="704"/>
      <c r="J172" s="698" t="s">
        <v>1255</v>
      </c>
      <c r="K172" s="699"/>
      <c r="L172" s="699"/>
      <c r="M172" s="699"/>
      <c r="N172" s="699"/>
      <c r="O172" s="699"/>
      <c r="P172" s="699"/>
      <c r="Q172" s="699"/>
      <c r="R172" s="700"/>
    </row>
    <row r="173" spans="2:27" ht="27" customHeight="1" x14ac:dyDescent="0.25">
      <c r="B173" s="295">
        <v>11</v>
      </c>
      <c r="C173" s="295"/>
      <c r="D173" s="776">
        <f ca="1">D172</f>
        <v>2193205</v>
      </c>
      <c r="E173" s="776"/>
      <c r="F173" s="776"/>
      <c r="G173" s="776"/>
      <c r="H173" s="776"/>
      <c r="I173" s="776"/>
      <c r="J173" s="698" t="s">
        <v>1256</v>
      </c>
      <c r="K173" s="699"/>
      <c r="L173" s="699"/>
      <c r="M173" s="699"/>
      <c r="N173" s="699"/>
      <c r="O173" s="699"/>
      <c r="P173" s="699"/>
      <c r="Q173" s="699"/>
      <c r="R173" s="700"/>
      <c r="Y173" s="318">
        <f ca="1">D173</f>
        <v>2193205</v>
      </c>
      <c r="AA173" s="324"/>
    </row>
    <row r="174" spans="2:27" ht="14.25" x14ac:dyDescent="0.2">
      <c r="B174" s="289"/>
      <c r="C174" s="289"/>
      <c r="D174" s="319"/>
      <c r="E174" s="320"/>
      <c r="F174" s="320"/>
      <c r="G174" s="320"/>
      <c r="H174" s="320"/>
      <c r="I174" s="320"/>
      <c r="J174" s="321"/>
      <c r="K174" s="320"/>
      <c r="L174" s="322"/>
      <c r="M174" s="320"/>
      <c r="N174" s="320"/>
      <c r="O174" s="320"/>
      <c r="P174" s="320"/>
      <c r="Q174" s="320"/>
      <c r="R174" s="320"/>
    </row>
    <row r="175" spans="2:27" ht="14.25" x14ac:dyDescent="0.2">
      <c r="D175" s="319"/>
      <c r="J175" s="321"/>
      <c r="L175" s="323"/>
    </row>
    <row r="177" spans="7:7" x14ac:dyDescent="0.25">
      <c r="G177" s="286" t="s">
        <v>1297</v>
      </c>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pageSetUpPr fitToPage="1"/>
  </sheetPr>
  <dimension ref="A1:Y175"/>
  <sheetViews>
    <sheetView view="pageBreakPreview" topLeftCell="B153" zoomScale="70" zoomScaleSheetLayoutView="70" workbookViewId="0">
      <selection activeCell="D158" sqref="D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9.140625" style="286"/>
    <col min="25" max="25" width="13.42578125" style="286" bestFit="1" customWidth="1"/>
    <col min="26"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1298</v>
      </c>
      <c r="C4" s="731"/>
      <c r="D4" s="731"/>
      <c r="E4" s="731"/>
      <c r="F4" s="731"/>
      <c r="G4" s="731"/>
      <c r="H4" s="731"/>
      <c r="I4" s="731"/>
      <c r="J4" s="731"/>
      <c r="K4" s="731"/>
      <c r="L4" s="731"/>
      <c r="M4" s="731"/>
      <c r="N4" s="731"/>
      <c r="O4" s="731"/>
      <c r="P4" s="731"/>
      <c r="Q4" s="731"/>
      <c r="R4" s="731"/>
    </row>
    <row r="5" spans="2:20" x14ac:dyDescent="0.25">
      <c r="B5" s="731" t="s">
        <v>1299</v>
      </c>
      <c r="C5" s="731"/>
      <c r="D5" s="731"/>
      <c r="E5" s="731"/>
      <c r="F5" s="731"/>
      <c r="G5" s="731"/>
      <c r="H5" s="731"/>
      <c r="I5" s="731"/>
      <c r="J5" s="731"/>
      <c r="K5" s="731"/>
      <c r="L5" s="731"/>
      <c r="M5" s="731"/>
      <c r="N5" s="731"/>
      <c r="O5" s="731"/>
      <c r="P5" s="731"/>
      <c r="Q5" s="731"/>
      <c r="R5" s="731"/>
    </row>
    <row r="6" spans="2:20" ht="13.5" customHeight="1" x14ac:dyDescent="0.25">
      <c r="B6" s="286" t="s">
        <v>1036</v>
      </c>
      <c r="G6" s="732" t="s">
        <v>1300</v>
      </c>
      <c r="H6" s="733"/>
      <c r="I6" s="733"/>
      <c r="J6" s="733"/>
      <c r="K6" s="733"/>
      <c r="L6" s="733"/>
      <c r="M6" s="733"/>
      <c r="N6" s="733"/>
      <c r="O6" s="733"/>
      <c r="P6" s="733"/>
      <c r="Q6" s="733"/>
      <c r="R6" s="733"/>
    </row>
    <row r="7" spans="2:20" ht="13.5" customHeight="1"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СВОД!D14</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1073</v>
      </c>
      <c r="I71" s="699"/>
      <c r="J71" s="699"/>
      <c r="K71" s="699"/>
      <c r="L71" s="700"/>
      <c r="M71" s="295">
        <f t="shared" ref="M71:R71" ca="1" si="0">IF(D24="Да",SUMIF($H72:$L77,$H71,M72:M77),0)</f>
        <v>3</v>
      </c>
      <c r="N71" s="295">
        <f t="shared" si="0"/>
        <v>0</v>
      </c>
      <c r="O71" s="295">
        <f t="shared" si="0"/>
        <v>0</v>
      </c>
      <c r="P71" s="295">
        <f t="shared" ca="1" si="0"/>
        <v>3</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1083</v>
      </c>
      <c r="I78" s="699"/>
      <c r="J78" s="699"/>
      <c r="K78" s="699"/>
      <c r="L78" s="700"/>
      <c r="M78" s="295">
        <f t="shared" ref="M78:R78" ca="1" si="1">IF(D24="Да",SUMIF($H79:$L85,$H78,M79:M85),0)</f>
        <v>2</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1132</v>
      </c>
      <c r="I86" s="699"/>
      <c r="J86" s="699"/>
      <c r="K86" s="699"/>
      <c r="L86" s="700"/>
      <c r="M86" s="295">
        <f t="shared" ref="M86:R86" ca="1" si="2">IF(D24="Да",SUMIF($H87:$L90,$H86,M87:M90),0)</f>
        <v>3</v>
      </c>
      <c r="N86" s="295">
        <f t="shared" si="2"/>
        <v>0</v>
      </c>
      <c r="O86" s="295">
        <f t="shared" si="2"/>
        <v>0</v>
      </c>
      <c r="P86" s="295">
        <f t="shared" ca="1" si="2"/>
        <v>3</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1139</v>
      </c>
      <c r="I91" s="699"/>
      <c r="J91" s="699"/>
      <c r="K91" s="699"/>
      <c r="L91" s="700"/>
      <c r="M91" s="295">
        <f t="shared" ref="M91:R91" ca="1" si="3">IF(D24="Да",SUMIF($H92:$L98,$H91,M92:M98),0)</f>
        <v>3</v>
      </c>
      <c r="N91" s="295">
        <f t="shared" si="3"/>
        <v>0</v>
      </c>
      <c r="O91" s="295">
        <f t="shared" si="3"/>
        <v>0</v>
      </c>
      <c r="P91" s="295">
        <f t="shared" ca="1" si="3"/>
        <v>3</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1151</v>
      </c>
      <c r="I99" s="699"/>
      <c r="J99" s="699"/>
      <c r="K99" s="699"/>
      <c r="L99" s="700"/>
      <c r="M99" s="295">
        <f t="shared" ref="M99:R99" ca="1" si="4">IF(D24="Да",SUMIF($H100:$L104,$H99,M100:M104),0)</f>
        <v>5</v>
      </c>
      <c r="N99" s="295">
        <f t="shared" si="4"/>
        <v>0</v>
      </c>
      <c r="O99" s="295">
        <f t="shared" si="4"/>
        <v>0</v>
      </c>
      <c r="P99" s="295">
        <f t="shared" ca="1" si="4"/>
        <v>7</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1095</v>
      </c>
      <c r="I105" s="699"/>
      <c r="J105" s="699"/>
      <c r="K105" s="699"/>
      <c r="L105" s="700"/>
      <c r="M105" s="295">
        <f t="shared" ref="M105:R105" ca="1" si="5">IF(D24="Да",SUMIF($H106:$L119,$H105,M106:M119),0)</f>
        <v>2</v>
      </c>
      <c r="N105" s="295">
        <f t="shared" si="5"/>
        <v>0</v>
      </c>
      <c r="O105" s="295">
        <f t="shared" si="5"/>
        <v>0</v>
      </c>
      <c r="P105" s="295">
        <f t="shared" ca="1" si="5"/>
        <v>2</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1180</v>
      </c>
      <c r="I120" s="699"/>
      <c r="J120" s="699"/>
      <c r="K120" s="699"/>
      <c r="L120" s="700"/>
      <c r="M120" s="295">
        <f t="shared" ref="M120:R120" ca="1" si="6">IF(D24="Да",SUMIF($H121:$L134,$H120,M121:M134),0)</f>
        <v>3</v>
      </c>
      <c r="N120" s="295">
        <f t="shared" si="6"/>
        <v>0</v>
      </c>
      <c r="O120" s="295">
        <f t="shared" si="6"/>
        <v>0</v>
      </c>
      <c r="P120" s="295">
        <f t="shared" ca="1" si="6"/>
        <v>4</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21</v>
      </c>
      <c r="N135" s="295">
        <f t="shared" ref="N135:R135" si="7">N71+N78+N86+N91+N99+N105+N120</f>
        <v>0</v>
      </c>
      <c r="O135" s="295">
        <f>O71+O78+O86+O91+O99+O105+O120</f>
        <v>0</v>
      </c>
      <c r="P135" s="295">
        <f t="shared" ca="1" si="7"/>
        <v>24</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1.05</v>
      </c>
      <c r="D149" s="295">
        <f t="shared" si="10"/>
        <v>1.05</v>
      </c>
      <c r="E149" s="295">
        <f t="shared" si="10"/>
        <v>1.05</v>
      </c>
      <c r="F149" s="295">
        <f t="shared" si="10"/>
        <v>1.05</v>
      </c>
      <c r="G149" s="295">
        <f t="shared" si="10"/>
        <v>1.05</v>
      </c>
      <c r="H149" s="295">
        <f t="shared" si="10"/>
        <v>1.05</v>
      </c>
      <c r="I149" s="295">
        <f t="shared" si="10"/>
        <v>1.05</v>
      </c>
      <c r="J149" s="295" t="s">
        <v>1223</v>
      </c>
      <c r="K149" s="311" t="s">
        <v>1209</v>
      </c>
      <c r="L149" s="716" t="s">
        <v>1224</v>
      </c>
      <c r="M149" s="716"/>
      <c r="N149" s="716"/>
      <c r="O149" s="716"/>
      <c r="P149" s="716"/>
      <c r="Q149" s="312">
        <f t="shared" si="11"/>
        <v>1.05</v>
      </c>
      <c r="R149" s="312" t="s">
        <v>1047</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1.0500000000000007</v>
      </c>
      <c r="D154" s="295">
        <f>SUM(D142:D152)-10</f>
        <v>1.0500000000000007</v>
      </c>
      <c r="E154" s="295">
        <f>SUM(E142:E152)-10</f>
        <v>1.0500000000000007</v>
      </c>
      <c r="F154" s="295">
        <f t="shared" ref="F154:I154" si="13">SUM(F142:F152)-10</f>
        <v>1.0500000000000007</v>
      </c>
      <c r="G154" s="295">
        <f t="shared" si="13"/>
        <v>1.25</v>
      </c>
      <c r="H154" s="295">
        <f t="shared" si="13"/>
        <v>1.0500000000000007</v>
      </c>
      <c r="I154" s="295">
        <f t="shared" si="13"/>
        <v>1.0500000000000007</v>
      </c>
      <c r="J154" s="314"/>
      <c r="K154" s="698" t="s">
        <v>1232</v>
      </c>
      <c r="L154" s="699"/>
      <c r="M154" s="699"/>
      <c r="N154" s="699"/>
      <c r="O154" s="699"/>
      <c r="P154" s="699"/>
      <c r="Q154" s="699"/>
      <c r="R154" s="700"/>
    </row>
    <row r="155" spans="2:21" s="310" customFormat="1" ht="24.75" customHeight="1" x14ac:dyDescent="0.2">
      <c r="B155" s="295">
        <v>17</v>
      </c>
      <c r="C155" s="295">
        <f>C153*C154</f>
        <v>0.63000000000000045</v>
      </c>
      <c r="D155" s="295">
        <f>D153*D154</f>
        <v>0.63000000000000045</v>
      </c>
      <c r="E155" s="295">
        <f>E153*E154</f>
        <v>0.63000000000000045</v>
      </c>
      <c r="F155" s="295">
        <f t="shared" ref="F155:I155" si="14">F153*F154</f>
        <v>0.63000000000000045</v>
      </c>
      <c r="G155" s="295">
        <f t="shared" si="14"/>
        <v>0.75</v>
      </c>
      <c r="H155" s="295">
        <f t="shared" si="14"/>
        <v>0.63000000000000045</v>
      </c>
      <c r="I155" s="295">
        <f t="shared" si="14"/>
        <v>0.63000000000000045</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5"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5"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5"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5" ht="25.5" customHeight="1" x14ac:dyDescent="0.25">
      <c r="B164" s="295">
        <v>1</v>
      </c>
      <c r="C164" s="295">
        <f>M67</f>
        <v>0</v>
      </c>
      <c r="D164" s="295">
        <f t="shared" ref="D164:I164" ca="1" si="15">M135</f>
        <v>21</v>
      </c>
      <c r="E164" s="295">
        <f t="shared" si="15"/>
        <v>0</v>
      </c>
      <c r="F164" s="295">
        <f t="shared" si="15"/>
        <v>0</v>
      </c>
      <c r="G164" s="295">
        <f t="shared" ca="1" si="15"/>
        <v>24</v>
      </c>
      <c r="H164" s="295">
        <f t="shared" si="15"/>
        <v>0</v>
      </c>
      <c r="I164" s="295">
        <f t="shared" si="15"/>
        <v>0</v>
      </c>
      <c r="J164" s="698" t="s">
        <v>1247</v>
      </c>
      <c r="K164" s="699"/>
      <c r="L164" s="699"/>
      <c r="M164" s="699"/>
      <c r="N164" s="699"/>
      <c r="O164" s="699"/>
      <c r="P164" s="699"/>
      <c r="Q164" s="699"/>
      <c r="R164" s="700"/>
    </row>
    <row r="165" spans="2:25"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5"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5" ht="25.5" customHeight="1" x14ac:dyDescent="0.25">
      <c r="B167" s="295">
        <v>4</v>
      </c>
      <c r="C167" s="316">
        <f>C164*C165*C166</f>
        <v>0</v>
      </c>
      <c r="D167" s="316">
        <f ca="1">D164*D165*D166</f>
        <v>330.33</v>
      </c>
      <c r="E167" s="316">
        <f>E164*E165*E166</f>
        <v>0</v>
      </c>
      <c r="F167" s="316">
        <f t="shared" ref="F167:I167" si="16">F164*F165*F166</f>
        <v>0</v>
      </c>
      <c r="G167" s="316">
        <f t="shared" ca="1" si="16"/>
        <v>810.48</v>
      </c>
      <c r="H167" s="316">
        <f t="shared" si="16"/>
        <v>0</v>
      </c>
      <c r="I167" s="316">
        <f t="shared" si="16"/>
        <v>0</v>
      </c>
      <c r="J167" s="698" t="s">
        <v>1250</v>
      </c>
      <c r="K167" s="699"/>
      <c r="L167" s="699"/>
      <c r="M167" s="699"/>
      <c r="N167" s="699"/>
      <c r="O167" s="699"/>
      <c r="P167" s="699"/>
      <c r="Q167" s="699"/>
      <c r="R167" s="700"/>
    </row>
    <row r="168" spans="2:25" ht="25.5" customHeight="1" x14ac:dyDescent="0.25">
      <c r="B168" s="295">
        <v>5</v>
      </c>
      <c r="C168" s="316">
        <f t="shared" ref="C168:I168" si="17">C167*C155</f>
        <v>0</v>
      </c>
      <c r="D168" s="316">
        <f t="shared" ca="1" si="17"/>
        <v>208.10790000000014</v>
      </c>
      <c r="E168" s="316">
        <f t="shared" si="17"/>
        <v>0</v>
      </c>
      <c r="F168" s="316">
        <f t="shared" si="17"/>
        <v>0</v>
      </c>
      <c r="G168" s="316">
        <f t="shared" ca="1" si="17"/>
        <v>607.86</v>
      </c>
      <c r="H168" s="316">
        <f t="shared" si="17"/>
        <v>0</v>
      </c>
      <c r="I168" s="316">
        <f t="shared" si="17"/>
        <v>0</v>
      </c>
      <c r="J168" s="698" t="s">
        <v>1251</v>
      </c>
      <c r="K168" s="699"/>
      <c r="L168" s="699"/>
      <c r="M168" s="699"/>
      <c r="N168" s="699"/>
      <c r="O168" s="699"/>
      <c r="P168" s="699"/>
      <c r="Q168" s="699"/>
      <c r="R168" s="700"/>
    </row>
    <row r="169" spans="2:25" ht="25.5" customHeight="1" x14ac:dyDescent="0.25">
      <c r="B169" s="295">
        <v>6</v>
      </c>
      <c r="C169" s="316">
        <f t="shared" ref="C169:I169" si="18">C168*C156*C157*C158</f>
        <v>0</v>
      </c>
      <c r="D169" s="316">
        <f t="shared" ca="1" si="18"/>
        <v>1051.7773266000006</v>
      </c>
      <c r="E169" s="316">
        <f t="shared" si="18"/>
        <v>0</v>
      </c>
      <c r="F169" s="316">
        <f t="shared" si="18"/>
        <v>0</v>
      </c>
      <c r="G169" s="316">
        <f t="shared" ca="1" si="18"/>
        <v>3072.12444</v>
      </c>
      <c r="H169" s="316">
        <f t="shared" si="18"/>
        <v>0</v>
      </c>
      <c r="I169" s="316">
        <f t="shared" si="18"/>
        <v>0</v>
      </c>
      <c r="J169" s="698" t="s">
        <v>1252</v>
      </c>
      <c r="K169" s="699"/>
      <c r="L169" s="699"/>
      <c r="M169" s="699"/>
      <c r="N169" s="699"/>
      <c r="O169" s="699"/>
      <c r="P169" s="699"/>
      <c r="Q169" s="699"/>
      <c r="R169" s="700"/>
    </row>
    <row r="170" spans="2:25" ht="25.5" customHeight="1" x14ac:dyDescent="0.25">
      <c r="B170" s="295">
        <v>7</v>
      </c>
      <c r="C170" s="317"/>
      <c r="D170" s="317">
        <f ca="1">D169*D160</f>
        <v>315.53319798000018</v>
      </c>
      <c r="E170" s="317">
        <f t="shared" ref="E170:I170" si="19">E169*E160</f>
        <v>0</v>
      </c>
      <c r="F170" s="317">
        <f t="shared" si="19"/>
        <v>0</v>
      </c>
      <c r="G170" s="317">
        <f t="shared" ca="1" si="19"/>
        <v>1843.274664</v>
      </c>
      <c r="H170" s="317">
        <f t="shared" si="19"/>
        <v>0</v>
      </c>
      <c r="I170" s="317">
        <f t="shared" si="19"/>
        <v>0</v>
      </c>
      <c r="J170" s="698" t="s">
        <v>1253</v>
      </c>
      <c r="K170" s="699"/>
      <c r="L170" s="699"/>
      <c r="M170" s="699"/>
      <c r="N170" s="699"/>
      <c r="O170" s="699"/>
      <c r="P170" s="699"/>
      <c r="Q170" s="699"/>
      <c r="R170" s="700"/>
    </row>
    <row r="171" spans="2:25" ht="46.5" customHeight="1" x14ac:dyDescent="0.25">
      <c r="B171" s="295">
        <v>8</v>
      </c>
      <c r="C171" s="295"/>
      <c r="D171" s="701">
        <f ca="1">SUM(D170:I170)*1000</f>
        <v>2158807.8619800005</v>
      </c>
      <c r="E171" s="701"/>
      <c r="F171" s="701"/>
      <c r="G171" s="701"/>
      <c r="H171" s="701"/>
      <c r="I171" s="701"/>
      <c r="J171" s="698" t="s">
        <v>1254</v>
      </c>
      <c r="K171" s="699"/>
      <c r="L171" s="699"/>
      <c r="M171" s="699"/>
      <c r="N171" s="699"/>
      <c r="O171" s="699"/>
      <c r="P171" s="699"/>
      <c r="Q171" s="699"/>
      <c r="R171" s="700"/>
    </row>
    <row r="172" spans="2:25" ht="41.25" customHeight="1" x14ac:dyDescent="0.25">
      <c r="B172" s="295">
        <v>9</v>
      </c>
      <c r="C172" s="295"/>
      <c r="D172" s="702">
        <f ca="1">ROUND(D171*0.8,0)</f>
        <v>1727046</v>
      </c>
      <c r="E172" s="703"/>
      <c r="F172" s="703"/>
      <c r="G172" s="703"/>
      <c r="H172" s="703"/>
      <c r="I172" s="704"/>
      <c r="J172" s="698" t="s">
        <v>1255</v>
      </c>
      <c r="K172" s="699"/>
      <c r="L172" s="699"/>
      <c r="M172" s="699"/>
      <c r="N172" s="699"/>
      <c r="O172" s="699"/>
      <c r="P172" s="699"/>
      <c r="Q172" s="699"/>
      <c r="R172" s="700"/>
    </row>
    <row r="173" spans="2:25" ht="22.5" customHeight="1" x14ac:dyDescent="0.25">
      <c r="B173" s="295">
        <v>11</v>
      </c>
      <c r="C173" s="295"/>
      <c r="D173" s="697">
        <f ca="1">D172</f>
        <v>1727046</v>
      </c>
      <c r="E173" s="697"/>
      <c r="F173" s="697"/>
      <c r="G173" s="697"/>
      <c r="H173" s="697"/>
      <c r="I173" s="697"/>
      <c r="J173" s="698" t="s">
        <v>1256</v>
      </c>
      <c r="K173" s="699"/>
      <c r="L173" s="699"/>
      <c r="M173" s="699"/>
      <c r="N173" s="699"/>
      <c r="O173" s="699"/>
      <c r="P173" s="699"/>
      <c r="Q173" s="699"/>
      <c r="R173" s="700"/>
      <c r="Y173" s="318">
        <f ca="1">D173</f>
        <v>1727046</v>
      </c>
    </row>
    <row r="174" spans="2:25" ht="14.25" x14ac:dyDescent="0.2">
      <c r="B174" s="289"/>
      <c r="C174" s="289"/>
      <c r="D174" s="319"/>
      <c r="E174" s="320"/>
      <c r="F174" s="320"/>
      <c r="G174" s="320"/>
      <c r="H174" s="320"/>
      <c r="I174" s="320"/>
      <c r="J174" s="321"/>
      <c r="K174" s="320"/>
      <c r="L174" s="322"/>
      <c r="M174" s="320"/>
      <c r="N174" s="320"/>
      <c r="O174" s="320"/>
      <c r="P174" s="320"/>
      <c r="Q174" s="320"/>
      <c r="R174" s="320"/>
    </row>
    <row r="175" spans="2:25"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pageSetUpPr fitToPage="1"/>
  </sheetPr>
  <dimension ref="A1:AA175"/>
  <sheetViews>
    <sheetView view="pageBreakPreview" topLeftCell="B150" zoomScale="70" zoomScaleSheetLayoutView="70" workbookViewId="0">
      <selection activeCell="D158" sqref="D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9.140625" style="286"/>
    <col min="25" max="25" width="14.28515625" style="286" bestFit="1" customWidth="1"/>
    <col min="26" max="26" width="9.140625" style="286"/>
    <col min="27" max="27" width="13.42578125" style="286" customWidth="1"/>
    <col min="28"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1301</v>
      </c>
      <c r="C4" s="731"/>
      <c r="D4" s="731"/>
      <c r="E4" s="731"/>
      <c r="F4" s="731"/>
      <c r="G4" s="731"/>
      <c r="H4" s="731"/>
      <c r="I4" s="731"/>
      <c r="J4" s="731"/>
      <c r="K4" s="731"/>
      <c r="L4" s="731"/>
      <c r="M4" s="731"/>
      <c r="N4" s="731"/>
      <c r="O4" s="731"/>
      <c r="P4" s="731"/>
      <c r="Q4" s="731"/>
      <c r="R4" s="731"/>
    </row>
    <row r="5" spans="2:20" x14ac:dyDescent="0.25">
      <c r="B5" s="731" t="s">
        <v>1302</v>
      </c>
      <c r="C5" s="731"/>
      <c r="D5" s="731"/>
      <c r="E5" s="731"/>
      <c r="F5" s="731"/>
      <c r="G5" s="731"/>
      <c r="H5" s="731"/>
      <c r="I5" s="731"/>
      <c r="J5" s="731"/>
      <c r="K5" s="731"/>
      <c r="L5" s="731"/>
      <c r="M5" s="731"/>
      <c r="N5" s="731"/>
      <c r="O5" s="731"/>
      <c r="P5" s="731"/>
      <c r="Q5" s="731"/>
      <c r="R5" s="731"/>
    </row>
    <row r="6" spans="2:20" ht="13.5" customHeight="1" x14ac:dyDescent="0.25">
      <c r="B6" s="286" t="s">
        <v>1036</v>
      </c>
      <c r="G6" s="732" t="s">
        <v>1303</v>
      </c>
      <c r="H6" s="733"/>
      <c r="I6" s="733"/>
      <c r="J6" s="733"/>
      <c r="K6" s="733"/>
      <c r="L6" s="733"/>
      <c r="M6" s="733"/>
      <c r="N6" s="733"/>
      <c r="O6" s="733"/>
      <c r="P6" s="733"/>
      <c r="Q6" s="733"/>
      <c r="R6" s="733"/>
    </row>
    <row r="7" spans="2:20" ht="9" customHeight="1"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СВОД!D14</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1073</v>
      </c>
      <c r="I71" s="699"/>
      <c r="J71" s="699"/>
      <c r="K71" s="699"/>
      <c r="L71" s="700"/>
      <c r="M71" s="295">
        <f t="shared" ref="M71:R71" ca="1" si="0">IF(D24="Да",SUMIF($H72:$L77,$H71,M72:M77),0)</f>
        <v>3</v>
      </c>
      <c r="N71" s="295">
        <f t="shared" si="0"/>
        <v>0</v>
      </c>
      <c r="O71" s="295">
        <f t="shared" si="0"/>
        <v>0</v>
      </c>
      <c r="P71" s="295">
        <f t="shared" ca="1" si="0"/>
        <v>3</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1083</v>
      </c>
      <c r="I78" s="699"/>
      <c r="J78" s="699"/>
      <c r="K78" s="699"/>
      <c r="L78" s="700"/>
      <c r="M78" s="295">
        <f t="shared" ref="M78:R78" ca="1" si="1">IF(D24="Да",SUMIF($H79:$L85,$H78,M79:M85),0)</f>
        <v>2</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1132</v>
      </c>
      <c r="I86" s="699"/>
      <c r="J86" s="699"/>
      <c r="K86" s="699"/>
      <c r="L86" s="700"/>
      <c r="M86" s="295">
        <f t="shared" ref="M86:R86" ca="1" si="2">IF(D24="Да",SUMIF($H87:$L90,$H86,M87:M90),0)</f>
        <v>3</v>
      </c>
      <c r="N86" s="295">
        <f t="shared" si="2"/>
        <v>0</v>
      </c>
      <c r="O86" s="295">
        <f t="shared" si="2"/>
        <v>0</v>
      </c>
      <c r="P86" s="295">
        <f t="shared" ca="1" si="2"/>
        <v>3</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1139</v>
      </c>
      <c r="I91" s="699"/>
      <c r="J91" s="699"/>
      <c r="K91" s="699"/>
      <c r="L91" s="700"/>
      <c r="M91" s="295">
        <f t="shared" ref="M91:R91" ca="1" si="3">IF(D24="Да",SUMIF($H92:$L98,$H91,M92:M98),0)</f>
        <v>3</v>
      </c>
      <c r="N91" s="295">
        <f t="shared" si="3"/>
        <v>0</v>
      </c>
      <c r="O91" s="295">
        <f t="shared" si="3"/>
        <v>0</v>
      </c>
      <c r="P91" s="295">
        <f t="shared" ca="1" si="3"/>
        <v>3</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1151</v>
      </c>
      <c r="I99" s="699"/>
      <c r="J99" s="699"/>
      <c r="K99" s="699"/>
      <c r="L99" s="700"/>
      <c r="M99" s="295">
        <f t="shared" ref="M99:R99" ca="1" si="4">IF(D24="Да",SUMIF($H100:$L104,$H99,M100:M104),0)</f>
        <v>5</v>
      </c>
      <c r="N99" s="295">
        <f t="shared" si="4"/>
        <v>0</v>
      </c>
      <c r="O99" s="295">
        <f t="shared" si="4"/>
        <v>0</v>
      </c>
      <c r="P99" s="295">
        <f t="shared" ca="1" si="4"/>
        <v>7</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1095</v>
      </c>
      <c r="I105" s="699"/>
      <c r="J105" s="699"/>
      <c r="K105" s="699"/>
      <c r="L105" s="700"/>
      <c r="M105" s="295">
        <f t="shared" ref="M105:R105" ca="1" si="5">IF(D24="Да",SUMIF($H106:$L119,$H105,M106:M119),0)</f>
        <v>2</v>
      </c>
      <c r="N105" s="295">
        <f t="shared" si="5"/>
        <v>0</v>
      </c>
      <c r="O105" s="295">
        <f t="shared" si="5"/>
        <v>0</v>
      </c>
      <c r="P105" s="295">
        <f t="shared" ca="1" si="5"/>
        <v>2</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1083</v>
      </c>
      <c r="I120" s="699"/>
      <c r="J120" s="699"/>
      <c r="K120" s="699"/>
      <c r="L120" s="700"/>
      <c r="M120" s="295">
        <f t="shared" ref="M120:R120" ca="1" si="6">IF(D24="Да",SUMIF($H121:$L134,$H120,M121:M134),0)</f>
        <v>2</v>
      </c>
      <c r="N120" s="295">
        <f t="shared" si="6"/>
        <v>0</v>
      </c>
      <c r="O120" s="295">
        <f t="shared" si="6"/>
        <v>0</v>
      </c>
      <c r="P120" s="295">
        <f t="shared" ca="1" si="6"/>
        <v>2</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20</v>
      </c>
      <c r="N135" s="295">
        <f t="shared" ref="N135:R135" si="7">N71+N78+N86+N91+N99+N105+N120</f>
        <v>0</v>
      </c>
      <c r="O135" s="295">
        <f>O71+O78+O86+O91+O99+O105+O120</f>
        <v>0</v>
      </c>
      <c r="P135" s="295">
        <f t="shared" ca="1" si="7"/>
        <v>22</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1.05</v>
      </c>
      <c r="D149" s="295">
        <f t="shared" si="10"/>
        <v>1.05</v>
      </c>
      <c r="E149" s="295">
        <f t="shared" si="10"/>
        <v>1.05</v>
      </c>
      <c r="F149" s="295">
        <f t="shared" si="10"/>
        <v>1.05</v>
      </c>
      <c r="G149" s="295">
        <f t="shared" si="10"/>
        <v>1.05</v>
      </c>
      <c r="H149" s="295">
        <f t="shared" si="10"/>
        <v>1.05</v>
      </c>
      <c r="I149" s="295">
        <f t="shared" si="10"/>
        <v>1.05</v>
      </c>
      <c r="J149" s="295" t="s">
        <v>1223</v>
      </c>
      <c r="K149" s="311" t="s">
        <v>1209</v>
      </c>
      <c r="L149" s="716" t="s">
        <v>1224</v>
      </c>
      <c r="M149" s="716"/>
      <c r="N149" s="716"/>
      <c r="O149" s="716"/>
      <c r="P149" s="716"/>
      <c r="Q149" s="312">
        <f t="shared" si="11"/>
        <v>1.05</v>
      </c>
      <c r="R149" s="312" t="s">
        <v>1047</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1.0500000000000007</v>
      </c>
      <c r="D154" s="295">
        <f>SUM(D142:D152)-10</f>
        <v>1.0500000000000007</v>
      </c>
      <c r="E154" s="295">
        <f>SUM(E142:E152)-10</f>
        <v>1.0500000000000007</v>
      </c>
      <c r="F154" s="295">
        <f t="shared" ref="F154:I154" si="13">SUM(F142:F152)-10</f>
        <v>1.0500000000000007</v>
      </c>
      <c r="G154" s="295">
        <f t="shared" si="13"/>
        <v>1.25</v>
      </c>
      <c r="H154" s="295">
        <f t="shared" si="13"/>
        <v>1.0500000000000007</v>
      </c>
      <c r="I154" s="295">
        <f t="shared" si="13"/>
        <v>1.0500000000000007</v>
      </c>
      <c r="J154" s="314"/>
      <c r="K154" s="698" t="s">
        <v>1232</v>
      </c>
      <c r="L154" s="699"/>
      <c r="M154" s="699"/>
      <c r="N154" s="699"/>
      <c r="O154" s="699"/>
      <c r="P154" s="699"/>
      <c r="Q154" s="699"/>
      <c r="R154" s="700"/>
    </row>
    <row r="155" spans="2:21" s="310" customFormat="1" ht="24.75" customHeight="1" x14ac:dyDescent="0.2">
      <c r="B155" s="295">
        <v>17</v>
      </c>
      <c r="C155" s="295">
        <f>C153*C154</f>
        <v>0.63000000000000045</v>
      </c>
      <c r="D155" s="295">
        <f>D153*D154</f>
        <v>0.63000000000000045</v>
      </c>
      <c r="E155" s="295">
        <f>E153*E154</f>
        <v>0.63000000000000045</v>
      </c>
      <c r="F155" s="295">
        <f t="shared" ref="F155:I155" si="14">F153*F154</f>
        <v>0.63000000000000045</v>
      </c>
      <c r="G155" s="295">
        <f t="shared" si="14"/>
        <v>0.75</v>
      </c>
      <c r="H155" s="295">
        <f t="shared" si="14"/>
        <v>0.63000000000000045</v>
      </c>
      <c r="I155" s="295">
        <f t="shared" si="14"/>
        <v>0.63000000000000045</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7"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7"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7"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7" ht="25.5" customHeight="1" x14ac:dyDescent="0.25">
      <c r="B164" s="295">
        <v>1</v>
      </c>
      <c r="C164" s="295">
        <f>M67</f>
        <v>0</v>
      </c>
      <c r="D164" s="295">
        <f t="shared" ref="D164:I164" ca="1" si="15">M135</f>
        <v>20</v>
      </c>
      <c r="E164" s="295">
        <f t="shared" si="15"/>
        <v>0</v>
      </c>
      <c r="F164" s="295">
        <f t="shared" si="15"/>
        <v>0</v>
      </c>
      <c r="G164" s="295">
        <f t="shared" ca="1" si="15"/>
        <v>22</v>
      </c>
      <c r="H164" s="295">
        <f t="shared" si="15"/>
        <v>0</v>
      </c>
      <c r="I164" s="295">
        <f t="shared" si="15"/>
        <v>0</v>
      </c>
      <c r="J164" s="698" t="s">
        <v>1247</v>
      </c>
      <c r="K164" s="699"/>
      <c r="L164" s="699"/>
      <c r="M164" s="699"/>
      <c r="N164" s="699"/>
      <c r="O164" s="699"/>
      <c r="P164" s="699"/>
      <c r="Q164" s="699"/>
      <c r="R164" s="700"/>
    </row>
    <row r="165" spans="2:27"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7"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7" ht="25.5" customHeight="1" x14ac:dyDescent="0.25">
      <c r="B167" s="295">
        <v>4</v>
      </c>
      <c r="C167" s="316">
        <f>C164*C165*C166</f>
        <v>0</v>
      </c>
      <c r="D167" s="316">
        <f ca="1">D164*D165*D166</f>
        <v>314.60000000000002</v>
      </c>
      <c r="E167" s="316">
        <f>E164*E165*E166</f>
        <v>0</v>
      </c>
      <c r="F167" s="316">
        <f t="shared" ref="F167:I167" si="16">F164*F165*F166</f>
        <v>0</v>
      </c>
      <c r="G167" s="316">
        <f t="shared" ca="1" si="16"/>
        <v>742.94</v>
      </c>
      <c r="H167" s="316">
        <f t="shared" si="16"/>
        <v>0</v>
      </c>
      <c r="I167" s="316">
        <f t="shared" si="16"/>
        <v>0</v>
      </c>
      <c r="J167" s="698" t="s">
        <v>1250</v>
      </c>
      <c r="K167" s="699"/>
      <c r="L167" s="699"/>
      <c r="M167" s="699"/>
      <c r="N167" s="699"/>
      <c r="O167" s="699"/>
      <c r="P167" s="699"/>
      <c r="Q167" s="699"/>
      <c r="R167" s="700"/>
    </row>
    <row r="168" spans="2:27" ht="25.5" customHeight="1" x14ac:dyDescent="0.25">
      <c r="B168" s="295">
        <v>5</v>
      </c>
      <c r="C168" s="316">
        <f t="shared" ref="C168:I168" si="17">C167*C155</f>
        <v>0</v>
      </c>
      <c r="D168" s="316">
        <f t="shared" ca="1" si="17"/>
        <v>198.19800000000015</v>
      </c>
      <c r="E168" s="316">
        <f t="shared" si="17"/>
        <v>0</v>
      </c>
      <c r="F168" s="316">
        <f t="shared" si="17"/>
        <v>0</v>
      </c>
      <c r="G168" s="316">
        <f t="shared" ca="1" si="17"/>
        <v>557.20500000000004</v>
      </c>
      <c r="H168" s="316">
        <f t="shared" si="17"/>
        <v>0</v>
      </c>
      <c r="I168" s="316">
        <f t="shared" si="17"/>
        <v>0</v>
      </c>
      <c r="J168" s="698" t="s">
        <v>1251</v>
      </c>
      <c r="K168" s="699"/>
      <c r="L168" s="699"/>
      <c r="M168" s="699"/>
      <c r="N168" s="699"/>
      <c r="O168" s="699"/>
      <c r="P168" s="699"/>
      <c r="Q168" s="699"/>
      <c r="R168" s="700"/>
    </row>
    <row r="169" spans="2:27" ht="25.5" customHeight="1" x14ac:dyDescent="0.25">
      <c r="B169" s="295">
        <v>6</v>
      </c>
      <c r="C169" s="316">
        <f t="shared" ref="C169:I169" si="18">C168*C156*C157*C158</f>
        <v>0</v>
      </c>
      <c r="D169" s="316">
        <f t="shared" ca="1" si="18"/>
        <v>1001.6926920000008</v>
      </c>
      <c r="E169" s="316">
        <f t="shared" si="18"/>
        <v>0</v>
      </c>
      <c r="F169" s="316">
        <f t="shared" si="18"/>
        <v>0</v>
      </c>
      <c r="G169" s="316">
        <f t="shared" ca="1" si="18"/>
        <v>2816.1140700000001</v>
      </c>
      <c r="H169" s="316">
        <f t="shared" si="18"/>
        <v>0</v>
      </c>
      <c r="I169" s="316">
        <f t="shared" si="18"/>
        <v>0</v>
      </c>
      <c r="J169" s="698" t="s">
        <v>1252</v>
      </c>
      <c r="K169" s="699"/>
      <c r="L169" s="699"/>
      <c r="M169" s="699"/>
      <c r="N169" s="699"/>
      <c r="O169" s="699"/>
      <c r="P169" s="699"/>
      <c r="Q169" s="699"/>
      <c r="R169" s="700"/>
    </row>
    <row r="170" spans="2:27" ht="25.5" customHeight="1" x14ac:dyDescent="0.25">
      <c r="B170" s="295">
        <v>7</v>
      </c>
      <c r="C170" s="317"/>
      <c r="D170" s="317">
        <f t="shared" ref="D170:I170" ca="1" si="19">D169*D160</f>
        <v>300.50780760000021</v>
      </c>
      <c r="E170" s="317">
        <f t="shared" si="19"/>
        <v>0</v>
      </c>
      <c r="F170" s="317">
        <f t="shared" si="19"/>
        <v>0</v>
      </c>
      <c r="G170" s="317">
        <f t="shared" ca="1" si="19"/>
        <v>1689.6684419999999</v>
      </c>
      <c r="H170" s="317">
        <f t="shared" si="19"/>
        <v>0</v>
      </c>
      <c r="I170" s="317">
        <f t="shared" si="19"/>
        <v>0</v>
      </c>
      <c r="J170" s="698" t="s">
        <v>1253</v>
      </c>
      <c r="K170" s="699"/>
      <c r="L170" s="699"/>
      <c r="M170" s="699"/>
      <c r="N170" s="699"/>
      <c r="O170" s="699"/>
      <c r="P170" s="699"/>
      <c r="Q170" s="699"/>
      <c r="R170" s="700"/>
    </row>
    <row r="171" spans="2:27" ht="46.5" customHeight="1" x14ac:dyDescent="0.25">
      <c r="B171" s="295">
        <v>8</v>
      </c>
      <c r="C171" s="295"/>
      <c r="D171" s="701">
        <f ca="1">SUM(D170:I170)*1000</f>
        <v>1990176.2496000002</v>
      </c>
      <c r="E171" s="701"/>
      <c r="F171" s="701"/>
      <c r="G171" s="701"/>
      <c r="H171" s="701"/>
      <c r="I171" s="701"/>
      <c r="J171" s="698" t="s">
        <v>1254</v>
      </c>
      <c r="K171" s="699"/>
      <c r="L171" s="699"/>
      <c r="M171" s="699"/>
      <c r="N171" s="699"/>
      <c r="O171" s="699"/>
      <c r="P171" s="699"/>
      <c r="Q171" s="699"/>
      <c r="R171" s="700"/>
    </row>
    <row r="172" spans="2:27" ht="41.25" customHeight="1" x14ac:dyDescent="0.25">
      <c r="B172" s="295">
        <v>9</v>
      </c>
      <c r="C172" s="295"/>
      <c r="D172" s="702">
        <f ca="1">ROUND(D171*0.8,0)</f>
        <v>1592141</v>
      </c>
      <c r="E172" s="703"/>
      <c r="F172" s="703"/>
      <c r="G172" s="703"/>
      <c r="H172" s="703"/>
      <c r="I172" s="704"/>
      <c r="J172" s="698" t="s">
        <v>1255</v>
      </c>
      <c r="K172" s="699"/>
      <c r="L172" s="699"/>
      <c r="M172" s="699"/>
      <c r="N172" s="699"/>
      <c r="O172" s="699"/>
      <c r="P172" s="699"/>
      <c r="Q172" s="699"/>
      <c r="R172" s="700"/>
    </row>
    <row r="173" spans="2:27" ht="28.5" customHeight="1" x14ac:dyDescent="0.25">
      <c r="B173" s="295">
        <v>11</v>
      </c>
      <c r="C173" s="295"/>
      <c r="D173" s="697">
        <f ca="1">D172</f>
        <v>1592141</v>
      </c>
      <c r="E173" s="697"/>
      <c r="F173" s="697"/>
      <c r="G173" s="697"/>
      <c r="H173" s="697"/>
      <c r="I173" s="697"/>
      <c r="J173" s="698" t="s">
        <v>1256</v>
      </c>
      <c r="K173" s="699"/>
      <c r="L173" s="699"/>
      <c r="M173" s="699"/>
      <c r="N173" s="699"/>
      <c r="O173" s="699"/>
      <c r="P173" s="699"/>
      <c r="Q173" s="699"/>
      <c r="R173" s="700"/>
      <c r="Y173" s="318">
        <f ca="1">D173</f>
        <v>1592141</v>
      </c>
      <c r="AA173" s="324"/>
    </row>
    <row r="174" spans="2:27" ht="14.25" x14ac:dyDescent="0.2">
      <c r="B174" s="289"/>
      <c r="C174" s="289"/>
      <c r="D174" s="319"/>
      <c r="E174" s="320"/>
      <c r="F174" s="320"/>
      <c r="G174" s="320"/>
      <c r="H174" s="320"/>
      <c r="I174" s="320"/>
      <c r="J174" s="321"/>
      <c r="K174" s="320"/>
      <c r="L174" s="322"/>
      <c r="M174" s="320"/>
      <c r="N174" s="320"/>
      <c r="O174" s="320"/>
      <c r="P174" s="320"/>
      <c r="Q174" s="320"/>
      <c r="R174" s="320"/>
    </row>
    <row r="175" spans="2:27"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J167:R167"/>
    <mergeCell ref="J168:R168"/>
    <mergeCell ref="J169:R169"/>
    <mergeCell ref="J170:R170"/>
    <mergeCell ref="D171:I171"/>
    <mergeCell ref="J171:R171"/>
    <mergeCell ref="D172:I172"/>
    <mergeCell ref="J172:R172"/>
    <mergeCell ref="D173:I173"/>
    <mergeCell ref="J173:R173"/>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4" fitToHeight="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2" tint="-9.9978637043366805E-2"/>
    <pageSetUpPr fitToPage="1"/>
  </sheetPr>
  <dimension ref="A1:AA175"/>
  <sheetViews>
    <sheetView view="pageBreakPreview" topLeftCell="B150" zoomScale="70" zoomScaleSheetLayoutView="70" workbookViewId="0">
      <selection activeCell="D158" sqref="D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6" width="8.7109375" style="286" customWidth="1"/>
    <col min="17" max="17" width="11.140625" style="286" customWidth="1"/>
    <col min="18" max="18" width="8.7109375" style="286" customWidth="1"/>
    <col min="19" max="19" width="0" style="286" hidden="1" customWidth="1"/>
    <col min="20" max="23" width="9.140625" style="286" hidden="1" customWidth="1"/>
    <col min="24" max="24" width="9.140625" style="286"/>
    <col min="25" max="25" width="14.28515625" style="286" bestFit="1" customWidth="1"/>
    <col min="26" max="26" width="9.140625" style="286"/>
    <col min="27" max="27" width="12.42578125" style="286" bestFit="1" customWidth="1"/>
    <col min="28"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1304</v>
      </c>
      <c r="C4" s="731"/>
      <c r="D4" s="731"/>
      <c r="E4" s="731"/>
      <c r="F4" s="731"/>
      <c r="G4" s="731"/>
      <c r="H4" s="731"/>
      <c r="I4" s="731"/>
      <c r="J4" s="731"/>
      <c r="K4" s="731"/>
      <c r="L4" s="731"/>
      <c r="M4" s="731"/>
      <c r="N4" s="731"/>
      <c r="O4" s="731"/>
      <c r="P4" s="731"/>
      <c r="Q4" s="731"/>
      <c r="R4" s="731"/>
    </row>
    <row r="5" spans="2:20" x14ac:dyDescent="0.25">
      <c r="B5" s="731" t="s">
        <v>1305</v>
      </c>
      <c r="C5" s="731"/>
      <c r="D5" s="731"/>
      <c r="E5" s="731"/>
      <c r="F5" s="731"/>
      <c r="G5" s="731"/>
      <c r="H5" s="731"/>
      <c r="I5" s="731"/>
      <c r="J5" s="731"/>
      <c r="K5" s="731"/>
      <c r="L5" s="731"/>
      <c r="M5" s="731"/>
      <c r="N5" s="731"/>
      <c r="O5" s="731"/>
      <c r="P5" s="731"/>
      <c r="Q5" s="731"/>
      <c r="R5" s="731"/>
    </row>
    <row r="6" spans="2:20" ht="13.5" customHeight="1" x14ac:dyDescent="0.25">
      <c r="B6" s="286" t="s">
        <v>1036</v>
      </c>
      <c r="G6" s="732" t="s">
        <v>1306</v>
      </c>
      <c r="H6" s="733"/>
      <c r="I6" s="733"/>
      <c r="J6" s="733"/>
      <c r="K6" s="733"/>
      <c r="L6" s="733"/>
      <c r="M6" s="733"/>
      <c r="N6" s="733"/>
      <c r="O6" s="733"/>
      <c r="P6" s="733"/>
      <c r="Q6" s="733"/>
      <c r="R6" s="733"/>
    </row>
    <row r="7" spans="2:20"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286" t="str">
        <f>СВОД!D14</f>
        <v>Определяется по итогам конкурентных процедур</v>
      </c>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1073</v>
      </c>
      <c r="I71" s="699"/>
      <c r="J71" s="699"/>
      <c r="K71" s="699"/>
      <c r="L71" s="700"/>
      <c r="M71" s="295">
        <f t="shared" ref="M71:R71" ca="1" si="0">IF(D24="Да",SUMIF($H72:$L77,$H71,M72:M77),0)</f>
        <v>3</v>
      </c>
      <c r="N71" s="295">
        <f t="shared" si="0"/>
        <v>0</v>
      </c>
      <c r="O71" s="295">
        <f t="shared" si="0"/>
        <v>0</v>
      </c>
      <c r="P71" s="295">
        <f t="shared" ca="1" si="0"/>
        <v>3</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1083</v>
      </c>
      <c r="I78" s="699"/>
      <c r="J78" s="699"/>
      <c r="K78" s="699"/>
      <c r="L78" s="700"/>
      <c r="M78" s="295">
        <f t="shared" ref="M78:R78" ca="1" si="1">IF(D24="Да",SUMIF($H79:$L85,$H78,M79:M85),0)</f>
        <v>2</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1132</v>
      </c>
      <c r="I86" s="699"/>
      <c r="J86" s="699"/>
      <c r="K86" s="699"/>
      <c r="L86" s="700"/>
      <c r="M86" s="295">
        <f t="shared" ref="M86:R86" ca="1" si="2">IF(D24="Да",SUMIF($H87:$L90,$H86,M87:M90),0)</f>
        <v>3</v>
      </c>
      <c r="N86" s="295">
        <f t="shared" si="2"/>
        <v>0</v>
      </c>
      <c r="O86" s="295">
        <f t="shared" si="2"/>
        <v>0</v>
      </c>
      <c r="P86" s="295">
        <f t="shared" ca="1" si="2"/>
        <v>3</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1139</v>
      </c>
      <c r="I91" s="699"/>
      <c r="J91" s="699"/>
      <c r="K91" s="699"/>
      <c r="L91" s="700"/>
      <c r="M91" s="295">
        <f t="shared" ref="M91:R91" ca="1" si="3">IF(D24="Да",SUMIF($H92:$L98,$H91,M92:M98),0)</f>
        <v>3</v>
      </c>
      <c r="N91" s="295">
        <f t="shared" si="3"/>
        <v>0</v>
      </c>
      <c r="O91" s="295">
        <f t="shared" si="3"/>
        <v>0</v>
      </c>
      <c r="P91" s="295">
        <f t="shared" ca="1" si="3"/>
        <v>3</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1151</v>
      </c>
      <c r="I99" s="699"/>
      <c r="J99" s="699"/>
      <c r="K99" s="699"/>
      <c r="L99" s="700"/>
      <c r="M99" s="295">
        <f t="shared" ref="M99:R99" ca="1" si="4">IF(D24="Да",SUMIF($H100:$L104,$H99,M100:M104),0)</f>
        <v>5</v>
      </c>
      <c r="N99" s="295">
        <f t="shared" si="4"/>
        <v>0</v>
      </c>
      <c r="O99" s="295">
        <f t="shared" si="4"/>
        <v>0</v>
      </c>
      <c r="P99" s="295">
        <f t="shared" ca="1" si="4"/>
        <v>7</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1095</v>
      </c>
      <c r="I105" s="699"/>
      <c r="J105" s="699"/>
      <c r="K105" s="699"/>
      <c r="L105" s="700"/>
      <c r="M105" s="295">
        <f t="shared" ref="M105:R105" ca="1" si="5">IF(D24="Да",SUMIF($H106:$L119,$H105,M106:M119),0)</f>
        <v>2</v>
      </c>
      <c r="N105" s="295">
        <f t="shared" si="5"/>
        <v>0</v>
      </c>
      <c r="O105" s="295">
        <f t="shared" si="5"/>
        <v>0</v>
      </c>
      <c r="P105" s="295">
        <f t="shared" ca="1" si="5"/>
        <v>2</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1180</v>
      </c>
      <c r="I120" s="699"/>
      <c r="J120" s="699"/>
      <c r="K120" s="699"/>
      <c r="L120" s="700"/>
      <c r="M120" s="295">
        <f t="shared" ref="M120:R120" ca="1" si="6">IF(D24="Да",SUMIF($H121:$L134,$H120,M121:M134),0)</f>
        <v>3</v>
      </c>
      <c r="N120" s="295">
        <f t="shared" si="6"/>
        <v>0</v>
      </c>
      <c r="O120" s="295">
        <f t="shared" si="6"/>
        <v>0</v>
      </c>
      <c r="P120" s="295">
        <f t="shared" ca="1" si="6"/>
        <v>4</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21</v>
      </c>
      <c r="N135" s="295">
        <f t="shared" ref="N135:R135" si="7">N71+N78+N86+N91+N99+N105+N120</f>
        <v>0</v>
      </c>
      <c r="O135" s="295">
        <f>O71+O78+O86+O91+O99+O105+O120</f>
        <v>0</v>
      </c>
      <c r="P135" s="295">
        <f t="shared" ca="1" si="7"/>
        <v>24</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1.05</v>
      </c>
      <c r="D149" s="295">
        <f t="shared" si="10"/>
        <v>1.05</v>
      </c>
      <c r="E149" s="295">
        <f t="shared" si="10"/>
        <v>1.05</v>
      </c>
      <c r="F149" s="295">
        <f t="shared" si="10"/>
        <v>1.05</v>
      </c>
      <c r="G149" s="295">
        <f t="shared" si="10"/>
        <v>1.05</v>
      </c>
      <c r="H149" s="295">
        <f t="shared" si="10"/>
        <v>1.05</v>
      </c>
      <c r="I149" s="295">
        <f t="shared" si="10"/>
        <v>1.05</v>
      </c>
      <c r="J149" s="295" t="s">
        <v>1223</v>
      </c>
      <c r="K149" s="311" t="s">
        <v>1209</v>
      </c>
      <c r="L149" s="716" t="s">
        <v>1224</v>
      </c>
      <c r="M149" s="716"/>
      <c r="N149" s="716"/>
      <c r="O149" s="716"/>
      <c r="P149" s="716"/>
      <c r="Q149" s="312">
        <f t="shared" si="11"/>
        <v>1.05</v>
      </c>
      <c r="R149" s="312" t="s">
        <v>1047</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1.0500000000000007</v>
      </c>
      <c r="D154" s="295">
        <f>SUM(D142:D152)-10</f>
        <v>1.0500000000000007</v>
      </c>
      <c r="E154" s="295">
        <f>SUM(E142:E152)-10</f>
        <v>1.0500000000000007</v>
      </c>
      <c r="F154" s="295">
        <f t="shared" ref="F154:I154" si="13">SUM(F142:F152)-10</f>
        <v>1.0500000000000007</v>
      </c>
      <c r="G154" s="295">
        <f t="shared" si="13"/>
        <v>1.25</v>
      </c>
      <c r="H154" s="295">
        <f t="shared" si="13"/>
        <v>1.0500000000000007</v>
      </c>
      <c r="I154" s="295">
        <f t="shared" si="13"/>
        <v>1.0500000000000007</v>
      </c>
      <c r="J154" s="314"/>
      <c r="K154" s="698" t="s">
        <v>1232</v>
      </c>
      <c r="L154" s="699"/>
      <c r="M154" s="699"/>
      <c r="N154" s="699"/>
      <c r="O154" s="699"/>
      <c r="P154" s="699"/>
      <c r="Q154" s="699"/>
      <c r="R154" s="700"/>
    </row>
    <row r="155" spans="2:21" s="310" customFormat="1" ht="24.75" customHeight="1" x14ac:dyDescent="0.2">
      <c r="B155" s="295">
        <v>17</v>
      </c>
      <c r="C155" s="295">
        <f>C153*C154</f>
        <v>0.63000000000000045</v>
      </c>
      <c r="D155" s="295">
        <f>D153*D154</f>
        <v>0.63000000000000045</v>
      </c>
      <c r="E155" s="295">
        <f>E153*E154</f>
        <v>0.63000000000000045</v>
      </c>
      <c r="F155" s="295">
        <f t="shared" ref="F155:I155" si="14">F153*F154</f>
        <v>0.63000000000000045</v>
      </c>
      <c r="G155" s="295">
        <f t="shared" si="14"/>
        <v>0.75</v>
      </c>
      <c r="H155" s="295">
        <f t="shared" si="14"/>
        <v>0.63000000000000045</v>
      </c>
      <c r="I155" s="295">
        <f t="shared" si="14"/>
        <v>0.63000000000000045</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7"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7"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7"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7" ht="25.5" customHeight="1" x14ac:dyDescent="0.25">
      <c r="B164" s="295">
        <v>1</v>
      </c>
      <c r="C164" s="295">
        <f>M67</f>
        <v>0</v>
      </c>
      <c r="D164" s="295">
        <f t="shared" ref="D164:I164" ca="1" si="15">M135</f>
        <v>21</v>
      </c>
      <c r="E164" s="295">
        <f t="shared" si="15"/>
        <v>0</v>
      </c>
      <c r="F164" s="295">
        <f t="shared" si="15"/>
        <v>0</v>
      </c>
      <c r="G164" s="295">
        <f t="shared" ca="1" si="15"/>
        <v>24</v>
      </c>
      <c r="H164" s="295">
        <f t="shared" si="15"/>
        <v>0</v>
      </c>
      <c r="I164" s="295">
        <f t="shared" si="15"/>
        <v>0</v>
      </c>
      <c r="J164" s="698" t="s">
        <v>1247</v>
      </c>
      <c r="K164" s="699"/>
      <c r="L164" s="699"/>
      <c r="M164" s="699"/>
      <c r="N164" s="699"/>
      <c r="O164" s="699"/>
      <c r="P164" s="699"/>
      <c r="Q164" s="699"/>
      <c r="R164" s="700"/>
    </row>
    <row r="165" spans="2:27"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7"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7" ht="25.5" customHeight="1" x14ac:dyDescent="0.25">
      <c r="B167" s="295">
        <v>4</v>
      </c>
      <c r="C167" s="316">
        <f>C164*C165*C166</f>
        <v>0</v>
      </c>
      <c r="D167" s="316">
        <f ca="1">D164*D165*D166</f>
        <v>330.33</v>
      </c>
      <c r="E167" s="316">
        <f>E164*E165*E166</f>
        <v>0</v>
      </c>
      <c r="F167" s="316">
        <f t="shared" ref="F167:I167" si="16">F164*F165*F166</f>
        <v>0</v>
      </c>
      <c r="G167" s="316">
        <f t="shared" ca="1" si="16"/>
        <v>810.48</v>
      </c>
      <c r="H167" s="316">
        <f t="shared" si="16"/>
        <v>0</v>
      </c>
      <c r="I167" s="316">
        <f t="shared" si="16"/>
        <v>0</v>
      </c>
      <c r="J167" s="698" t="s">
        <v>1250</v>
      </c>
      <c r="K167" s="699"/>
      <c r="L167" s="699"/>
      <c r="M167" s="699"/>
      <c r="N167" s="699"/>
      <c r="O167" s="699"/>
      <c r="P167" s="699"/>
      <c r="Q167" s="699"/>
      <c r="R167" s="700"/>
    </row>
    <row r="168" spans="2:27" ht="25.5" customHeight="1" x14ac:dyDescent="0.25">
      <c r="B168" s="295">
        <v>5</v>
      </c>
      <c r="C168" s="316">
        <f t="shared" ref="C168:I168" si="17">C167*C155</f>
        <v>0</v>
      </c>
      <c r="D168" s="316">
        <f t="shared" ca="1" si="17"/>
        <v>208.10790000000014</v>
      </c>
      <c r="E168" s="316">
        <f t="shared" si="17"/>
        <v>0</v>
      </c>
      <c r="F168" s="316">
        <f t="shared" si="17"/>
        <v>0</v>
      </c>
      <c r="G168" s="316">
        <f t="shared" ca="1" si="17"/>
        <v>607.86</v>
      </c>
      <c r="H168" s="316">
        <f t="shared" si="17"/>
        <v>0</v>
      </c>
      <c r="I168" s="316">
        <f t="shared" si="17"/>
        <v>0</v>
      </c>
      <c r="J168" s="698" t="s">
        <v>1251</v>
      </c>
      <c r="K168" s="699"/>
      <c r="L168" s="699"/>
      <c r="M168" s="699"/>
      <c r="N168" s="699"/>
      <c r="O168" s="699"/>
      <c r="P168" s="699"/>
      <c r="Q168" s="699"/>
      <c r="R168" s="700"/>
    </row>
    <row r="169" spans="2:27" ht="25.5" customHeight="1" x14ac:dyDescent="0.25">
      <c r="B169" s="295">
        <v>6</v>
      </c>
      <c r="C169" s="316">
        <f t="shared" ref="C169:I169" si="18">C168*C156*C157*C158</f>
        <v>0</v>
      </c>
      <c r="D169" s="316">
        <f t="shared" ca="1" si="18"/>
        <v>1051.7773266000006</v>
      </c>
      <c r="E169" s="316">
        <f t="shared" si="18"/>
        <v>0</v>
      </c>
      <c r="F169" s="316">
        <f t="shared" si="18"/>
        <v>0</v>
      </c>
      <c r="G169" s="316">
        <f t="shared" ca="1" si="18"/>
        <v>3072.12444</v>
      </c>
      <c r="H169" s="316">
        <f t="shared" si="18"/>
        <v>0</v>
      </c>
      <c r="I169" s="316">
        <f t="shared" si="18"/>
        <v>0</v>
      </c>
      <c r="J169" s="698" t="s">
        <v>1252</v>
      </c>
      <c r="K169" s="699"/>
      <c r="L169" s="699"/>
      <c r="M169" s="699"/>
      <c r="N169" s="699"/>
      <c r="O169" s="699"/>
      <c r="P169" s="699"/>
      <c r="Q169" s="699"/>
      <c r="R169" s="700"/>
    </row>
    <row r="170" spans="2:27" ht="25.5" customHeight="1" x14ac:dyDescent="0.25">
      <c r="B170" s="295">
        <v>7</v>
      </c>
      <c r="C170" s="317"/>
      <c r="D170" s="317">
        <f t="shared" ref="D170:I170" ca="1" si="19">D169*D160</f>
        <v>315.53319798000018</v>
      </c>
      <c r="E170" s="317">
        <f t="shared" si="19"/>
        <v>0</v>
      </c>
      <c r="F170" s="317">
        <f t="shared" si="19"/>
        <v>0</v>
      </c>
      <c r="G170" s="317">
        <f t="shared" ca="1" si="19"/>
        <v>1843.274664</v>
      </c>
      <c r="H170" s="317">
        <f t="shared" si="19"/>
        <v>0</v>
      </c>
      <c r="I170" s="317">
        <f t="shared" si="19"/>
        <v>0</v>
      </c>
      <c r="J170" s="698" t="s">
        <v>1253</v>
      </c>
      <c r="K170" s="699"/>
      <c r="L170" s="699"/>
      <c r="M170" s="699"/>
      <c r="N170" s="699"/>
      <c r="O170" s="699"/>
      <c r="P170" s="699"/>
      <c r="Q170" s="699"/>
      <c r="R170" s="700"/>
    </row>
    <row r="171" spans="2:27" ht="46.5" customHeight="1" x14ac:dyDescent="0.25">
      <c r="B171" s="295">
        <v>8</v>
      </c>
      <c r="C171" s="295"/>
      <c r="D171" s="701">
        <f ca="1">SUM(D170:I170)*1000</f>
        <v>2158807.8619800005</v>
      </c>
      <c r="E171" s="701"/>
      <c r="F171" s="701"/>
      <c r="G171" s="701"/>
      <c r="H171" s="701"/>
      <c r="I171" s="701"/>
      <c r="J171" s="698" t="s">
        <v>1254</v>
      </c>
      <c r="K171" s="699"/>
      <c r="L171" s="699"/>
      <c r="M171" s="699"/>
      <c r="N171" s="699"/>
      <c r="O171" s="699"/>
      <c r="P171" s="699"/>
      <c r="Q171" s="699"/>
      <c r="R171" s="700"/>
    </row>
    <row r="172" spans="2:27" ht="41.25" customHeight="1" x14ac:dyDescent="0.25">
      <c r="B172" s="295">
        <v>9</v>
      </c>
      <c r="C172" s="295"/>
      <c r="D172" s="702">
        <f ca="1">ROUND(D171*0.8,0)</f>
        <v>1727046</v>
      </c>
      <c r="E172" s="703"/>
      <c r="F172" s="703"/>
      <c r="G172" s="703"/>
      <c r="H172" s="703"/>
      <c r="I172" s="704"/>
      <c r="J172" s="698" t="s">
        <v>1255</v>
      </c>
      <c r="K172" s="699"/>
      <c r="L172" s="699"/>
      <c r="M172" s="699"/>
      <c r="N172" s="699"/>
      <c r="O172" s="699"/>
      <c r="P172" s="699"/>
      <c r="Q172" s="699"/>
      <c r="R172" s="700"/>
    </row>
    <row r="173" spans="2:27" ht="28.5" customHeight="1" x14ac:dyDescent="0.25">
      <c r="B173" s="295">
        <v>11</v>
      </c>
      <c r="C173" s="295"/>
      <c r="D173" s="697">
        <f ca="1">D172</f>
        <v>1727046</v>
      </c>
      <c r="E173" s="697"/>
      <c r="F173" s="697"/>
      <c r="G173" s="697"/>
      <c r="H173" s="697"/>
      <c r="I173" s="697"/>
      <c r="J173" s="698" t="s">
        <v>1256</v>
      </c>
      <c r="K173" s="699"/>
      <c r="L173" s="699"/>
      <c r="M173" s="699"/>
      <c r="N173" s="699"/>
      <c r="O173" s="699"/>
      <c r="P173" s="699"/>
      <c r="Q173" s="699"/>
      <c r="R173" s="700"/>
      <c r="Y173" s="318">
        <f ca="1">D173</f>
        <v>1727046</v>
      </c>
      <c r="AA173" s="324"/>
    </row>
    <row r="174" spans="2:27" ht="14.25" x14ac:dyDescent="0.2">
      <c r="B174" s="289"/>
      <c r="C174" s="289"/>
      <c r="D174" s="319"/>
      <c r="E174" s="320"/>
      <c r="F174" s="320"/>
      <c r="G174" s="320"/>
      <c r="H174" s="320"/>
      <c r="I174" s="320"/>
      <c r="J174" s="321"/>
      <c r="K174" s="320"/>
      <c r="L174" s="322"/>
      <c r="M174" s="320"/>
      <c r="N174" s="320"/>
      <c r="O174" s="320"/>
      <c r="P174" s="320"/>
      <c r="Q174" s="320"/>
      <c r="R174" s="320"/>
    </row>
    <row r="175" spans="2:27" ht="14.25" x14ac:dyDescent="0.2">
      <c r="D175" s="319"/>
      <c r="J175" s="321"/>
      <c r="L175" s="323"/>
    </row>
  </sheetData>
  <mergeCells count="221">
    <mergeCell ref="O2:R2"/>
    <mergeCell ref="B4:R4"/>
    <mergeCell ref="B5:R5"/>
    <mergeCell ref="G6:R7"/>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71:L71">
      <formula1>$H$72:$H$77</formula1>
    </dataValidation>
    <dataValidation type="list" allowBlank="1" showInputMessage="1" showErrorMessage="1" sqref="H78:L78">
      <formula1>$H$79:$H$85</formula1>
    </dataValidation>
    <dataValidation type="list" allowBlank="1" showInputMessage="1" showErrorMessage="1" sqref="H86:L86">
      <formula1>$H$87:$H$90</formula1>
    </dataValidation>
    <dataValidation type="list" allowBlank="1" showInputMessage="1" showErrorMessage="1" sqref="H91:L91">
      <formula1>$H$92:$H$98</formula1>
    </dataValidation>
    <dataValidation type="list" allowBlank="1" showInputMessage="1" showErrorMessage="1" sqref="H99:L99">
      <formula1>$H$100:$H$104</formula1>
    </dataValidation>
    <dataValidation type="list" allowBlank="1" showInputMessage="1" showErrorMessage="1" sqref="H105:L105">
      <formula1>$H$106:$H$119</formula1>
    </dataValidation>
    <dataValidation type="list" allowBlank="1" showInputMessage="1" showErrorMessage="1" sqref="H120:L120">
      <formula1>$H$121:$H$134</formula1>
    </dataValidation>
    <dataValidation type="list" allowBlank="1" showInputMessage="1" showErrorMessage="1" sqref="R139:R152">
      <formula1>$W$140:$W$141</formula1>
    </dataValidation>
    <dataValidation type="list" allowBlank="1" showInputMessage="1" showErrorMessage="1" sqref="B16:C16">
      <formula1>$B$17:$B$18</formula1>
    </dataValidation>
    <dataValidation type="list" allowBlank="1" showInputMessage="1" showErrorMessage="1" sqref="H19">
      <formula1>$H$20:$H$21</formula1>
    </dataValidation>
    <dataValidation type="list" allowBlank="1" showInputMessage="1" showErrorMessage="1" sqref="D24:I24">
      <formula1>$D$25:$D$26</formula1>
    </dataValidation>
    <dataValidation type="list" allowBlank="1" showInputMessage="1" showErrorMessage="1" sqref="H31:L31">
      <formula1>$H$32:$H$35</formula1>
    </dataValidation>
    <dataValidation type="list" allowBlank="1" showInputMessage="1" showErrorMessage="1" sqref="H36:L36">
      <formula1>$H$37:$H$42</formula1>
    </dataValidation>
    <dataValidation type="list" allowBlank="1" showInputMessage="1" showErrorMessage="1" sqref="H43:L43">
      <formula1>$H$44:$H$51</formula1>
    </dataValidation>
    <dataValidation type="list" allowBlank="1" showInputMessage="1" showErrorMessage="1" sqref="H52:L52">
      <formula1>$H$53:$H$66</formula1>
    </dataValidation>
  </dataValidations>
  <pageMargins left="0.7" right="0.7" top="0.75" bottom="0.75" header="0.3" footer="0.3"/>
  <pageSetup paperSize="9" scale="53" fitToHeight="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8"/>
    <pageSetUpPr fitToPage="1"/>
  </sheetPr>
  <dimension ref="A1:AA175"/>
  <sheetViews>
    <sheetView view="pageBreakPreview" topLeftCell="B150" zoomScale="70" zoomScaleSheetLayoutView="70" workbookViewId="0">
      <selection activeCell="K158" sqref="K158:R158"/>
    </sheetView>
  </sheetViews>
  <sheetFormatPr defaultColWidth="9.140625" defaultRowHeight="12.75" outlineLevelRow="1" x14ac:dyDescent="0.25"/>
  <cols>
    <col min="1" max="1" width="4.5703125" style="286" hidden="1" customWidth="1"/>
    <col min="2" max="2" width="4.5703125" style="286" customWidth="1"/>
    <col min="3" max="3" width="11" style="286" hidden="1" customWidth="1"/>
    <col min="4" max="8" width="11" style="286" customWidth="1"/>
    <col min="9" max="9" width="15.5703125" style="286" customWidth="1"/>
    <col min="10" max="11" width="8.7109375" style="286" customWidth="1"/>
    <col min="12" max="12" width="15" style="286" customWidth="1"/>
    <col min="13" max="18" width="8.7109375" style="286" customWidth="1"/>
    <col min="19" max="19" width="0" style="286" hidden="1" customWidth="1"/>
    <col min="20" max="23" width="9.140625" style="286" hidden="1" customWidth="1"/>
    <col min="24" max="24" width="16.85546875" style="286" customWidth="1"/>
    <col min="25" max="25" width="23" style="286" customWidth="1"/>
    <col min="26" max="26" width="9.140625" style="286"/>
    <col min="27" max="27" width="15.42578125" style="286" customWidth="1"/>
    <col min="28" max="16384" width="9.140625" style="286"/>
  </cols>
  <sheetData>
    <row r="1" spans="2:20" hidden="1" x14ac:dyDescent="0.25">
      <c r="B1" s="287">
        <v>5</v>
      </c>
      <c r="C1" s="287"/>
    </row>
    <row r="2" spans="2:20" ht="17.25" hidden="1" customHeight="1" x14ac:dyDescent="0.25">
      <c r="O2" s="730"/>
      <c r="P2" s="730"/>
      <c r="Q2" s="730"/>
      <c r="R2" s="730"/>
      <c r="S2" s="288"/>
      <c r="T2" s="288"/>
    </row>
    <row r="3" spans="2:20" hidden="1" x14ac:dyDescent="0.25"/>
    <row r="4" spans="2:20" ht="15.75" customHeight="1" x14ac:dyDescent="0.25">
      <c r="B4" s="731" t="s">
        <v>1307</v>
      </c>
      <c r="C4" s="731"/>
      <c r="D4" s="731"/>
      <c r="E4" s="731"/>
      <c r="F4" s="731"/>
      <c r="G4" s="731"/>
      <c r="H4" s="731"/>
      <c r="I4" s="731"/>
      <c r="J4" s="731"/>
      <c r="K4" s="731"/>
      <c r="L4" s="731"/>
      <c r="M4" s="731"/>
      <c r="N4" s="731"/>
      <c r="O4" s="731"/>
      <c r="P4" s="731"/>
      <c r="Q4" s="731"/>
      <c r="R4" s="731"/>
    </row>
    <row r="5" spans="2:20" x14ac:dyDescent="0.25">
      <c r="B5" s="777" t="s">
        <v>1308</v>
      </c>
      <c r="C5" s="777"/>
      <c r="D5" s="777"/>
      <c r="E5" s="777"/>
      <c r="F5" s="777"/>
      <c r="G5" s="777"/>
      <c r="H5" s="777"/>
      <c r="I5" s="777"/>
      <c r="J5" s="777"/>
      <c r="K5" s="777"/>
      <c r="L5" s="777"/>
      <c r="M5" s="777"/>
      <c r="N5" s="777"/>
      <c r="O5" s="777"/>
      <c r="P5" s="777"/>
      <c r="Q5" s="777"/>
      <c r="R5" s="777"/>
    </row>
    <row r="6" spans="2:20" ht="13.5" customHeight="1" x14ac:dyDescent="0.25">
      <c r="B6" s="286" t="s">
        <v>1036</v>
      </c>
      <c r="G6" s="732" t="s">
        <v>1309</v>
      </c>
      <c r="H6" s="733"/>
      <c r="I6" s="733"/>
      <c r="J6" s="733"/>
      <c r="K6" s="733"/>
      <c r="L6" s="733"/>
      <c r="M6" s="733"/>
      <c r="N6" s="733"/>
      <c r="O6" s="733"/>
      <c r="P6" s="733"/>
      <c r="Q6" s="733"/>
      <c r="R6" s="733"/>
    </row>
    <row r="7" spans="2:20" ht="63" customHeight="1" x14ac:dyDescent="0.25">
      <c r="G7" s="733"/>
      <c r="H7" s="733"/>
      <c r="I7" s="733"/>
      <c r="J7" s="733"/>
      <c r="K7" s="733"/>
      <c r="L7" s="733"/>
      <c r="M7" s="733"/>
      <c r="N7" s="733"/>
      <c r="O7" s="733"/>
      <c r="P7" s="733"/>
      <c r="Q7" s="733"/>
      <c r="R7" s="733"/>
    </row>
    <row r="8" spans="2:20" x14ac:dyDescent="0.25">
      <c r="B8" s="286" t="s">
        <v>1038</v>
      </c>
      <c r="G8" s="286" t="s">
        <v>5</v>
      </c>
    </row>
    <row r="9" spans="2:20" ht="3.75" customHeight="1" x14ac:dyDescent="0.25"/>
    <row r="10" spans="2:20" hidden="1" x14ac:dyDescent="0.25">
      <c r="B10" s="286" t="s">
        <v>1039</v>
      </c>
      <c r="G10" s="289"/>
    </row>
    <row r="11" spans="2:20" x14ac:dyDescent="0.25">
      <c r="B11" s="286" t="s">
        <v>1040</v>
      </c>
      <c r="G11" s="775" t="s">
        <v>7</v>
      </c>
      <c r="H11" s="775"/>
      <c r="I11" s="775"/>
      <c r="J11" s="775"/>
      <c r="K11" s="775"/>
      <c r="L11" s="775"/>
    </row>
    <row r="13" spans="2:20" x14ac:dyDescent="0.25">
      <c r="B13" s="734" t="s">
        <v>1041</v>
      </c>
      <c r="C13" s="734"/>
      <c r="D13" s="734"/>
      <c r="E13" s="734"/>
      <c r="F13" s="734"/>
      <c r="G13" s="734"/>
      <c r="H13" s="734"/>
      <c r="I13" s="734"/>
      <c r="J13" s="734"/>
      <c r="K13" s="734"/>
      <c r="L13" s="734"/>
      <c r="M13" s="734"/>
      <c r="N13" s="734"/>
      <c r="O13" s="734"/>
      <c r="P13" s="734"/>
      <c r="Q13" s="734"/>
      <c r="R13" s="734"/>
    </row>
    <row r="15" spans="2:20" ht="25.5" customHeight="1" x14ac:dyDescent="0.25">
      <c r="B15" s="708" t="s">
        <v>1042</v>
      </c>
      <c r="C15" s="709"/>
      <c r="D15" s="709"/>
      <c r="E15" s="709"/>
      <c r="F15" s="709"/>
      <c r="G15" s="709"/>
      <c r="H15" s="709"/>
      <c r="I15" s="735"/>
      <c r="J15" s="735"/>
      <c r="K15" s="735"/>
      <c r="L15" s="735"/>
      <c r="M15" s="735"/>
      <c r="N15" s="735"/>
      <c r="O15" s="735"/>
      <c r="P15" s="735"/>
      <c r="Q15" s="735"/>
      <c r="R15" s="736"/>
    </row>
    <row r="16" spans="2:20" hidden="1" x14ac:dyDescent="0.25">
      <c r="B16" s="290" t="s">
        <v>1043</v>
      </c>
      <c r="C16" s="291"/>
      <c r="D16" s="291"/>
      <c r="E16" s="291"/>
      <c r="F16" s="291"/>
      <c r="G16" s="291"/>
      <c r="H16" s="291"/>
      <c r="I16" s="292"/>
      <c r="J16" s="292"/>
      <c r="K16" s="292"/>
      <c r="L16" s="292"/>
      <c r="M16" s="292"/>
      <c r="N16" s="292"/>
      <c r="O16" s="292"/>
      <c r="P16" s="292"/>
      <c r="Q16" s="292"/>
      <c r="R16" s="293"/>
    </row>
    <row r="17" spans="2:18" hidden="1" x14ac:dyDescent="0.25">
      <c r="B17" s="290" t="s">
        <v>1043</v>
      </c>
      <c r="C17" s="291"/>
      <c r="D17" s="291"/>
      <c r="E17" s="291"/>
      <c r="F17" s="291"/>
      <c r="G17" s="291"/>
      <c r="H17" s="291"/>
      <c r="R17" s="294"/>
    </row>
    <row r="18" spans="2:18" hidden="1" x14ac:dyDescent="0.25">
      <c r="B18" s="290" t="s">
        <v>1044</v>
      </c>
      <c r="C18" s="291"/>
      <c r="D18" s="291"/>
      <c r="E18" s="291"/>
      <c r="F18" s="291"/>
      <c r="G18" s="291"/>
      <c r="H18" s="291"/>
      <c r="R18" s="294"/>
    </row>
    <row r="19" spans="2:18" x14ac:dyDescent="0.25">
      <c r="B19" s="290" t="s">
        <v>1045</v>
      </c>
      <c r="C19" s="291"/>
      <c r="D19" s="291"/>
      <c r="E19" s="291"/>
      <c r="F19" s="291"/>
      <c r="G19" s="291"/>
      <c r="H19" s="295" t="s">
        <v>1046</v>
      </c>
      <c r="R19" s="294"/>
    </row>
    <row r="20" spans="2:18" hidden="1" x14ac:dyDescent="0.25">
      <c r="B20" s="290"/>
      <c r="C20" s="291"/>
      <c r="D20" s="291"/>
      <c r="E20" s="291"/>
      <c r="F20" s="291"/>
      <c r="G20" s="291"/>
      <c r="H20" s="291" t="s">
        <v>1047</v>
      </c>
      <c r="R20" s="294"/>
    </row>
    <row r="21" spans="2:18" hidden="1" x14ac:dyDescent="0.25">
      <c r="B21" s="290"/>
      <c r="C21" s="291"/>
      <c r="D21" s="291"/>
      <c r="E21" s="291"/>
      <c r="F21" s="291"/>
      <c r="G21" s="291"/>
      <c r="H21" s="291" t="s">
        <v>1046</v>
      </c>
      <c r="R21" s="294"/>
    </row>
    <row r="22" spans="2:18" x14ac:dyDescent="0.25">
      <c r="B22" s="290" t="s">
        <v>1048</v>
      </c>
      <c r="C22" s="291"/>
      <c r="D22" s="291"/>
      <c r="E22" s="291"/>
      <c r="F22" s="291"/>
      <c r="G22" s="291"/>
      <c r="H22" s="291"/>
      <c r="R22" s="294"/>
    </row>
    <row r="23" spans="2:18" x14ac:dyDescent="0.25">
      <c r="B23" s="290"/>
      <c r="D23" s="296" t="s">
        <v>1049</v>
      </c>
      <c r="E23" s="296" t="s">
        <v>1050</v>
      </c>
      <c r="F23" s="296" t="s">
        <v>1051</v>
      </c>
      <c r="G23" s="296" t="s">
        <v>1052</v>
      </c>
      <c r="H23" s="296" t="s">
        <v>1053</v>
      </c>
      <c r="I23" s="296" t="s">
        <v>1054</v>
      </c>
      <c r="R23" s="294"/>
    </row>
    <row r="24" spans="2:18" x14ac:dyDescent="0.25">
      <c r="B24" s="290"/>
      <c r="D24" s="295" t="s">
        <v>1047</v>
      </c>
      <c r="E24" s="295" t="s">
        <v>1046</v>
      </c>
      <c r="F24" s="295" t="s">
        <v>1046</v>
      </c>
      <c r="G24" s="295" t="s">
        <v>1047</v>
      </c>
      <c r="H24" s="295" t="s">
        <v>1046</v>
      </c>
      <c r="I24" s="295" t="s">
        <v>1046</v>
      </c>
      <c r="R24" s="294"/>
    </row>
    <row r="25" spans="2:18" hidden="1" x14ac:dyDescent="0.25">
      <c r="B25" s="290"/>
      <c r="C25" s="291"/>
      <c r="D25" s="297" t="s">
        <v>1047</v>
      </c>
      <c r="E25" s="297" t="s">
        <v>1047</v>
      </c>
      <c r="F25" s="297" t="s">
        <v>1047</v>
      </c>
      <c r="G25" s="297" t="s">
        <v>1047</v>
      </c>
      <c r="H25" s="297" t="s">
        <v>1047</v>
      </c>
      <c r="I25" s="298" t="s">
        <v>1047</v>
      </c>
      <c r="J25" s="299"/>
      <c r="K25" s="299"/>
      <c r="L25" s="299"/>
      <c r="M25" s="299"/>
      <c r="N25" s="299"/>
      <c r="O25" s="299"/>
      <c r="P25" s="299"/>
      <c r="Q25" s="299"/>
      <c r="R25" s="300"/>
    </row>
    <row r="26" spans="2:18" hidden="1" x14ac:dyDescent="0.25">
      <c r="B26" s="290"/>
      <c r="C26" s="291"/>
      <c r="D26" s="297" t="s">
        <v>1046</v>
      </c>
      <c r="E26" s="297" t="s">
        <v>1046</v>
      </c>
      <c r="F26" s="297" t="s">
        <v>1046</v>
      </c>
      <c r="G26" s="297" t="s">
        <v>1046</v>
      </c>
      <c r="H26" s="297" t="s">
        <v>1046</v>
      </c>
      <c r="I26" s="297" t="s">
        <v>1046</v>
      </c>
      <c r="J26" s="291"/>
      <c r="K26" s="291"/>
      <c r="L26" s="291"/>
      <c r="M26" s="291"/>
      <c r="N26" s="291"/>
      <c r="O26" s="291"/>
      <c r="P26" s="291"/>
      <c r="Q26" s="291"/>
      <c r="R26" s="301"/>
    </row>
    <row r="27" spans="2:18" ht="25.5" customHeight="1" x14ac:dyDescent="0.25">
      <c r="B27" s="708" t="s">
        <v>1055</v>
      </c>
      <c r="C27" s="709"/>
      <c r="D27" s="709"/>
      <c r="E27" s="709"/>
      <c r="F27" s="709"/>
      <c r="G27" s="709"/>
      <c r="H27" s="709"/>
      <c r="I27" s="709"/>
      <c r="J27" s="709"/>
      <c r="K27" s="709"/>
      <c r="L27" s="709"/>
      <c r="M27" s="709"/>
      <c r="N27" s="709"/>
      <c r="O27" s="709"/>
      <c r="P27" s="709"/>
      <c r="Q27" s="709"/>
      <c r="R27" s="710"/>
    </row>
    <row r="28" spans="2:18" hidden="1" x14ac:dyDescent="0.25">
      <c r="B28" s="290" t="s">
        <v>1056</v>
      </c>
      <c r="C28" s="291"/>
      <c r="D28" s="291"/>
      <c r="E28" s="291"/>
      <c r="F28" s="291"/>
      <c r="G28" s="291"/>
      <c r="H28" s="291"/>
      <c r="I28" s="291"/>
      <c r="J28" s="291"/>
      <c r="K28" s="291"/>
      <c r="L28" s="291"/>
      <c r="M28" s="291"/>
      <c r="N28" s="291"/>
      <c r="O28" s="292"/>
      <c r="P28" s="292"/>
      <c r="Q28" s="292"/>
      <c r="R28" s="293"/>
    </row>
    <row r="29" spans="2:18" hidden="1" x14ac:dyDescent="0.25">
      <c r="B29" s="711" t="s">
        <v>1057</v>
      </c>
      <c r="C29" s="711"/>
      <c r="D29" s="711"/>
      <c r="E29" s="711"/>
      <c r="F29" s="711"/>
      <c r="G29" s="711"/>
      <c r="H29" s="711"/>
      <c r="I29" s="711"/>
      <c r="J29" s="729"/>
      <c r="K29" s="729"/>
      <c r="L29" s="729"/>
      <c r="M29" s="713" t="s">
        <v>1058</v>
      </c>
      <c r="N29" s="714"/>
      <c r="O29" s="302"/>
      <c r="R29" s="294"/>
    </row>
    <row r="30" spans="2:18" ht="25.5" hidden="1" x14ac:dyDescent="0.25">
      <c r="B30" s="296" t="s">
        <v>90</v>
      </c>
      <c r="C30" s="717" t="s">
        <v>1059</v>
      </c>
      <c r="D30" s="719"/>
      <c r="E30" s="717" t="s">
        <v>1060</v>
      </c>
      <c r="F30" s="718"/>
      <c r="G30" s="719"/>
      <c r="H30" s="717" t="s">
        <v>1061</v>
      </c>
      <c r="I30" s="718"/>
      <c r="J30" s="718"/>
      <c r="K30" s="718"/>
      <c r="L30" s="719"/>
      <c r="M30" s="717" t="s">
        <v>1062</v>
      </c>
      <c r="N30" s="718"/>
      <c r="O30" s="302"/>
      <c r="R30" s="294"/>
    </row>
    <row r="31" spans="2:18" ht="24" hidden="1" customHeight="1" x14ac:dyDescent="0.25">
      <c r="B31" s="295">
        <v>1</v>
      </c>
      <c r="C31" s="720" t="s">
        <v>1063</v>
      </c>
      <c r="D31" s="721"/>
      <c r="E31" s="698" t="s">
        <v>1064</v>
      </c>
      <c r="F31" s="699"/>
      <c r="G31" s="700"/>
      <c r="H31" s="698" t="s">
        <v>1065</v>
      </c>
      <c r="I31" s="699"/>
      <c r="J31" s="699"/>
      <c r="K31" s="699"/>
      <c r="L31" s="700"/>
      <c r="M31" s="720">
        <f>IF(H19="Да",SUMIF($H32:$L35,$H31,M32:N35),0)</f>
        <v>0</v>
      </c>
      <c r="N31" s="728"/>
      <c r="O31" s="302"/>
      <c r="R31" s="294"/>
    </row>
    <row r="32" spans="2:18" ht="29.25" hidden="1" customHeight="1" x14ac:dyDescent="0.25">
      <c r="B32" s="306" t="s">
        <v>40</v>
      </c>
      <c r="C32" s="307"/>
      <c r="D32" s="291"/>
      <c r="E32" s="291"/>
      <c r="F32" s="291"/>
      <c r="G32" s="291"/>
      <c r="H32" s="698" t="s">
        <v>1065</v>
      </c>
      <c r="I32" s="699"/>
      <c r="J32" s="699"/>
      <c r="K32" s="699"/>
      <c r="L32" s="700"/>
      <c r="M32" s="720">
        <v>1</v>
      </c>
      <c r="N32" s="728"/>
      <c r="O32" s="302"/>
      <c r="R32" s="294"/>
    </row>
    <row r="33" spans="2:18" ht="28.5" hidden="1" customHeight="1" x14ac:dyDescent="0.25">
      <c r="B33" s="306" t="s">
        <v>42</v>
      </c>
      <c r="C33" s="307"/>
      <c r="D33" s="291"/>
      <c r="E33" s="291"/>
      <c r="F33" s="291"/>
      <c r="G33" s="291"/>
      <c r="H33" s="698" t="s">
        <v>1066</v>
      </c>
      <c r="I33" s="699"/>
      <c r="J33" s="699"/>
      <c r="K33" s="699"/>
      <c r="L33" s="700"/>
      <c r="M33" s="720">
        <v>2</v>
      </c>
      <c r="N33" s="728"/>
      <c r="O33" s="302"/>
      <c r="R33" s="294"/>
    </row>
    <row r="34" spans="2:18" ht="39" hidden="1" customHeight="1" x14ac:dyDescent="0.25">
      <c r="B34" s="306" t="s">
        <v>44</v>
      </c>
      <c r="C34" s="307"/>
      <c r="D34" s="291"/>
      <c r="E34" s="291"/>
      <c r="F34" s="291"/>
      <c r="G34" s="291"/>
      <c r="H34" s="698" t="s">
        <v>1067</v>
      </c>
      <c r="I34" s="699"/>
      <c r="J34" s="699"/>
      <c r="K34" s="699"/>
      <c r="L34" s="700"/>
      <c r="M34" s="720">
        <v>4</v>
      </c>
      <c r="N34" s="728"/>
      <c r="O34" s="302"/>
      <c r="R34" s="294"/>
    </row>
    <row r="35" spans="2:18" ht="25.5" hidden="1" customHeight="1" x14ac:dyDescent="0.25">
      <c r="B35" s="306" t="s">
        <v>46</v>
      </c>
      <c r="C35" s="307"/>
      <c r="D35" s="291"/>
      <c r="E35" s="291"/>
      <c r="F35" s="291"/>
      <c r="G35" s="291"/>
      <c r="H35" s="698" t="s">
        <v>1068</v>
      </c>
      <c r="I35" s="699"/>
      <c r="J35" s="699"/>
      <c r="K35" s="699"/>
      <c r="L35" s="700"/>
      <c r="M35" s="720">
        <v>8</v>
      </c>
      <c r="N35" s="728"/>
      <c r="O35" s="302"/>
      <c r="R35" s="294"/>
    </row>
    <row r="36" spans="2:18" ht="25.5" hidden="1" customHeight="1" x14ac:dyDescent="0.25">
      <c r="B36" s="295">
        <v>2</v>
      </c>
      <c r="C36" s="720" t="s">
        <v>1069</v>
      </c>
      <c r="D36" s="721"/>
      <c r="E36" s="698" t="s">
        <v>1070</v>
      </c>
      <c r="F36" s="699"/>
      <c r="G36" s="700"/>
      <c r="H36" s="698" t="s">
        <v>1071</v>
      </c>
      <c r="I36" s="699"/>
      <c r="J36" s="699"/>
      <c r="K36" s="699"/>
      <c r="L36" s="700"/>
      <c r="M36" s="720">
        <f>IF(H19="Да",SUMIF($H37:$L42,$H36,M37:N42),0)</f>
        <v>0</v>
      </c>
      <c r="N36" s="728"/>
      <c r="O36" s="302"/>
      <c r="R36" s="294"/>
    </row>
    <row r="37" spans="2:18" ht="38.25" hidden="1" customHeight="1" x14ac:dyDescent="0.25">
      <c r="B37" s="306" t="s">
        <v>48</v>
      </c>
      <c r="C37" s="307"/>
      <c r="D37" s="291"/>
      <c r="E37" s="291"/>
      <c r="F37" s="291"/>
      <c r="G37" s="291"/>
      <c r="H37" s="698" t="s">
        <v>1071</v>
      </c>
      <c r="I37" s="699"/>
      <c r="J37" s="699"/>
      <c r="K37" s="699"/>
      <c r="L37" s="700"/>
      <c r="M37" s="720">
        <v>1</v>
      </c>
      <c r="N37" s="728"/>
      <c r="O37" s="302"/>
      <c r="R37" s="294"/>
    </row>
    <row r="38" spans="2:18" ht="50.25" hidden="1" customHeight="1" x14ac:dyDescent="0.25">
      <c r="B38" s="306" t="s">
        <v>50</v>
      </c>
      <c r="C38" s="307"/>
      <c r="D38" s="291"/>
      <c r="E38" s="291"/>
      <c r="F38" s="291"/>
      <c r="G38" s="291"/>
      <c r="H38" s="698" t="s">
        <v>1072</v>
      </c>
      <c r="I38" s="699"/>
      <c r="J38" s="699"/>
      <c r="K38" s="699"/>
      <c r="L38" s="700"/>
      <c r="M38" s="720">
        <v>2</v>
      </c>
      <c r="N38" s="728"/>
      <c r="O38" s="302"/>
      <c r="R38" s="294"/>
    </row>
    <row r="39" spans="2:18" ht="27.75" hidden="1" customHeight="1" x14ac:dyDescent="0.25">
      <c r="B39" s="306" t="s">
        <v>52</v>
      </c>
      <c r="C39" s="307"/>
      <c r="D39" s="291"/>
      <c r="E39" s="291"/>
      <c r="F39" s="291"/>
      <c r="G39" s="291"/>
      <c r="H39" s="698" t="s">
        <v>1073</v>
      </c>
      <c r="I39" s="699"/>
      <c r="J39" s="699"/>
      <c r="K39" s="699"/>
      <c r="L39" s="700"/>
      <c r="M39" s="720">
        <v>4</v>
      </c>
      <c r="N39" s="728"/>
      <c r="O39" s="302"/>
      <c r="R39" s="294"/>
    </row>
    <row r="40" spans="2:18" ht="39" hidden="1" customHeight="1" x14ac:dyDescent="0.25">
      <c r="B40" s="306" t="s">
        <v>54</v>
      </c>
      <c r="C40" s="307"/>
      <c r="D40" s="291"/>
      <c r="E40" s="291"/>
      <c r="F40" s="291"/>
      <c r="G40" s="291"/>
      <c r="H40" s="698" t="s">
        <v>1074</v>
      </c>
      <c r="I40" s="699"/>
      <c r="J40" s="699"/>
      <c r="K40" s="699"/>
      <c r="L40" s="700"/>
      <c r="M40" s="720">
        <v>5</v>
      </c>
      <c r="N40" s="728"/>
      <c r="O40" s="302"/>
      <c r="R40" s="294"/>
    </row>
    <row r="41" spans="2:18" ht="39" hidden="1" customHeight="1" x14ac:dyDescent="0.25">
      <c r="B41" s="306" t="s">
        <v>1075</v>
      </c>
      <c r="C41" s="307"/>
      <c r="D41" s="291"/>
      <c r="E41" s="291"/>
      <c r="F41" s="291"/>
      <c r="G41" s="291"/>
      <c r="H41" s="698" t="s">
        <v>1076</v>
      </c>
      <c r="I41" s="699"/>
      <c r="J41" s="699"/>
      <c r="K41" s="699"/>
      <c r="L41" s="700"/>
      <c r="M41" s="720">
        <v>4</v>
      </c>
      <c r="N41" s="728"/>
      <c r="O41" s="302"/>
      <c r="R41" s="294"/>
    </row>
    <row r="42" spans="2:18" ht="26.25" hidden="1" customHeight="1" x14ac:dyDescent="0.25">
      <c r="B42" s="306" t="s">
        <v>1077</v>
      </c>
      <c r="C42" s="307"/>
      <c r="D42" s="291"/>
      <c r="E42" s="291"/>
      <c r="F42" s="291"/>
      <c r="G42" s="291"/>
      <c r="H42" s="698" t="s">
        <v>1078</v>
      </c>
      <c r="I42" s="699"/>
      <c r="J42" s="699"/>
      <c r="K42" s="699"/>
      <c r="L42" s="700"/>
      <c r="M42" s="720">
        <v>3</v>
      </c>
      <c r="N42" s="728"/>
      <c r="O42" s="302"/>
      <c r="R42" s="294"/>
    </row>
    <row r="43" spans="2:18" ht="32.25" hidden="1" customHeight="1" x14ac:dyDescent="0.25">
      <c r="B43" s="295">
        <v>3</v>
      </c>
      <c r="C43" s="720" t="s">
        <v>1079</v>
      </c>
      <c r="D43" s="721"/>
      <c r="E43" s="698" t="s">
        <v>1080</v>
      </c>
      <c r="F43" s="699"/>
      <c r="G43" s="700"/>
      <c r="H43" s="698" t="s">
        <v>1081</v>
      </c>
      <c r="I43" s="699"/>
      <c r="J43" s="699"/>
      <c r="K43" s="699"/>
      <c r="L43" s="700"/>
      <c r="M43" s="720">
        <f>IF(H19="Да",SUMIF($H44:$L51,$H43,M44:N51),0)</f>
        <v>0</v>
      </c>
      <c r="N43" s="728"/>
      <c r="O43" s="302"/>
      <c r="R43" s="294"/>
    </row>
    <row r="44" spans="2:18" hidden="1" x14ac:dyDescent="0.25">
      <c r="B44" s="306" t="s">
        <v>55</v>
      </c>
      <c r="C44" s="307"/>
      <c r="D44" s="291"/>
      <c r="E44" s="291"/>
      <c r="F44" s="291"/>
      <c r="G44" s="291"/>
      <c r="H44" s="698" t="s">
        <v>1082</v>
      </c>
      <c r="I44" s="699"/>
      <c r="J44" s="699"/>
      <c r="K44" s="699"/>
      <c r="L44" s="700"/>
      <c r="M44" s="720">
        <v>1</v>
      </c>
      <c r="N44" s="728"/>
      <c r="O44" s="302"/>
      <c r="R44" s="294"/>
    </row>
    <row r="45" spans="2:18" ht="12.75" hidden="1" customHeight="1" x14ac:dyDescent="0.25">
      <c r="B45" s="306" t="s">
        <v>57</v>
      </c>
      <c r="C45" s="307"/>
      <c r="D45" s="291"/>
      <c r="E45" s="291"/>
      <c r="F45" s="291"/>
      <c r="G45" s="291"/>
      <c r="H45" s="698" t="s">
        <v>1083</v>
      </c>
      <c r="I45" s="699"/>
      <c r="J45" s="699"/>
      <c r="K45" s="699"/>
      <c r="L45" s="700"/>
      <c r="M45" s="720">
        <v>2</v>
      </c>
      <c r="N45" s="728"/>
      <c r="O45" s="302"/>
      <c r="R45" s="294"/>
    </row>
    <row r="46" spans="2:18" ht="12.75" hidden="1" customHeight="1" x14ac:dyDescent="0.25">
      <c r="B46" s="306" t="s">
        <v>59</v>
      </c>
      <c r="C46" s="307"/>
      <c r="D46" s="291"/>
      <c r="E46" s="291"/>
      <c r="F46" s="291"/>
      <c r="G46" s="291"/>
      <c r="H46" s="698" t="s">
        <v>1081</v>
      </c>
      <c r="I46" s="699"/>
      <c r="J46" s="699"/>
      <c r="K46" s="699"/>
      <c r="L46" s="700"/>
      <c r="M46" s="720">
        <v>4</v>
      </c>
      <c r="N46" s="728"/>
      <c r="O46" s="302"/>
      <c r="R46" s="294"/>
    </row>
    <row r="47" spans="2:18" ht="12.75" hidden="1" customHeight="1" x14ac:dyDescent="0.25">
      <c r="B47" s="306" t="s">
        <v>61</v>
      </c>
      <c r="C47" s="307"/>
      <c r="D47" s="291"/>
      <c r="E47" s="291"/>
      <c r="F47" s="291"/>
      <c r="G47" s="291"/>
      <c r="H47" s="698" t="s">
        <v>1084</v>
      </c>
      <c r="I47" s="699"/>
      <c r="J47" s="699"/>
      <c r="K47" s="699"/>
      <c r="L47" s="700"/>
      <c r="M47" s="720">
        <v>5</v>
      </c>
      <c r="N47" s="728"/>
      <c r="O47" s="302"/>
      <c r="R47" s="294"/>
    </row>
    <row r="48" spans="2:18" ht="12.75" hidden="1" customHeight="1" x14ac:dyDescent="0.25">
      <c r="B48" s="306" t="s">
        <v>63</v>
      </c>
      <c r="C48" s="307"/>
      <c r="D48" s="291"/>
      <c r="E48" s="291"/>
      <c r="F48" s="291"/>
      <c r="G48" s="291"/>
      <c r="H48" s="698" t="s">
        <v>1085</v>
      </c>
      <c r="I48" s="699"/>
      <c r="J48" s="699"/>
      <c r="K48" s="699"/>
      <c r="L48" s="700"/>
      <c r="M48" s="720">
        <v>7</v>
      </c>
      <c r="N48" s="728"/>
      <c r="O48" s="302"/>
      <c r="R48" s="294"/>
    </row>
    <row r="49" spans="2:18" ht="12.75" hidden="1" customHeight="1" x14ac:dyDescent="0.25">
      <c r="B49" s="306" t="s">
        <v>65</v>
      </c>
      <c r="C49" s="307"/>
      <c r="D49" s="291"/>
      <c r="E49" s="291"/>
      <c r="F49" s="291"/>
      <c r="G49" s="291"/>
      <c r="H49" s="698" t="s">
        <v>1086</v>
      </c>
      <c r="I49" s="699"/>
      <c r="J49" s="699"/>
      <c r="K49" s="699"/>
      <c r="L49" s="700"/>
      <c r="M49" s="720">
        <v>9</v>
      </c>
      <c r="N49" s="728"/>
      <c r="O49" s="302"/>
      <c r="R49" s="294"/>
    </row>
    <row r="50" spans="2:18" ht="12.75" hidden="1" customHeight="1" x14ac:dyDescent="0.25">
      <c r="B50" s="306" t="s">
        <v>67</v>
      </c>
      <c r="C50" s="307"/>
      <c r="D50" s="291"/>
      <c r="E50" s="291"/>
      <c r="F50" s="291"/>
      <c r="G50" s="291"/>
      <c r="H50" s="698" t="s">
        <v>1087</v>
      </c>
      <c r="I50" s="699"/>
      <c r="J50" s="699"/>
      <c r="K50" s="699"/>
      <c r="L50" s="700"/>
      <c r="M50" s="720">
        <v>10</v>
      </c>
      <c r="N50" s="728"/>
      <c r="O50" s="302"/>
      <c r="R50" s="294"/>
    </row>
    <row r="51" spans="2:18" ht="12.75" hidden="1" customHeight="1" x14ac:dyDescent="0.25">
      <c r="B51" s="306" t="s">
        <v>69</v>
      </c>
      <c r="C51" s="307"/>
      <c r="D51" s="291"/>
      <c r="E51" s="291"/>
      <c r="F51" s="291"/>
      <c r="G51" s="291"/>
      <c r="H51" s="698" t="s">
        <v>1088</v>
      </c>
      <c r="I51" s="699"/>
      <c r="J51" s="699"/>
      <c r="K51" s="699"/>
      <c r="L51" s="700"/>
      <c r="M51" s="720">
        <v>11</v>
      </c>
      <c r="N51" s="728"/>
      <c r="O51" s="302"/>
      <c r="R51" s="294"/>
    </row>
    <row r="52" spans="2:18" ht="27" hidden="1" customHeight="1" x14ac:dyDescent="0.25">
      <c r="B52" s="295">
        <v>4</v>
      </c>
      <c r="C52" s="720" t="s">
        <v>1089</v>
      </c>
      <c r="D52" s="721"/>
      <c r="E52" s="698" t="s">
        <v>1090</v>
      </c>
      <c r="F52" s="699"/>
      <c r="G52" s="700"/>
      <c r="H52" s="698" t="s">
        <v>1091</v>
      </c>
      <c r="I52" s="699"/>
      <c r="J52" s="699"/>
      <c r="K52" s="699"/>
      <c r="L52" s="700"/>
      <c r="M52" s="720">
        <f>IF(H19="Да",SUMIF($H53:$L66,$H52,M53:N66),0)</f>
        <v>0</v>
      </c>
      <c r="N52" s="728"/>
      <c r="O52" s="302"/>
      <c r="R52" s="294"/>
    </row>
    <row r="53" spans="2:18" hidden="1" x14ac:dyDescent="0.25">
      <c r="B53" s="306" t="s">
        <v>1092</v>
      </c>
      <c r="C53" s="307"/>
      <c r="D53" s="291"/>
      <c r="E53" s="291"/>
      <c r="F53" s="291"/>
      <c r="G53" s="291"/>
      <c r="H53" s="698" t="s">
        <v>1093</v>
      </c>
      <c r="I53" s="699"/>
      <c r="J53" s="699"/>
      <c r="K53" s="699"/>
      <c r="L53" s="700"/>
      <c r="M53" s="720">
        <v>1</v>
      </c>
      <c r="N53" s="728"/>
      <c r="O53" s="302"/>
      <c r="R53" s="294"/>
    </row>
    <row r="54" spans="2:18" ht="12.75" hidden="1" customHeight="1" x14ac:dyDescent="0.25">
      <c r="B54" s="306" t="s">
        <v>1094</v>
      </c>
      <c r="C54" s="307"/>
      <c r="D54" s="291"/>
      <c r="E54" s="291"/>
      <c r="F54" s="291"/>
      <c r="G54" s="291"/>
      <c r="H54" s="698" t="s">
        <v>1095</v>
      </c>
      <c r="I54" s="699"/>
      <c r="J54" s="699"/>
      <c r="K54" s="699"/>
      <c r="L54" s="700"/>
      <c r="M54" s="720">
        <v>2</v>
      </c>
      <c r="N54" s="728"/>
      <c r="O54" s="302"/>
      <c r="R54" s="294"/>
    </row>
    <row r="55" spans="2:18" ht="12.75" hidden="1" customHeight="1" x14ac:dyDescent="0.25">
      <c r="B55" s="306" t="s">
        <v>1096</v>
      </c>
      <c r="C55" s="307"/>
      <c r="D55" s="291"/>
      <c r="E55" s="291"/>
      <c r="F55" s="291"/>
      <c r="G55" s="291"/>
      <c r="H55" s="698" t="s">
        <v>1097</v>
      </c>
      <c r="I55" s="699"/>
      <c r="J55" s="699"/>
      <c r="K55" s="699"/>
      <c r="L55" s="700"/>
      <c r="M55" s="720">
        <v>3</v>
      </c>
      <c r="N55" s="728"/>
      <c r="O55" s="302"/>
      <c r="R55" s="294"/>
    </row>
    <row r="56" spans="2:18" ht="12.75" hidden="1" customHeight="1" x14ac:dyDescent="0.25">
      <c r="B56" s="306" t="s">
        <v>1098</v>
      </c>
      <c r="C56" s="307"/>
      <c r="D56" s="291"/>
      <c r="E56" s="291"/>
      <c r="F56" s="291"/>
      <c r="G56" s="291"/>
      <c r="H56" s="698" t="s">
        <v>1099</v>
      </c>
      <c r="I56" s="699"/>
      <c r="J56" s="699"/>
      <c r="K56" s="699"/>
      <c r="L56" s="700"/>
      <c r="M56" s="720">
        <v>4</v>
      </c>
      <c r="N56" s="728"/>
      <c r="O56" s="302"/>
      <c r="R56" s="294"/>
    </row>
    <row r="57" spans="2:18" ht="12.75" hidden="1" customHeight="1" x14ac:dyDescent="0.25">
      <c r="B57" s="306" t="s">
        <v>1100</v>
      </c>
      <c r="C57" s="307"/>
      <c r="D57" s="291"/>
      <c r="E57" s="291"/>
      <c r="F57" s="291"/>
      <c r="G57" s="291"/>
      <c r="H57" s="698" t="s">
        <v>1101</v>
      </c>
      <c r="I57" s="699"/>
      <c r="J57" s="699"/>
      <c r="K57" s="699"/>
      <c r="L57" s="700"/>
      <c r="M57" s="720">
        <v>5</v>
      </c>
      <c r="N57" s="728"/>
      <c r="O57" s="302"/>
      <c r="R57" s="294"/>
    </row>
    <row r="58" spans="2:18" ht="12.75" hidden="1" customHeight="1" x14ac:dyDescent="0.25">
      <c r="B58" s="306" t="s">
        <v>1102</v>
      </c>
      <c r="C58" s="307"/>
      <c r="D58" s="291"/>
      <c r="E58" s="291"/>
      <c r="F58" s="291"/>
      <c r="G58" s="291"/>
      <c r="H58" s="698" t="s">
        <v>1103</v>
      </c>
      <c r="I58" s="699"/>
      <c r="J58" s="699"/>
      <c r="K58" s="699"/>
      <c r="L58" s="700"/>
      <c r="M58" s="720">
        <v>6</v>
      </c>
      <c r="N58" s="728"/>
      <c r="O58" s="302"/>
      <c r="R58" s="294"/>
    </row>
    <row r="59" spans="2:18" ht="12.75" hidden="1" customHeight="1" x14ac:dyDescent="0.25">
      <c r="B59" s="306" t="s">
        <v>1104</v>
      </c>
      <c r="C59" s="307"/>
      <c r="D59" s="291"/>
      <c r="E59" s="291"/>
      <c r="F59" s="291"/>
      <c r="G59" s="291"/>
      <c r="H59" s="698" t="s">
        <v>1105</v>
      </c>
      <c r="I59" s="699"/>
      <c r="J59" s="699"/>
      <c r="K59" s="699"/>
      <c r="L59" s="700"/>
      <c r="M59" s="720">
        <v>7</v>
      </c>
      <c r="N59" s="728"/>
      <c r="O59" s="302"/>
      <c r="R59" s="294"/>
    </row>
    <row r="60" spans="2:18" ht="12.75" hidden="1" customHeight="1" x14ac:dyDescent="0.25">
      <c r="B60" s="306" t="s">
        <v>1106</v>
      </c>
      <c r="C60" s="307"/>
      <c r="D60" s="291"/>
      <c r="E60" s="291"/>
      <c r="F60" s="291"/>
      <c r="G60" s="291"/>
      <c r="H60" s="698" t="s">
        <v>1091</v>
      </c>
      <c r="I60" s="699"/>
      <c r="J60" s="699"/>
      <c r="K60" s="699"/>
      <c r="L60" s="700"/>
      <c r="M60" s="720">
        <v>8</v>
      </c>
      <c r="N60" s="728"/>
      <c r="O60" s="302"/>
      <c r="R60" s="294"/>
    </row>
    <row r="61" spans="2:18" ht="12.75" hidden="1" customHeight="1" x14ac:dyDescent="0.25">
      <c r="B61" s="306" t="s">
        <v>1107</v>
      </c>
      <c r="C61" s="307"/>
      <c r="D61" s="291"/>
      <c r="E61" s="291"/>
      <c r="F61" s="291"/>
      <c r="G61" s="291"/>
      <c r="H61" s="698" t="s">
        <v>1108</v>
      </c>
      <c r="I61" s="699"/>
      <c r="J61" s="699"/>
      <c r="K61" s="699"/>
      <c r="L61" s="700"/>
      <c r="M61" s="720">
        <v>9</v>
      </c>
      <c r="N61" s="728"/>
      <c r="O61" s="302"/>
      <c r="R61" s="294"/>
    </row>
    <row r="62" spans="2:18" ht="12.75" hidden="1" customHeight="1" x14ac:dyDescent="0.25">
      <c r="B62" s="306" t="s">
        <v>1109</v>
      </c>
      <c r="C62" s="307"/>
      <c r="D62" s="291"/>
      <c r="E62" s="291"/>
      <c r="F62" s="291"/>
      <c r="G62" s="291"/>
      <c r="H62" s="698" t="s">
        <v>1110</v>
      </c>
      <c r="I62" s="699"/>
      <c r="J62" s="699"/>
      <c r="K62" s="699"/>
      <c r="L62" s="700"/>
      <c r="M62" s="720">
        <v>10</v>
      </c>
      <c r="N62" s="728"/>
      <c r="O62" s="302"/>
      <c r="R62" s="294"/>
    </row>
    <row r="63" spans="2:18" ht="12.75" hidden="1" customHeight="1" x14ac:dyDescent="0.25">
      <c r="B63" s="306" t="s">
        <v>1111</v>
      </c>
      <c r="C63" s="307"/>
      <c r="D63" s="291"/>
      <c r="E63" s="291"/>
      <c r="F63" s="291"/>
      <c r="G63" s="291"/>
      <c r="H63" s="698" t="s">
        <v>1112</v>
      </c>
      <c r="I63" s="699"/>
      <c r="J63" s="699"/>
      <c r="K63" s="699"/>
      <c r="L63" s="700"/>
      <c r="M63" s="720">
        <v>11</v>
      </c>
      <c r="N63" s="728"/>
      <c r="O63" s="302"/>
      <c r="R63" s="294"/>
    </row>
    <row r="64" spans="2:18" ht="12.75" hidden="1" customHeight="1" x14ac:dyDescent="0.25">
      <c r="B64" s="306" t="s">
        <v>1113</v>
      </c>
      <c r="C64" s="307"/>
      <c r="D64" s="291"/>
      <c r="E64" s="291"/>
      <c r="F64" s="291"/>
      <c r="G64" s="291"/>
      <c r="H64" s="698" t="s">
        <v>1114</v>
      </c>
      <c r="I64" s="699"/>
      <c r="J64" s="699"/>
      <c r="K64" s="699"/>
      <c r="L64" s="700"/>
      <c r="M64" s="720">
        <v>12</v>
      </c>
      <c r="N64" s="728"/>
      <c r="O64" s="302"/>
      <c r="R64" s="294"/>
    </row>
    <row r="65" spans="2:18" ht="12.75" hidden="1" customHeight="1" x14ac:dyDescent="0.25">
      <c r="B65" s="306" t="s">
        <v>1115</v>
      </c>
      <c r="C65" s="307"/>
      <c r="D65" s="291"/>
      <c r="E65" s="291"/>
      <c r="F65" s="291"/>
      <c r="G65" s="291"/>
      <c r="H65" s="698" t="s">
        <v>1116</v>
      </c>
      <c r="I65" s="699"/>
      <c r="J65" s="699"/>
      <c r="K65" s="699"/>
      <c r="L65" s="700"/>
      <c r="M65" s="720">
        <v>13</v>
      </c>
      <c r="N65" s="728"/>
      <c r="O65" s="302"/>
      <c r="R65" s="294"/>
    </row>
    <row r="66" spans="2:18" ht="12.75" hidden="1" customHeight="1" x14ac:dyDescent="0.25">
      <c r="B66" s="306" t="s">
        <v>1117</v>
      </c>
      <c r="C66" s="307"/>
      <c r="D66" s="291"/>
      <c r="E66" s="291"/>
      <c r="F66" s="291"/>
      <c r="G66" s="291"/>
      <c r="H66" s="698" t="s">
        <v>1118</v>
      </c>
      <c r="I66" s="699"/>
      <c r="J66" s="699"/>
      <c r="K66" s="699"/>
      <c r="L66" s="700"/>
      <c r="M66" s="720">
        <v>14</v>
      </c>
      <c r="N66" s="728"/>
      <c r="O66" s="302"/>
      <c r="R66" s="294"/>
    </row>
    <row r="67" spans="2:18" hidden="1" x14ac:dyDescent="0.25">
      <c r="B67" s="295">
        <v>5</v>
      </c>
      <c r="C67" s="297"/>
      <c r="D67" s="291"/>
      <c r="E67" s="291"/>
      <c r="F67" s="291"/>
      <c r="G67" s="291"/>
      <c r="H67" s="291"/>
      <c r="I67" s="291"/>
      <c r="J67" s="291"/>
      <c r="K67" s="291"/>
      <c r="L67" s="308" t="s">
        <v>1119</v>
      </c>
      <c r="M67" s="720">
        <f>M31+M36+M43+M52</f>
        <v>0</v>
      </c>
      <c r="N67" s="728"/>
      <c r="O67" s="302"/>
      <c r="R67" s="294"/>
    </row>
    <row r="68" spans="2:18" x14ac:dyDescent="0.25">
      <c r="B68" s="290" t="s">
        <v>1120</v>
      </c>
      <c r="C68" s="291"/>
      <c r="D68" s="291"/>
      <c r="E68" s="291"/>
      <c r="F68" s="291"/>
      <c r="G68" s="291"/>
      <c r="H68" s="291"/>
      <c r="I68" s="291"/>
      <c r="J68" s="299"/>
      <c r="K68" s="299"/>
      <c r="L68" s="299"/>
      <c r="M68" s="299"/>
      <c r="N68" s="299"/>
      <c r="O68" s="299"/>
      <c r="P68" s="299"/>
      <c r="Q68" s="299"/>
      <c r="R68" s="300"/>
    </row>
    <row r="69" spans="2:18" ht="26.25" customHeight="1" x14ac:dyDescent="0.25">
      <c r="B69" s="711" t="s">
        <v>1057</v>
      </c>
      <c r="C69" s="711"/>
      <c r="D69" s="711"/>
      <c r="E69" s="711"/>
      <c r="F69" s="711"/>
      <c r="G69" s="711"/>
      <c r="H69" s="711"/>
      <c r="I69" s="711"/>
      <c r="J69" s="729"/>
      <c r="K69" s="729"/>
      <c r="L69" s="729"/>
      <c r="M69" s="729" t="s">
        <v>1121</v>
      </c>
      <c r="N69" s="729"/>
      <c r="O69" s="729"/>
      <c r="P69" s="729"/>
      <c r="Q69" s="729"/>
      <c r="R69" s="729"/>
    </row>
    <row r="70" spans="2:18" ht="25.5" x14ac:dyDescent="0.25">
      <c r="B70" s="296" t="s">
        <v>90</v>
      </c>
      <c r="C70" s="717" t="s">
        <v>1059</v>
      </c>
      <c r="D70" s="719"/>
      <c r="E70" s="711" t="s">
        <v>1060</v>
      </c>
      <c r="F70" s="711"/>
      <c r="G70" s="711"/>
      <c r="H70" s="711" t="s">
        <v>1061</v>
      </c>
      <c r="I70" s="711"/>
      <c r="J70" s="711"/>
      <c r="K70" s="711"/>
      <c r="L70" s="711"/>
      <c r="M70" s="296" t="s">
        <v>1049</v>
      </c>
      <c r="N70" s="296" t="s">
        <v>1050</v>
      </c>
      <c r="O70" s="296" t="s">
        <v>1051</v>
      </c>
      <c r="P70" s="296" t="s">
        <v>1052</v>
      </c>
      <c r="Q70" s="296" t="s">
        <v>1053</v>
      </c>
      <c r="R70" s="296" t="s">
        <v>1054</v>
      </c>
    </row>
    <row r="71" spans="2:18" ht="53.25" customHeight="1" collapsed="1" x14ac:dyDescent="0.25">
      <c r="B71" s="295">
        <v>1</v>
      </c>
      <c r="C71" s="720" t="s">
        <v>1069</v>
      </c>
      <c r="D71" s="721"/>
      <c r="E71" s="716" t="s">
        <v>1070</v>
      </c>
      <c r="F71" s="716"/>
      <c r="G71" s="716"/>
      <c r="H71" s="698" t="s">
        <v>1073</v>
      </c>
      <c r="I71" s="699"/>
      <c r="J71" s="699"/>
      <c r="K71" s="699"/>
      <c r="L71" s="700"/>
      <c r="M71" s="295">
        <f t="shared" ref="M71:R71" ca="1" si="0">IF(D24="Да",SUMIF($H72:$L77,$H71,M72:M77),0)</f>
        <v>3</v>
      </c>
      <c r="N71" s="295">
        <f t="shared" si="0"/>
        <v>0</v>
      </c>
      <c r="O71" s="295">
        <f t="shared" si="0"/>
        <v>0</v>
      </c>
      <c r="P71" s="295">
        <f t="shared" ca="1" si="0"/>
        <v>3</v>
      </c>
      <c r="Q71" s="295">
        <f t="shared" si="0"/>
        <v>0</v>
      </c>
      <c r="R71" s="295">
        <f t="shared" si="0"/>
        <v>0</v>
      </c>
    </row>
    <row r="72" spans="2:18" ht="53.25" hidden="1" customHeight="1" outlineLevel="1" x14ac:dyDescent="0.25">
      <c r="B72" s="306" t="s">
        <v>40</v>
      </c>
      <c r="C72" s="306"/>
      <c r="D72" s="295"/>
      <c r="E72" s="309"/>
      <c r="F72" s="309"/>
      <c r="G72" s="309"/>
      <c r="H72" s="698" t="s">
        <v>1071</v>
      </c>
      <c r="I72" s="699"/>
      <c r="J72" s="699"/>
      <c r="K72" s="699"/>
      <c r="L72" s="700"/>
      <c r="M72" s="295">
        <v>1</v>
      </c>
      <c r="N72" s="295">
        <v>1</v>
      </c>
      <c r="O72" s="295">
        <v>1</v>
      </c>
      <c r="P72" s="295">
        <v>1</v>
      </c>
      <c r="Q72" s="295">
        <v>1</v>
      </c>
      <c r="R72" s="295">
        <v>1</v>
      </c>
    </row>
    <row r="73" spans="2:18" ht="53.25" hidden="1" customHeight="1" outlineLevel="1" x14ac:dyDescent="0.25">
      <c r="B73" s="306" t="s">
        <v>42</v>
      </c>
      <c r="C73" s="306"/>
      <c r="D73" s="295"/>
      <c r="E73" s="309"/>
      <c r="F73" s="309"/>
      <c r="G73" s="309"/>
      <c r="H73" s="698" t="s">
        <v>1072</v>
      </c>
      <c r="I73" s="699"/>
      <c r="J73" s="699"/>
      <c r="K73" s="699"/>
      <c r="L73" s="700"/>
      <c r="M73" s="295">
        <v>2</v>
      </c>
      <c r="N73" s="295">
        <v>1</v>
      </c>
      <c r="O73" s="295">
        <v>2</v>
      </c>
      <c r="P73" s="295">
        <v>1</v>
      </c>
      <c r="Q73" s="295">
        <v>2</v>
      </c>
      <c r="R73" s="295">
        <v>2</v>
      </c>
    </row>
    <row r="74" spans="2:18" ht="53.25" hidden="1" customHeight="1" outlineLevel="1" x14ac:dyDescent="0.25">
      <c r="B74" s="306" t="s">
        <v>44</v>
      </c>
      <c r="C74" s="306"/>
      <c r="D74" s="295"/>
      <c r="E74" s="309"/>
      <c r="F74" s="309"/>
      <c r="G74" s="309"/>
      <c r="H74" s="698" t="s">
        <v>1073</v>
      </c>
      <c r="I74" s="699"/>
      <c r="J74" s="699"/>
      <c r="K74" s="699"/>
      <c r="L74" s="700"/>
      <c r="M74" s="295">
        <v>3</v>
      </c>
      <c r="N74" s="295">
        <v>3</v>
      </c>
      <c r="O74" s="295">
        <v>3</v>
      </c>
      <c r="P74" s="295">
        <v>3</v>
      </c>
      <c r="Q74" s="295">
        <v>3</v>
      </c>
      <c r="R74" s="295">
        <v>3</v>
      </c>
    </row>
    <row r="75" spans="2:18" ht="53.25" hidden="1" customHeight="1" outlineLevel="1" x14ac:dyDescent="0.25">
      <c r="B75" s="306" t="s">
        <v>46</v>
      </c>
      <c r="C75" s="306"/>
      <c r="D75" s="295"/>
      <c r="E75" s="309"/>
      <c r="F75" s="309"/>
      <c r="G75" s="309"/>
      <c r="H75" s="698" t="s">
        <v>1074</v>
      </c>
      <c r="I75" s="699"/>
      <c r="J75" s="699"/>
      <c r="K75" s="699"/>
      <c r="L75" s="700"/>
      <c r="M75" s="295">
        <v>4</v>
      </c>
      <c r="N75" s="295">
        <v>3</v>
      </c>
      <c r="O75" s="295">
        <v>4</v>
      </c>
      <c r="P75" s="295">
        <v>3</v>
      </c>
      <c r="Q75" s="295">
        <v>4</v>
      </c>
      <c r="R75" s="295">
        <v>4</v>
      </c>
    </row>
    <row r="76" spans="2:18" ht="53.25" hidden="1" customHeight="1" outlineLevel="1" x14ac:dyDescent="0.25">
      <c r="B76" s="306" t="s">
        <v>1122</v>
      </c>
      <c r="C76" s="306"/>
      <c r="D76" s="295"/>
      <c r="E76" s="309"/>
      <c r="F76" s="309"/>
      <c r="G76" s="309"/>
      <c r="H76" s="698" t="s">
        <v>1076</v>
      </c>
      <c r="I76" s="699"/>
      <c r="J76" s="699"/>
      <c r="K76" s="699"/>
      <c r="L76" s="700"/>
      <c r="M76" s="295">
        <v>3</v>
      </c>
      <c r="N76" s="295">
        <v>2</v>
      </c>
      <c r="O76" s="295">
        <v>3</v>
      </c>
      <c r="P76" s="295">
        <v>2</v>
      </c>
      <c r="Q76" s="295">
        <v>3</v>
      </c>
      <c r="R76" s="295">
        <v>3</v>
      </c>
    </row>
    <row r="77" spans="2:18" ht="53.25" hidden="1" customHeight="1" outlineLevel="1" x14ac:dyDescent="0.25">
      <c r="B77" s="306" t="s">
        <v>1123</v>
      </c>
      <c r="C77" s="306"/>
      <c r="D77" s="295"/>
      <c r="E77" s="309"/>
      <c r="F77" s="309"/>
      <c r="G77" s="309"/>
      <c r="H77" s="698" t="s">
        <v>1078</v>
      </c>
      <c r="I77" s="699"/>
      <c r="J77" s="699"/>
      <c r="K77" s="699"/>
      <c r="L77" s="700"/>
      <c r="M77" s="295">
        <v>2</v>
      </c>
      <c r="N77" s="295">
        <v>2</v>
      </c>
      <c r="O77" s="295">
        <v>2</v>
      </c>
      <c r="P77" s="295">
        <v>2</v>
      </c>
      <c r="Q77" s="295">
        <v>3</v>
      </c>
      <c r="R77" s="295">
        <v>3</v>
      </c>
    </row>
    <row r="78" spans="2:18" ht="53.25" customHeight="1" collapsed="1" x14ac:dyDescent="0.25">
      <c r="B78" s="295">
        <v>2</v>
      </c>
      <c r="C78" s="720" t="s">
        <v>1124</v>
      </c>
      <c r="D78" s="721"/>
      <c r="E78" s="716" t="s">
        <v>1125</v>
      </c>
      <c r="F78" s="716"/>
      <c r="G78" s="716"/>
      <c r="H78" s="698" t="s">
        <v>1083</v>
      </c>
      <c r="I78" s="699"/>
      <c r="J78" s="699"/>
      <c r="K78" s="699"/>
      <c r="L78" s="700"/>
      <c r="M78" s="295">
        <f t="shared" ref="M78:R78" ca="1" si="1">IF(D24="Да",SUMIF($H79:$L85,$H78,M79:M85),0)</f>
        <v>2</v>
      </c>
      <c r="N78" s="295">
        <f t="shared" si="1"/>
        <v>0</v>
      </c>
      <c r="O78" s="295">
        <f t="shared" si="1"/>
        <v>0</v>
      </c>
      <c r="P78" s="295">
        <f t="shared" ca="1" si="1"/>
        <v>2</v>
      </c>
      <c r="Q78" s="295">
        <f t="shared" si="1"/>
        <v>0</v>
      </c>
      <c r="R78" s="295">
        <f t="shared" si="1"/>
        <v>0</v>
      </c>
    </row>
    <row r="79" spans="2:18" ht="53.25" hidden="1" customHeight="1" outlineLevel="1" x14ac:dyDescent="0.25">
      <c r="B79" s="306" t="s">
        <v>48</v>
      </c>
      <c r="C79" s="306"/>
      <c r="D79" s="295"/>
      <c r="E79" s="722" t="s">
        <v>1126</v>
      </c>
      <c r="F79" s="723"/>
      <c r="G79" s="309"/>
      <c r="H79" s="698" t="s">
        <v>1082</v>
      </c>
      <c r="I79" s="699"/>
      <c r="J79" s="699"/>
      <c r="K79" s="699"/>
      <c r="L79" s="700"/>
      <c r="M79" s="295">
        <v>1</v>
      </c>
      <c r="N79" s="295">
        <v>1</v>
      </c>
      <c r="O79" s="295">
        <v>1</v>
      </c>
      <c r="P79" s="295">
        <v>1</v>
      </c>
      <c r="Q79" s="295">
        <v>1</v>
      </c>
      <c r="R79" s="295">
        <v>1</v>
      </c>
    </row>
    <row r="80" spans="2:18" ht="53.25" hidden="1" customHeight="1" outlineLevel="1" x14ac:dyDescent="0.25">
      <c r="B80" s="306" t="s">
        <v>50</v>
      </c>
      <c r="C80" s="306"/>
      <c r="D80" s="295"/>
      <c r="E80" s="724"/>
      <c r="F80" s="725"/>
      <c r="G80" s="309"/>
      <c r="H80" s="698" t="s">
        <v>1083</v>
      </c>
      <c r="I80" s="699"/>
      <c r="J80" s="699"/>
      <c r="K80" s="699"/>
      <c r="L80" s="700"/>
      <c r="M80" s="295">
        <v>2</v>
      </c>
      <c r="N80" s="295">
        <v>2</v>
      </c>
      <c r="O80" s="295">
        <v>2</v>
      </c>
      <c r="P80" s="295">
        <v>2</v>
      </c>
      <c r="Q80" s="295">
        <v>2</v>
      </c>
      <c r="R80" s="295">
        <v>2</v>
      </c>
    </row>
    <row r="81" spans="2:18" ht="53.25" hidden="1" customHeight="1" outlineLevel="1" x14ac:dyDescent="0.25">
      <c r="B81" s="306" t="s">
        <v>52</v>
      </c>
      <c r="C81" s="306"/>
      <c r="D81" s="295"/>
      <c r="E81" s="724"/>
      <c r="F81" s="725"/>
      <c r="G81" s="309"/>
      <c r="H81" s="698" t="s">
        <v>1081</v>
      </c>
      <c r="I81" s="699"/>
      <c r="J81" s="699"/>
      <c r="K81" s="699"/>
      <c r="L81" s="700"/>
      <c r="M81" s="295">
        <v>3</v>
      </c>
      <c r="N81" s="295">
        <v>2</v>
      </c>
      <c r="O81" s="295">
        <v>3</v>
      </c>
      <c r="P81" s="295">
        <v>2</v>
      </c>
      <c r="Q81" s="295">
        <v>3</v>
      </c>
      <c r="R81" s="295">
        <v>3</v>
      </c>
    </row>
    <row r="82" spans="2:18" ht="53.25" hidden="1" customHeight="1" outlineLevel="1" x14ac:dyDescent="0.25">
      <c r="B82" s="306" t="s">
        <v>54</v>
      </c>
      <c r="C82" s="306"/>
      <c r="D82" s="295"/>
      <c r="E82" s="724"/>
      <c r="F82" s="725"/>
      <c r="G82" s="309"/>
      <c r="H82" s="698" t="s">
        <v>1084</v>
      </c>
      <c r="I82" s="699"/>
      <c r="J82" s="699"/>
      <c r="K82" s="699"/>
      <c r="L82" s="700"/>
      <c r="M82" s="295">
        <v>4</v>
      </c>
      <c r="N82" s="295">
        <v>3</v>
      </c>
      <c r="O82" s="295">
        <v>4</v>
      </c>
      <c r="P82" s="295">
        <v>3</v>
      </c>
      <c r="Q82" s="295">
        <v>4</v>
      </c>
      <c r="R82" s="295">
        <v>4</v>
      </c>
    </row>
    <row r="83" spans="2:18" ht="53.25" hidden="1" customHeight="1" outlineLevel="1" x14ac:dyDescent="0.25">
      <c r="B83" s="306" t="s">
        <v>1075</v>
      </c>
      <c r="C83" s="306"/>
      <c r="D83" s="295"/>
      <c r="E83" s="724"/>
      <c r="F83" s="725"/>
      <c r="G83" s="309"/>
      <c r="H83" s="698" t="s">
        <v>1085</v>
      </c>
      <c r="I83" s="699"/>
      <c r="J83" s="699"/>
      <c r="K83" s="699"/>
      <c r="L83" s="700"/>
      <c r="M83" s="295">
        <v>5</v>
      </c>
      <c r="N83" s="295">
        <v>3</v>
      </c>
      <c r="O83" s="295">
        <v>5</v>
      </c>
      <c r="P83" s="295">
        <v>3</v>
      </c>
      <c r="Q83" s="295">
        <v>5</v>
      </c>
      <c r="R83" s="295">
        <v>5</v>
      </c>
    </row>
    <row r="84" spans="2:18" ht="53.25" hidden="1" customHeight="1" outlineLevel="1" x14ac:dyDescent="0.25">
      <c r="B84" s="306" t="s">
        <v>1077</v>
      </c>
      <c r="C84" s="306"/>
      <c r="D84" s="295"/>
      <c r="E84" s="724"/>
      <c r="F84" s="725"/>
      <c r="G84" s="309"/>
      <c r="H84" s="698" t="s">
        <v>1086</v>
      </c>
      <c r="I84" s="699"/>
      <c r="J84" s="699"/>
      <c r="K84" s="699"/>
      <c r="L84" s="700"/>
      <c r="M84" s="295">
        <v>6</v>
      </c>
      <c r="N84" s="295">
        <v>4</v>
      </c>
      <c r="O84" s="295">
        <v>6</v>
      </c>
      <c r="P84" s="295">
        <v>4</v>
      </c>
      <c r="Q84" s="295">
        <v>6</v>
      </c>
      <c r="R84" s="295">
        <v>6</v>
      </c>
    </row>
    <row r="85" spans="2:18" ht="53.25" hidden="1" customHeight="1" outlineLevel="1" x14ac:dyDescent="0.25">
      <c r="B85" s="306" t="s">
        <v>1127</v>
      </c>
      <c r="C85" s="306"/>
      <c r="D85" s="295"/>
      <c r="E85" s="726"/>
      <c r="F85" s="727"/>
      <c r="G85" s="309"/>
      <c r="H85" s="698" t="s">
        <v>1087</v>
      </c>
      <c r="I85" s="699"/>
      <c r="J85" s="699"/>
      <c r="K85" s="699"/>
      <c r="L85" s="700"/>
      <c r="M85" s="295">
        <v>7</v>
      </c>
      <c r="N85" s="295">
        <v>5</v>
      </c>
      <c r="O85" s="295">
        <v>7</v>
      </c>
      <c r="P85" s="295">
        <v>5</v>
      </c>
      <c r="Q85" s="295">
        <v>7</v>
      </c>
      <c r="R85" s="295">
        <v>7</v>
      </c>
    </row>
    <row r="86" spans="2:18" ht="53.25" customHeight="1" collapsed="1" x14ac:dyDescent="0.25">
      <c r="B86" s="295">
        <v>3</v>
      </c>
      <c r="C86" s="720" t="s">
        <v>1128</v>
      </c>
      <c r="D86" s="721"/>
      <c r="E86" s="716" t="s">
        <v>1129</v>
      </c>
      <c r="F86" s="716"/>
      <c r="G86" s="716"/>
      <c r="H86" s="698" t="s">
        <v>1132</v>
      </c>
      <c r="I86" s="699"/>
      <c r="J86" s="699"/>
      <c r="K86" s="699"/>
      <c r="L86" s="700"/>
      <c r="M86" s="295">
        <f t="shared" ref="M86:R86" ca="1" si="2">IF(D24="Да",SUMIF($H87:$L90,$H86,M87:M90),0)</f>
        <v>3</v>
      </c>
      <c r="N86" s="295">
        <f t="shared" si="2"/>
        <v>0</v>
      </c>
      <c r="O86" s="295">
        <f t="shared" si="2"/>
        <v>0</v>
      </c>
      <c r="P86" s="295">
        <f t="shared" ca="1" si="2"/>
        <v>3</v>
      </c>
      <c r="Q86" s="295">
        <f t="shared" si="2"/>
        <v>0</v>
      </c>
      <c r="R86" s="295">
        <f t="shared" si="2"/>
        <v>0</v>
      </c>
    </row>
    <row r="87" spans="2:18" ht="53.25" hidden="1" customHeight="1" outlineLevel="1" x14ac:dyDescent="0.25">
      <c r="B87" s="306" t="s">
        <v>55</v>
      </c>
      <c r="C87" s="306"/>
      <c r="D87" s="295"/>
      <c r="E87" s="309"/>
      <c r="F87" s="309"/>
      <c r="G87" s="309"/>
      <c r="H87" s="698" t="s">
        <v>1131</v>
      </c>
      <c r="I87" s="699"/>
      <c r="J87" s="699"/>
      <c r="K87" s="699"/>
      <c r="L87" s="700"/>
      <c r="M87" s="295">
        <v>1</v>
      </c>
      <c r="N87" s="295">
        <v>1</v>
      </c>
      <c r="O87" s="295">
        <v>1</v>
      </c>
      <c r="P87" s="295">
        <v>1</v>
      </c>
      <c r="Q87" s="295">
        <v>1</v>
      </c>
      <c r="R87" s="295">
        <v>1</v>
      </c>
    </row>
    <row r="88" spans="2:18" ht="53.25" hidden="1" customHeight="1" outlineLevel="1" x14ac:dyDescent="0.25">
      <c r="B88" s="306" t="s">
        <v>57</v>
      </c>
      <c r="C88" s="306"/>
      <c r="D88" s="295"/>
      <c r="E88" s="309"/>
      <c r="F88" s="309"/>
      <c r="G88" s="309"/>
      <c r="H88" s="698" t="s">
        <v>1132</v>
      </c>
      <c r="I88" s="699"/>
      <c r="J88" s="699"/>
      <c r="K88" s="699"/>
      <c r="L88" s="700"/>
      <c r="M88" s="295">
        <v>3</v>
      </c>
      <c r="N88" s="295">
        <v>2</v>
      </c>
      <c r="O88" s="295">
        <v>3</v>
      </c>
      <c r="P88" s="295">
        <v>3</v>
      </c>
      <c r="Q88" s="295">
        <v>3</v>
      </c>
      <c r="R88" s="295">
        <v>3</v>
      </c>
    </row>
    <row r="89" spans="2:18" ht="53.25" hidden="1" customHeight="1" outlineLevel="1" x14ac:dyDescent="0.25">
      <c r="B89" s="306" t="s">
        <v>59</v>
      </c>
      <c r="C89" s="306"/>
      <c r="D89" s="295"/>
      <c r="E89" s="309"/>
      <c r="F89" s="309"/>
      <c r="G89" s="309"/>
      <c r="H89" s="698" t="s">
        <v>1130</v>
      </c>
      <c r="I89" s="699"/>
      <c r="J89" s="699"/>
      <c r="K89" s="699"/>
      <c r="L89" s="700"/>
      <c r="M89" s="295">
        <v>6</v>
      </c>
      <c r="N89" s="295">
        <v>2</v>
      </c>
      <c r="O89" s="295">
        <v>6</v>
      </c>
      <c r="P89" s="295">
        <v>5</v>
      </c>
      <c r="Q89" s="295">
        <v>6</v>
      </c>
      <c r="R89" s="295">
        <v>6</v>
      </c>
    </row>
    <row r="90" spans="2:18" ht="53.25" hidden="1" customHeight="1" outlineLevel="1" x14ac:dyDescent="0.25">
      <c r="B90" s="306" t="s">
        <v>61</v>
      </c>
      <c r="C90" s="306"/>
      <c r="D90" s="295"/>
      <c r="E90" s="309"/>
      <c r="F90" s="309"/>
      <c r="G90" s="309"/>
      <c r="H90" s="698" t="s">
        <v>1133</v>
      </c>
      <c r="I90" s="699"/>
      <c r="J90" s="699"/>
      <c r="K90" s="699"/>
      <c r="L90" s="700"/>
      <c r="M90" s="295">
        <v>9</v>
      </c>
      <c r="N90" s="295">
        <v>3</v>
      </c>
      <c r="O90" s="295">
        <v>9</v>
      </c>
      <c r="P90" s="295">
        <v>8</v>
      </c>
      <c r="Q90" s="295">
        <v>9</v>
      </c>
      <c r="R90" s="295">
        <v>9</v>
      </c>
    </row>
    <row r="91" spans="2:18" ht="53.25" customHeight="1" collapsed="1" x14ac:dyDescent="0.25">
      <c r="B91" s="295">
        <v>4</v>
      </c>
      <c r="C91" s="720" t="s">
        <v>1134</v>
      </c>
      <c r="D91" s="721"/>
      <c r="E91" s="716" t="s">
        <v>1135</v>
      </c>
      <c r="F91" s="716"/>
      <c r="G91" s="716"/>
      <c r="H91" s="698" t="s">
        <v>1139</v>
      </c>
      <c r="I91" s="699"/>
      <c r="J91" s="699"/>
      <c r="K91" s="699"/>
      <c r="L91" s="700"/>
      <c r="M91" s="295">
        <f t="shared" ref="M91:R91" ca="1" si="3">IF(D24="Да",SUMIF($H92:$L98,$H91,M92:M98),0)</f>
        <v>3</v>
      </c>
      <c r="N91" s="295">
        <f t="shared" si="3"/>
        <v>0</v>
      </c>
      <c r="O91" s="295">
        <f t="shared" si="3"/>
        <v>0</v>
      </c>
      <c r="P91" s="295">
        <f t="shared" ca="1" si="3"/>
        <v>3</v>
      </c>
      <c r="Q91" s="295">
        <f t="shared" si="3"/>
        <v>0</v>
      </c>
      <c r="R91" s="295">
        <f t="shared" si="3"/>
        <v>0</v>
      </c>
    </row>
    <row r="92" spans="2:18" ht="53.25" hidden="1" customHeight="1" outlineLevel="1" x14ac:dyDescent="0.25">
      <c r="B92" s="306">
        <v>7.22</v>
      </c>
      <c r="C92" s="306"/>
      <c r="D92" s="295"/>
      <c r="E92" s="309"/>
      <c r="F92" s="309"/>
      <c r="G92" s="309"/>
      <c r="H92" s="698" t="s">
        <v>1137</v>
      </c>
      <c r="I92" s="699"/>
      <c r="J92" s="699"/>
      <c r="K92" s="699"/>
      <c r="L92" s="700"/>
      <c r="M92" s="295">
        <v>1</v>
      </c>
      <c r="N92" s="295">
        <v>1</v>
      </c>
      <c r="O92" s="295">
        <v>1</v>
      </c>
      <c r="P92" s="295">
        <v>1</v>
      </c>
      <c r="Q92" s="295">
        <v>1</v>
      </c>
      <c r="R92" s="295">
        <v>1</v>
      </c>
    </row>
    <row r="93" spans="2:18" ht="53.25" hidden="1" customHeight="1" outlineLevel="1" x14ac:dyDescent="0.25">
      <c r="B93" s="306" t="s">
        <v>1138</v>
      </c>
      <c r="C93" s="306"/>
      <c r="D93" s="295"/>
      <c r="E93" s="309"/>
      <c r="F93" s="309"/>
      <c r="G93" s="309"/>
      <c r="H93" s="698" t="s">
        <v>1139</v>
      </c>
      <c r="I93" s="699"/>
      <c r="J93" s="699"/>
      <c r="K93" s="699"/>
      <c r="L93" s="700"/>
      <c r="M93" s="295">
        <v>3</v>
      </c>
      <c r="N93" s="295">
        <v>2</v>
      </c>
      <c r="O93" s="295">
        <v>3</v>
      </c>
      <c r="P93" s="295">
        <v>3</v>
      </c>
      <c r="Q93" s="295">
        <v>3</v>
      </c>
      <c r="R93" s="295">
        <v>3</v>
      </c>
    </row>
    <row r="94" spans="2:18" ht="53.25" hidden="1" customHeight="1" outlineLevel="1" x14ac:dyDescent="0.25">
      <c r="B94" s="306" t="s">
        <v>1140</v>
      </c>
      <c r="C94" s="306"/>
      <c r="D94" s="295"/>
      <c r="E94" s="309"/>
      <c r="F94" s="309"/>
      <c r="G94" s="309"/>
      <c r="H94" s="698" t="s">
        <v>1136</v>
      </c>
      <c r="I94" s="699"/>
      <c r="J94" s="699"/>
      <c r="K94" s="699"/>
      <c r="L94" s="700"/>
      <c r="M94" s="295">
        <v>5</v>
      </c>
      <c r="N94" s="295">
        <v>2</v>
      </c>
      <c r="O94" s="295">
        <v>5</v>
      </c>
      <c r="P94" s="295">
        <v>5</v>
      </c>
      <c r="Q94" s="295">
        <v>5</v>
      </c>
      <c r="R94" s="295">
        <v>5</v>
      </c>
    </row>
    <row r="95" spans="2:18" ht="53.25" hidden="1" customHeight="1" outlineLevel="1" x14ac:dyDescent="0.25">
      <c r="B95" s="306" t="s">
        <v>1141</v>
      </c>
      <c r="C95" s="306"/>
      <c r="D95" s="295"/>
      <c r="E95" s="309"/>
      <c r="F95" s="309"/>
      <c r="G95" s="309"/>
      <c r="H95" s="698" t="s">
        <v>1142</v>
      </c>
      <c r="I95" s="699"/>
      <c r="J95" s="699"/>
      <c r="K95" s="699"/>
      <c r="L95" s="700"/>
      <c r="M95" s="295">
        <v>6</v>
      </c>
      <c r="N95" s="295">
        <v>3</v>
      </c>
      <c r="O95" s="295">
        <v>7</v>
      </c>
      <c r="P95" s="295">
        <v>7</v>
      </c>
      <c r="Q95" s="295">
        <v>7</v>
      </c>
      <c r="R95" s="295">
        <v>7</v>
      </c>
    </row>
    <row r="96" spans="2:18" ht="53.25" hidden="1" customHeight="1" outlineLevel="1" x14ac:dyDescent="0.25">
      <c r="B96" s="306" t="s">
        <v>1143</v>
      </c>
      <c r="C96" s="306"/>
      <c r="D96" s="295"/>
      <c r="E96" s="309"/>
      <c r="F96" s="309"/>
      <c r="G96" s="309"/>
      <c r="H96" s="698" t="s">
        <v>1144</v>
      </c>
      <c r="I96" s="699"/>
      <c r="J96" s="699"/>
      <c r="K96" s="699"/>
      <c r="L96" s="700"/>
      <c r="M96" s="295">
        <v>8</v>
      </c>
      <c r="N96" s="295">
        <v>4</v>
      </c>
      <c r="O96" s="295">
        <v>10</v>
      </c>
      <c r="P96" s="295">
        <v>9</v>
      </c>
      <c r="Q96" s="295">
        <v>11</v>
      </c>
      <c r="R96" s="295">
        <v>11</v>
      </c>
    </row>
    <row r="97" spans="2:18" ht="53.25" hidden="1" customHeight="1" outlineLevel="1" x14ac:dyDescent="0.25">
      <c r="B97" s="306" t="s">
        <v>1145</v>
      </c>
      <c r="C97" s="306"/>
      <c r="D97" s="295"/>
      <c r="E97" s="309"/>
      <c r="F97" s="309"/>
      <c r="G97" s="309"/>
      <c r="H97" s="698" t="s">
        <v>1146</v>
      </c>
      <c r="I97" s="699"/>
      <c r="J97" s="699"/>
      <c r="K97" s="699"/>
      <c r="L97" s="700"/>
      <c r="M97" s="295">
        <v>9</v>
      </c>
      <c r="N97" s="295">
        <v>4</v>
      </c>
      <c r="O97" s="295">
        <v>11</v>
      </c>
      <c r="P97" s="295">
        <v>10</v>
      </c>
      <c r="Q97" s="295">
        <v>13</v>
      </c>
      <c r="R97" s="295">
        <v>13</v>
      </c>
    </row>
    <row r="98" spans="2:18" ht="53.25" hidden="1" customHeight="1" outlineLevel="1" x14ac:dyDescent="0.25">
      <c r="B98" s="306" t="s">
        <v>1147</v>
      </c>
      <c r="C98" s="306"/>
      <c r="D98" s="295"/>
      <c r="E98" s="309"/>
      <c r="F98" s="309"/>
      <c r="G98" s="309"/>
      <c r="H98" s="698" t="s">
        <v>1148</v>
      </c>
      <c r="I98" s="699"/>
      <c r="J98" s="699"/>
      <c r="K98" s="699"/>
      <c r="L98" s="700"/>
      <c r="M98" s="295">
        <v>10</v>
      </c>
      <c r="N98" s="295">
        <v>5</v>
      </c>
      <c r="O98" s="295">
        <v>12</v>
      </c>
      <c r="P98" s="295">
        <v>11</v>
      </c>
      <c r="Q98" s="295">
        <v>14</v>
      </c>
      <c r="R98" s="295">
        <v>14</v>
      </c>
    </row>
    <row r="99" spans="2:18" ht="53.25" customHeight="1" collapsed="1" x14ac:dyDescent="0.25">
      <c r="B99" s="295">
        <v>5</v>
      </c>
      <c r="C99" s="720" t="s">
        <v>1149</v>
      </c>
      <c r="D99" s="721"/>
      <c r="E99" s="716" t="s">
        <v>1150</v>
      </c>
      <c r="F99" s="716"/>
      <c r="G99" s="716"/>
      <c r="H99" s="698" t="s">
        <v>1151</v>
      </c>
      <c r="I99" s="699"/>
      <c r="J99" s="699"/>
      <c r="K99" s="699"/>
      <c r="L99" s="700"/>
      <c r="M99" s="295">
        <f t="shared" ref="M99:R99" ca="1" si="4">IF(D24="Да",SUMIF($H100:$L104,$H99,M100:M104),0)</f>
        <v>5</v>
      </c>
      <c r="N99" s="295">
        <f t="shared" si="4"/>
        <v>0</v>
      </c>
      <c r="O99" s="295">
        <f t="shared" si="4"/>
        <v>0</v>
      </c>
      <c r="P99" s="295">
        <f t="shared" ca="1" si="4"/>
        <v>7</v>
      </c>
      <c r="Q99" s="295">
        <f t="shared" si="4"/>
        <v>0</v>
      </c>
      <c r="R99" s="295">
        <f t="shared" si="4"/>
        <v>0</v>
      </c>
    </row>
    <row r="100" spans="2:18" ht="53.25" hidden="1" customHeight="1" outlineLevel="1" x14ac:dyDescent="0.25">
      <c r="B100" s="306" t="s">
        <v>1152</v>
      </c>
      <c r="C100" s="306"/>
      <c r="D100" s="295"/>
      <c r="E100" s="309"/>
      <c r="F100" s="309"/>
      <c r="G100" s="309"/>
      <c r="H100" s="698" t="s">
        <v>1153</v>
      </c>
      <c r="I100" s="699"/>
      <c r="J100" s="699"/>
      <c r="K100" s="699"/>
      <c r="L100" s="700"/>
      <c r="M100" s="295">
        <v>1</v>
      </c>
      <c r="N100" s="295">
        <v>1</v>
      </c>
      <c r="O100" s="295">
        <v>1</v>
      </c>
      <c r="P100" s="295">
        <v>1</v>
      </c>
      <c r="Q100" s="295">
        <v>1</v>
      </c>
      <c r="R100" s="295">
        <v>1</v>
      </c>
    </row>
    <row r="101" spans="2:18" ht="53.25" hidden="1" customHeight="1" outlineLevel="1" x14ac:dyDescent="0.25">
      <c r="B101" s="306" t="s">
        <v>1154</v>
      </c>
      <c r="C101" s="306"/>
      <c r="D101" s="295"/>
      <c r="E101" s="309"/>
      <c r="F101" s="309"/>
      <c r="G101" s="309"/>
      <c r="H101" s="698" t="s">
        <v>1155</v>
      </c>
      <c r="I101" s="699"/>
      <c r="J101" s="699"/>
      <c r="K101" s="699"/>
      <c r="L101" s="700"/>
      <c r="M101" s="295">
        <v>1</v>
      </c>
      <c r="N101" s="295">
        <v>1</v>
      </c>
      <c r="O101" s="295">
        <v>2</v>
      </c>
      <c r="P101" s="295">
        <v>1</v>
      </c>
      <c r="Q101" s="295">
        <v>2</v>
      </c>
      <c r="R101" s="295">
        <v>2</v>
      </c>
    </row>
    <row r="102" spans="2:18" ht="53.25" hidden="1" customHeight="1" outlineLevel="1" x14ac:dyDescent="0.25">
      <c r="B102" s="306" t="s">
        <v>1156</v>
      </c>
      <c r="C102" s="306"/>
      <c r="D102" s="295"/>
      <c r="E102" s="309"/>
      <c r="F102" s="309"/>
      <c r="G102" s="309"/>
      <c r="H102" s="698" t="s">
        <v>1157</v>
      </c>
      <c r="I102" s="699"/>
      <c r="J102" s="699"/>
      <c r="K102" s="699"/>
      <c r="L102" s="700"/>
      <c r="M102" s="295">
        <v>2</v>
      </c>
      <c r="N102" s="295">
        <v>2</v>
      </c>
      <c r="O102" s="295">
        <v>2</v>
      </c>
      <c r="P102" s="295">
        <v>2</v>
      </c>
      <c r="Q102" s="295">
        <v>3</v>
      </c>
      <c r="R102" s="295">
        <v>3</v>
      </c>
    </row>
    <row r="103" spans="2:18" ht="53.25" hidden="1" customHeight="1" outlineLevel="1" x14ac:dyDescent="0.25">
      <c r="B103" s="306" t="s">
        <v>1158</v>
      </c>
      <c r="C103" s="306"/>
      <c r="D103" s="295"/>
      <c r="E103" s="309"/>
      <c r="F103" s="309"/>
      <c r="G103" s="309"/>
      <c r="H103" s="698" t="s">
        <v>1159</v>
      </c>
      <c r="I103" s="699"/>
      <c r="J103" s="699"/>
      <c r="K103" s="699"/>
      <c r="L103" s="700"/>
      <c r="M103" s="295">
        <v>3</v>
      </c>
      <c r="N103" s="295">
        <v>2</v>
      </c>
      <c r="O103" s="295">
        <v>3</v>
      </c>
      <c r="P103" s="295">
        <v>4</v>
      </c>
      <c r="Q103" s="295">
        <v>4</v>
      </c>
      <c r="R103" s="295">
        <v>4</v>
      </c>
    </row>
    <row r="104" spans="2:18" ht="53.25" hidden="1" customHeight="1" outlineLevel="1" x14ac:dyDescent="0.25">
      <c r="B104" s="306" t="s">
        <v>1160</v>
      </c>
      <c r="C104" s="306"/>
      <c r="D104" s="295"/>
      <c r="E104" s="309"/>
      <c r="F104" s="309"/>
      <c r="G104" s="309"/>
      <c r="H104" s="698" t="s">
        <v>1151</v>
      </c>
      <c r="I104" s="699"/>
      <c r="J104" s="699"/>
      <c r="K104" s="699"/>
      <c r="L104" s="700"/>
      <c r="M104" s="295">
        <v>5</v>
      </c>
      <c r="N104" s="295">
        <v>3</v>
      </c>
      <c r="O104" s="295">
        <v>5</v>
      </c>
      <c r="P104" s="295">
        <v>7</v>
      </c>
      <c r="Q104" s="295">
        <v>7</v>
      </c>
      <c r="R104" s="295">
        <v>7</v>
      </c>
    </row>
    <row r="105" spans="2:18" ht="53.25" customHeight="1" collapsed="1" x14ac:dyDescent="0.25">
      <c r="B105" s="295">
        <v>6</v>
      </c>
      <c r="C105" s="720" t="s">
        <v>1161</v>
      </c>
      <c r="D105" s="721"/>
      <c r="E105" s="716" t="s">
        <v>1162</v>
      </c>
      <c r="F105" s="716"/>
      <c r="G105" s="716"/>
      <c r="H105" s="698" t="s">
        <v>1099</v>
      </c>
      <c r="I105" s="699"/>
      <c r="J105" s="699"/>
      <c r="K105" s="699"/>
      <c r="L105" s="700"/>
      <c r="M105" s="295">
        <f t="shared" ref="M105:R105" ca="1" si="5">IF(D24="Да",SUMIF($H106:$L119,$H105,M106:M119),0)</f>
        <v>3</v>
      </c>
      <c r="N105" s="295">
        <f t="shared" si="5"/>
        <v>0</v>
      </c>
      <c r="O105" s="295">
        <f t="shared" si="5"/>
        <v>0</v>
      </c>
      <c r="P105" s="295">
        <f t="shared" ca="1" si="5"/>
        <v>4</v>
      </c>
      <c r="Q105" s="295">
        <f t="shared" si="5"/>
        <v>0</v>
      </c>
      <c r="R105" s="295">
        <f t="shared" si="5"/>
        <v>0</v>
      </c>
    </row>
    <row r="106" spans="2:18" ht="53.25" hidden="1" customHeight="1" outlineLevel="1" x14ac:dyDescent="0.25">
      <c r="B106" s="306" t="s">
        <v>1163</v>
      </c>
      <c r="C106" s="306"/>
      <c r="D106" s="295"/>
      <c r="E106" s="309"/>
      <c r="F106" s="309"/>
      <c r="G106" s="309"/>
      <c r="H106" s="698" t="s">
        <v>1093</v>
      </c>
      <c r="I106" s="699"/>
      <c r="J106" s="699"/>
      <c r="K106" s="699"/>
      <c r="L106" s="700"/>
      <c r="M106" s="295">
        <v>1</v>
      </c>
      <c r="N106" s="295">
        <v>1</v>
      </c>
      <c r="O106" s="295">
        <v>1</v>
      </c>
      <c r="P106" s="295">
        <v>1</v>
      </c>
      <c r="Q106" s="295">
        <v>1</v>
      </c>
      <c r="R106" s="295">
        <v>1</v>
      </c>
    </row>
    <row r="107" spans="2:18" ht="53.25" hidden="1" customHeight="1" outlineLevel="1" x14ac:dyDescent="0.25">
      <c r="B107" s="306" t="s">
        <v>1164</v>
      </c>
      <c r="C107" s="306"/>
      <c r="D107" s="295"/>
      <c r="E107" s="309"/>
      <c r="F107" s="309"/>
      <c r="G107" s="309"/>
      <c r="H107" s="698" t="s">
        <v>1095</v>
      </c>
      <c r="I107" s="699"/>
      <c r="J107" s="699"/>
      <c r="K107" s="699"/>
      <c r="L107" s="700"/>
      <c r="M107" s="295">
        <v>2</v>
      </c>
      <c r="N107" s="295">
        <v>1</v>
      </c>
      <c r="O107" s="295">
        <v>2</v>
      </c>
      <c r="P107" s="295">
        <v>2</v>
      </c>
      <c r="Q107" s="295">
        <v>2</v>
      </c>
      <c r="R107" s="295">
        <v>2</v>
      </c>
    </row>
    <row r="108" spans="2:18" ht="53.25" hidden="1" customHeight="1" outlineLevel="1" x14ac:dyDescent="0.25">
      <c r="B108" s="306" t="s">
        <v>1165</v>
      </c>
      <c r="C108" s="306"/>
      <c r="D108" s="295"/>
      <c r="E108" s="309"/>
      <c r="F108" s="309"/>
      <c r="G108" s="309"/>
      <c r="H108" s="698" t="s">
        <v>1097</v>
      </c>
      <c r="I108" s="699"/>
      <c r="J108" s="699"/>
      <c r="K108" s="699"/>
      <c r="L108" s="700"/>
      <c r="M108" s="295">
        <v>2</v>
      </c>
      <c r="N108" s="295">
        <v>2</v>
      </c>
      <c r="O108" s="295">
        <v>3</v>
      </c>
      <c r="P108" s="295">
        <v>3</v>
      </c>
      <c r="Q108" s="295">
        <v>3</v>
      </c>
      <c r="R108" s="295">
        <v>3</v>
      </c>
    </row>
    <row r="109" spans="2:18" ht="53.25" hidden="1" customHeight="1" outlineLevel="1" x14ac:dyDescent="0.25">
      <c r="B109" s="306" t="s">
        <v>1166</v>
      </c>
      <c r="C109" s="306"/>
      <c r="D109" s="295"/>
      <c r="E109" s="309"/>
      <c r="F109" s="309"/>
      <c r="G109" s="309"/>
      <c r="H109" s="698" t="s">
        <v>1099</v>
      </c>
      <c r="I109" s="699"/>
      <c r="J109" s="699"/>
      <c r="K109" s="699"/>
      <c r="L109" s="700"/>
      <c r="M109" s="295">
        <v>3</v>
      </c>
      <c r="N109" s="295">
        <v>2</v>
      </c>
      <c r="O109" s="295">
        <v>4</v>
      </c>
      <c r="P109" s="295">
        <v>4</v>
      </c>
      <c r="Q109" s="295">
        <v>4</v>
      </c>
      <c r="R109" s="295">
        <v>4</v>
      </c>
    </row>
    <row r="110" spans="2:18" ht="53.25" hidden="1" customHeight="1" outlineLevel="1" x14ac:dyDescent="0.25">
      <c r="B110" s="306" t="s">
        <v>1167</v>
      </c>
      <c r="C110" s="306"/>
      <c r="D110" s="295"/>
      <c r="E110" s="309"/>
      <c r="F110" s="309"/>
      <c r="G110" s="309"/>
      <c r="H110" s="698" t="s">
        <v>1101</v>
      </c>
      <c r="I110" s="699"/>
      <c r="J110" s="699"/>
      <c r="K110" s="699"/>
      <c r="L110" s="700"/>
      <c r="M110" s="295">
        <v>3</v>
      </c>
      <c r="N110" s="295">
        <v>3</v>
      </c>
      <c r="O110" s="295">
        <v>5</v>
      </c>
      <c r="P110" s="295">
        <v>5</v>
      </c>
      <c r="Q110" s="295">
        <v>5</v>
      </c>
      <c r="R110" s="295">
        <v>5</v>
      </c>
    </row>
    <row r="111" spans="2:18" ht="53.25" hidden="1" customHeight="1" outlineLevel="1" x14ac:dyDescent="0.25">
      <c r="B111" s="306" t="s">
        <v>1168</v>
      </c>
      <c r="C111" s="306"/>
      <c r="D111" s="295"/>
      <c r="E111" s="309"/>
      <c r="F111" s="309"/>
      <c r="G111" s="309"/>
      <c r="H111" s="698" t="s">
        <v>1103</v>
      </c>
      <c r="I111" s="699"/>
      <c r="J111" s="699"/>
      <c r="K111" s="699"/>
      <c r="L111" s="700"/>
      <c r="M111" s="295">
        <v>4</v>
      </c>
      <c r="N111" s="295">
        <v>3</v>
      </c>
      <c r="O111" s="295">
        <v>6</v>
      </c>
      <c r="P111" s="295">
        <v>6</v>
      </c>
      <c r="Q111" s="295">
        <v>6</v>
      </c>
      <c r="R111" s="295">
        <v>6</v>
      </c>
    </row>
    <row r="112" spans="2:18" ht="53.25" hidden="1" customHeight="1" outlineLevel="1" x14ac:dyDescent="0.25">
      <c r="B112" s="306" t="s">
        <v>1169</v>
      </c>
      <c r="C112" s="306"/>
      <c r="D112" s="295"/>
      <c r="E112" s="309"/>
      <c r="F112" s="309"/>
      <c r="G112" s="309"/>
      <c r="H112" s="698" t="s">
        <v>1105</v>
      </c>
      <c r="I112" s="699"/>
      <c r="J112" s="699"/>
      <c r="K112" s="699"/>
      <c r="L112" s="700"/>
      <c r="M112" s="295">
        <v>4</v>
      </c>
      <c r="N112" s="295">
        <v>4</v>
      </c>
      <c r="O112" s="295">
        <v>7</v>
      </c>
      <c r="P112" s="295">
        <v>7</v>
      </c>
      <c r="Q112" s="295">
        <v>7</v>
      </c>
      <c r="R112" s="295">
        <v>7</v>
      </c>
    </row>
    <row r="113" spans="2:18" ht="53.25" hidden="1" customHeight="1" outlineLevel="1" x14ac:dyDescent="0.25">
      <c r="B113" s="306" t="s">
        <v>1170</v>
      </c>
      <c r="C113" s="306"/>
      <c r="D113" s="295"/>
      <c r="E113" s="309"/>
      <c r="F113" s="309"/>
      <c r="G113" s="309"/>
      <c r="H113" s="698" t="s">
        <v>1091</v>
      </c>
      <c r="I113" s="699"/>
      <c r="J113" s="699"/>
      <c r="K113" s="699"/>
      <c r="L113" s="700"/>
      <c r="M113" s="295">
        <v>5</v>
      </c>
      <c r="N113" s="295">
        <v>4</v>
      </c>
      <c r="O113" s="295">
        <v>8</v>
      </c>
      <c r="P113" s="295">
        <v>8</v>
      </c>
      <c r="Q113" s="295">
        <v>8</v>
      </c>
      <c r="R113" s="295">
        <v>8</v>
      </c>
    </row>
    <row r="114" spans="2:18" ht="53.25" hidden="1" customHeight="1" outlineLevel="1" x14ac:dyDescent="0.25">
      <c r="B114" s="306" t="s">
        <v>1171</v>
      </c>
      <c r="C114" s="306"/>
      <c r="D114" s="295"/>
      <c r="E114" s="309"/>
      <c r="F114" s="309"/>
      <c r="G114" s="309"/>
      <c r="H114" s="698" t="s">
        <v>1108</v>
      </c>
      <c r="I114" s="699"/>
      <c r="J114" s="699"/>
      <c r="K114" s="699"/>
      <c r="L114" s="700"/>
      <c r="M114" s="295">
        <v>5</v>
      </c>
      <c r="N114" s="295">
        <v>5</v>
      </c>
      <c r="O114" s="295">
        <v>9</v>
      </c>
      <c r="P114" s="295">
        <v>9</v>
      </c>
      <c r="Q114" s="295">
        <v>9</v>
      </c>
      <c r="R114" s="295">
        <v>9</v>
      </c>
    </row>
    <row r="115" spans="2:18" ht="53.25" hidden="1" customHeight="1" outlineLevel="1" x14ac:dyDescent="0.25">
      <c r="B115" s="306" t="s">
        <v>1172</v>
      </c>
      <c r="C115" s="306"/>
      <c r="D115" s="295"/>
      <c r="E115" s="309"/>
      <c r="F115" s="309"/>
      <c r="G115" s="309"/>
      <c r="H115" s="698" t="s">
        <v>1110</v>
      </c>
      <c r="I115" s="699"/>
      <c r="J115" s="699"/>
      <c r="K115" s="699"/>
      <c r="L115" s="700"/>
      <c r="M115" s="295">
        <v>6</v>
      </c>
      <c r="N115" s="295">
        <v>5</v>
      </c>
      <c r="O115" s="295">
        <v>10</v>
      </c>
      <c r="P115" s="295">
        <v>10</v>
      </c>
      <c r="Q115" s="295">
        <v>10</v>
      </c>
      <c r="R115" s="295">
        <v>10</v>
      </c>
    </row>
    <row r="116" spans="2:18" ht="53.25" hidden="1" customHeight="1" outlineLevel="1" x14ac:dyDescent="0.25">
      <c r="B116" s="306" t="s">
        <v>1173</v>
      </c>
      <c r="C116" s="306"/>
      <c r="D116" s="295"/>
      <c r="E116" s="309"/>
      <c r="F116" s="309"/>
      <c r="G116" s="309"/>
      <c r="H116" s="698" t="s">
        <v>1112</v>
      </c>
      <c r="I116" s="699"/>
      <c r="J116" s="699"/>
      <c r="K116" s="699"/>
      <c r="L116" s="700"/>
      <c r="M116" s="295">
        <v>7</v>
      </c>
      <c r="N116" s="295">
        <v>6</v>
      </c>
      <c r="O116" s="295">
        <v>11</v>
      </c>
      <c r="P116" s="295">
        <v>11</v>
      </c>
      <c r="Q116" s="295">
        <v>11</v>
      </c>
      <c r="R116" s="295">
        <v>11</v>
      </c>
    </row>
    <row r="117" spans="2:18" ht="53.25" hidden="1" customHeight="1" outlineLevel="1" x14ac:dyDescent="0.25">
      <c r="B117" s="306" t="s">
        <v>1174</v>
      </c>
      <c r="C117" s="306"/>
      <c r="D117" s="295"/>
      <c r="E117" s="309"/>
      <c r="F117" s="309"/>
      <c r="G117" s="309"/>
      <c r="H117" s="698" t="s">
        <v>1114</v>
      </c>
      <c r="I117" s="699"/>
      <c r="J117" s="699"/>
      <c r="K117" s="699"/>
      <c r="L117" s="700"/>
      <c r="M117" s="295">
        <v>8</v>
      </c>
      <c r="N117" s="295">
        <v>6</v>
      </c>
      <c r="O117" s="295">
        <v>12</v>
      </c>
      <c r="P117" s="295">
        <v>12</v>
      </c>
      <c r="Q117" s="295">
        <v>12</v>
      </c>
      <c r="R117" s="295">
        <v>12</v>
      </c>
    </row>
    <row r="118" spans="2:18" ht="53.25" hidden="1" customHeight="1" outlineLevel="1" x14ac:dyDescent="0.25">
      <c r="B118" s="306" t="s">
        <v>1175</v>
      </c>
      <c r="C118" s="306"/>
      <c r="D118" s="295"/>
      <c r="E118" s="309"/>
      <c r="F118" s="309"/>
      <c r="G118" s="309"/>
      <c r="H118" s="698" t="s">
        <v>1116</v>
      </c>
      <c r="I118" s="699"/>
      <c r="J118" s="699"/>
      <c r="K118" s="699"/>
      <c r="L118" s="700"/>
      <c r="M118" s="295">
        <v>9</v>
      </c>
      <c r="N118" s="295">
        <v>7</v>
      </c>
      <c r="O118" s="295">
        <v>13</v>
      </c>
      <c r="P118" s="295">
        <v>13</v>
      </c>
      <c r="Q118" s="295">
        <v>13</v>
      </c>
      <c r="R118" s="295">
        <v>13</v>
      </c>
    </row>
    <row r="119" spans="2:18" ht="53.25" hidden="1" customHeight="1" outlineLevel="1" x14ac:dyDescent="0.25">
      <c r="B119" s="306" t="s">
        <v>1176</v>
      </c>
      <c r="C119" s="306"/>
      <c r="D119" s="295"/>
      <c r="E119" s="309"/>
      <c r="F119" s="309"/>
      <c r="G119" s="309"/>
      <c r="H119" s="698" t="s">
        <v>1118</v>
      </c>
      <c r="I119" s="699"/>
      <c r="J119" s="699"/>
      <c r="K119" s="699"/>
      <c r="L119" s="700"/>
      <c r="M119" s="295">
        <v>1</v>
      </c>
      <c r="N119" s="295">
        <v>1</v>
      </c>
      <c r="O119" s="295">
        <v>1</v>
      </c>
      <c r="P119" s="295">
        <v>1</v>
      </c>
      <c r="Q119" s="295">
        <v>1</v>
      </c>
      <c r="R119" s="295">
        <v>1</v>
      </c>
    </row>
    <row r="120" spans="2:18" ht="53.25" customHeight="1" collapsed="1" x14ac:dyDescent="0.25">
      <c r="B120" s="295">
        <v>7</v>
      </c>
      <c r="C120" s="720" t="s">
        <v>1177</v>
      </c>
      <c r="D120" s="721"/>
      <c r="E120" s="716" t="s">
        <v>1178</v>
      </c>
      <c r="F120" s="716"/>
      <c r="G120" s="716"/>
      <c r="H120" s="698" t="s">
        <v>1186</v>
      </c>
      <c r="I120" s="699"/>
      <c r="J120" s="699"/>
      <c r="K120" s="699"/>
      <c r="L120" s="700"/>
      <c r="M120" s="295">
        <f t="shared" ref="M120:R120" ca="1" si="6">IF(D24="Да",SUMIF($H121:$L134,$H120,M121:M134),0)</f>
        <v>6</v>
      </c>
      <c r="N120" s="295">
        <f t="shared" si="6"/>
        <v>0</v>
      </c>
      <c r="O120" s="295">
        <f t="shared" si="6"/>
        <v>0</v>
      </c>
      <c r="P120" s="295">
        <f t="shared" ca="1" si="6"/>
        <v>9</v>
      </c>
      <c r="Q120" s="295">
        <f t="shared" si="6"/>
        <v>0</v>
      </c>
      <c r="R120" s="295">
        <f t="shared" si="6"/>
        <v>0</v>
      </c>
    </row>
    <row r="121" spans="2:18" ht="53.25" hidden="1" customHeight="1" outlineLevel="1" x14ac:dyDescent="0.25">
      <c r="B121" s="306">
        <v>7.22</v>
      </c>
      <c r="C121" s="307"/>
      <c r="D121" s="297"/>
      <c r="E121" s="304"/>
      <c r="F121" s="304"/>
      <c r="G121" s="304"/>
      <c r="H121" s="698" t="s">
        <v>1082</v>
      </c>
      <c r="I121" s="699"/>
      <c r="J121" s="699"/>
      <c r="K121" s="699"/>
      <c r="L121" s="700"/>
      <c r="M121" s="295">
        <v>1</v>
      </c>
      <c r="N121" s="295">
        <v>1</v>
      </c>
      <c r="O121" s="295">
        <v>1</v>
      </c>
      <c r="P121" s="295">
        <v>1</v>
      </c>
      <c r="Q121" s="295">
        <v>1</v>
      </c>
      <c r="R121" s="295">
        <v>1</v>
      </c>
    </row>
    <row r="122" spans="2:18" ht="53.25" hidden="1" customHeight="1" outlineLevel="1" x14ac:dyDescent="0.25">
      <c r="B122" s="306" t="s">
        <v>1138</v>
      </c>
      <c r="C122" s="307"/>
      <c r="D122" s="297"/>
      <c r="E122" s="304"/>
      <c r="F122" s="304"/>
      <c r="G122" s="304"/>
      <c r="H122" s="698" t="s">
        <v>1083</v>
      </c>
      <c r="I122" s="699"/>
      <c r="J122" s="699"/>
      <c r="K122" s="699"/>
      <c r="L122" s="700"/>
      <c r="M122" s="295">
        <v>2</v>
      </c>
      <c r="N122" s="295">
        <v>1</v>
      </c>
      <c r="O122" s="295">
        <v>2</v>
      </c>
      <c r="P122" s="295">
        <v>2</v>
      </c>
      <c r="Q122" s="295">
        <v>2</v>
      </c>
      <c r="R122" s="295">
        <v>2</v>
      </c>
    </row>
    <row r="123" spans="2:18" ht="53.25" hidden="1" customHeight="1" outlineLevel="1" x14ac:dyDescent="0.25">
      <c r="B123" s="306" t="s">
        <v>1140</v>
      </c>
      <c r="C123" s="307"/>
      <c r="D123" s="297"/>
      <c r="E123" s="304"/>
      <c r="F123" s="304"/>
      <c r="G123" s="304"/>
      <c r="H123" s="698" t="s">
        <v>1081</v>
      </c>
      <c r="I123" s="699"/>
      <c r="J123" s="699"/>
      <c r="K123" s="699"/>
      <c r="L123" s="700"/>
      <c r="M123" s="295">
        <v>3</v>
      </c>
      <c r="N123" s="295">
        <v>2</v>
      </c>
      <c r="O123" s="295">
        <v>3</v>
      </c>
      <c r="P123" s="295">
        <v>3</v>
      </c>
      <c r="Q123" s="295">
        <v>3</v>
      </c>
      <c r="R123" s="295">
        <v>3</v>
      </c>
    </row>
    <row r="124" spans="2:18" ht="53.25" hidden="1" customHeight="1" outlineLevel="1" x14ac:dyDescent="0.25">
      <c r="B124" s="306" t="s">
        <v>1141</v>
      </c>
      <c r="C124" s="307"/>
      <c r="D124" s="297"/>
      <c r="E124" s="304"/>
      <c r="F124" s="304"/>
      <c r="G124" s="304"/>
      <c r="H124" s="698" t="s">
        <v>1180</v>
      </c>
      <c r="I124" s="699"/>
      <c r="J124" s="699"/>
      <c r="K124" s="699"/>
      <c r="L124" s="700"/>
      <c r="M124" s="295">
        <v>3</v>
      </c>
      <c r="N124" s="295">
        <v>2</v>
      </c>
      <c r="O124" s="295">
        <v>4</v>
      </c>
      <c r="P124" s="295">
        <v>4</v>
      </c>
      <c r="Q124" s="295">
        <v>4</v>
      </c>
      <c r="R124" s="295">
        <v>4</v>
      </c>
    </row>
    <row r="125" spans="2:18" ht="53.25" hidden="1" customHeight="1" outlineLevel="1" x14ac:dyDescent="0.25">
      <c r="B125" s="306" t="s">
        <v>1143</v>
      </c>
      <c r="C125" s="307"/>
      <c r="D125" s="297"/>
      <c r="E125" s="304"/>
      <c r="F125" s="304"/>
      <c r="G125" s="304"/>
      <c r="H125" s="698" t="s">
        <v>1181</v>
      </c>
      <c r="I125" s="699"/>
      <c r="J125" s="699"/>
      <c r="K125" s="699"/>
      <c r="L125" s="700"/>
      <c r="M125" s="295">
        <v>4</v>
      </c>
      <c r="N125" s="295">
        <v>3</v>
      </c>
      <c r="O125" s="295">
        <v>5</v>
      </c>
      <c r="P125" s="295">
        <v>5</v>
      </c>
      <c r="Q125" s="295">
        <v>5</v>
      </c>
      <c r="R125" s="295">
        <v>5</v>
      </c>
    </row>
    <row r="126" spans="2:18" ht="53.25" hidden="1" customHeight="1" outlineLevel="1" x14ac:dyDescent="0.25">
      <c r="B126" s="306" t="s">
        <v>1145</v>
      </c>
      <c r="C126" s="307"/>
      <c r="D126" s="297"/>
      <c r="E126" s="304"/>
      <c r="F126" s="304"/>
      <c r="G126" s="304"/>
      <c r="H126" s="698" t="s">
        <v>1182</v>
      </c>
      <c r="I126" s="699"/>
      <c r="J126" s="699"/>
      <c r="K126" s="699"/>
      <c r="L126" s="700"/>
      <c r="M126" s="295">
        <v>4</v>
      </c>
      <c r="N126" s="295">
        <v>3</v>
      </c>
      <c r="O126" s="295">
        <v>6</v>
      </c>
      <c r="P126" s="295">
        <v>6</v>
      </c>
      <c r="Q126" s="295">
        <v>6</v>
      </c>
      <c r="R126" s="295">
        <v>6</v>
      </c>
    </row>
    <row r="127" spans="2:18" ht="53.25" hidden="1" customHeight="1" outlineLevel="1" x14ac:dyDescent="0.25">
      <c r="B127" s="306" t="s">
        <v>1147</v>
      </c>
      <c r="C127" s="307"/>
      <c r="D127" s="297"/>
      <c r="E127" s="304"/>
      <c r="F127" s="304"/>
      <c r="G127" s="304"/>
      <c r="H127" s="698" t="s">
        <v>1179</v>
      </c>
      <c r="I127" s="699"/>
      <c r="J127" s="699"/>
      <c r="K127" s="699"/>
      <c r="L127" s="700"/>
      <c r="M127" s="295">
        <v>5</v>
      </c>
      <c r="N127" s="295">
        <v>4</v>
      </c>
      <c r="O127" s="295">
        <v>7</v>
      </c>
      <c r="P127" s="295">
        <v>7</v>
      </c>
      <c r="Q127" s="295">
        <v>7</v>
      </c>
      <c r="R127" s="295">
        <v>7</v>
      </c>
    </row>
    <row r="128" spans="2:18" ht="53.25" hidden="1" customHeight="1" outlineLevel="1" x14ac:dyDescent="0.25">
      <c r="B128" s="306" t="s">
        <v>1183</v>
      </c>
      <c r="C128" s="307"/>
      <c r="D128" s="297"/>
      <c r="E128" s="304"/>
      <c r="F128" s="304"/>
      <c r="G128" s="304"/>
      <c r="H128" s="698" t="s">
        <v>1184</v>
      </c>
      <c r="I128" s="699"/>
      <c r="J128" s="699"/>
      <c r="K128" s="699"/>
      <c r="L128" s="700"/>
      <c r="M128" s="295">
        <v>5</v>
      </c>
      <c r="N128" s="295">
        <v>4</v>
      </c>
      <c r="O128" s="295">
        <v>8</v>
      </c>
      <c r="P128" s="295">
        <v>8</v>
      </c>
      <c r="Q128" s="295">
        <v>8</v>
      </c>
      <c r="R128" s="295">
        <v>8</v>
      </c>
    </row>
    <row r="129" spans="2:23" ht="53.25" hidden="1" customHeight="1" outlineLevel="1" x14ac:dyDescent="0.25">
      <c r="B129" s="306" t="s">
        <v>1185</v>
      </c>
      <c r="C129" s="307"/>
      <c r="D129" s="297"/>
      <c r="E129" s="304"/>
      <c r="F129" s="304"/>
      <c r="G129" s="304"/>
      <c r="H129" s="698" t="s">
        <v>1186</v>
      </c>
      <c r="I129" s="699"/>
      <c r="J129" s="699"/>
      <c r="K129" s="699"/>
      <c r="L129" s="700"/>
      <c r="M129" s="295">
        <v>6</v>
      </c>
      <c r="N129" s="295">
        <v>5</v>
      </c>
      <c r="O129" s="295">
        <v>9</v>
      </c>
      <c r="P129" s="295">
        <v>9</v>
      </c>
      <c r="Q129" s="295">
        <v>9</v>
      </c>
      <c r="R129" s="295">
        <v>9</v>
      </c>
    </row>
    <row r="130" spans="2:23" ht="53.25" hidden="1" customHeight="1" outlineLevel="1" x14ac:dyDescent="0.25">
      <c r="B130" s="306">
        <v>7.22</v>
      </c>
      <c r="C130" s="307"/>
      <c r="D130" s="297"/>
      <c r="E130" s="304"/>
      <c r="F130" s="304"/>
      <c r="G130" s="304"/>
      <c r="H130" s="698" t="s">
        <v>1187</v>
      </c>
      <c r="I130" s="699"/>
      <c r="J130" s="699"/>
      <c r="K130" s="699"/>
      <c r="L130" s="700"/>
      <c r="M130" s="295">
        <v>7</v>
      </c>
      <c r="N130" s="295">
        <v>5</v>
      </c>
      <c r="O130" s="295">
        <v>10</v>
      </c>
      <c r="P130" s="295">
        <v>10</v>
      </c>
      <c r="Q130" s="295">
        <v>10</v>
      </c>
      <c r="R130" s="295">
        <v>10</v>
      </c>
    </row>
    <row r="131" spans="2:23" ht="53.25" hidden="1" customHeight="1" outlineLevel="1" x14ac:dyDescent="0.25">
      <c r="B131" s="306">
        <v>7.2210000000000001</v>
      </c>
      <c r="C131" s="307"/>
      <c r="D131" s="297"/>
      <c r="E131" s="304"/>
      <c r="F131" s="304"/>
      <c r="G131" s="304"/>
      <c r="H131" s="698" t="s">
        <v>1188</v>
      </c>
      <c r="I131" s="699"/>
      <c r="J131" s="699"/>
      <c r="K131" s="699"/>
      <c r="L131" s="700"/>
      <c r="M131" s="295">
        <v>8</v>
      </c>
      <c r="N131" s="295">
        <v>6</v>
      </c>
      <c r="O131" s="295">
        <v>11</v>
      </c>
      <c r="P131" s="295">
        <v>11</v>
      </c>
      <c r="Q131" s="295">
        <v>11</v>
      </c>
      <c r="R131" s="295">
        <v>11</v>
      </c>
    </row>
    <row r="132" spans="2:23" ht="53.25" hidden="1" customHeight="1" outlineLevel="1" x14ac:dyDescent="0.25">
      <c r="B132" s="306">
        <v>7.2220000000000004</v>
      </c>
      <c r="C132" s="307"/>
      <c r="D132" s="297"/>
      <c r="E132" s="304"/>
      <c r="F132" s="304"/>
      <c r="G132" s="304"/>
      <c r="H132" s="698" t="s">
        <v>1189</v>
      </c>
      <c r="I132" s="699"/>
      <c r="J132" s="699"/>
      <c r="K132" s="699"/>
      <c r="L132" s="700"/>
      <c r="M132" s="295">
        <v>9</v>
      </c>
      <c r="N132" s="295">
        <v>6</v>
      </c>
      <c r="O132" s="295">
        <v>12</v>
      </c>
      <c r="P132" s="295">
        <v>12</v>
      </c>
      <c r="Q132" s="295">
        <v>12</v>
      </c>
      <c r="R132" s="295">
        <v>12</v>
      </c>
    </row>
    <row r="133" spans="2:23" ht="53.25" hidden="1" customHeight="1" outlineLevel="1" x14ac:dyDescent="0.25">
      <c r="B133" s="306">
        <v>7.2229999999999999</v>
      </c>
      <c r="C133" s="307"/>
      <c r="D133" s="297"/>
      <c r="E133" s="304"/>
      <c r="F133" s="304"/>
      <c r="G133" s="304"/>
      <c r="H133" s="698" t="s">
        <v>1190</v>
      </c>
      <c r="I133" s="699"/>
      <c r="J133" s="699"/>
      <c r="K133" s="699"/>
      <c r="L133" s="700"/>
      <c r="M133" s="295">
        <v>10</v>
      </c>
      <c r="N133" s="295">
        <v>7</v>
      </c>
      <c r="O133" s="295">
        <v>13</v>
      </c>
      <c r="P133" s="295">
        <v>13</v>
      </c>
      <c r="Q133" s="295">
        <v>13</v>
      </c>
      <c r="R133" s="295">
        <v>13</v>
      </c>
    </row>
    <row r="134" spans="2:23" ht="53.25" hidden="1" customHeight="1" outlineLevel="1" x14ac:dyDescent="0.25">
      <c r="B134" s="306">
        <v>7.2240000000000002</v>
      </c>
      <c r="C134" s="307"/>
      <c r="D134" s="297"/>
      <c r="E134" s="304"/>
      <c r="F134" s="304"/>
      <c r="G134" s="304"/>
      <c r="H134" s="698" t="s">
        <v>1191</v>
      </c>
      <c r="I134" s="699"/>
      <c r="J134" s="699"/>
      <c r="K134" s="699"/>
      <c r="L134" s="700"/>
      <c r="M134" s="295">
        <v>1</v>
      </c>
      <c r="N134" s="295">
        <v>1</v>
      </c>
      <c r="O134" s="295">
        <v>1</v>
      </c>
      <c r="P134" s="295">
        <v>1</v>
      </c>
      <c r="Q134" s="295">
        <v>1</v>
      </c>
      <c r="R134" s="295">
        <v>1</v>
      </c>
    </row>
    <row r="135" spans="2:23" ht="26.25" customHeight="1" collapsed="1" x14ac:dyDescent="0.25">
      <c r="B135" s="295">
        <v>8</v>
      </c>
      <c r="C135" s="297"/>
      <c r="D135" s="297"/>
      <c r="E135" s="291"/>
      <c r="F135" s="291"/>
      <c r="G135" s="291"/>
      <c r="H135" s="291"/>
      <c r="I135" s="291"/>
      <c r="J135" s="291"/>
      <c r="K135" s="291"/>
      <c r="L135" s="308" t="s">
        <v>1119</v>
      </c>
      <c r="M135" s="295">
        <f ca="1">M71+M78+M86+M91+M99+M105+M120</f>
        <v>25</v>
      </c>
      <c r="N135" s="295">
        <f t="shared" ref="N135:R135" si="7">N71+N78+N86+N91+N99+N105+N120</f>
        <v>0</v>
      </c>
      <c r="O135" s="295">
        <f>O71+O78+O86+O91+O99+O105+O120</f>
        <v>0</v>
      </c>
      <c r="P135" s="295">
        <f t="shared" ca="1" si="7"/>
        <v>31</v>
      </c>
      <c r="Q135" s="295">
        <f t="shared" si="7"/>
        <v>0</v>
      </c>
      <c r="R135" s="295">
        <f t="shared" si="7"/>
        <v>0</v>
      </c>
    </row>
    <row r="136" spans="2:23" ht="26.25" customHeight="1" x14ac:dyDescent="0.25">
      <c r="B136" s="708" t="s">
        <v>1192</v>
      </c>
      <c r="C136" s="709"/>
      <c r="D136" s="709"/>
      <c r="E136" s="709"/>
      <c r="F136" s="709"/>
      <c r="G136" s="709"/>
      <c r="H136" s="709"/>
      <c r="I136" s="709"/>
      <c r="J136" s="709"/>
      <c r="K136" s="709"/>
      <c r="L136" s="709"/>
      <c r="M136" s="709"/>
      <c r="N136" s="709"/>
      <c r="O136" s="709"/>
      <c r="P136" s="709"/>
      <c r="Q136" s="709"/>
      <c r="R136" s="710"/>
    </row>
    <row r="137" spans="2:23" ht="26.25" customHeight="1" x14ac:dyDescent="0.25">
      <c r="B137" s="711" t="s">
        <v>90</v>
      </c>
      <c r="C137" s="717" t="s">
        <v>1193</v>
      </c>
      <c r="D137" s="718"/>
      <c r="E137" s="718"/>
      <c r="F137" s="718"/>
      <c r="G137" s="718"/>
      <c r="H137" s="718"/>
      <c r="I137" s="719"/>
      <c r="J137" s="711" t="s">
        <v>1194</v>
      </c>
      <c r="K137" s="711"/>
      <c r="L137" s="711"/>
      <c r="M137" s="711"/>
      <c r="N137" s="711"/>
      <c r="O137" s="711"/>
      <c r="P137" s="711"/>
      <c r="Q137" s="711"/>
      <c r="R137" s="711"/>
    </row>
    <row r="138" spans="2:23" ht="22.5" customHeight="1" x14ac:dyDescent="0.25">
      <c r="B138" s="711"/>
      <c r="C138" s="296" t="s">
        <v>1062</v>
      </c>
      <c r="D138" s="296" t="s">
        <v>1049</v>
      </c>
      <c r="E138" s="296" t="s">
        <v>1050</v>
      </c>
      <c r="F138" s="296" t="s">
        <v>1051</v>
      </c>
      <c r="G138" s="296" t="s">
        <v>1052</v>
      </c>
      <c r="H138" s="296" t="s">
        <v>1053</v>
      </c>
      <c r="I138" s="296" t="s">
        <v>1054</v>
      </c>
      <c r="J138" s="296" t="s">
        <v>1195</v>
      </c>
      <c r="K138" s="296" t="s">
        <v>1196</v>
      </c>
      <c r="L138" s="711" t="s">
        <v>1197</v>
      </c>
      <c r="M138" s="711"/>
      <c r="N138" s="711"/>
      <c r="O138" s="711"/>
      <c r="P138" s="711"/>
      <c r="Q138" s="296" t="s">
        <v>1198</v>
      </c>
      <c r="R138" s="296" t="s">
        <v>1199</v>
      </c>
      <c r="U138" s="286" t="s">
        <v>1200</v>
      </c>
    </row>
    <row r="139" spans="2:23" s="310" customFormat="1" ht="39.75" customHeight="1" x14ac:dyDescent="0.2">
      <c r="B139" s="295">
        <v>1</v>
      </c>
      <c r="C139" s="295">
        <f t="shared" ref="C139:C140" si="8">IF($R139="Да",$Q139,1)</f>
        <v>0.6</v>
      </c>
      <c r="D139" s="295">
        <f t="shared" ref="D139:D140" si="9">IF($R139="Да",$Q139,1)</f>
        <v>0.6</v>
      </c>
      <c r="E139" s="295">
        <f t="shared" ref="C139:I152" si="10">IF($R139="Да",$Q139,1)</f>
        <v>0.6</v>
      </c>
      <c r="F139" s="295">
        <f t="shared" si="10"/>
        <v>0.6</v>
      </c>
      <c r="G139" s="295">
        <f t="shared" si="10"/>
        <v>0.6</v>
      </c>
      <c r="H139" s="295">
        <f t="shared" si="10"/>
        <v>0.6</v>
      </c>
      <c r="I139" s="295">
        <f t="shared" si="10"/>
        <v>0.6</v>
      </c>
      <c r="J139" s="295" t="s">
        <v>1201</v>
      </c>
      <c r="K139" s="311" t="s">
        <v>1202</v>
      </c>
      <c r="L139" s="716" t="s">
        <v>1203</v>
      </c>
      <c r="M139" s="716"/>
      <c r="N139" s="716"/>
      <c r="O139" s="716"/>
      <c r="P139" s="716"/>
      <c r="Q139" s="312">
        <f t="shared" ref="Q139:Q152" si="11">IF(R139="Да",U139,"-")</f>
        <v>0.6</v>
      </c>
      <c r="R139" s="312" t="s">
        <v>1047</v>
      </c>
      <c r="U139" s="313">
        <v>0.6</v>
      </c>
    </row>
    <row r="140" spans="2:23" s="310" customFormat="1" ht="39.75" customHeight="1" x14ac:dyDescent="0.2">
      <c r="B140" s="295">
        <v>2</v>
      </c>
      <c r="C140" s="295">
        <f t="shared" si="8"/>
        <v>1</v>
      </c>
      <c r="D140" s="295">
        <f t="shared" si="9"/>
        <v>1</v>
      </c>
      <c r="E140" s="295">
        <f t="shared" si="10"/>
        <v>1</v>
      </c>
      <c r="F140" s="295">
        <f t="shared" si="10"/>
        <v>1</v>
      </c>
      <c r="G140" s="295">
        <f t="shared" si="10"/>
        <v>1</v>
      </c>
      <c r="H140" s="295">
        <f t="shared" si="10"/>
        <v>1</v>
      </c>
      <c r="I140" s="295">
        <f t="shared" si="10"/>
        <v>1</v>
      </c>
      <c r="J140" s="295" t="s">
        <v>1204</v>
      </c>
      <c r="K140" s="311" t="s">
        <v>1202</v>
      </c>
      <c r="L140" s="716" t="s">
        <v>1205</v>
      </c>
      <c r="M140" s="716"/>
      <c r="N140" s="716"/>
      <c r="O140" s="716"/>
      <c r="P140" s="716"/>
      <c r="Q140" s="312" t="str">
        <f t="shared" si="11"/>
        <v>-</v>
      </c>
      <c r="R140" s="312" t="s">
        <v>1046</v>
      </c>
      <c r="U140" s="313">
        <v>0.5</v>
      </c>
      <c r="W140" s="310" t="s">
        <v>1047</v>
      </c>
    </row>
    <row r="141" spans="2:23" s="310" customFormat="1" ht="47.25" customHeight="1" x14ac:dyDescent="0.2">
      <c r="B141" s="295">
        <v>3</v>
      </c>
      <c r="C141" s="295">
        <v>1</v>
      </c>
      <c r="D141" s="295">
        <f t="shared" si="10"/>
        <v>1</v>
      </c>
      <c r="E141" s="295">
        <f t="shared" si="10"/>
        <v>1</v>
      </c>
      <c r="F141" s="295">
        <f t="shared" si="10"/>
        <v>1</v>
      </c>
      <c r="G141" s="295">
        <f t="shared" si="10"/>
        <v>1</v>
      </c>
      <c r="H141" s="295">
        <f t="shared" si="10"/>
        <v>1</v>
      </c>
      <c r="I141" s="295">
        <f t="shared" si="10"/>
        <v>1</v>
      </c>
      <c r="J141" s="295" t="s">
        <v>1206</v>
      </c>
      <c r="K141" s="311" t="s">
        <v>1202</v>
      </c>
      <c r="L141" s="716" t="s">
        <v>1207</v>
      </c>
      <c r="M141" s="716"/>
      <c r="N141" s="716"/>
      <c r="O141" s="716"/>
      <c r="P141" s="716"/>
      <c r="Q141" s="312" t="str">
        <f t="shared" si="11"/>
        <v>-</v>
      </c>
      <c r="R141" s="312" t="s">
        <v>1046</v>
      </c>
      <c r="U141" s="313">
        <v>0.8</v>
      </c>
      <c r="W141" s="310" t="s">
        <v>1046</v>
      </c>
    </row>
    <row r="142" spans="2:23" s="310" customFormat="1" ht="39.75" customHeight="1" x14ac:dyDescent="0.2">
      <c r="B142" s="295">
        <v>4</v>
      </c>
      <c r="C142" s="295">
        <f t="shared" si="10"/>
        <v>1</v>
      </c>
      <c r="D142" s="295">
        <f t="shared" si="10"/>
        <v>1</v>
      </c>
      <c r="E142" s="295">
        <f t="shared" si="10"/>
        <v>1</v>
      </c>
      <c r="F142" s="295">
        <f t="shared" si="10"/>
        <v>1</v>
      </c>
      <c r="G142" s="295">
        <f t="shared" si="10"/>
        <v>1</v>
      </c>
      <c r="H142" s="295">
        <f t="shared" si="10"/>
        <v>1</v>
      </c>
      <c r="I142" s="295">
        <f t="shared" si="10"/>
        <v>1</v>
      </c>
      <c r="J142" s="295" t="s">
        <v>1208</v>
      </c>
      <c r="K142" s="311" t="s">
        <v>1209</v>
      </c>
      <c r="L142" s="716" t="s">
        <v>1210</v>
      </c>
      <c r="M142" s="716"/>
      <c r="N142" s="716"/>
      <c r="O142" s="716"/>
      <c r="P142" s="716"/>
      <c r="Q142" s="312" t="str">
        <f t="shared" si="11"/>
        <v>-</v>
      </c>
      <c r="R142" s="312" t="s">
        <v>1046</v>
      </c>
      <c r="U142" s="313">
        <v>1.2</v>
      </c>
    </row>
    <row r="143" spans="2:23" s="310" customFormat="1" ht="60.75" customHeight="1" x14ac:dyDescent="0.2">
      <c r="B143" s="295">
        <v>5</v>
      </c>
      <c r="C143" s="295">
        <f t="shared" si="10"/>
        <v>1</v>
      </c>
      <c r="D143" s="295">
        <v>1</v>
      </c>
      <c r="E143" s="295">
        <v>1</v>
      </c>
      <c r="F143" s="295">
        <v>1</v>
      </c>
      <c r="G143" s="295">
        <v>1</v>
      </c>
      <c r="H143" s="295">
        <v>1</v>
      </c>
      <c r="I143" s="295">
        <v>1</v>
      </c>
      <c r="J143" s="295" t="s">
        <v>1211</v>
      </c>
      <c r="K143" s="311" t="s">
        <v>1209</v>
      </c>
      <c r="L143" s="716" t="s">
        <v>1212</v>
      </c>
      <c r="M143" s="716"/>
      <c r="N143" s="716"/>
      <c r="O143" s="716"/>
      <c r="P143" s="716"/>
      <c r="Q143" s="312" t="str">
        <f t="shared" si="11"/>
        <v>-</v>
      </c>
      <c r="R143" s="312" t="s">
        <v>1046</v>
      </c>
      <c r="U143" s="313">
        <v>1.1000000000000001</v>
      </c>
    </row>
    <row r="144" spans="2:23" s="310" customFormat="1" ht="62.25" customHeight="1" x14ac:dyDescent="0.2">
      <c r="B144" s="295">
        <v>6</v>
      </c>
      <c r="C144" s="295">
        <f t="shared" si="10"/>
        <v>1</v>
      </c>
      <c r="D144" s="295">
        <f t="shared" si="10"/>
        <v>1</v>
      </c>
      <c r="E144" s="295">
        <f t="shared" si="10"/>
        <v>1</v>
      </c>
      <c r="F144" s="295">
        <f t="shared" si="10"/>
        <v>1</v>
      </c>
      <c r="G144" s="295">
        <f t="shared" si="10"/>
        <v>1</v>
      </c>
      <c r="H144" s="295">
        <f t="shared" si="10"/>
        <v>1</v>
      </c>
      <c r="I144" s="295">
        <f t="shared" si="10"/>
        <v>1</v>
      </c>
      <c r="J144" s="295" t="s">
        <v>1213</v>
      </c>
      <c r="K144" s="311" t="s">
        <v>1209</v>
      </c>
      <c r="L144" s="716" t="s">
        <v>1214</v>
      </c>
      <c r="M144" s="716"/>
      <c r="N144" s="716"/>
      <c r="O144" s="716"/>
      <c r="P144" s="716"/>
      <c r="Q144" s="312" t="str">
        <f t="shared" si="11"/>
        <v>-</v>
      </c>
      <c r="R144" s="312" t="s">
        <v>1046</v>
      </c>
      <c r="U144" s="313">
        <v>1.05</v>
      </c>
    </row>
    <row r="145" spans="2:21" s="310" customFormat="1" ht="53.25" customHeight="1" x14ac:dyDescent="0.2">
      <c r="B145" s="295">
        <v>7</v>
      </c>
      <c r="C145" s="295">
        <v>1</v>
      </c>
      <c r="D145" s="295">
        <f t="shared" si="10"/>
        <v>1</v>
      </c>
      <c r="E145" s="295">
        <f t="shared" si="10"/>
        <v>1</v>
      </c>
      <c r="F145" s="295">
        <f t="shared" si="10"/>
        <v>1</v>
      </c>
      <c r="G145" s="295">
        <f t="shared" si="10"/>
        <v>1</v>
      </c>
      <c r="H145" s="295">
        <f t="shared" si="10"/>
        <v>1</v>
      </c>
      <c r="I145" s="295">
        <f t="shared" si="10"/>
        <v>1</v>
      </c>
      <c r="J145" s="295" t="s">
        <v>1215</v>
      </c>
      <c r="K145" s="311" t="s">
        <v>1209</v>
      </c>
      <c r="L145" s="716" t="s">
        <v>1216</v>
      </c>
      <c r="M145" s="716"/>
      <c r="N145" s="716"/>
      <c r="O145" s="716"/>
      <c r="P145" s="716"/>
      <c r="Q145" s="312" t="str">
        <f t="shared" si="11"/>
        <v>-</v>
      </c>
      <c r="R145" s="312" t="s">
        <v>1046</v>
      </c>
      <c r="U145" s="313">
        <v>1.05</v>
      </c>
    </row>
    <row r="146" spans="2:21" s="310" customFormat="1" ht="53.25" customHeight="1" x14ac:dyDescent="0.2">
      <c r="B146" s="295">
        <v>8</v>
      </c>
      <c r="C146" s="295">
        <v>1</v>
      </c>
      <c r="D146" s="295">
        <f t="shared" si="10"/>
        <v>1</v>
      </c>
      <c r="E146" s="295">
        <f t="shared" si="10"/>
        <v>1</v>
      </c>
      <c r="F146" s="295">
        <f t="shared" si="10"/>
        <v>1</v>
      </c>
      <c r="G146" s="295">
        <f t="shared" si="10"/>
        <v>1</v>
      </c>
      <c r="H146" s="295">
        <f t="shared" si="10"/>
        <v>1</v>
      </c>
      <c r="I146" s="295">
        <f t="shared" si="10"/>
        <v>1</v>
      </c>
      <c r="J146" s="295" t="s">
        <v>1217</v>
      </c>
      <c r="K146" s="311" t="s">
        <v>1209</v>
      </c>
      <c r="L146" s="716" t="s">
        <v>1218</v>
      </c>
      <c r="M146" s="716"/>
      <c r="N146" s="716"/>
      <c r="O146" s="716"/>
      <c r="P146" s="716"/>
      <c r="Q146" s="312" t="str">
        <f t="shared" si="11"/>
        <v>-</v>
      </c>
      <c r="R146" s="312" t="s">
        <v>1046</v>
      </c>
      <c r="U146" s="313">
        <v>1.25</v>
      </c>
    </row>
    <row r="147" spans="2:21" s="310" customFormat="1" ht="68.25" customHeight="1" x14ac:dyDescent="0.2">
      <c r="B147" s="295">
        <v>9</v>
      </c>
      <c r="C147" s="295">
        <v>1</v>
      </c>
      <c r="D147" s="295">
        <v>1</v>
      </c>
      <c r="E147" s="295">
        <v>1</v>
      </c>
      <c r="F147" s="295">
        <v>1</v>
      </c>
      <c r="G147" s="295">
        <f t="shared" si="10"/>
        <v>1</v>
      </c>
      <c r="H147" s="295">
        <v>1</v>
      </c>
      <c r="I147" s="295">
        <f t="shared" si="10"/>
        <v>1</v>
      </c>
      <c r="J147" s="295" t="s">
        <v>1219</v>
      </c>
      <c r="K147" s="311" t="s">
        <v>1209</v>
      </c>
      <c r="L147" s="716" t="s">
        <v>1220</v>
      </c>
      <c r="M147" s="716"/>
      <c r="N147" s="716"/>
      <c r="O147" s="716"/>
      <c r="P147" s="716"/>
      <c r="Q147" s="312" t="str">
        <f t="shared" si="11"/>
        <v>-</v>
      </c>
      <c r="R147" s="312" t="s">
        <v>1046</v>
      </c>
      <c r="U147" s="313">
        <v>1.1000000000000001</v>
      </c>
    </row>
    <row r="148" spans="2:21" s="310" customFormat="1" ht="89.25" customHeight="1" x14ac:dyDescent="0.2">
      <c r="B148" s="295">
        <v>10</v>
      </c>
      <c r="C148" s="295">
        <f t="shared" si="10"/>
        <v>1</v>
      </c>
      <c r="D148" s="295">
        <f t="shared" si="10"/>
        <v>1</v>
      </c>
      <c r="E148" s="295">
        <f t="shared" si="10"/>
        <v>1</v>
      </c>
      <c r="F148" s="295">
        <f t="shared" si="10"/>
        <v>1</v>
      </c>
      <c r="G148" s="295">
        <f t="shared" si="10"/>
        <v>1</v>
      </c>
      <c r="H148" s="295">
        <f t="shared" si="10"/>
        <v>1</v>
      </c>
      <c r="I148" s="295">
        <f t="shared" si="10"/>
        <v>1</v>
      </c>
      <c r="J148" s="295" t="s">
        <v>1221</v>
      </c>
      <c r="K148" s="311" t="s">
        <v>1209</v>
      </c>
      <c r="L148" s="716" t="s">
        <v>1222</v>
      </c>
      <c r="M148" s="716"/>
      <c r="N148" s="716"/>
      <c r="O148" s="716"/>
      <c r="P148" s="716"/>
      <c r="Q148" s="312" t="str">
        <f t="shared" si="11"/>
        <v>-</v>
      </c>
      <c r="R148" s="312" t="s">
        <v>1046</v>
      </c>
      <c r="U148" s="313">
        <v>1.3</v>
      </c>
    </row>
    <row r="149" spans="2:21" s="310" customFormat="1" ht="39.75" customHeight="1" x14ac:dyDescent="0.2">
      <c r="B149" s="295">
        <v>11</v>
      </c>
      <c r="C149" s="295">
        <f t="shared" si="10"/>
        <v>1.05</v>
      </c>
      <c r="D149" s="295">
        <f t="shared" si="10"/>
        <v>1.05</v>
      </c>
      <c r="E149" s="295">
        <f t="shared" si="10"/>
        <v>1.05</v>
      </c>
      <c r="F149" s="295">
        <f t="shared" si="10"/>
        <v>1.05</v>
      </c>
      <c r="G149" s="295">
        <f t="shared" si="10"/>
        <v>1.05</v>
      </c>
      <c r="H149" s="295">
        <f t="shared" si="10"/>
        <v>1.05</v>
      </c>
      <c r="I149" s="295">
        <f t="shared" si="10"/>
        <v>1.05</v>
      </c>
      <c r="J149" s="295" t="s">
        <v>1223</v>
      </c>
      <c r="K149" s="311" t="s">
        <v>1209</v>
      </c>
      <c r="L149" s="716" t="s">
        <v>1224</v>
      </c>
      <c r="M149" s="716"/>
      <c r="N149" s="716"/>
      <c r="O149" s="716"/>
      <c r="P149" s="716"/>
      <c r="Q149" s="312">
        <f t="shared" si="11"/>
        <v>1.05</v>
      </c>
      <c r="R149" s="312" t="s">
        <v>1047</v>
      </c>
      <c r="U149" s="313">
        <v>1.05</v>
      </c>
    </row>
    <row r="150" spans="2:21" s="310" customFormat="1" ht="39.75" customHeight="1" x14ac:dyDescent="0.2">
      <c r="B150" s="295">
        <v>12</v>
      </c>
      <c r="C150" s="295">
        <f t="shared" si="10"/>
        <v>1</v>
      </c>
      <c r="D150" s="295">
        <v>1</v>
      </c>
      <c r="E150" s="295">
        <v>1</v>
      </c>
      <c r="F150" s="295">
        <v>1</v>
      </c>
      <c r="G150" s="295">
        <f t="shared" si="10"/>
        <v>1</v>
      </c>
      <c r="H150" s="295">
        <v>1</v>
      </c>
      <c r="I150" s="295">
        <v>1</v>
      </c>
      <c r="J150" s="295" t="s">
        <v>1225</v>
      </c>
      <c r="K150" s="311" t="s">
        <v>1209</v>
      </c>
      <c r="L150" s="716" t="s">
        <v>1226</v>
      </c>
      <c r="M150" s="716"/>
      <c r="N150" s="716"/>
      <c r="O150" s="716"/>
      <c r="P150" s="716"/>
      <c r="Q150" s="312" t="str">
        <f t="shared" si="11"/>
        <v>-</v>
      </c>
      <c r="R150" s="312" t="s">
        <v>1046</v>
      </c>
      <c r="U150" s="313">
        <v>1.1000000000000001</v>
      </c>
    </row>
    <row r="151" spans="2:21" s="310" customFormat="1" ht="72" customHeight="1" x14ac:dyDescent="0.2">
      <c r="B151" s="295">
        <v>13</v>
      </c>
      <c r="C151" s="295">
        <v>1</v>
      </c>
      <c r="D151" s="295">
        <v>1</v>
      </c>
      <c r="E151" s="295">
        <v>1</v>
      </c>
      <c r="F151" s="295">
        <v>1</v>
      </c>
      <c r="G151" s="295">
        <f t="shared" si="10"/>
        <v>1.2</v>
      </c>
      <c r="H151" s="295">
        <v>1</v>
      </c>
      <c r="I151" s="295">
        <v>1</v>
      </c>
      <c r="J151" s="295" t="s">
        <v>1227</v>
      </c>
      <c r="K151" s="311" t="s">
        <v>1209</v>
      </c>
      <c r="L151" s="716" t="s">
        <v>1228</v>
      </c>
      <c r="M151" s="716"/>
      <c r="N151" s="716"/>
      <c r="O151" s="716"/>
      <c r="P151" s="716"/>
      <c r="Q151" s="312">
        <f t="shared" si="11"/>
        <v>1.2</v>
      </c>
      <c r="R151" s="312" t="s">
        <v>1047</v>
      </c>
      <c r="U151" s="313">
        <v>1.2</v>
      </c>
    </row>
    <row r="152" spans="2:21" s="310" customFormat="1" ht="39.75" customHeight="1" x14ac:dyDescent="0.2">
      <c r="B152" s="295">
        <v>14</v>
      </c>
      <c r="C152" s="295">
        <v>1</v>
      </c>
      <c r="D152" s="295">
        <v>1</v>
      </c>
      <c r="E152" s="295">
        <v>1</v>
      </c>
      <c r="F152" s="295">
        <f t="shared" si="10"/>
        <v>1</v>
      </c>
      <c r="G152" s="295">
        <f t="shared" si="10"/>
        <v>1</v>
      </c>
      <c r="H152" s="295">
        <v>1</v>
      </c>
      <c r="I152" s="295">
        <f t="shared" si="10"/>
        <v>1</v>
      </c>
      <c r="J152" s="295" t="s">
        <v>1229</v>
      </c>
      <c r="K152" s="311" t="s">
        <v>1209</v>
      </c>
      <c r="L152" s="716" t="s">
        <v>1230</v>
      </c>
      <c r="M152" s="716"/>
      <c r="N152" s="716"/>
      <c r="O152" s="716"/>
      <c r="P152" s="716"/>
      <c r="Q152" s="312" t="str">
        <f t="shared" si="11"/>
        <v>-</v>
      </c>
      <c r="R152" s="312" t="s">
        <v>1046</v>
      </c>
      <c r="U152" s="313">
        <v>1.2</v>
      </c>
    </row>
    <row r="153" spans="2:21" s="310" customFormat="1" ht="24.75" customHeight="1" x14ac:dyDescent="0.2">
      <c r="B153" s="295">
        <v>15</v>
      </c>
      <c r="C153" s="295">
        <f>PRODUCT(C139,C141,C140)</f>
        <v>0.6</v>
      </c>
      <c r="D153" s="295">
        <f>PRODUCT(D139,D141,D140)</f>
        <v>0.6</v>
      </c>
      <c r="E153" s="295">
        <f t="shared" ref="E153:H153" si="12">PRODUCT(E139,E141,E140)</f>
        <v>0.6</v>
      </c>
      <c r="F153" s="295">
        <f t="shared" si="12"/>
        <v>0.6</v>
      </c>
      <c r="G153" s="295">
        <f t="shared" si="12"/>
        <v>0.6</v>
      </c>
      <c r="H153" s="295">
        <f t="shared" si="12"/>
        <v>0.6</v>
      </c>
      <c r="I153" s="295">
        <f>PRODUCT(I139,I141,I140)</f>
        <v>0.6</v>
      </c>
      <c r="J153" s="314"/>
      <c r="K153" s="698" t="s">
        <v>1231</v>
      </c>
      <c r="L153" s="699"/>
      <c r="M153" s="699"/>
      <c r="N153" s="699"/>
      <c r="O153" s="699"/>
      <c r="P153" s="699"/>
      <c r="Q153" s="699"/>
      <c r="R153" s="700"/>
    </row>
    <row r="154" spans="2:21" s="310" customFormat="1" ht="24.75" customHeight="1" x14ac:dyDescent="0.2">
      <c r="B154" s="295">
        <v>16</v>
      </c>
      <c r="C154" s="295">
        <f>SUM(C142:C152)-10</f>
        <v>1.0500000000000007</v>
      </c>
      <c r="D154" s="295">
        <f>SUM(D142:D152)-10</f>
        <v>1.0500000000000007</v>
      </c>
      <c r="E154" s="295">
        <f>SUM(E142:E152)-10</f>
        <v>1.0500000000000007</v>
      </c>
      <c r="F154" s="295">
        <f t="shared" ref="F154:I154" si="13">SUM(F142:F152)-10</f>
        <v>1.0500000000000007</v>
      </c>
      <c r="G154" s="295">
        <f t="shared" si="13"/>
        <v>1.25</v>
      </c>
      <c r="H154" s="295">
        <f t="shared" si="13"/>
        <v>1.0500000000000007</v>
      </c>
      <c r="I154" s="295">
        <f t="shared" si="13"/>
        <v>1.0500000000000007</v>
      </c>
      <c r="J154" s="314"/>
      <c r="K154" s="698" t="s">
        <v>1232</v>
      </c>
      <c r="L154" s="699"/>
      <c r="M154" s="699"/>
      <c r="N154" s="699"/>
      <c r="O154" s="699"/>
      <c r="P154" s="699"/>
      <c r="Q154" s="699"/>
      <c r="R154" s="700"/>
    </row>
    <row r="155" spans="2:21" s="310" customFormat="1" ht="24.75" customHeight="1" x14ac:dyDescent="0.2">
      <c r="B155" s="295">
        <v>17</v>
      </c>
      <c r="C155" s="295">
        <f>C153*C154</f>
        <v>0.63000000000000045</v>
      </c>
      <c r="D155" s="295">
        <f>D153*D154</f>
        <v>0.63000000000000045</v>
      </c>
      <c r="E155" s="295">
        <f>E153*E154</f>
        <v>0.63000000000000045</v>
      </c>
      <c r="F155" s="295">
        <f t="shared" ref="F155:I155" si="14">F153*F154</f>
        <v>0.63000000000000045</v>
      </c>
      <c r="G155" s="295">
        <f t="shared" si="14"/>
        <v>0.75</v>
      </c>
      <c r="H155" s="295">
        <f t="shared" si="14"/>
        <v>0.63000000000000045</v>
      </c>
      <c r="I155" s="295">
        <f t="shared" si="14"/>
        <v>0.63000000000000045</v>
      </c>
      <c r="J155" s="314" t="s">
        <v>1233</v>
      </c>
      <c r="K155" s="698" t="s">
        <v>1234</v>
      </c>
      <c r="L155" s="699"/>
      <c r="M155" s="699"/>
      <c r="N155" s="699"/>
      <c r="O155" s="699"/>
      <c r="P155" s="699"/>
      <c r="Q155" s="699"/>
      <c r="R155" s="700"/>
    </row>
    <row r="156" spans="2:21" s="310" customFormat="1" ht="24.75" customHeight="1" x14ac:dyDescent="0.2">
      <c r="B156" s="295">
        <v>18</v>
      </c>
      <c r="C156" s="295">
        <v>1.08</v>
      </c>
      <c r="D156" s="295">
        <v>1</v>
      </c>
      <c r="E156" s="295">
        <v>1</v>
      </c>
      <c r="F156" s="295">
        <v>1</v>
      </c>
      <c r="G156" s="295">
        <v>1</v>
      </c>
      <c r="H156" s="295">
        <v>1</v>
      </c>
      <c r="I156" s="295">
        <v>1</v>
      </c>
      <c r="J156" s="314" t="s">
        <v>1235</v>
      </c>
      <c r="K156" s="698" t="s">
        <v>1236</v>
      </c>
      <c r="L156" s="699"/>
      <c r="M156" s="699"/>
      <c r="N156" s="699"/>
      <c r="O156" s="699"/>
      <c r="P156" s="699"/>
      <c r="Q156" s="699"/>
      <c r="R156" s="700"/>
    </row>
    <row r="157" spans="2:21" s="310" customFormat="1" ht="24.75" customHeight="1" x14ac:dyDescent="0.2">
      <c r="B157" s="295">
        <v>19</v>
      </c>
      <c r="C157" s="295">
        <v>7.22</v>
      </c>
      <c r="D157" s="295">
        <v>7.22</v>
      </c>
      <c r="E157" s="295">
        <v>7.22</v>
      </c>
      <c r="F157" s="295">
        <v>7.22</v>
      </c>
      <c r="G157" s="295">
        <v>7.22</v>
      </c>
      <c r="H157" s="295">
        <v>7.22</v>
      </c>
      <c r="I157" s="295">
        <v>7.22</v>
      </c>
      <c r="J157" s="314" t="s">
        <v>1237</v>
      </c>
      <c r="K157" s="698" t="s">
        <v>1238</v>
      </c>
      <c r="L157" s="699"/>
      <c r="M157" s="699"/>
      <c r="N157" s="699"/>
      <c r="O157" s="699"/>
      <c r="P157" s="699"/>
      <c r="Q157" s="699"/>
      <c r="R157" s="700"/>
    </row>
    <row r="158" spans="2:21" s="310" customFormat="1" ht="24.75" customHeight="1" x14ac:dyDescent="0.2">
      <c r="B158" s="295">
        <v>20</v>
      </c>
      <c r="C158" s="295">
        <v>1</v>
      </c>
      <c r="D158" s="502">
        <v>0.7</v>
      </c>
      <c r="E158" s="502">
        <v>0.7</v>
      </c>
      <c r="F158" s="502">
        <v>0.7</v>
      </c>
      <c r="G158" s="502">
        <v>0.7</v>
      </c>
      <c r="H158" s="502">
        <v>0.7</v>
      </c>
      <c r="I158" s="502">
        <v>0.7</v>
      </c>
      <c r="J158" s="503" t="s">
        <v>2316</v>
      </c>
      <c r="K158" s="705" t="s">
        <v>2314</v>
      </c>
      <c r="L158" s="706"/>
      <c r="M158" s="706"/>
      <c r="N158" s="706"/>
      <c r="O158" s="706"/>
      <c r="P158" s="706"/>
      <c r="Q158" s="706"/>
      <c r="R158" s="707"/>
    </row>
    <row r="159" spans="2:21" s="310" customFormat="1" ht="34.5" hidden="1" customHeight="1" x14ac:dyDescent="0.2">
      <c r="B159" s="295">
        <v>21</v>
      </c>
      <c r="C159" s="295">
        <v>1</v>
      </c>
      <c r="D159" s="295">
        <v>0.7</v>
      </c>
      <c r="E159" s="295">
        <v>0.3</v>
      </c>
      <c r="F159" s="295">
        <v>0.4</v>
      </c>
      <c r="G159" s="295">
        <v>0.4</v>
      </c>
      <c r="H159" s="295">
        <v>0.8</v>
      </c>
      <c r="I159" s="295">
        <v>0.1</v>
      </c>
      <c r="J159" s="314" t="s">
        <v>1239</v>
      </c>
      <c r="K159" s="698" t="s">
        <v>1240</v>
      </c>
      <c r="L159" s="699"/>
      <c r="M159" s="699"/>
      <c r="N159" s="699"/>
      <c r="O159" s="699"/>
      <c r="P159" s="699"/>
      <c r="Q159" s="699"/>
      <c r="R159" s="700"/>
    </row>
    <row r="160" spans="2:21" s="310" customFormat="1" ht="34.5" customHeight="1" x14ac:dyDescent="0.2">
      <c r="B160" s="295">
        <v>21</v>
      </c>
      <c r="C160" s="295">
        <v>1</v>
      </c>
      <c r="D160" s="295">
        <v>0.3</v>
      </c>
      <c r="E160" s="295">
        <v>0.7</v>
      </c>
      <c r="F160" s="295">
        <v>0.6</v>
      </c>
      <c r="G160" s="295">
        <v>0.6</v>
      </c>
      <c r="H160" s="295">
        <v>0.2</v>
      </c>
      <c r="I160" s="295">
        <v>0.9</v>
      </c>
      <c r="J160" s="314" t="s">
        <v>1241</v>
      </c>
      <c r="K160" s="698" t="s">
        <v>1242</v>
      </c>
      <c r="L160" s="699"/>
      <c r="M160" s="699"/>
      <c r="N160" s="699"/>
      <c r="O160" s="699"/>
      <c r="P160" s="699"/>
      <c r="Q160" s="699"/>
      <c r="R160" s="700"/>
    </row>
    <row r="161" spans="2:27" ht="27" customHeight="1" x14ac:dyDescent="0.25">
      <c r="B161" s="708" t="s">
        <v>1243</v>
      </c>
      <c r="C161" s="709"/>
      <c r="D161" s="709"/>
      <c r="E161" s="709"/>
      <c r="F161" s="709"/>
      <c r="G161" s="709"/>
      <c r="H161" s="709"/>
      <c r="I161" s="709"/>
      <c r="J161" s="709"/>
      <c r="K161" s="709"/>
      <c r="L161" s="709"/>
      <c r="M161" s="709"/>
      <c r="N161" s="709"/>
      <c r="O161" s="709"/>
      <c r="P161" s="709"/>
      <c r="Q161" s="709"/>
      <c r="R161" s="710"/>
    </row>
    <row r="162" spans="2:27" ht="22.5" customHeight="1" x14ac:dyDescent="0.25">
      <c r="B162" s="711" t="s">
        <v>1244</v>
      </c>
      <c r="C162" s="713" t="s">
        <v>1245</v>
      </c>
      <c r="D162" s="714"/>
      <c r="E162" s="714"/>
      <c r="F162" s="714"/>
      <c r="G162" s="714"/>
      <c r="H162" s="714"/>
      <c r="I162" s="715"/>
      <c r="J162" s="712" t="s">
        <v>1246</v>
      </c>
      <c r="K162" s="712"/>
      <c r="L162" s="712"/>
      <c r="M162" s="712"/>
      <c r="N162" s="712"/>
      <c r="O162" s="712"/>
      <c r="P162" s="712"/>
      <c r="Q162" s="712"/>
      <c r="R162" s="712"/>
    </row>
    <row r="163" spans="2:27" ht="22.5" customHeight="1" x14ac:dyDescent="0.25">
      <c r="B163" s="712"/>
      <c r="C163" s="315" t="s">
        <v>1062</v>
      </c>
      <c r="D163" s="315" t="s">
        <v>1049</v>
      </c>
      <c r="E163" s="315" t="s">
        <v>1050</v>
      </c>
      <c r="F163" s="315" t="s">
        <v>1051</v>
      </c>
      <c r="G163" s="315" t="s">
        <v>1052</v>
      </c>
      <c r="H163" s="315" t="s">
        <v>1053</v>
      </c>
      <c r="I163" s="315" t="s">
        <v>1054</v>
      </c>
      <c r="J163" s="712"/>
      <c r="K163" s="712"/>
      <c r="L163" s="712"/>
      <c r="M163" s="712"/>
      <c r="N163" s="712"/>
      <c r="O163" s="712"/>
      <c r="P163" s="712"/>
      <c r="Q163" s="712"/>
      <c r="R163" s="712"/>
    </row>
    <row r="164" spans="2:27" ht="25.5" customHeight="1" x14ac:dyDescent="0.25">
      <c r="B164" s="295">
        <v>1</v>
      </c>
      <c r="C164" s="295">
        <f>M67</f>
        <v>0</v>
      </c>
      <c r="D164" s="295">
        <f t="shared" ref="D164:I164" ca="1" si="15">M135</f>
        <v>25</v>
      </c>
      <c r="E164" s="295">
        <f t="shared" si="15"/>
        <v>0</v>
      </c>
      <c r="F164" s="295">
        <f t="shared" si="15"/>
        <v>0</v>
      </c>
      <c r="G164" s="295">
        <f t="shared" ca="1" si="15"/>
        <v>31</v>
      </c>
      <c r="H164" s="295">
        <f t="shared" si="15"/>
        <v>0</v>
      </c>
      <c r="I164" s="295">
        <f t="shared" si="15"/>
        <v>0</v>
      </c>
      <c r="J164" s="698" t="s">
        <v>1247</v>
      </c>
      <c r="K164" s="699"/>
      <c r="L164" s="699"/>
      <c r="M164" s="699"/>
      <c r="N164" s="699"/>
      <c r="O164" s="699"/>
      <c r="P164" s="699"/>
      <c r="Q164" s="699"/>
      <c r="R164" s="700"/>
    </row>
    <row r="165" spans="2:27" ht="25.5" customHeight="1" x14ac:dyDescent="0.25">
      <c r="B165" s="295">
        <v>2</v>
      </c>
      <c r="C165" s="295">
        <v>21.28</v>
      </c>
      <c r="D165" s="316">
        <v>15.73</v>
      </c>
      <c r="E165" s="316">
        <v>9.56</v>
      </c>
      <c r="F165" s="316">
        <v>14.11</v>
      </c>
      <c r="G165" s="316">
        <v>33.770000000000003</v>
      </c>
      <c r="H165" s="316">
        <v>37.93</v>
      </c>
      <c r="I165" s="316">
        <v>46.26</v>
      </c>
      <c r="J165" s="698" t="s">
        <v>1248</v>
      </c>
      <c r="K165" s="699"/>
      <c r="L165" s="699"/>
      <c r="M165" s="699"/>
      <c r="N165" s="699"/>
      <c r="O165" s="699"/>
      <c r="P165" s="699"/>
      <c r="Q165" s="699"/>
      <c r="R165" s="700"/>
    </row>
    <row r="166" spans="2:27" ht="25.5" customHeight="1" x14ac:dyDescent="0.25">
      <c r="B166" s="295">
        <v>3</v>
      </c>
      <c r="C166" s="316">
        <v>1</v>
      </c>
      <c r="D166" s="316">
        <v>1</v>
      </c>
      <c r="E166" s="316">
        <v>1</v>
      </c>
      <c r="F166" s="316">
        <v>1</v>
      </c>
      <c r="G166" s="316">
        <v>1</v>
      </c>
      <c r="H166" s="316">
        <v>1</v>
      </c>
      <c r="I166" s="316">
        <v>1</v>
      </c>
      <c r="J166" s="303" t="s">
        <v>1249</v>
      </c>
      <c r="K166" s="304"/>
      <c r="L166" s="304"/>
      <c r="M166" s="304"/>
      <c r="N166" s="304"/>
      <c r="O166" s="304"/>
      <c r="P166" s="304"/>
      <c r="Q166" s="304"/>
      <c r="R166" s="305"/>
    </row>
    <row r="167" spans="2:27" ht="25.5" customHeight="1" x14ac:dyDescent="0.25">
      <c r="B167" s="295">
        <v>4</v>
      </c>
      <c r="C167" s="316">
        <f>C164*C165*C166</f>
        <v>0</v>
      </c>
      <c r="D167" s="316">
        <f ca="1">D164*D165*D166</f>
        <v>393.25</v>
      </c>
      <c r="E167" s="316">
        <f>E164*E165*E166</f>
        <v>0</v>
      </c>
      <c r="F167" s="316">
        <f t="shared" ref="F167:I167" si="16">F164*F165*F166</f>
        <v>0</v>
      </c>
      <c r="G167" s="316">
        <f t="shared" ca="1" si="16"/>
        <v>1046.8700000000001</v>
      </c>
      <c r="H167" s="316">
        <f t="shared" si="16"/>
        <v>0</v>
      </c>
      <c r="I167" s="316">
        <f t="shared" si="16"/>
        <v>0</v>
      </c>
      <c r="J167" s="698" t="s">
        <v>1250</v>
      </c>
      <c r="K167" s="699"/>
      <c r="L167" s="699"/>
      <c r="M167" s="699"/>
      <c r="N167" s="699"/>
      <c r="O167" s="699"/>
      <c r="P167" s="699"/>
      <c r="Q167" s="699"/>
      <c r="R167" s="700"/>
    </row>
    <row r="168" spans="2:27" ht="25.5" customHeight="1" x14ac:dyDescent="0.25">
      <c r="B168" s="295">
        <v>5</v>
      </c>
      <c r="C168" s="316">
        <f t="shared" ref="C168:I168" si="17">C167*C155</f>
        <v>0</v>
      </c>
      <c r="D168" s="316">
        <f t="shared" ca="1" si="17"/>
        <v>247.74750000000017</v>
      </c>
      <c r="E168" s="316">
        <f t="shared" si="17"/>
        <v>0</v>
      </c>
      <c r="F168" s="316">
        <f t="shared" si="17"/>
        <v>0</v>
      </c>
      <c r="G168" s="316">
        <f t="shared" ca="1" si="17"/>
        <v>785.15250000000015</v>
      </c>
      <c r="H168" s="316">
        <f t="shared" si="17"/>
        <v>0</v>
      </c>
      <c r="I168" s="316">
        <f t="shared" si="17"/>
        <v>0</v>
      </c>
      <c r="J168" s="698" t="s">
        <v>1251</v>
      </c>
      <c r="K168" s="699"/>
      <c r="L168" s="699"/>
      <c r="M168" s="699"/>
      <c r="N168" s="699"/>
      <c r="O168" s="699"/>
      <c r="P168" s="699"/>
      <c r="Q168" s="699"/>
      <c r="R168" s="700"/>
    </row>
    <row r="169" spans="2:27" ht="25.5" customHeight="1" x14ac:dyDescent="0.25">
      <c r="B169" s="295">
        <v>6</v>
      </c>
      <c r="C169" s="316">
        <f t="shared" ref="C169:I169" si="18">C168*C156*C157*C158</f>
        <v>0</v>
      </c>
      <c r="D169" s="316">
        <f t="shared" ca="1" si="18"/>
        <v>1252.1158650000007</v>
      </c>
      <c r="E169" s="316">
        <f t="shared" si="18"/>
        <v>0</v>
      </c>
      <c r="F169" s="316">
        <f t="shared" si="18"/>
        <v>0</v>
      </c>
      <c r="G169" s="316">
        <f t="shared" ca="1" si="18"/>
        <v>3968.1607350000004</v>
      </c>
      <c r="H169" s="316">
        <f t="shared" si="18"/>
        <v>0</v>
      </c>
      <c r="I169" s="316">
        <f t="shared" si="18"/>
        <v>0</v>
      </c>
      <c r="J169" s="698" t="s">
        <v>1252</v>
      </c>
      <c r="K169" s="699"/>
      <c r="L169" s="699"/>
      <c r="M169" s="699"/>
      <c r="N169" s="699"/>
      <c r="O169" s="699"/>
      <c r="P169" s="699"/>
      <c r="Q169" s="699"/>
      <c r="R169" s="700"/>
    </row>
    <row r="170" spans="2:27" ht="25.5" customHeight="1" x14ac:dyDescent="0.25">
      <c r="B170" s="295">
        <v>7</v>
      </c>
      <c r="C170" s="317"/>
      <c r="D170" s="317">
        <f t="shared" ref="D170:I170" ca="1" si="19">D169*D160</f>
        <v>375.6347595000002</v>
      </c>
      <c r="E170" s="317">
        <f t="shared" si="19"/>
        <v>0</v>
      </c>
      <c r="F170" s="317">
        <f t="shared" si="19"/>
        <v>0</v>
      </c>
      <c r="G170" s="317">
        <f t="shared" ca="1" si="19"/>
        <v>2380.8964410000003</v>
      </c>
      <c r="H170" s="317">
        <f t="shared" si="19"/>
        <v>0</v>
      </c>
      <c r="I170" s="317">
        <f t="shared" si="19"/>
        <v>0</v>
      </c>
      <c r="J170" s="698" t="s">
        <v>1253</v>
      </c>
      <c r="K170" s="699"/>
      <c r="L170" s="699"/>
      <c r="M170" s="699"/>
      <c r="N170" s="699"/>
      <c r="O170" s="699"/>
      <c r="P170" s="699"/>
      <c r="Q170" s="699"/>
      <c r="R170" s="700"/>
    </row>
    <row r="171" spans="2:27" ht="46.5" customHeight="1" x14ac:dyDescent="0.25">
      <c r="B171" s="295">
        <v>8</v>
      </c>
      <c r="C171" s="295"/>
      <c r="D171" s="701">
        <f ca="1">SUM(D170:I170)*1000</f>
        <v>2756531.2005000007</v>
      </c>
      <c r="E171" s="701"/>
      <c r="F171" s="701"/>
      <c r="G171" s="701"/>
      <c r="H171" s="701"/>
      <c r="I171" s="701"/>
      <c r="J171" s="698" t="s">
        <v>1254</v>
      </c>
      <c r="K171" s="699"/>
      <c r="L171" s="699"/>
      <c r="M171" s="699"/>
      <c r="N171" s="699"/>
      <c r="O171" s="699"/>
      <c r="P171" s="699"/>
      <c r="Q171" s="699"/>
      <c r="R171" s="700"/>
    </row>
    <row r="172" spans="2:27" ht="41.25" customHeight="1" x14ac:dyDescent="0.25">
      <c r="B172" s="295">
        <v>9</v>
      </c>
      <c r="C172" s="295"/>
      <c r="D172" s="702">
        <f ca="1">ROUND(D171*0.8,0)</f>
        <v>2205225</v>
      </c>
      <c r="E172" s="703"/>
      <c r="F172" s="703"/>
      <c r="G172" s="703"/>
      <c r="H172" s="703"/>
      <c r="I172" s="704"/>
      <c r="J172" s="698" t="s">
        <v>1255</v>
      </c>
      <c r="K172" s="699"/>
      <c r="L172" s="699"/>
      <c r="M172" s="699"/>
      <c r="N172" s="699"/>
      <c r="O172" s="699"/>
      <c r="P172" s="699"/>
      <c r="Q172" s="699"/>
      <c r="R172" s="700"/>
    </row>
    <row r="173" spans="2:27" ht="28.5" customHeight="1" x14ac:dyDescent="0.25">
      <c r="B173" s="295">
        <v>11</v>
      </c>
      <c r="C173" s="295"/>
      <c r="D173" s="697">
        <f ca="1">D172</f>
        <v>2205225</v>
      </c>
      <c r="E173" s="697"/>
      <c r="F173" s="697"/>
      <c r="G173" s="697"/>
      <c r="H173" s="697"/>
      <c r="I173" s="697"/>
      <c r="J173" s="698" t="s">
        <v>1256</v>
      </c>
      <c r="K173" s="699"/>
      <c r="L173" s="699"/>
      <c r="M173" s="699"/>
      <c r="N173" s="699"/>
      <c r="O173" s="699"/>
      <c r="P173" s="699"/>
      <c r="Q173" s="699"/>
      <c r="R173" s="700"/>
      <c r="Y173" s="318">
        <f ca="1">D173</f>
        <v>2205225</v>
      </c>
      <c r="AA173" s="324"/>
    </row>
    <row r="174" spans="2:27" ht="14.25" x14ac:dyDescent="0.2">
      <c r="B174" s="289"/>
      <c r="C174" s="289"/>
      <c r="D174" s="319"/>
      <c r="E174" s="320"/>
      <c r="F174" s="320"/>
      <c r="G174" s="320"/>
      <c r="H174" s="320"/>
      <c r="I174" s="320"/>
      <c r="J174" s="321"/>
      <c r="K174" s="320"/>
      <c r="L174" s="322"/>
      <c r="M174" s="320"/>
      <c r="N174" s="320"/>
      <c r="O174" s="320"/>
      <c r="P174" s="320"/>
      <c r="Q174" s="320"/>
      <c r="R174" s="320"/>
    </row>
    <row r="175" spans="2:27" ht="14.25" x14ac:dyDescent="0.2">
      <c r="D175" s="319"/>
      <c r="J175" s="321"/>
      <c r="L175" s="323"/>
    </row>
  </sheetData>
  <mergeCells count="222">
    <mergeCell ref="O2:R2"/>
    <mergeCell ref="B4:R4"/>
    <mergeCell ref="B5:R5"/>
    <mergeCell ref="G6:R7"/>
    <mergeCell ref="G11:L11"/>
    <mergeCell ref="B13:R13"/>
    <mergeCell ref="B15:R15"/>
    <mergeCell ref="B27:R27"/>
    <mergeCell ref="B29:L29"/>
    <mergeCell ref="M29:N29"/>
    <mergeCell ref="C30:D30"/>
    <mergeCell ref="E30:G30"/>
    <mergeCell ref="H30:L30"/>
    <mergeCell ref="M30:N30"/>
    <mergeCell ref="C31:D31"/>
    <mergeCell ref="E31:G31"/>
    <mergeCell ref="H31:L31"/>
    <mergeCell ref="M31:N31"/>
    <mergeCell ref="H32:L32"/>
    <mergeCell ref="M32:N32"/>
    <mergeCell ref="H33:L33"/>
    <mergeCell ref="M33:N33"/>
    <mergeCell ref="H34:L34"/>
    <mergeCell ref="M34:N34"/>
    <mergeCell ref="H35:L35"/>
    <mergeCell ref="M35:N35"/>
    <mergeCell ref="C36:D36"/>
    <mergeCell ref="E36:G36"/>
    <mergeCell ref="H36:L36"/>
    <mergeCell ref="M36:N36"/>
    <mergeCell ref="H37:L37"/>
    <mergeCell ref="M37:N37"/>
    <mergeCell ref="H38:L38"/>
    <mergeCell ref="M38:N38"/>
    <mergeCell ref="H39:L39"/>
    <mergeCell ref="M39:N39"/>
    <mergeCell ref="H40:L40"/>
    <mergeCell ref="M40:N40"/>
    <mergeCell ref="H41:L41"/>
    <mergeCell ref="M41:N41"/>
    <mergeCell ref="H42:L42"/>
    <mergeCell ref="M42:N42"/>
    <mergeCell ref="C43:D43"/>
    <mergeCell ref="E43:G43"/>
    <mergeCell ref="H43:L43"/>
    <mergeCell ref="M43:N43"/>
    <mergeCell ref="H44:L44"/>
    <mergeCell ref="M44:N44"/>
    <mergeCell ref="H45:L45"/>
    <mergeCell ref="M45:N45"/>
    <mergeCell ref="H46:L46"/>
    <mergeCell ref="M46:N46"/>
    <mergeCell ref="H47:L47"/>
    <mergeCell ref="M47:N47"/>
    <mergeCell ref="H48:L48"/>
    <mergeCell ref="M48:N48"/>
    <mergeCell ref="H49:L49"/>
    <mergeCell ref="M49:N49"/>
    <mergeCell ref="H50:L50"/>
    <mergeCell ref="M50:N50"/>
    <mergeCell ref="H51:L51"/>
    <mergeCell ref="M51:N51"/>
    <mergeCell ref="C52:D52"/>
    <mergeCell ref="E52:G52"/>
    <mergeCell ref="H52:L52"/>
    <mergeCell ref="M52:N52"/>
    <mergeCell ref="H53:L53"/>
    <mergeCell ref="M53:N53"/>
    <mergeCell ref="H54:L54"/>
    <mergeCell ref="M54:N54"/>
    <mergeCell ref="H55:L55"/>
    <mergeCell ref="M55:N55"/>
    <mergeCell ref="H56:L56"/>
    <mergeCell ref="M56:N56"/>
    <mergeCell ref="H57:L57"/>
    <mergeCell ref="M57:N57"/>
    <mergeCell ref="H58:L58"/>
    <mergeCell ref="M58:N58"/>
    <mergeCell ref="H59:L59"/>
    <mergeCell ref="M59:N59"/>
    <mergeCell ref="H60:L60"/>
    <mergeCell ref="M60:N60"/>
    <mergeCell ref="H61:L61"/>
    <mergeCell ref="M61:N61"/>
    <mergeCell ref="H62:L62"/>
    <mergeCell ref="M62:N62"/>
    <mergeCell ref="H63:L63"/>
    <mergeCell ref="M63:N63"/>
    <mergeCell ref="H64:L64"/>
    <mergeCell ref="M64:N64"/>
    <mergeCell ref="H65:L65"/>
    <mergeCell ref="M65:N65"/>
    <mergeCell ref="H66:L66"/>
    <mergeCell ref="M66:N66"/>
    <mergeCell ref="M67:N67"/>
    <mergeCell ref="B69:L69"/>
    <mergeCell ref="M69:R69"/>
    <mergeCell ref="C70:D70"/>
    <mergeCell ref="E70:G70"/>
    <mergeCell ref="H70:L70"/>
    <mergeCell ref="C71:D71"/>
    <mergeCell ref="E71:G71"/>
    <mergeCell ref="H71:L71"/>
    <mergeCell ref="H72:L72"/>
    <mergeCell ref="H73:L73"/>
    <mergeCell ref="H74:L74"/>
    <mergeCell ref="H75:L75"/>
    <mergeCell ref="H76:L76"/>
    <mergeCell ref="H77:L77"/>
    <mergeCell ref="C78:D78"/>
    <mergeCell ref="E78:G78"/>
    <mergeCell ref="H78:L78"/>
    <mergeCell ref="E79:F85"/>
    <mergeCell ref="H79:L79"/>
    <mergeCell ref="H80:L80"/>
    <mergeCell ref="H81:L81"/>
    <mergeCell ref="H82:L82"/>
    <mergeCell ref="H83:L83"/>
    <mergeCell ref="H84:L84"/>
    <mergeCell ref="H85:L85"/>
    <mergeCell ref="C86:D86"/>
    <mergeCell ref="E86:G86"/>
    <mergeCell ref="H86:L86"/>
    <mergeCell ref="H87:L87"/>
    <mergeCell ref="H88:L88"/>
    <mergeCell ref="H89:L89"/>
    <mergeCell ref="H90:L90"/>
    <mergeCell ref="C91:D91"/>
    <mergeCell ref="E91:G91"/>
    <mergeCell ref="H91:L91"/>
    <mergeCell ref="H92:L92"/>
    <mergeCell ref="H93:L93"/>
    <mergeCell ref="H94:L94"/>
    <mergeCell ref="H95:L95"/>
    <mergeCell ref="H96:L96"/>
    <mergeCell ref="H97:L97"/>
    <mergeCell ref="H98:L98"/>
    <mergeCell ref="C99:D99"/>
    <mergeCell ref="E99:G99"/>
    <mergeCell ref="H99:L99"/>
    <mergeCell ref="H100:L100"/>
    <mergeCell ref="H101:L101"/>
    <mergeCell ref="H102:L102"/>
    <mergeCell ref="H103:L103"/>
    <mergeCell ref="H104:L104"/>
    <mergeCell ref="C105:D105"/>
    <mergeCell ref="E105:G105"/>
    <mergeCell ref="H105:L105"/>
    <mergeCell ref="H106:L106"/>
    <mergeCell ref="H107:L107"/>
    <mergeCell ref="H108:L108"/>
    <mergeCell ref="H109:L109"/>
    <mergeCell ref="H110:L110"/>
    <mergeCell ref="H111:L111"/>
    <mergeCell ref="H112:L112"/>
    <mergeCell ref="H113:L113"/>
    <mergeCell ref="H114:L114"/>
    <mergeCell ref="H115:L115"/>
    <mergeCell ref="H116:L116"/>
    <mergeCell ref="H117:L117"/>
    <mergeCell ref="H118:L118"/>
    <mergeCell ref="H119:L119"/>
    <mergeCell ref="C120:D120"/>
    <mergeCell ref="E120:G120"/>
    <mergeCell ref="H120:L120"/>
    <mergeCell ref="H121:L121"/>
    <mergeCell ref="H122:L122"/>
    <mergeCell ref="H123:L123"/>
    <mergeCell ref="H124:L124"/>
    <mergeCell ref="H125:L125"/>
    <mergeCell ref="H126:L126"/>
    <mergeCell ref="H127:L127"/>
    <mergeCell ref="H128:L128"/>
    <mergeCell ref="H129:L129"/>
    <mergeCell ref="H130:L130"/>
    <mergeCell ref="H131:L131"/>
    <mergeCell ref="H132:L132"/>
    <mergeCell ref="H133:L133"/>
    <mergeCell ref="H134:L134"/>
    <mergeCell ref="B136:R136"/>
    <mergeCell ref="B137:B138"/>
    <mergeCell ref="C137:I137"/>
    <mergeCell ref="J137:R137"/>
    <mergeCell ref="L138:P138"/>
    <mergeCell ref="L139:P139"/>
    <mergeCell ref="L140:P140"/>
    <mergeCell ref="L141:P141"/>
    <mergeCell ref="L142:P142"/>
    <mergeCell ref="L143:P143"/>
    <mergeCell ref="L144:P144"/>
    <mergeCell ref="L145:P145"/>
    <mergeCell ref="L146:P146"/>
    <mergeCell ref="L147:P147"/>
    <mergeCell ref="L148:P148"/>
    <mergeCell ref="L149:P149"/>
    <mergeCell ref="L150:P150"/>
    <mergeCell ref="L151:P151"/>
    <mergeCell ref="L152:P152"/>
    <mergeCell ref="K153:R153"/>
    <mergeCell ref="K154:R154"/>
    <mergeCell ref="K155:R155"/>
    <mergeCell ref="K156:R156"/>
    <mergeCell ref="K157:R157"/>
    <mergeCell ref="K158:R158"/>
    <mergeCell ref="K159:R159"/>
    <mergeCell ref="K160:R160"/>
    <mergeCell ref="B161:R161"/>
    <mergeCell ref="B162:B163"/>
    <mergeCell ref="C162:I162"/>
    <mergeCell ref="J162:R163"/>
    <mergeCell ref="J164:R164"/>
    <mergeCell ref="J165:R165"/>
    <mergeCell ref="D173:I173"/>
    <mergeCell ref="J173:R173"/>
    <mergeCell ref="J167:R167"/>
    <mergeCell ref="J168:R168"/>
    <mergeCell ref="J169:R169"/>
    <mergeCell ref="J170:R170"/>
    <mergeCell ref="D171:I171"/>
    <mergeCell ref="J171:R171"/>
    <mergeCell ref="D172:I172"/>
    <mergeCell ref="J172:R172"/>
  </mergeCells>
  <dataValidations count="15">
    <dataValidation type="list" allowBlank="1" showInputMessage="1" showErrorMessage="1" sqref="H52:L52">
      <formula1>$H$53:$H$66</formula1>
    </dataValidation>
    <dataValidation type="list" allowBlank="1" showInputMessage="1" showErrorMessage="1" sqref="H43:L43">
      <formula1>$H$44:$H$51</formula1>
    </dataValidation>
    <dataValidation type="list" allowBlank="1" showInputMessage="1" showErrorMessage="1" sqref="H36:L36">
      <formula1>$H$37:$H$42</formula1>
    </dataValidation>
    <dataValidation type="list" allowBlank="1" showInputMessage="1" showErrorMessage="1" sqref="H31:L31">
      <formula1>$H$32:$H$35</formula1>
    </dataValidation>
    <dataValidation type="list" allowBlank="1" showInputMessage="1" showErrorMessage="1" sqref="D24:I24">
      <formula1>$D$25:$D$26</formula1>
    </dataValidation>
    <dataValidation type="list" allowBlank="1" showInputMessage="1" showErrorMessage="1" sqref="H19">
      <formula1>$H$20:$H$21</formula1>
    </dataValidation>
    <dataValidation type="list" allowBlank="1" showInputMessage="1" showErrorMessage="1" sqref="B16:C16">
      <formula1>$B$17:$B$18</formula1>
    </dataValidation>
    <dataValidation type="list" allowBlank="1" showInputMessage="1" showErrorMessage="1" sqref="R139:R152">
      <formula1>$W$140:$W$141</formula1>
    </dataValidation>
    <dataValidation type="list" allowBlank="1" showInputMessage="1" showErrorMessage="1" sqref="H120:L120">
      <formula1>$H$121:$H$134</formula1>
    </dataValidation>
    <dataValidation type="list" allowBlank="1" showInputMessage="1" showErrorMessage="1" sqref="H105:L105">
      <formula1>$H$106:$H$119</formula1>
    </dataValidation>
    <dataValidation type="list" allowBlank="1" showInputMessage="1" showErrorMessage="1" sqref="H99:L99">
      <formula1>$H$100:$H$104</formula1>
    </dataValidation>
    <dataValidation type="list" allowBlank="1" showInputMessage="1" showErrorMessage="1" sqref="H91:L91">
      <formula1>$H$92:$H$98</formula1>
    </dataValidation>
    <dataValidation type="list" allowBlank="1" showInputMessage="1" showErrorMessage="1" sqref="H86:L86">
      <formula1>$H$87:$H$90</formula1>
    </dataValidation>
    <dataValidation type="list" allowBlank="1" showInputMessage="1" showErrorMessage="1" sqref="H78:L78">
      <formula1>$H$79:$H$85</formula1>
    </dataValidation>
    <dataValidation type="list" allowBlank="1" showInputMessage="1" showErrorMessage="1" sqref="H71:L71">
      <formula1>$H$72:$H$77</formula1>
    </dataValidation>
  </dataValidations>
  <pageMargins left="0.7" right="0.7" top="0.75" bottom="0.75" header="0.3" footer="0.3"/>
  <pageSetup paperSize="9" scale="54" fitToHeight="0"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pageSetUpPr fitToPage="1"/>
  </sheetPr>
  <dimension ref="A1:IV117"/>
  <sheetViews>
    <sheetView topLeftCell="A91" zoomScale="85" zoomScaleNormal="85" workbookViewId="0">
      <selection activeCell="A115" sqref="A115:E116"/>
    </sheetView>
  </sheetViews>
  <sheetFormatPr defaultColWidth="9.140625" defaultRowHeight="12.75" x14ac:dyDescent="0.2"/>
  <cols>
    <col min="1" max="1" width="9.140625" style="362"/>
    <col min="2" max="2" width="34.85546875" style="362" customWidth="1"/>
    <col min="3" max="3" width="42.85546875" style="363" customWidth="1"/>
    <col min="4" max="4" width="26.5703125" style="364" customWidth="1"/>
    <col min="5" max="5" width="17.42578125" style="364" customWidth="1"/>
    <col min="6" max="219" width="9.140625" style="362"/>
    <col min="220" max="220" width="28" style="362" customWidth="1"/>
    <col min="221" max="221" width="52" style="362" customWidth="1"/>
    <col min="222" max="222" width="27.28515625" style="362" customWidth="1"/>
    <col min="223" max="223" width="20.5703125" style="362" customWidth="1"/>
    <col min="224" max="225" width="9.140625" style="362"/>
    <col min="226" max="226" width="11.5703125" style="362" bestFit="1" customWidth="1"/>
    <col min="227" max="257" width="9.140625" style="362"/>
    <col min="258" max="258" width="28.7109375" style="362" customWidth="1"/>
    <col min="259" max="259" width="42.85546875" style="362" customWidth="1"/>
    <col min="260" max="260" width="26.28515625" style="362" customWidth="1"/>
    <col min="261" max="261" width="17.42578125" style="362" customWidth="1"/>
    <col min="262" max="475" width="9.140625" style="362"/>
    <col min="476" max="476" width="28" style="362" customWidth="1"/>
    <col min="477" max="477" width="52" style="362" customWidth="1"/>
    <col min="478" max="478" width="27.28515625" style="362" customWidth="1"/>
    <col min="479" max="479" width="20.5703125" style="362" customWidth="1"/>
    <col min="480" max="481" width="9.140625" style="362"/>
    <col min="482" max="482" width="11.5703125" style="362" bestFit="1" customWidth="1"/>
    <col min="483" max="513" width="9.140625" style="362"/>
    <col min="514" max="514" width="28.7109375" style="362" customWidth="1"/>
    <col min="515" max="515" width="42.85546875" style="362" customWidth="1"/>
    <col min="516" max="516" width="26.28515625" style="362" customWidth="1"/>
    <col min="517" max="517" width="17.42578125" style="362" customWidth="1"/>
    <col min="518" max="731" width="9.140625" style="362"/>
    <col min="732" max="732" width="28" style="362" customWidth="1"/>
    <col min="733" max="733" width="52" style="362" customWidth="1"/>
    <col min="734" max="734" width="27.28515625" style="362" customWidth="1"/>
    <col min="735" max="735" width="20.5703125" style="362" customWidth="1"/>
    <col min="736" max="737" width="9.140625" style="362"/>
    <col min="738" max="738" width="11.5703125" style="362" bestFit="1" customWidth="1"/>
    <col min="739" max="769" width="9.140625" style="362"/>
    <col min="770" max="770" width="28.7109375" style="362" customWidth="1"/>
    <col min="771" max="771" width="42.85546875" style="362" customWidth="1"/>
    <col min="772" max="772" width="26.28515625" style="362" customWidth="1"/>
    <col min="773" max="773" width="17.42578125" style="362" customWidth="1"/>
    <col min="774" max="987" width="9.140625" style="362"/>
    <col min="988" max="988" width="28" style="362" customWidth="1"/>
    <col min="989" max="989" width="52" style="362" customWidth="1"/>
    <col min="990" max="990" width="27.28515625" style="362" customWidth="1"/>
    <col min="991" max="991" width="20.5703125" style="362" customWidth="1"/>
    <col min="992" max="993" width="9.140625" style="362"/>
    <col min="994" max="994" width="11.5703125" style="362" bestFit="1" customWidth="1"/>
    <col min="995" max="1025" width="9.140625" style="362"/>
    <col min="1026" max="1026" width="28.7109375" style="362" customWidth="1"/>
    <col min="1027" max="1027" width="42.85546875" style="362" customWidth="1"/>
    <col min="1028" max="1028" width="26.28515625" style="362" customWidth="1"/>
    <col min="1029" max="1029" width="17.42578125" style="362" customWidth="1"/>
    <col min="1030" max="1243" width="9.140625" style="362"/>
    <col min="1244" max="1244" width="28" style="362" customWidth="1"/>
    <col min="1245" max="1245" width="52" style="362" customWidth="1"/>
    <col min="1246" max="1246" width="27.28515625" style="362" customWidth="1"/>
    <col min="1247" max="1247" width="20.5703125" style="362" customWidth="1"/>
    <col min="1248" max="1249" width="9.140625" style="362"/>
    <col min="1250" max="1250" width="11.5703125" style="362" bestFit="1" customWidth="1"/>
    <col min="1251" max="1281" width="9.140625" style="362"/>
    <col min="1282" max="1282" width="28.7109375" style="362" customWidth="1"/>
    <col min="1283" max="1283" width="42.85546875" style="362" customWidth="1"/>
    <col min="1284" max="1284" width="26.28515625" style="362" customWidth="1"/>
    <col min="1285" max="1285" width="17.42578125" style="362" customWidth="1"/>
    <col min="1286" max="1499" width="9.140625" style="362"/>
    <col min="1500" max="1500" width="28" style="362" customWidth="1"/>
    <col min="1501" max="1501" width="52" style="362" customWidth="1"/>
    <col min="1502" max="1502" width="27.28515625" style="362" customWidth="1"/>
    <col min="1503" max="1503" width="20.5703125" style="362" customWidth="1"/>
    <col min="1504" max="1505" width="9.140625" style="362"/>
    <col min="1506" max="1506" width="11.5703125" style="362" bestFit="1" customWidth="1"/>
    <col min="1507" max="1537" width="9.140625" style="362"/>
    <col min="1538" max="1538" width="28.7109375" style="362" customWidth="1"/>
    <col min="1539" max="1539" width="42.85546875" style="362" customWidth="1"/>
    <col min="1540" max="1540" width="26.28515625" style="362" customWidth="1"/>
    <col min="1541" max="1541" width="17.42578125" style="362" customWidth="1"/>
    <col min="1542" max="1755" width="9.140625" style="362"/>
    <col min="1756" max="1756" width="28" style="362" customWidth="1"/>
    <col min="1757" max="1757" width="52" style="362" customWidth="1"/>
    <col min="1758" max="1758" width="27.28515625" style="362" customWidth="1"/>
    <col min="1759" max="1759" width="20.5703125" style="362" customWidth="1"/>
    <col min="1760" max="1761" width="9.140625" style="362"/>
    <col min="1762" max="1762" width="11.5703125" style="362" bestFit="1" customWidth="1"/>
    <col min="1763" max="1793" width="9.140625" style="362"/>
    <col min="1794" max="1794" width="28.7109375" style="362" customWidth="1"/>
    <col min="1795" max="1795" width="42.85546875" style="362" customWidth="1"/>
    <col min="1796" max="1796" width="26.28515625" style="362" customWidth="1"/>
    <col min="1797" max="1797" width="17.42578125" style="362" customWidth="1"/>
    <col min="1798" max="2011" width="9.140625" style="362"/>
    <col min="2012" max="2012" width="28" style="362" customWidth="1"/>
    <col min="2013" max="2013" width="52" style="362" customWidth="1"/>
    <col min="2014" max="2014" width="27.28515625" style="362" customWidth="1"/>
    <col min="2015" max="2015" width="20.5703125" style="362" customWidth="1"/>
    <col min="2016" max="2017" width="9.140625" style="362"/>
    <col min="2018" max="2018" width="11.5703125" style="362" bestFit="1" customWidth="1"/>
    <col min="2019" max="2049" width="9.140625" style="362"/>
    <col min="2050" max="2050" width="28.7109375" style="362" customWidth="1"/>
    <col min="2051" max="2051" width="42.85546875" style="362" customWidth="1"/>
    <col min="2052" max="2052" width="26.28515625" style="362" customWidth="1"/>
    <col min="2053" max="2053" width="17.42578125" style="362" customWidth="1"/>
    <col min="2054" max="2267" width="9.140625" style="362"/>
    <col min="2268" max="2268" width="28" style="362" customWidth="1"/>
    <col min="2269" max="2269" width="52" style="362" customWidth="1"/>
    <col min="2270" max="2270" width="27.28515625" style="362" customWidth="1"/>
    <col min="2271" max="2271" width="20.5703125" style="362" customWidth="1"/>
    <col min="2272" max="2273" width="9.140625" style="362"/>
    <col min="2274" max="2274" width="11.5703125" style="362" bestFit="1" customWidth="1"/>
    <col min="2275" max="2305" width="9.140625" style="362"/>
    <col min="2306" max="2306" width="28.7109375" style="362" customWidth="1"/>
    <col min="2307" max="2307" width="42.85546875" style="362" customWidth="1"/>
    <col min="2308" max="2308" width="26.28515625" style="362" customWidth="1"/>
    <col min="2309" max="2309" width="17.42578125" style="362" customWidth="1"/>
    <col min="2310" max="2523" width="9.140625" style="362"/>
    <col min="2524" max="2524" width="28" style="362" customWidth="1"/>
    <col min="2525" max="2525" width="52" style="362" customWidth="1"/>
    <col min="2526" max="2526" width="27.28515625" style="362" customWidth="1"/>
    <col min="2527" max="2527" width="20.5703125" style="362" customWidth="1"/>
    <col min="2528" max="2529" width="9.140625" style="362"/>
    <col min="2530" max="2530" width="11.5703125" style="362" bestFit="1" customWidth="1"/>
    <col min="2531" max="2561" width="9.140625" style="362"/>
    <col min="2562" max="2562" width="28.7109375" style="362" customWidth="1"/>
    <col min="2563" max="2563" width="42.85546875" style="362" customWidth="1"/>
    <col min="2564" max="2564" width="26.28515625" style="362" customWidth="1"/>
    <col min="2565" max="2565" width="17.42578125" style="362" customWidth="1"/>
    <col min="2566" max="2779" width="9.140625" style="362"/>
    <col min="2780" max="2780" width="28" style="362" customWidth="1"/>
    <col min="2781" max="2781" width="52" style="362" customWidth="1"/>
    <col min="2782" max="2782" width="27.28515625" style="362" customWidth="1"/>
    <col min="2783" max="2783" width="20.5703125" style="362" customWidth="1"/>
    <col min="2784" max="2785" width="9.140625" style="362"/>
    <col min="2786" max="2786" width="11.5703125" style="362" bestFit="1" customWidth="1"/>
    <col min="2787" max="2817" width="9.140625" style="362"/>
    <col min="2818" max="2818" width="28.7109375" style="362" customWidth="1"/>
    <col min="2819" max="2819" width="42.85546875" style="362" customWidth="1"/>
    <col min="2820" max="2820" width="26.28515625" style="362" customWidth="1"/>
    <col min="2821" max="2821" width="17.42578125" style="362" customWidth="1"/>
    <col min="2822" max="3035" width="9.140625" style="362"/>
    <col min="3036" max="3036" width="28" style="362" customWidth="1"/>
    <col min="3037" max="3037" width="52" style="362" customWidth="1"/>
    <col min="3038" max="3038" width="27.28515625" style="362" customWidth="1"/>
    <col min="3039" max="3039" width="20.5703125" style="362" customWidth="1"/>
    <col min="3040" max="3041" width="9.140625" style="362"/>
    <col min="3042" max="3042" width="11.5703125" style="362" bestFit="1" customWidth="1"/>
    <col min="3043" max="3073" width="9.140625" style="362"/>
    <col min="3074" max="3074" width="28.7109375" style="362" customWidth="1"/>
    <col min="3075" max="3075" width="42.85546875" style="362" customWidth="1"/>
    <col min="3076" max="3076" width="26.28515625" style="362" customWidth="1"/>
    <col min="3077" max="3077" width="17.42578125" style="362" customWidth="1"/>
    <col min="3078" max="3291" width="9.140625" style="362"/>
    <col min="3292" max="3292" width="28" style="362" customWidth="1"/>
    <col min="3293" max="3293" width="52" style="362" customWidth="1"/>
    <col min="3294" max="3294" width="27.28515625" style="362" customWidth="1"/>
    <col min="3295" max="3295" width="20.5703125" style="362" customWidth="1"/>
    <col min="3296" max="3297" width="9.140625" style="362"/>
    <col min="3298" max="3298" width="11.5703125" style="362" bestFit="1" customWidth="1"/>
    <col min="3299" max="3329" width="9.140625" style="362"/>
    <col min="3330" max="3330" width="28.7109375" style="362" customWidth="1"/>
    <col min="3331" max="3331" width="42.85546875" style="362" customWidth="1"/>
    <col min="3332" max="3332" width="26.28515625" style="362" customWidth="1"/>
    <col min="3333" max="3333" width="17.42578125" style="362" customWidth="1"/>
    <col min="3334" max="3547" width="9.140625" style="362"/>
    <col min="3548" max="3548" width="28" style="362" customWidth="1"/>
    <col min="3549" max="3549" width="52" style="362" customWidth="1"/>
    <col min="3550" max="3550" width="27.28515625" style="362" customWidth="1"/>
    <col min="3551" max="3551" width="20.5703125" style="362" customWidth="1"/>
    <col min="3552" max="3553" width="9.140625" style="362"/>
    <col min="3554" max="3554" width="11.5703125" style="362" bestFit="1" customWidth="1"/>
    <col min="3555" max="3585" width="9.140625" style="362"/>
    <col min="3586" max="3586" width="28.7109375" style="362" customWidth="1"/>
    <col min="3587" max="3587" width="42.85546875" style="362" customWidth="1"/>
    <col min="3588" max="3588" width="26.28515625" style="362" customWidth="1"/>
    <col min="3589" max="3589" width="17.42578125" style="362" customWidth="1"/>
    <col min="3590" max="3803" width="9.140625" style="362"/>
    <col min="3804" max="3804" width="28" style="362" customWidth="1"/>
    <col min="3805" max="3805" width="52" style="362" customWidth="1"/>
    <col min="3806" max="3806" width="27.28515625" style="362" customWidth="1"/>
    <col min="3807" max="3807" width="20.5703125" style="362" customWidth="1"/>
    <col min="3808" max="3809" width="9.140625" style="362"/>
    <col min="3810" max="3810" width="11.5703125" style="362" bestFit="1" customWidth="1"/>
    <col min="3811" max="3841" width="9.140625" style="362"/>
    <col min="3842" max="3842" width="28.7109375" style="362" customWidth="1"/>
    <col min="3843" max="3843" width="42.85546875" style="362" customWidth="1"/>
    <col min="3844" max="3844" width="26.28515625" style="362" customWidth="1"/>
    <col min="3845" max="3845" width="17.42578125" style="362" customWidth="1"/>
    <col min="3846" max="4059" width="9.140625" style="362"/>
    <col min="4060" max="4060" width="28" style="362" customWidth="1"/>
    <col min="4061" max="4061" width="52" style="362" customWidth="1"/>
    <col min="4062" max="4062" width="27.28515625" style="362" customWidth="1"/>
    <col min="4063" max="4063" width="20.5703125" style="362" customWidth="1"/>
    <col min="4064" max="4065" width="9.140625" style="362"/>
    <col min="4066" max="4066" width="11.5703125" style="362" bestFit="1" customWidth="1"/>
    <col min="4067" max="4097" width="9.140625" style="362"/>
    <col min="4098" max="4098" width="28.7109375" style="362" customWidth="1"/>
    <col min="4099" max="4099" width="42.85546875" style="362" customWidth="1"/>
    <col min="4100" max="4100" width="26.28515625" style="362" customWidth="1"/>
    <col min="4101" max="4101" width="17.42578125" style="362" customWidth="1"/>
    <col min="4102" max="4315" width="9.140625" style="362"/>
    <col min="4316" max="4316" width="28" style="362" customWidth="1"/>
    <col min="4317" max="4317" width="52" style="362" customWidth="1"/>
    <col min="4318" max="4318" width="27.28515625" style="362" customWidth="1"/>
    <col min="4319" max="4319" width="20.5703125" style="362" customWidth="1"/>
    <col min="4320" max="4321" width="9.140625" style="362"/>
    <col min="4322" max="4322" width="11.5703125" style="362" bestFit="1" customWidth="1"/>
    <col min="4323" max="4353" width="9.140625" style="362"/>
    <col min="4354" max="4354" width="28.7109375" style="362" customWidth="1"/>
    <col min="4355" max="4355" width="42.85546875" style="362" customWidth="1"/>
    <col min="4356" max="4356" width="26.28515625" style="362" customWidth="1"/>
    <col min="4357" max="4357" width="17.42578125" style="362" customWidth="1"/>
    <col min="4358" max="4571" width="9.140625" style="362"/>
    <col min="4572" max="4572" width="28" style="362" customWidth="1"/>
    <col min="4573" max="4573" width="52" style="362" customWidth="1"/>
    <col min="4574" max="4574" width="27.28515625" style="362" customWidth="1"/>
    <col min="4575" max="4575" width="20.5703125" style="362" customWidth="1"/>
    <col min="4576" max="4577" width="9.140625" style="362"/>
    <col min="4578" max="4578" width="11.5703125" style="362" bestFit="1" customWidth="1"/>
    <col min="4579" max="4609" width="9.140625" style="362"/>
    <col min="4610" max="4610" width="28.7109375" style="362" customWidth="1"/>
    <col min="4611" max="4611" width="42.85546875" style="362" customWidth="1"/>
    <col min="4612" max="4612" width="26.28515625" style="362" customWidth="1"/>
    <col min="4613" max="4613" width="17.42578125" style="362" customWidth="1"/>
    <col min="4614" max="4827" width="9.140625" style="362"/>
    <col min="4828" max="4828" width="28" style="362" customWidth="1"/>
    <col min="4829" max="4829" width="52" style="362" customWidth="1"/>
    <col min="4830" max="4830" width="27.28515625" style="362" customWidth="1"/>
    <col min="4831" max="4831" width="20.5703125" style="362" customWidth="1"/>
    <col min="4832" max="4833" width="9.140625" style="362"/>
    <col min="4834" max="4834" width="11.5703125" style="362" bestFit="1" customWidth="1"/>
    <col min="4835" max="4865" width="9.140625" style="362"/>
    <col min="4866" max="4866" width="28.7109375" style="362" customWidth="1"/>
    <col min="4867" max="4867" width="42.85546875" style="362" customWidth="1"/>
    <col min="4868" max="4868" width="26.28515625" style="362" customWidth="1"/>
    <col min="4869" max="4869" width="17.42578125" style="362" customWidth="1"/>
    <col min="4870" max="5083" width="9.140625" style="362"/>
    <col min="5084" max="5084" width="28" style="362" customWidth="1"/>
    <col min="5085" max="5085" width="52" style="362" customWidth="1"/>
    <col min="5086" max="5086" width="27.28515625" style="362" customWidth="1"/>
    <col min="5087" max="5087" width="20.5703125" style="362" customWidth="1"/>
    <col min="5088" max="5089" width="9.140625" style="362"/>
    <col min="5090" max="5090" width="11.5703125" style="362" bestFit="1" customWidth="1"/>
    <col min="5091" max="5121" width="9.140625" style="362"/>
    <col min="5122" max="5122" width="28.7109375" style="362" customWidth="1"/>
    <col min="5123" max="5123" width="42.85546875" style="362" customWidth="1"/>
    <col min="5124" max="5124" width="26.28515625" style="362" customWidth="1"/>
    <col min="5125" max="5125" width="17.42578125" style="362" customWidth="1"/>
    <col min="5126" max="5339" width="9.140625" style="362"/>
    <col min="5340" max="5340" width="28" style="362" customWidth="1"/>
    <col min="5341" max="5341" width="52" style="362" customWidth="1"/>
    <col min="5342" max="5342" width="27.28515625" style="362" customWidth="1"/>
    <col min="5343" max="5343" width="20.5703125" style="362" customWidth="1"/>
    <col min="5344" max="5345" width="9.140625" style="362"/>
    <col min="5346" max="5346" width="11.5703125" style="362" bestFit="1" customWidth="1"/>
    <col min="5347" max="5377" width="9.140625" style="362"/>
    <col min="5378" max="5378" width="28.7109375" style="362" customWidth="1"/>
    <col min="5379" max="5379" width="42.85546875" style="362" customWidth="1"/>
    <col min="5380" max="5380" width="26.28515625" style="362" customWidth="1"/>
    <col min="5381" max="5381" width="17.42578125" style="362" customWidth="1"/>
    <col min="5382" max="5595" width="9.140625" style="362"/>
    <col min="5596" max="5596" width="28" style="362" customWidth="1"/>
    <col min="5597" max="5597" width="52" style="362" customWidth="1"/>
    <col min="5598" max="5598" width="27.28515625" style="362" customWidth="1"/>
    <col min="5599" max="5599" width="20.5703125" style="362" customWidth="1"/>
    <col min="5600" max="5601" width="9.140625" style="362"/>
    <col min="5602" max="5602" width="11.5703125" style="362" bestFit="1" customWidth="1"/>
    <col min="5603" max="5633" width="9.140625" style="362"/>
    <col min="5634" max="5634" width="28.7109375" style="362" customWidth="1"/>
    <col min="5635" max="5635" width="42.85546875" style="362" customWidth="1"/>
    <col min="5636" max="5636" width="26.28515625" style="362" customWidth="1"/>
    <col min="5637" max="5637" width="17.42578125" style="362" customWidth="1"/>
    <col min="5638" max="5851" width="9.140625" style="362"/>
    <col min="5852" max="5852" width="28" style="362" customWidth="1"/>
    <col min="5853" max="5853" width="52" style="362" customWidth="1"/>
    <col min="5854" max="5854" width="27.28515625" style="362" customWidth="1"/>
    <col min="5855" max="5855" width="20.5703125" style="362" customWidth="1"/>
    <col min="5856" max="5857" width="9.140625" style="362"/>
    <col min="5858" max="5858" width="11.5703125" style="362" bestFit="1" customWidth="1"/>
    <col min="5859" max="5889" width="9.140625" style="362"/>
    <col min="5890" max="5890" width="28.7109375" style="362" customWidth="1"/>
    <col min="5891" max="5891" width="42.85546875" style="362" customWidth="1"/>
    <col min="5892" max="5892" width="26.28515625" style="362" customWidth="1"/>
    <col min="5893" max="5893" width="17.42578125" style="362" customWidth="1"/>
    <col min="5894" max="6107" width="9.140625" style="362"/>
    <col min="6108" max="6108" width="28" style="362" customWidth="1"/>
    <col min="6109" max="6109" width="52" style="362" customWidth="1"/>
    <col min="6110" max="6110" width="27.28515625" style="362" customWidth="1"/>
    <col min="6111" max="6111" width="20.5703125" style="362" customWidth="1"/>
    <col min="6112" max="6113" width="9.140625" style="362"/>
    <col min="6114" max="6114" width="11.5703125" style="362" bestFit="1" customWidth="1"/>
    <col min="6115" max="6145" width="9.140625" style="362"/>
    <col min="6146" max="6146" width="28.7109375" style="362" customWidth="1"/>
    <col min="6147" max="6147" width="42.85546875" style="362" customWidth="1"/>
    <col min="6148" max="6148" width="26.28515625" style="362" customWidth="1"/>
    <col min="6149" max="6149" width="17.42578125" style="362" customWidth="1"/>
    <col min="6150" max="6363" width="9.140625" style="362"/>
    <col min="6364" max="6364" width="28" style="362" customWidth="1"/>
    <col min="6365" max="6365" width="52" style="362" customWidth="1"/>
    <col min="6366" max="6366" width="27.28515625" style="362" customWidth="1"/>
    <col min="6367" max="6367" width="20.5703125" style="362" customWidth="1"/>
    <col min="6368" max="6369" width="9.140625" style="362"/>
    <col min="6370" max="6370" width="11.5703125" style="362" bestFit="1" customWidth="1"/>
    <col min="6371" max="6401" width="9.140625" style="362"/>
    <col min="6402" max="6402" width="28.7109375" style="362" customWidth="1"/>
    <col min="6403" max="6403" width="42.85546875" style="362" customWidth="1"/>
    <col min="6404" max="6404" width="26.28515625" style="362" customWidth="1"/>
    <col min="6405" max="6405" width="17.42578125" style="362" customWidth="1"/>
    <col min="6406" max="6619" width="9.140625" style="362"/>
    <col min="6620" max="6620" width="28" style="362" customWidth="1"/>
    <col min="6621" max="6621" width="52" style="362" customWidth="1"/>
    <col min="6622" max="6622" width="27.28515625" style="362" customWidth="1"/>
    <col min="6623" max="6623" width="20.5703125" style="362" customWidth="1"/>
    <col min="6624" max="6625" width="9.140625" style="362"/>
    <col min="6626" max="6626" width="11.5703125" style="362" bestFit="1" customWidth="1"/>
    <col min="6627" max="6657" width="9.140625" style="362"/>
    <col min="6658" max="6658" width="28.7109375" style="362" customWidth="1"/>
    <col min="6659" max="6659" width="42.85546875" style="362" customWidth="1"/>
    <col min="6660" max="6660" width="26.28515625" style="362" customWidth="1"/>
    <col min="6661" max="6661" width="17.42578125" style="362" customWidth="1"/>
    <col min="6662" max="6875" width="9.140625" style="362"/>
    <col min="6876" max="6876" width="28" style="362" customWidth="1"/>
    <col min="6877" max="6877" width="52" style="362" customWidth="1"/>
    <col min="6878" max="6878" width="27.28515625" style="362" customWidth="1"/>
    <col min="6879" max="6879" width="20.5703125" style="362" customWidth="1"/>
    <col min="6880" max="6881" width="9.140625" style="362"/>
    <col min="6882" max="6882" width="11.5703125" style="362" bestFit="1" customWidth="1"/>
    <col min="6883" max="6913" width="9.140625" style="362"/>
    <col min="6914" max="6914" width="28.7109375" style="362" customWidth="1"/>
    <col min="6915" max="6915" width="42.85546875" style="362" customWidth="1"/>
    <col min="6916" max="6916" width="26.28515625" style="362" customWidth="1"/>
    <col min="6917" max="6917" width="17.42578125" style="362" customWidth="1"/>
    <col min="6918" max="7131" width="9.140625" style="362"/>
    <col min="7132" max="7132" width="28" style="362" customWidth="1"/>
    <col min="7133" max="7133" width="52" style="362" customWidth="1"/>
    <col min="7134" max="7134" width="27.28515625" style="362" customWidth="1"/>
    <col min="7135" max="7135" width="20.5703125" style="362" customWidth="1"/>
    <col min="7136" max="7137" width="9.140625" style="362"/>
    <col min="7138" max="7138" width="11.5703125" style="362" bestFit="1" customWidth="1"/>
    <col min="7139" max="7169" width="9.140625" style="362"/>
    <col min="7170" max="7170" width="28.7109375" style="362" customWidth="1"/>
    <col min="7171" max="7171" width="42.85546875" style="362" customWidth="1"/>
    <col min="7172" max="7172" width="26.28515625" style="362" customWidth="1"/>
    <col min="7173" max="7173" width="17.42578125" style="362" customWidth="1"/>
    <col min="7174" max="7387" width="9.140625" style="362"/>
    <col min="7388" max="7388" width="28" style="362" customWidth="1"/>
    <col min="7389" max="7389" width="52" style="362" customWidth="1"/>
    <col min="7390" max="7390" width="27.28515625" style="362" customWidth="1"/>
    <col min="7391" max="7391" width="20.5703125" style="362" customWidth="1"/>
    <col min="7392" max="7393" width="9.140625" style="362"/>
    <col min="7394" max="7394" width="11.5703125" style="362" bestFit="1" customWidth="1"/>
    <col min="7395" max="7425" width="9.140625" style="362"/>
    <col min="7426" max="7426" width="28.7109375" style="362" customWidth="1"/>
    <col min="7427" max="7427" width="42.85546875" style="362" customWidth="1"/>
    <col min="7428" max="7428" width="26.28515625" style="362" customWidth="1"/>
    <col min="7429" max="7429" width="17.42578125" style="362" customWidth="1"/>
    <col min="7430" max="7643" width="9.140625" style="362"/>
    <col min="7644" max="7644" width="28" style="362" customWidth="1"/>
    <col min="7645" max="7645" width="52" style="362" customWidth="1"/>
    <col min="7646" max="7646" width="27.28515625" style="362" customWidth="1"/>
    <col min="7647" max="7647" width="20.5703125" style="362" customWidth="1"/>
    <col min="7648" max="7649" width="9.140625" style="362"/>
    <col min="7650" max="7650" width="11.5703125" style="362" bestFit="1" customWidth="1"/>
    <col min="7651" max="7681" width="9.140625" style="362"/>
    <col min="7682" max="7682" width="28.7109375" style="362" customWidth="1"/>
    <col min="7683" max="7683" width="42.85546875" style="362" customWidth="1"/>
    <col min="7684" max="7684" width="26.28515625" style="362" customWidth="1"/>
    <col min="7685" max="7685" width="17.42578125" style="362" customWidth="1"/>
    <col min="7686" max="7899" width="9.140625" style="362"/>
    <col min="7900" max="7900" width="28" style="362" customWidth="1"/>
    <col min="7901" max="7901" width="52" style="362" customWidth="1"/>
    <col min="7902" max="7902" width="27.28515625" style="362" customWidth="1"/>
    <col min="7903" max="7903" width="20.5703125" style="362" customWidth="1"/>
    <col min="7904" max="7905" width="9.140625" style="362"/>
    <col min="7906" max="7906" width="11.5703125" style="362" bestFit="1" customWidth="1"/>
    <col min="7907" max="7937" width="9.140625" style="362"/>
    <col min="7938" max="7938" width="28.7109375" style="362" customWidth="1"/>
    <col min="7939" max="7939" width="42.85546875" style="362" customWidth="1"/>
    <col min="7940" max="7940" width="26.28515625" style="362" customWidth="1"/>
    <col min="7941" max="7941" width="17.42578125" style="362" customWidth="1"/>
    <col min="7942" max="8155" width="9.140625" style="362"/>
    <col min="8156" max="8156" width="28" style="362" customWidth="1"/>
    <col min="8157" max="8157" width="52" style="362" customWidth="1"/>
    <col min="8158" max="8158" width="27.28515625" style="362" customWidth="1"/>
    <col min="8159" max="8159" width="20.5703125" style="362" customWidth="1"/>
    <col min="8160" max="8161" width="9.140625" style="362"/>
    <col min="8162" max="8162" width="11.5703125" style="362" bestFit="1" customWidth="1"/>
    <col min="8163" max="8193" width="9.140625" style="362"/>
    <col min="8194" max="8194" width="28.7109375" style="362" customWidth="1"/>
    <col min="8195" max="8195" width="42.85546875" style="362" customWidth="1"/>
    <col min="8196" max="8196" width="26.28515625" style="362" customWidth="1"/>
    <col min="8197" max="8197" width="17.42578125" style="362" customWidth="1"/>
    <col min="8198" max="8411" width="9.140625" style="362"/>
    <col min="8412" max="8412" width="28" style="362" customWidth="1"/>
    <col min="8413" max="8413" width="52" style="362" customWidth="1"/>
    <col min="8414" max="8414" width="27.28515625" style="362" customWidth="1"/>
    <col min="8415" max="8415" width="20.5703125" style="362" customWidth="1"/>
    <col min="8416" max="8417" width="9.140625" style="362"/>
    <col min="8418" max="8418" width="11.5703125" style="362" bestFit="1" customWidth="1"/>
    <col min="8419" max="8449" width="9.140625" style="362"/>
    <col min="8450" max="8450" width="28.7109375" style="362" customWidth="1"/>
    <col min="8451" max="8451" width="42.85546875" style="362" customWidth="1"/>
    <col min="8452" max="8452" width="26.28515625" style="362" customWidth="1"/>
    <col min="8453" max="8453" width="17.42578125" style="362" customWidth="1"/>
    <col min="8454" max="8667" width="9.140625" style="362"/>
    <col min="8668" max="8668" width="28" style="362" customWidth="1"/>
    <col min="8669" max="8669" width="52" style="362" customWidth="1"/>
    <col min="8670" max="8670" width="27.28515625" style="362" customWidth="1"/>
    <col min="8671" max="8671" width="20.5703125" style="362" customWidth="1"/>
    <col min="8672" max="8673" width="9.140625" style="362"/>
    <col min="8674" max="8674" width="11.5703125" style="362" bestFit="1" customWidth="1"/>
    <col min="8675" max="8705" width="9.140625" style="362"/>
    <col min="8706" max="8706" width="28.7109375" style="362" customWidth="1"/>
    <col min="8707" max="8707" width="42.85546875" style="362" customWidth="1"/>
    <col min="8708" max="8708" width="26.28515625" style="362" customWidth="1"/>
    <col min="8709" max="8709" width="17.42578125" style="362" customWidth="1"/>
    <col min="8710" max="8923" width="9.140625" style="362"/>
    <col min="8924" max="8924" width="28" style="362" customWidth="1"/>
    <col min="8925" max="8925" width="52" style="362" customWidth="1"/>
    <col min="8926" max="8926" width="27.28515625" style="362" customWidth="1"/>
    <col min="8927" max="8927" width="20.5703125" style="362" customWidth="1"/>
    <col min="8928" max="8929" width="9.140625" style="362"/>
    <col min="8930" max="8930" width="11.5703125" style="362" bestFit="1" customWidth="1"/>
    <col min="8931" max="8961" width="9.140625" style="362"/>
    <col min="8962" max="8962" width="28.7109375" style="362" customWidth="1"/>
    <col min="8963" max="8963" width="42.85546875" style="362" customWidth="1"/>
    <col min="8964" max="8964" width="26.28515625" style="362" customWidth="1"/>
    <col min="8965" max="8965" width="17.42578125" style="362" customWidth="1"/>
    <col min="8966" max="9179" width="9.140625" style="362"/>
    <col min="9180" max="9180" width="28" style="362" customWidth="1"/>
    <col min="9181" max="9181" width="52" style="362" customWidth="1"/>
    <col min="9182" max="9182" width="27.28515625" style="362" customWidth="1"/>
    <col min="9183" max="9183" width="20.5703125" style="362" customWidth="1"/>
    <col min="9184" max="9185" width="9.140625" style="362"/>
    <col min="9186" max="9186" width="11.5703125" style="362" bestFit="1" customWidth="1"/>
    <col min="9187" max="9217" width="9.140625" style="362"/>
    <col min="9218" max="9218" width="28.7109375" style="362" customWidth="1"/>
    <col min="9219" max="9219" width="42.85546875" style="362" customWidth="1"/>
    <col min="9220" max="9220" width="26.28515625" style="362" customWidth="1"/>
    <col min="9221" max="9221" width="17.42578125" style="362" customWidth="1"/>
    <col min="9222" max="9435" width="9.140625" style="362"/>
    <col min="9436" max="9436" width="28" style="362" customWidth="1"/>
    <col min="9437" max="9437" width="52" style="362" customWidth="1"/>
    <col min="9438" max="9438" width="27.28515625" style="362" customWidth="1"/>
    <col min="9439" max="9439" width="20.5703125" style="362" customWidth="1"/>
    <col min="9440" max="9441" width="9.140625" style="362"/>
    <col min="9442" max="9442" width="11.5703125" style="362" bestFit="1" customWidth="1"/>
    <col min="9443" max="9473" width="9.140625" style="362"/>
    <col min="9474" max="9474" width="28.7109375" style="362" customWidth="1"/>
    <col min="9475" max="9475" width="42.85546875" style="362" customWidth="1"/>
    <col min="9476" max="9476" width="26.28515625" style="362" customWidth="1"/>
    <col min="9477" max="9477" width="17.42578125" style="362" customWidth="1"/>
    <col min="9478" max="9691" width="9.140625" style="362"/>
    <col min="9692" max="9692" width="28" style="362" customWidth="1"/>
    <col min="9693" max="9693" width="52" style="362" customWidth="1"/>
    <col min="9694" max="9694" width="27.28515625" style="362" customWidth="1"/>
    <col min="9695" max="9695" width="20.5703125" style="362" customWidth="1"/>
    <col min="9696" max="9697" width="9.140625" style="362"/>
    <col min="9698" max="9698" width="11.5703125" style="362" bestFit="1" customWidth="1"/>
    <col min="9699" max="9729" width="9.140625" style="362"/>
    <col min="9730" max="9730" width="28.7109375" style="362" customWidth="1"/>
    <col min="9731" max="9731" width="42.85546875" style="362" customWidth="1"/>
    <col min="9732" max="9732" width="26.28515625" style="362" customWidth="1"/>
    <col min="9733" max="9733" width="17.42578125" style="362" customWidth="1"/>
    <col min="9734" max="9947" width="9.140625" style="362"/>
    <col min="9948" max="9948" width="28" style="362" customWidth="1"/>
    <col min="9949" max="9949" width="52" style="362" customWidth="1"/>
    <col min="9950" max="9950" width="27.28515625" style="362" customWidth="1"/>
    <col min="9951" max="9951" width="20.5703125" style="362" customWidth="1"/>
    <col min="9952" max="9953" width="9.140625" style="362"/>
    <col min="9954" max="9954" width="11.5703125" style="362" bestFit="1" customWidth="1"/>
    <col min="9955" max="9985" width="9.140625" style="362"/>
    <col min="9986" max="9986" width="28.7109375" style="362" customWidth="1"/>
    <col min="9987" max="9987" width="42.85546875" style="362" customWidth="1"/>
    <col min="9988" max="9988" width="26.28515625" style="362" customWidth="1"/>
    <col min="9989" max="9989" width="17.42578125" style="362" customWidth="1"/>
    <col min="9990" max="10203" width="9.140625" style="362"/>
    <col min="10204" max="10204" width="28" style="362" customWidth="1"/>
    <col min="10205" max="10205" width="52" style="362" customWidth="1"/>
    <col min="10206" max="10206" width="27.28515625" style="362" customWidth="1"/>
    <col min="10207" max="10207" width="20.5703125" style="362" customWidth="1"/>
    <col min="10208" max="10209" width="9.140625" style="362"/>
    <col min="10210" max="10210" width="11.5703125" style="362" bestFit="1" customWidth="1"/>
    <col min="10211" max="10241" width="9.140625" style="362"/>
    <col min="10242" max="10242" width="28.7109375" style="362" customWidth="1"/>
    <col min="10243" max="10243" width="42.85546875" style="362" customWidth="1"/>
    <col min="10244" max="10244" width="26.28515625" style="362" customWidth="1"/>
    <col min="10245" max="10245" width="17.42578125" style="362" customWidth="1"/>
    <col min="10246" max="10459" width="9.140625" style="362"/>
    <col min="10460" max="10460" width="28" style="362" customWidth="1"/>
    <col min="10461" max="10461" width="52" style="362" customWidth="1"/>
    <col min="10462" max="10462" width="27.28515625" style="362" customWidth="1"/>
    <col min="10463" max="10463" width="20.5703125" style="362" customWidth="1"/>
    <col min="10464" max="10465" width="9.140625" style="362"/>
    <col min="10466" max="10466" width="11.5703125" style="362" bestFit="1" customWidth="1"/>
    <col min="10467" max="10497" width="9.140625" style="362"/>
    <col min="10498" max="10498" width="28.7109375" style="362" customWidth="1"/>
    <col min="10499" max="10499" width="42.85546875" style="362" customWidth="1"/>
    <col min="10500" max="10500" width="26.28515625" style="362" customWidth="1"/>
    <col min="10501" max="10501" width="17.42578125" style="362" customWidth="1"/>
    <col min="10502" max="10715" width="9.140625" style="362"/>
    <col min="10716" max="10716" width="28" style="362" customWidth="1"/>
    <col min="10717" max="10717" width="52" style="362" customWidth="1"/>
    <col min="10718" max="10718" width="27.28515625" style="362" customWidth="1"/>
    <col min="10719" max="10719" width="20.5703125" style="362" customWidth="1"/>
    <col min="10720" max="10721" width="9.140625" style="362"/>
    <col min="10722" max="10722" width="11.5703125" style="362" bestFit="1" customWidth="1"/>
    <col min="10723" max="10753" width="9.140625" style="362"/>
    <col min="10754" max="10754" width="28.7109375" style="362" customWidth="1"/>
    <col min="10755" max="10755" width="42.85546875" style="362" customWidth="1"/>
    <col min="10756" max="10756" width="26.28515625" style="362" customWidth="1"/>
    <col min="10757" max="10757" width="17.42578125" style="362" customWidth="1"/>
    <col min="10758" max="10971" width="9.140625" style="362"/>
    <col min="10972" max="10972" width="28" style="362" customWidth="1"/>
    <col min="10973" max="10973" width="52" style="362" customWidth="1"/>
    <col min="10974" max="10974" width="27.28515625" style="362" customWidth="1"/>
    <col min="10975" max="10975" width="20.5703125" style="362" customWidth="1"/>
    <col min="10976" max="10977" width="9.140625" style="362"/>
    <col min="10978" max="10978" width="11.5703125" style="362" bestFit="1" customWidth="1"/>
    <col min="10979" max="11009" width="9.140625" style="362"/>
    <col min="11010" max="11010" width="28.7109375" style="362" customWidth="1"/>
    <col min="11011" max="11011" width="42.85546875" style="362" customWidth="1"/>
    <col min="11012" max="11012" width="26.28515625" style="362" customWidth="1"/>
    <col min="11013" max="11013" width="17.42578125" style="362" customWidth="1"/>
    <col min="11014" max="11227" width="9.140625" style="362"/>
    <col min="11228" max="11228" width="28" style="362" customWidth="1"/>
    <col min="11229" max="11229" width="52" style="362" customWidth="1"/>
    <col min="11230" max="11230" width="27.28515625" style="362" customWidth="1"/>
    <col min="11231" max="11231" width="20.5703125" style="362" customWidth="1"/>
    <col min="11232" max="11233" width="9.140625" style="362"/>
    <col min="11234" max="11234" width="11.5703125" style="362" bestFit="1" customWidth="1"/>
    <col min="11235" max="11265" width="9.140625" style="362"/>
    <col min="11266" max="11266" width="28.7109375" style="362" customWidth="1"/>
    <col min="11267" max="11267" width="42.85546875" style="362" customWidth="1"/>
    <col min="11268" max="11268" width="26.28515625" style="362" customWidth="1"/>
    <col min="11269" max="11269" width="17.42578125" style="362" customWidth="1"/>
    <col min="11270" max="11483" width="9.140625" style="362"/>
    <col min="11484" max="11484" width="28" style="362" customWidth="1"/>
    <col min="11485" max="11485" width="52" style="362" customWidth="1"/>
    <col min="11486" max="11486" width="27.28515625" style="362" customWidth="1"/>
    <col min="11487" max="11487" width="20.5703125" style="362" customWidth="1"/>
    <col min="11488" max="11489" width="9.140625" style="362"/>
    <col min="11490" max="11490" width="11.5703125" style="362" bestFit="1" customWidth="1"/>
    <col min="11491" max="11521" width="9.140625" style="362"/>
    <col min="11522" max="11522" width="28.7109375" style="362" customWidth="1"/>
    <col min="11523" max="11523" width="42.85546875" style="362" customWidth="1"/>
    <col min="11524" max="11524" width="26.28515625" style="362" customWidth="1"/>
    <col min="11525" max="11525" width="17.42578125" style="362" customWidth="1"/>
    <col min="11526" max="11739" width="9.140625" style="362"/>
    <col min="11740" max="11740" width="28" style="362" customWidth="1"/>
    <col min="11741" max="11741" width="52" style="362" customWidth="1"/>
    <col min="11742" max="11742" width="27.28515625" style="362" customWidth="1"/>
    <col min="11743" max="11743" width="20.5703125" style="362" customWidth="1"/>
    <col min="11744" max="11745" width="9.140625" style="362"/>
    <col min="11746" max="11746" width="11.5703125" style="362" bestFit="1" customWidth="1"/>
    <col min="11747" max="11777" width="9.140625" style="362"/>
    <col min="11778" max="11778" width="28.7109375" style="362" customWidth="1"/>
    <col min="11779" max="11779" width="42.85546875" style="362" customWidth="1"/>
    <col min="11780" max="11780" width="26.28515625" style="362" customWidth="1"/>
    <col min="11781" max="11781" width="17.42578125" style="362" customWidth="1"/>
    <col min="11782" max="11995" width="9.140625" style="362"/>
    <col min="11996" max="11996" width="28" style="362" customWidth="1"/>
    <col min="11997" max="11997" width="52" style="362" customWidth="1"/>
    <col min="11998" max="11998" width="27.28515625" style="362" customWidth="1"/>
    <col min="11999" max="11999" width="20.5703125" style="362" customWidth="1"/>
    <col min="12000" max="12001" width="9.140625" style="362"/>
    <col min="12002" max="12002" width="11.5703125" style="362" bestFit="1" customWidth="1"/>
    <col min="12003" max="12033" width="9.140625" style="362"/>
    <col min="12034" max="12034" width="28.7109375" style="362" customWidth="1"/>
    <col min="12035" max="12035" width="42.85546875" style="362" customWidth="1"/>
    <col min="12036" max="12036" width="26.28515625" style="362" customWidth="1"/>
    <col min="12037" max="12037" width="17.42578125" style="362" customWidth="1"/>
    <col min="12038" max="12251" width="9.140625" style="362"/>
    <col min="12252" max="12252" width="28" style="362" customWidth="1"/>
    <col min="12253" max="12253" width="52" style="362" customWidth="1"/>
    <col min="12254" max="12254" width="27.28515625" style="362" customWidth="1"/>
    <col min="12255" max="12255" width="20.5703125" style="362" customWidth="1"/>
    <col min="12256" max="12257" width="9.140625" style="362"/>
    <col min="12258" max="12258" width="11.5703125" style="362" bestFit="1" customWidth="1"/>
    <col min="12259" max="12289" width="9.140625" style="362"/>
    <col min="12290" max="12290" width="28.7109375" style="362" customWidth="1"/>
    <col min="12291" max="12291" width="42.85546875" style="362" customWidth="1"/>
    <col min="12292" max="12292" width="26.28515625" style="362" customWidth="1"/>
    <col min="12293" max="12293" width="17.42578125" style="362" customWidth="1"/>
    <col min="12294" max="12507" width="9.140625" style="362"/>
    <col min="12508" max="12508" width="28" style="362" customWidth="1"/>
    <col min="12509" max="12509" width="52" style="362" customWidth="1"/>
    <col min="12510" max="12510" width="27.28515625" style="362" customWidth="1"/>
    <col min="12511" max="12511" width="20.5703125" style="362" customWidth="1"/>
    <col min="12512" max="12513" width="9.140625" style="362"/>
    <col min="12514" max="12514" width="11.5703125" style="362" bestFit="1" customWidth="1"/>
    <col min="12515" max="12545" width="9.140625" style="362"/>
    <col min="12546" max="12546" width="28.7109375" style="362" customWidth="1"/>
    <col min="12547" max="12547" width="42.85546875" style="362" customWidth="1"/>
    <col min="12548" max="12548" width="26.28515625" style="362" customWidth="1"/>
    <col min="12549" max="12549" width="17.42578125" style="362" customWidth="1"/>
    <col min="12550" max="12763" width="9.140625" style="362"/>
    <col min="12764" max="12764" width="28" style="362" customWidth="1"/>
    <col min="12765" max="12765" width="52" style="362" customWidth="1"/>
    <col min="12766" max="12766" width="27.28515625" style="362" customWidth="1"/>
    <col min="12767" max="12767" width="20.5703125" style="362" customWidth="1"/>
    <col min="12768" max="12769" width="9.140625" style="362"/>
    <col min="12770" max="12770" width="11.5703125" style="362" bestFit="1" customWidth="1"/>
    <col min="12771" max="12801" width="9.140625" style="362"/>
    <col min="12802" max="12802" width="28.7109375" style="362" customWidth="1"/>
    <col min="12803" max="12803" width="42.85546875" style="362" customWidth="1"/>
    <col min="12804" max="12804" width="26.28515625" style="362" customWidth="1"/>
    <col min="12805" max="12805" width="17.42578125" style="362" customWidth="1"/>
    <col min="12806" max="13019" width="9.140625" style="362"/>
    <col min="13020" max="13020" width="28" style="362" customWidth="1"/>
    <col min="13021" max="13021" width="52" style="362" customWidth="1"/>
    <col min="13022" max="13022" width="27.28515625" style="362" customWidth="1"/>
    <col min="13023" max="13023" width="20.5703125" style="362" customWidth="1"/>
    <col min="13024" max="13025" width="9.140625" style="362"/>
    <col min="13026" max="13026" width="11.5703125" style="362" bestFit="1" customWidth="1"/>
    <col min="13027" max="13057" width="9.140625" style="362"/>
    <col min="13058" max="13058" width="28.7109375" style="362" customWidth="1"/>
    <col min="13059" max="13059" width="42.85546875" style="362" customWidth="1"/>
    <col min="13060" max="13060" width="26.28515625" style="362" customWidth="1"/>
    <col min="13061" max="13061" width="17.42578125" style="362" customWidth="1"/>
    <col min="13062" max="13275" width="9.140625" style="362"/>
    <col min="13276" max="13276" width="28" style="362" customWidth="1"/>
    <col min="13277" max="13277" width="52" style="362" customWidth="1"/>
    <col min="13278" max="13278" width="27.28515625" style="362" customWidth="1"/>
    <col min="13279" max="13279" width="20.5703125" style="362" customWidth="1"/>
    <col min="13280" max="13281" width="9.140625" style="362"/>
    <col min="13282" max="13282" width="11.5703125" style="362" bestFit="1" customWidth="1"/>
    <col min="13283" max="13313" width="9.140625" style="362"/>
    <col min="13314" max="13314" width="28.7109375" style="362" customWidth="1"/>
    <col min="13315" max="13315" width="42.85546875" style="362" customWidth="1"/>
    <col min="13316" max="13316" width="26.28515625" style="362" customWidth="1"/>
    <col min="13317" max="13317" width="17.42578125" style="362" customWidth="1"/>
    <col min="13318" max="13531" width="9.140625" style="362"/>
    <col min="13532" max="13532" width="28" style="362" customWidth="1"/>
    <col min="13533" max="13533" width="52" style="362" customWidth="1"/>
    <col min="13534" max="13534" width="27.28515625" style="362" customWidth="1"/>
    <col min="13535" max="13535" width="20.5703125" style="362" customWidth="1"/>
    <col min="13536" max="13537" width="9.140625" style="362"/>
    <col min="13538" max="13538" width="11.5703125" style="362" bestFit="1" customWidth="1"/>
    <col min="13539" max="13569" width="9.140625" style="362"/>
    <col min="13570" max="13570" width="28.7109375" style="362" customWidth="1"/>
    <col min="13571" max="13571" width="42.85546875" style="362" customWidth="1"/>
    <col min="13572" max="13572" width="26.28515625" style="362" customWidth="1"/>
    <col min="13573" max="13573" width="17.42578125" style="362" customWidth="1"/>
    <col min="13574" max="13787" width="9.140625" style="362"/>
    <col min="13788" max="13788" width="28" style="362" customWidth="1"/>
    <col min="13789" max="13789" width="52" style="362" customWidth="1"/>
    <col min="13790" max="13790" width="27.28515625" style="362" customWidth="1"/>
    <col min="13791" max="13791" width="20.5703125" style="362" customWidth="1"/>
    <col min="13792" max="13793" width="9.140625" style="362"/>
    <col min="13794" max="13794" width="11.5703125" style="362" bestFit="1" customWidth="1"/>
    <col min="13795" max="13825" width="9.140625" style="362"/>
    <col min="13826" max="13826" width="28.7109375" style="362" customWidth="1"/>
    <col min="13827" max="13827" width="42.85546875" style="362" customWidth="1"/>
    <col min="13828" max="13828" width="26.28515625" style="362" customWidth="1"/>
    <col min="13829" max="13829" width="17.42578125" style="362" customWidth="1"/>
    <col min="13830" max="14043" width="9.140625" style="362"/>
    <col min="14044" max="14044" width="28" style="362" customWidth="1"/>
    <col min="14045" max="14045" width="52" style="362" customWidth="1"/>
    <col min="14046" max="14046" width="27.28515625" style="362" customWidth="1"/>
    <col min="14047" max="14047" width="20.5703125" style="362" customWidth="1"/>
    <col min="14048" max="14049" width="9.140625" style="362"/>
    <col min="14050" max="14050" width="11.5703125" style="362" bestFit="1" customWidth="1"/>
    <col min="14051" max="14081" width="9.140625" style="362"/>
    <col min="14082" max="14082" width="28.7109375" style="362" customWidth="1"/>
    <col min="14083" max="14083" width="42.85546875" style="362" customWidth="1"/>
    <col min="14084" max="14084" width="26.28515625" style="362" customWidth="1"/>
    <col min="14085" max="14085" width="17.42578125" style="362" customWidth="1"/>
    <col min="14086" max="14299" width="9.140625" style="362"/>
    <col min="14300" max="14300" width="28" style="362" customWidth="1"/>
    <col min="14301" max="14301" width="52" style="362" customWidth="1"/>
    <col min="14302" max="14302" width="27.28515625" style="362" customWidth="1"/>
    <col min="14303" max="14303" width="20.5703125" style="362" customWidth="1"/>
    <col min="14304" max="14305" width="9.140625" style="362"/>
    <col min="14306" max="14306" width="11.5703125" style="362" bestFit="1" customWidth="1"/>
    <col min="14307" max="14337" width="9.140625" style="362"/>
    <col min="14338" max="14338" width="28.7109375" style="362" customWidth="1"/>
    <col min="14339" max="14339" width="42.85546875" style="362" customWidth="1"/>
    <col min="14340" max="14340" width="26.28515625" style="362" customWidth="1"/>
    <col min="14341" max="14341" width="17.42578125" style="362" customWidth="1"/>
    <col min="14342" max="14555" width="9.140625" style="362"/>
    <col min="14556" max="14556" width="28" style="362" customWidth="1"/>
    <col min="14557" max="14557" width="52" style="362" customWidth="1"/>
    <col min="14558" max="14558" width="27.28515625" style="362" customWidth="1"/>
    <col min="14559" max="14559" width="20.5703125" style="362" customWidth="1"/>
    <col min="14560" max="14561" width="9.140625" style="362"/>
    <col min="14562" max="14562" width="11.5703125" style="362" bestFit="1" customWidth="1"/>
    <col min="14563" max="14593" width="9.140625" style="362"/>
    <col min="14594" max="14594" width="28.7109375" style="362" customWidth="1"/>
    <col min="14595" max="14595" width="42.85546875" style="362" customWidth="1"/>
    <col min="14596" max="14596" width="26.28515625" style="362" customWidth="1"/>
    <col min="14597" max="14597" width="17.42578125" style="362" customWidth="1"/>
    <col min="14598" max="14811" width="9.140625" style="362"/>
    <col min="14812" max="14812" width="28" style="362" customWidth="1"/>
    <col min="14813" max="14813" width="52" style="362" customWidth="1"/>
    <col min="14814" max="14814" width="27.28515625" style="362" customWidth="1"/>
    <col min="14815" max="14815" width="20.5703125" style="362" customWidth="1"/>
    <col min="14816" max="14817" width="9.140625" style="362"/>
    <col min="14818" max="14818" width="11.5703125" style="362" bestFit="1" customWidth="1"/>
    <col min="14819" max="14849" width="9.140625" style="362"/>
    <col min="14850" max="14850" width="28.7109375" style="362" customWidth="1"/>
    <col min="14851" max="14851" width="42.85546875" style="362" customWidth="1"/>
    <col min="14852" max="14852" width="26.28515625" style="362" customWidth="1"/>
    <col min="14853" max="14853" width="17.42578125" style="362" customWidth="1"/>
    <col min="14854" max="15067" width="9.140625" style="362"/>
    <col min="15068" max="15068" width="28" style="362" customWidth="1"/>
    <col min="15069" max="15069" width="52" style="362" customWidth="1"/>
    <col min="15070" max="15070" width="27.28515625" style="362" customWidth="1"/>
    <col min="15071" max="15071" width="20.5703125" style="362" customWidth="1"/>
    <col min="15072" max="15073" width="9.140625" style="362"/>
    <col min="15074" max="15074" width="11.5703125" style="362" bestFit="1" customWidth="1"/>
    <col min="15075" max="15105" width="9.140625" style="362"/>
    <col min="15106" max="15106" width="28.7109375" style="362" customWidth="1"/>
    <col min="15107" max="15107" width="42.85546875" style="362" customWidth="1"/>
    <col min="15108" max="15108" width="26.28515625" style="362" customWidth="1"/>
    <col min="15109" max="15109" width="17.42578125" style="362" customWidth="1"/>
    <col min="15110" max="15323" width="9.140625" style="362"/>
    <col min="15324" max="15324" width="28" style="362" customWidth="1"/>
    <col min="15325" max="15325" width="52" style="362" customWidth="1"/>
    <col min="15326" max="15326" width="27.28515625" style="362" customWidth="1"/>
    <col min="15327" max="15327" width="20.5703125" style="362" customWidth="1"/>
    <col min="15328" max="15329" width="9.140625" style="362"/>
    <col min="15330" max="15330" width="11.5703125" style="362" bestFit="1" customWidth="1"/>
    <col min="15331" max="15361" width="9.140625" style="362"/>
    <col min="15362" max="15362" width="28.7109375" style="362" customWidth="1"/>
    <col min="15363" max="15363" width="42.85546875" style="362" customWidth="1"/>
    <col min="15364" max="15364" width="26.28515625" style="362" customWidth="1"/>
    <col min="15365" max="15365" width="17.42578125" style="362" customWidth="1"/>
    <col min="15366" max="15579" width="9.140625" style="362"/>
    <col min="15580" max="15580" width="28" style="362" customWidth="1"/>
    <col min="15581" max="15581" width="52" style="362" customWidth="1"/>
    <col min="15582" max="15582" width="27.28515625" style="362" customWidth="1"/>
    <col min="15583" max="15583" width="20.5703125" style="362" customWidth="1"/>
    <col min="15584" max="15585" width="9.140625" style="362"/>
    <col min="15586" max="15586" width="11.5703125" style="362" bestFit="1" customWidth="1"/>
    <col min="15587" max="15617" width="9.140625" style="362"/>
    <col min="15618" max="15618" width="28.7109375" style="362" customWidth="1"/>
    <col min="15619" max="15619" width="42.85546875" style="362" customWidth="1"/>
    <col min="15620" max="15620" width="26.28515625" style="362" customWidth="1"/>
    <col min="15621" max="15621" width="17.42578125" style="362" customWidth="1"/>
    <col min="15622" max="15835" width="9.140625" style="362"/>
    <col min="15836" max="15836" width="28" style="362" customWidth="1"/>
    <col min="15837" max="15837" width="52" style="362" customWidth="1"/>
    <col min="15838" max="15838" width="27.28515625" style="362" customWidth="1"/>
    <col min="15839" max="15839" width="20.5703125" style="362" customWidth="1"/>
    <col min="15840" max="15841" width="9.140625" style="362"/>
    <col min="15842" max="15842" width="11.5703125" style="362" bestFit="1" customWidth="1"/>
    <col min="15843" max="15873" width="9.140625" style="362"/>
    <col min="15874" max="15874" width="28.7109375" style="362" customWidth="1"/>
    <col min="15875" max="15875" width="42.85546875" style="362" customWidth="1"/>
    <col min="15876" max="15876" width="26.28515625" style="362" customWidth="1"/>
    <col min="15877" max="15877" width="17.42578125" style="362" customWidth="1"/>
    <col min="15878" max="16091" width="9.140625" style="362"/>
    <col min="16092" max="16092" width="28" style="362" customWidth="1"/>
    <col min="16093" max="16093" width="52" style="362" customWidth="1"/>
    <col min="16094" max="16094" width="27.28515625" style="362" customWidth="1"/>
    <col min="16095" max="16095" width="20.5703125" style="362" customWidth="1"/>
    <col min="16096" max="16097" width="9.140625" style="362"/>
    <col min="16098" max="16098" width="11.5703125" style="362" bestFit="1" customWidth="1"/>
    <col min="16099" max="16129" width="9.140625" style="362"/>
    <col min="16130" max="16130" width="28.7109375" style="362" customWidth="1"/>
    <col min="16131" max="16131" width="42.85546875" style="362" customWidth="1"/>
    <col min="16132" max="16132" width="26.28515625" style="362" customWidth="1"/>
    <col min="16133" max="16133" width="17.42578125" style="362" customWidth="1"/>
    <col min="16134" max="16347" width="9.140625" style="362"/>
    <col min="16348" max="16348" width="28" style="362" customWidth="1"/>
    <col min="16349" max="16349" width="52" style="362" customWidth="1"/>
    <col min="16350" max="16350" width="27.28515625" style="362" customWidth="1"/>
    <col min="16351" max="16351" width="20.5703125" style="362" customWidth="1"/>
    <col min="16352" max="16353" width="9.140625" style="362"/>
    <col min="16354" max="16354" width="11.5703125" style="362" bestFit="1" customWidth="1"/>
    <col min="16355" max="16384" width="9.140625" style="362"/>
  </cols>
  <sheetData>
    <row r="1" spans="1:256" x14ac:dyDescent="0.2">
      <c r="A1" s="365"/>
      <c r="B1" s="366"/>
      <c r="C1" s="367"/>
      <c r="D1" s="368"/>
      <c r="E1" s="369" t="s">
        <v>1310</v>
      </c>
      <c r="F1" s="368"/>
      <c r="G1" s="370"/>
      <c r="H1" s="368"/>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c r="BJ1" s="371"/>
      <c r="BK1" s="371"/>
      <c r="BL1" s="371"/>
      <c r="BM1" s="371"/>
      <c r="BN1" s="371"/>
      <c r="BO1" s="371"/>
      <c r="BP1" s="371"/>
      <c r="BQ1" s="371"/>
      <c r="BR1" s="371"/>
      <c r="BS1" s="371"/>
      <c r="BT1" s="371"/>
      <c r="BU1" s="371"/>
      <c r="BV1" s="371"/>
      <c r="BW1" s="371"/>
      <c r="BX1" s="371"/>
      <c r="BY1" s="371"/>
      <c r="BZ1" s="371"/>
      <c r="CA1" s="371"/>
      <c r="CB1" s="371"/>
      <c r="CC1" s="371"/>
      <c r="CD1" s="371"/>
      <c r="CE1" s="371"/>
      <c r="CF1" s="371"/>
      <c r="CG1" s="371"/>
      <c r="CH1" s="371"/>
      <c r="CI1" s="371"/>
      <c r="CJ1" s="371"/>
      <c r="CK1" s="371"/>
      <c r="CL1" s="371"/>
      <c r="CM1" s="371"/>
      <c r="CN1" s="371"/>
      <c r="CO1" s="371"/>
      <c r="CP1" s="371"/>
      <c r="CQ1" s="371"/>
      <c r="CR1" s="371"/>
      <c r="CS1" s="371"/>
      <c r="CT1" s="371"/>
      <c r="CU1" s="371"/>
      <c r="CV1" s="371"/>
      <c r="CW1" s="371"/>
      <c r="CX1" s="371"/>
      <c r="CY1" s="371"/>
      <c r="CZ1" s="371"/>
      <c r="DA1" s="371"/>
      <c r="DB1" s="371"/>
      <c r="DC1" s="371"/>
      <c r="DD1" s="371"/>
      <c r="DE1" s="371"/>
      <c r="DF1" s="371"/>
      <c r="DG1" s="371"/>
      <c r="DH1" s="371"/>
      <c r="DI1" s="371"/>
      <c r="DJ1" s="371"/>
      <c r="DK1" s="371"/>
      <c r="DL1" s="371"/>
      <c r="DM1" s="371"/>
      <c r="DN1" s="371"/>
      <c r="DO1" s="371"/>
      <c r="DP1" s="371"/>
      <c r="DQ1" s="371"/>
      <c r="DR1" s="371"/>
      <c r="DS1" s="371"/>
      <c r="DT1" s="371"/>
      <c r="DU1" s="371"/>
      <c r="DV1" s="371"/>
      <c r="DW1" s="371"/>
      <c r="DX1" s="371"/>
      <c r="DY1" s="371"/>
      <c r="DZ1" s="371"/>
      <c r="EA1" s="371"/>
      <c r="EB1" s="371"/>
      <c r="EC1" s="371"/>
      <c r="ED1" s="371"/>
      <c r="EE1" s="371"/>
      <c r="EF1" s="371"/>
      <c r="EG1" s="371"/>
      <c r="EH1" s="371"/>
      <c r="EI1" s="371"/>
      <c r="EJ1" s="371"/>
      <c r="EK1" s="371"/>
      <c r="EL1" s="371"/>
      <c r="EM1" s="371"/>
      <c r="EN1" s="371"/>
      <c r="EO1" s="371"/>
      <c r="EP1" s="371"/>
      <c r="EQ1" s="371"/>
      <c r="ER1" s="371"/>
      <c r="ES1" s="371"/>
      <c r="ET1" s="371"/>
      <c r="EU1" s="371"/>
      <c r="EV1" s="371"/>
      <c r="EW1" s="371"/>
      <c r="EX1" s="371"/>
      <c r="EY1" s="371"/>
      <c r="EZ1" s="371"/>
      <c r="FA1" s="371"/>
      <c r="FB1" s="371"/>
      <c r="FC1" s="371"/>
      <c r="FD1" s="371"/>
      <c r="FE1" s="371"/>
      <c r="FF1" s="371"/>
      <c r="FG1" s="371"/>
      <c r="FH1" s="371"/>
      <c r="FI1" s="371"/>
      <c r="FJ1" s="371"/>
      <c r="FK1" s="371"/>
      <c r="FL1" s="371"/>
      <c r="FM1" s="371"/>
      <c r="FN1" s="371"/>
      <c r="FO1" s="371"/>
      <c r="FP1" s="371"/>
      <c r="FQ1" s="371"/>
      <c r="FR1" s="371"/>
      <c r="FS1" s="371"/>
      <c r="FT1" s="371"/>
      <c r="FU1" s="371"/>
      <c r="FV1" s="371"/>
      <c r="FW1" s="371"/>
      <c r="FX1" s="371"/>
      <c r="FY1" s="371"/>
      <c r="FZ1" s="371"/>
      <c r="GA1" s="371"/>
      <c r="GB1" s="371"/>
      <c r="GC1" s="371"/>
      <c r="GD1" s="371"/>
      <c r="GE1" s="371"/>
      <c r="GF1" s="371"/>
      <c r="GG1" s="371"/>
      <c r="GH1" s="371"/>
      <c r="GI1" s="371"/>
      <c r="GJ1" s="371"/>
      <c r="GK1" s="371"/>
      <c r="GL1" s="371"/>
      <c r="GM1" s="371"/>
      <c r="GN1" s="371"/>
      <c r="GO1" s="371"/>
      <c r="GP1" s="371"/>
      <c r="GQ1" s="371"/>
      <c r="GR1" s="371"/>
      <c r="GS1" s="371"/>
      <c r="GT1" s="371"/>
      <c r="GU1" s="371"/>
      <c r="GV1" s="371"/>
      <c r="GW1" s="371"/>
      <c r="GX1" s="371"/>
      <c r="GY1" s="371"/>
      <c r="GZ1" s="371"/>
      <c r="HA1" s="371"/>
      <c r="HB1" s="371"/>
      <c r="HC1" s="371"/>
      <c r="HD1" s="371"/>
      <c r="HE1" s="371"/>
      <c r="HF1" s="371"/>
      <c r="HG1" s="371"/>
      <c r="HH1" s="371"/>
      <c r="HI1" s="371"/>
      <c r="HJ1" s="371"/>
      <c r="HK1" s="371"/>
      <c r="HL1" s="371"/>
      <c r="HM1" s="371"/>
      <c r="HN1" s="371"/>
      <c r="HO1" s="371"/>
      <c r="HP1" s="371"/>
      <c r="HQ1" s="371"/>
      <c r="HR1" s="371"/>
      <c r="HS1" s="371"/>
      <c r="HT1" s="371"/>
      <c r="HU1" s="371"/>
      <c r="HV1" s="371"/>
      <c r="HW1" s="371"/>
      <c r="HX1" s="371"/>
      <c r="HY1" s="371"/>
      <c r="HZ1" s="371"/>
      <c r="IA1" s="371"/>
      <c r="IB1" s="371"/>
      <c r="IC1" s="371"/>
      <c r="ID1" s="371"/>
      <c r="IE1" s="371"/>
      <c r="IF1" s="371"/>
      <c r="IG1" s="371"/>
      <c r="IH1" s="371"/>
      <c r="II1" s="371"/>
      <c r="IJ1" s="371"/>
      <c r="IK1" s="371"/>
      <c r="IL1" s="371"/>
      <c r="IM1" s="371"/>
      <c r="IN1" s="371"/>
      <c r="IO1" s="371"/>
      <c r="IP1" s="371"/>
      <c r="IQ1" s="371"/>
      <c r="IR1" s="371"/>
      <c r="IS1" s="371"/>
      <c r="IT1" s="371"/>
      <c r="IU1" s="371"/>
      <c r="IV1" s="371"/>
    </row>
    <row r="2" spans="1:256" x14ac:dyDescent="0.2">
      <c r="A2" s="365"/>
      <c r="B2" s="368"/>
      <c r="D2" s="368"/>
      <c r="E2" s="372"/>
      <c r="F2" s="368"/>
      <c r="G2" s="370"/>
      <c r="H2" s="368"/>
      <c r="I2" s="370"/>
      <c r="J2" s="371"/>
      <c r="K2" s="371"/>
      <c r="L2" s="371"/>
      <c r="M2" s="371"/>
      <c r="N2" s="371"/>
      <c r="O2" s="371"/>
      <c r="P2" s="371"/>
      <c r="Q2" s="371"/>
      <c r="R2" s="371"/>
      <c r="S2" s="371"/>
      <c r="T2" s="371"/>
      <c r="U2" s="371"/>
      <c r="V2" s="371"/>
      <c r="W2" s="371"/>
      <c r="X2" s="371"/>
      <c r="Y2" s="371"/>
      <c r="Z2" s="371"/>
      <c r="AA2" s="371"/>
      <c r="AB2" s="371"/>
      <c r="AC2" s="371"/>
      <c r="AD2" s="371"/>
      <c r="AE2" s="371"/>
      <c r="AF2" s="371"/>
      <c r="AG2" s="371"/>
      <c r="AH2" s="371"/>
      <c r="AI2" s="371"/>
      <c r="AJ2" s="371"/>
      <c r="AK2" s="371"/>
      <c r="AL2" s="371"/>
      <c r="AM2" s="371"/>
      <c r="AN2" s="371"/>
      <c r="AO2" s="371"/>
      <c r="AP2" s="371"/>
      <c r="AQ2" s="371"/>
      <c r="AR2" s="371"/>
      <c r="AS2" s="371"/>
      <c r="AT2" s="371"/>
      <c r="AU2" s="371"/>
      <c r="AV2" s="371"/>
      <c r="AW2" s="371"/>
      <c r="AX2" s="371"/>
      <c r="AY2" s="371"/>
      <c r="AZ2" s="371"/>
      <c r="BA2" s="371"/>
      <c r="BB2" s="371"/>
      <c r="BC2" s="371"/>
      <c r="BD2" s="371"/>
      <c r="BE2" s="371"/>
      <c r="BF2" s="371"/>
      <c r="BG2" s="371"/>
      <c r="BH2" s="371"/>
      <c r="BI2" s="371"/>
      <c r="BJ2" s="371"/>
      <c r="BK2" s="371"/>
      <c r="BL2" s="371"/>
      <c r="BM2" s="371"/>
      <c r="BN2" s="371"/>
      <c r="BO2" s="371"/>
      <c r="BP2" s="371"/>
      <c r="BQ2" s="371"/>
      <c r="BR2" s="371"/>
      <c r="BS2" s="371"/>
      <c r="BT2" s="371"/>
      <c r="BU2" s="371"/>
      <c r="BV2" s="371"/>
      <c r="BW2" s="371"/>
      <c r="BX2" s="371"/>
      <c r="BY2" s="371"/>
      <c r="BZ2" s="371"/>
      <c r="CA2" s="371"/>
      <c r="CB2" s="371"/>
      <c r="CC2" s="371"/>
      <c r="CD2" s="371"/>
      <c r="CE2" s="371"/>
      <c r="CF2" s="371"/>
      <c r="CG2" s="371"/>
      <c r="CH2" s="371"/>
      <c r="CI2" s="371"/>
      <c r="CJ2" s="371"/>
      <c r="CK2" s="371"/>
      <c r="CL2" s="371"/>
      <c r="CM2" s="371"/>
      <c r="CN2" s="371"/>
      <c r="CO2" s="371"/>
      <c r="CP2" s="371"/>
      <c r="CQ2" s="371"/>
      <c r="CR2" s="371"/>
      <c r="CS2" s="371"/>
      <c r="CT2" s="371"/>
      <c r="CU2" s="371"/>
      <c r="CV2" s="371"/>
      <c r="CW2" s="371"/>
      <c r="CX2" s="371"/>
      <c r="CY2" s="371"/>
      <c r="CZ2" s="371"/>
      <c r="DA2" s="371"/>
      <c r="DB2" s="371"/>
      <c r="DC2" s="371"/>
      <c r="DD2" s="371"/>
      <c r="DE2" s="371"/>
      <c r="DF2" s="371"/>
      <c r="DG2" s="371"/>
      <c r="DH2" s="371"/>
      <c r="DI2" s="371"/>
      <c r="DJ2" s="371"/>
      <c r="DK2" s="371"/>
      <c r="DL2" s="371"/>
      <c r="DM2" s="371"/>
      <c r="DN2" s="371"/>
      <c r="DO2" s="371"/>
      <c r="DP2" s="371"/>
      <c r="DQ2" s="371"/>
      <c r="DR2" s="371"/>
      <c r="DS2" s="371"/>
      <c r="DT2" s="371"/>
      <c r="DU2" s="371"/>
      <c r="DV2" s="371"/>
      <c r="DW2" s="371"/>
      <c r="DX2" s="371"/>
      <c r="DY2" s="371"/>
      <c r="DZ2" s="371"/>
      <c r="EA2" s="371"/>
      <c r="EB2" s="371"/>
      <c r="EC2" s="371"/>
      <c r="ED2" s="371"/>
      <c r="EE2" s="371"/>
      <c r="EF2" s="371"/>
      <c r="EG2" s="371"/>
      <c r="EH2" s="371"/>
      <c r="EI2" s="371"/>
      <c r="EJ2" s="371"/>
      <c r="EK2" s="371"/>
      <c r="EL2" s="371"/>
      <c r="EM2" s="371"/>
      <c r="EN2" s="371"/>
      <c r="EO2" s="371"/>
      <c r="EP2" s="371"/>
      <c r="EQ2" s="371"/>
      <c r="ER2" s="371"/>
      <c r="ES2" s="371"/>
      <c r="ET2" s="371"/>
      <c r="EU2" s="371"/>
      <c r="EV2" s="371"/>
      <c r="EW2" s="371"/>
      <c r="EX2" s="371"/>
      <c r="EY2" s="371"/>
      <c r="EZ2" s="371"/>
      <c r="FA2" s="371"/>
      <c r="FB2" s="371"/>
      <c r="FC2" s="371"/>
      <c r="FD2" s="371"/>
      <c r="FE2" s="371"/>
      <c r="FF2" s="371"/>
      <c r="FG2" s="371"/>
      <c r="FH2" s="371"/>
      <c r="FI2" s="371"/>
      <c r="FJ2" s="371"/>
      <c r="FK2" s="371"/>
      <c r="FL2" s="371"/>
      <c r="FM2" s="371"/>
      <c r="FN2" s="371"/>
      <c r="FO2" s="371"/>
      <c r="FP2" s="371"/>
      <c r="FQ2" s="371"/>
      <c r="FR2" s="371"/>
      <c r="FS2" s="371"/>
      <c r="FT2" s="371"/>
      <c r="FU2" s="371"/>
      <c r="FV2" s="371"/>
      <c r="FW2" s="371"/>
      <c r="FX2" s="371"/>
      <c r="FY2" s="371"/>
      <c r="FZ2" s="371"/>
      <c r="GA2" s="371"/>
      <c r="GB2" s="371"/>
      <c r="GC2" s="371"/>
      <c r="GD2" s="371"/>
      <c r="GE2" s="371"/>
      <c r="GF2" s="371"/>
      <c r="GG2" s="371"/>
      <c r="GH2" s="371"/>
      <c r="GI2" s="371"/>
      <c r="GJ2" s="371"/>
      <c r="GK2" s="371"/>
      <c r="GL2" s="371"/>
      <c r="GM2" s="371"/>
      <c r="GN2" s="371"/>
      <c r="GO2" s="371"/>
      <c r="GP2" s="371"/>
      <c r="GQ2" s="371"/>
      <c r="GR2" s="371"/>
      <c r="GS2" s="371"/>
      <c r="GT2" s="371"/>
      <c r="GU2" s="371"/>
      <c r="GV2" s="371"/>
      <c r="GW2" s="371"/>
      <c r="GX2" s="371"/>
      <c r="GY2" s="371"/>
      <c r="GZ2" s="371"/>
      <c r="HA2" s="371"/>
      <c r="HB2" s="371"/>
      <c r="HC2" s="371"/>
      <c r="HD2" s="371"/>
      <c r="HE2" s="371"/>
      <c r="HF2" s="371"/>
      <c r="HG2" s="371"/>
      <c r="HH2" s="371"/>
      <c r="HI2" s="371"/>
      <c r="HJ2" s="371"/>
      <c r="HK2" s="371"/>
      <c r="HL2" s="371"/>
      <c r="HM2" s="371"/>
      <c r="HN2" s="371"/>
      <c r="HO2" s="371"/>
      <c r="HP2" s="371"/>
      <c r="HQ2" s="371"/>
      <c r="HR2" s="371"/>
      <c r="HS2" s="371"/>
      <c r="HT2" s="371"/>
      <c r="HU2" s="371"/>
      <c r="HV2" s="371"/>
      <c r="HW2" s="371"/>
      <c r="HX2" s="371"/>
      <c r="HY2" s="371"/>
      <c r="HZ2" s="371"/>
      <c r="IA2" s="371"/>
      <c r="IB2" s="371"/>
      <c r="IC2" s="371"/>
      <c r="ID2" s="371"/>
      <c r="IE2" s="371"/>
      <c r="IF2" s="371"/>
      <c r="IG2" s="371"/>
      <c r="IH2" s="371"/>
      <c r="II2" s="371"/>
      <c r="IJ2" s="371"/>
      <c r="IK2" s="371"/>
      <c r="IL2" s="371"/>
      <c r="IM2" s="371"/>
      <c r="IN2" s="371"/>
      <c r="IO2" s="371"/>
      <c r="IP2" s="371"/>
      <c r="IQ2" s="371"/>
      <c r="IR2" s="371"/>
      <c r="IS2" s="371"/>
      <c r="IT2" s="371"/>
      <c r="IU2" s="371"/>
      <c r="IV2" s="371"/>
    </row>
    <row r="3" spans="1:256" x14ac:dyDescent="0.2">
      <c r="A3" s="793" t="s">
        <v>1311</v>
      </c>
      <c r="B3" s="793"/>
      <c r="C3" s="793"/>
      <c r="D3" s="793"/>
      <c r="E3" s="793"/>
      <c r="F3" s="373"/>
      <c r="G3" s="373"/>
      <c r="H3" s="373"/>
      <c r="I3" s="373"/>
      <c r="J3" s="371"/>
      <c r="K3" s="371"/>
      <c r="L3" s="371"/>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O3" s="371"/>
      <c r="AP3" s="371"/>
      <c r="AQ3" s="371"/>
      <c r="AR3" s="371"/>
      <c r="AS3" s="371"/>
      <c r="AT3" s="371"/>
      <c r="AU3" s="371"/>
      <c r="AV3" s="371"/>
      <c r="AW3" s="371"/>
      <c r="AX3" s="371"/>
      <c r="AY3" s="371"/>
      <c r="AZ3" s="371"/>
      <c r="BA3" s="371"/>
      <c r="BB3" s="371"/>
      <c r="BC3" s="371"/>
      <c r="BD3" s="371"/>
      <c r="BE3" s="371"/>
      <c r="BF3" s="371"/>
      <c r="BG3" s="371"/>
      <c r="BH3" s="371"/>
      <c r="BI3" s="371"/>
      <c r="BJ3" s="371"/>
      <c r="BK3" s="371"/>
      <c r="BL3" s="371"/>
      <c r="BM3" s="371"/>
      <c r="BN3" s="371"/>
      <c r="BO3" s="371"/>
      <c r="BP3" s="371"/>
      <c r="BQ3" s="371"/>
      <c r="BR3" s="371"/>
      <c r="BS3" s="371"/>
      <c r="BT3" s="371"/>
      <c r="BU3" s="371"/>
      <c r="BV3" s="371"/>
      <c r="BW3" s="371"/>
      <c r="BX3" s="371"/>
      <c r="BY3" s="371"/>
      <c r="BZ3" s="371"/>
      <c r="CA3" s="371"/>
      <c r="CB3" s="371"/>
      <c r="CC3" s="371"/>
      <c r="CD3" s="371"/>
      <c r="CE3" s="371"/>
      <c r="CF3" s="371"/>
      <c r="CG3" s="371"/>
      <c r="CH3" s="371"/>
      <c r="CI3" s="371"/>
      <c r="CJ3" s="371"/>
      <c r="CK3" s="371"/>
      <c r="CL3" s="371"/>
      <c r="CM3" s="371"/>
      <c r="CN3" s="371"/>
      <c r="CO3" s="371"/>
      <c r="CP3" s="371"/>
      <c r="CQ3" s="371"/>
      <c r="CR3" s="371"/>
      <c r="CS3" s="371"/>
      <c r="CT3" s="371"/>
      <c r="CU3" s="371"/>
      <c r="CV3" s="371"/>
      <c r="CW3" s="371"/>
      <c r="CX3" s="371"/>
      <c r="CY3" s="371"/>
      <c r="CZ3" s="371"/>
      <c r="DA3" s="371"/>
      <c r="DB3" s="371"/>
      <c r="DC3" s="371"/>
      <c r="DD3" s="371"/>
      <c r="DE3" s="371"/>
      <c r="DF3" s="371"/>
      <c r="DG3" s="371"/>
      <c r="DH3" s="371"/>
      <c r="DI3" s="371"/>
      <c r="DJ3" s="371"/>
      <c r="DK3" s="371"/>
      <c r="DL3" s="371"/>
      <c r="DM3" s="371"/>
      <c r="DN3" s="371"/>
      <c r="DO3" s="371"/>
      <c r="DP3" s="371"/>
      <c r="DQ3" s="371"/>
      <c r="DR3" s="371"/>
      <c r="DS3" s="371"/>
      <c r="DT3" s="371"/>
      <c r="DU3" s="371"/>
      <c r="DV3" s="371"/>
      <c r="DW3" s="371"/>
      <c r="DX3" s="371"/>
      <c r="DY3" s="371"/>
      <c r="DZ3" s="371"/>
      <c r="EA3" s="371"/>
      <c r="EB3" s="371"/>
      <c r="EC3" s="371"/>
      <c r="ED3" s="371"/>
      <c r="EE3" s="371"/>
      <c r="EF3" s="371"/>
      <c r="EG3" s="371"/>
      <c r="EH3" s="371"/>
      <c r="EI3" s="371"/>
      <c r="EJ3" s="371"/>
      <c r="EK3" s="371"/>
      <c r="EL3" s="371"/>
      <c r="EM3" s="371"/>
      <c r="EN3" s="371"/>
      <c r="EO3" s="371"/>
      <c r="EP3" s="371"/>
      <c r="EQ3" s="371"/>
      <c r="ER3" s="371"/>
      <c r="ES3" s="371"/>
      <c r="ET3" s="371"/>
      <c r="EU3" s="371"/>
      <c r="EV3" s="371"/>
      <c r="EW3" s="371"/>
      <c r="EX3" s="371"/>
      <c r="EY3" s="371"/>
      <c r="EZ3" s="371"/>
      <c r="FA3" s="371"/>
      <c r="FB3" s="371"/>
      <c r="FC3" s="371"/>
      <c r="FD3" s="371"/>
      <c r="FE3" s="371"/>
      <c r="FF3" s="371"/>
      <c r="FG3" s="371"/>
      <c r="FH3" s="371"/>
      <c r="FI3" s="371"/>
      <c r="FJ3" s="371"/>
      <c r="FK3" s="371"/>
      <c r="FL3" s="371"/>
      <c r="FM3" s="371"/>
      <c r="FN3" s="371"/>
      <c r="FO3" s="371"/>
      <c r="FP3" s="371"/>
      <c r="FQ3" s="371"/>
      <c r="FR3" s="371"/>
      <c r="FS3" s="371"/>
      <c r="FT3" s="371"/>
      <c r="FU3" s="371"/>
      <c r="FV3" s="371"/>
      <c r="FW3" s="371"/>
      <c r="FX3" s="371"/>
      <c r="FY3" s="371"/>
      <c r="FZ3" s="371"/>
      <c r="GA3" s="371"/>
      <c r="GB3" s="371"/>
      <c r="GC3" s="371"/>
      <c r="GD3" s="371"/>
      <c r="GE3" s="371"/>
      <c r="GF3" s="371"/>
      <c r="GG3" s="371"/>
      <c r="GH3" s="371"/>
      <c r="GI3" s="371"/>
      <c r="GJ3" s="371"/>
      <c r="GK3" s="371"/>
      <c r="GL3" s="371"/>
      <c r="GM3" s="371"/>
      <c r="GN3" s="371"/>
      <c r="GO3" s="371"/>
      <c r="GP3" s="371"/>
      <c r="GQ3" s="371"/>
      <c r="GR3" s="371"/>
      <c r="GS3" s="371"/>
      <c r="GT3" s="371"/>
      <c r="GU3" s="371"/>
      <c r="GV3" s="371"/>
      <c r="GW3" s="371"/>
      <c r="GX3" s="371"/>
      <c r="GY3" s="371"/>
      <c r="GZ3" s="371"/>
      <c r="HA3" s="371"/>
      <c r="HB3" s="371"/>
      <c r="HC3" s="371"/>
      <c r="HD3" s="371"/>
      <c r="HE3" s="371"/>
      <c r="HF3" s="371"/>
      <c r="HG3" s="371"/>
      <c r="HH3" s="371"/>
      <c r="HI3" s="371"/>
      <c r="HJ3" s="371"/>
      <c r="HK3" s="371"/>
      <c r="HL3" s="371"/>
      <c r="HM3" s="371"/>
      <c r="HN3" s="371"/>
      <c r="HO3" s="371"/>
      <c r="HP3" s="371"/>
      <c r="HQ3" s="371"/>
      <c r="HR3" s="371"/>
      <c r="HS3" s="371"/>
      <c r="HT3" s="371"/>
      <c r="HU3" s="371"/>
      <c r="HV3" s="371"/>
      <c r="HW3" s="371"/>
      <c r="HX3" s="371"/>
      <c r="HY3" s="371"/>
      <c r="HZ3" s="371"/>
      <c r="IA3" s="371"/>
      <c r="IB3" s="371"/>
      <c r="IC3" s="371"/>
      <c r="ID3" s="371"/>
      <c r="IE3" s="371"/>
      <c r="IF3" s="371"/>
      <c r="IG3" s="371"/>
      <c r="IH3" s="371"/>
      <c r="II3" s="371"/>
      <c r="IJ3" s="371"/>
      <c r="IK3" s="371"/>
      <c r="IL3" s="371"/>
      <c r="IM3" s="371"/>
      <c r="IN3" s="371"/>
      <c r="IO3" s="371"/>
      <c r="IP3" s="371"/>
      <c r="IQ3" s="371"/>
      <c r="IR3" s="371"/>
      <c r="IS3" s="371"/>
      <c r="IT3" s="371"/>
      <c r="IU3" s="371"/>
      <c r="IV3" s="371"/>
    </row>
    <row r="4" spans="1:256" x14ac:dyDescent="0.2">
      <c r="A4" s="794" t="s">
        <v>1312</v>
      </c>
      <c r="B4" s="794"/>
      <c r="C4" s="794"/>
      <c r="D4" s="794"/>
      <c r="E4" s="794"/>
      <c r="F4" s="374"/>
      <c r="G4" s="374"/>
      <c r="H4" s="374"/>
      <c r="I4" s="374"/>
      <c r="J4" s="371"/>
      <c r="K4" s="371"/>
      <c r="L4" s="371"/>
      <c r="M4" s="371"/>
      <c r="N4" s="371"/>
      <c r="O4" s="371"/>
      <c r="P4" s="371"/>
      <c r="Q4" s="371"/>
      <c r="R4" s="371"/>
      <c r="S4" s="371"/>
      <c r="T4" s="371"/>
      <c r="U4" s="371"/>
      <c r="V4" s="371"/>
      <c r="W4" s="371"/>
      <c r="X4" s="371"/>
      <c r="Y4" s="371"/>
      <c r="Z4" s="371"/>
      <c r="AA4" s="371"/>
      <c r="AB4" s="371"/>
      <c r="AC4" s="371"/>
      <c r="AD4" s="371"/>
      <c r="AE4" s="371"/>
      <c r="AF4" s="371"/>
      <c r="AG4" s="371"/>
      <c r="AH4" s="371"/>
      <c r="AI4" s="371"/>
      <c r="AJ4" s="371"/>
      <c r="AK4" s="371"/>
      <c r="AL4" s="371"/>
      <c r="AM4" s="371"/>
      <c r="AN4" s="371"/>
      <c r="AO4" s="371"/>
      <c r="AP4" s="371"/>
      <c r="AQ4" s="371"/>
      <c r="AR4" s="371"/>
      <c r="AS4" s="371"/>
      <c r="AT4" s="371"/>
      <c r="AU4" s="371"/>
      <c r="AV4" s="371"/>
      <c r="AW4" s="371"/>
      <c r="AX4" s="371"/>
      <c r="AY4" s="371"/>
      <c r="AZ4" s="371"/>
      <c r="BA4" s="371"/>
      <c r="BB4" s="371"/>
      <c r="BC4" s="371"/>
      <c r="BD4" s="371"/>
      <c r="BE4" s="371"/>
      <c r="BF4" s="371"/>
      <c r="BG4" s="371"/>
      <c r="BH4" s="371"/>
      <c r="BI4" s="371"/>
      <c r="BJ4" s="371"/>
      <c r="BK4" s="371"/>
      <c r="BL4" s="371"/>
      <c r="BM4" s="371"/>
      <c r="BN4" s="371"/>
      <c r="BO4" s="371"/>
      <c r="BP4" s="371"/>
      <c r="BQ4" s="371"/>
      <c r="BR4" s="371"/>
      <c r="BS4" s="371"/>
      <c r="BT4" s="371"/>
      <c r="BU4" s="371"/>
      <c r="BV4" s="371"/>
      <c r="BW4" s="371"/>
      <c r="BX4" s="371"/>
      <c r="BY4" s="371"/>
      <c r="BZ4" s="371"/>
      <c r="CA4" s="371"/>
      <c r="CB4" s="371"/>
      <c r="CC4" s="371"/>
      <c r="CD4" s="371"/>
      <c r="CE4" s="371"/>
      <c r="CF4" s="371"/>
      <c r="CG4" s="371"/>
      <c r="CH4" s="371"/>
      <c r="CI4" s="371"/>
      <c r="CJ4" s="371"/>
      <c r="CK4" s="371"/>
      <c r="CL4" s="371"/>
      <c r="CM4" s="371"/>
      <c r="CN4" s="371"/>
      <c r="CO4" s="371"/>
      <c r="CP4" s="371"/>
      <c r="CQ4" s="371"/>
      <c r="CR4" s="371"/>
      <c r="CS4" s="371"/>
      <c r="CT4" s="371"/>
      <c r="CU4" s="371"/>
      <c r="CV4" s="371"/>
      <c r="CW4" s="371"/>
      <c r="CX4" s="371"/>
      <c r="CY4" s="371"/>
      <c r="CZ4" s="371"/>
      <c r="DA4" s="371"/>
      <c r="DB4" s="371"/>
      <c r="DC4" s="371"/>
      <c r="DD4" s="371"/>
      <c r="DE4" s="371"/>
      <c r="DF4" s="371"/>
      <c r="DG4" s="371"/>
      <c r="DH4" s="371"/>
      <c r="DI4" s="371"/>
      <c r="DJ4" s="371"/>
      <c r="DK4" s="371"/>
      <c r="DL4" s="371"/>
      <c r="DM4" s="371"/>
      <c r="DN4" s="371"/>
      <c r="DO4" s="371"/>
      <c r="DP4" s="371"/>
      <c r="DQ4" s="371"/>
      <c r="DR4" s="371"/>
      <c r="DS4" s="371"/>
      <c r="DT4" s="371"/>
      <c r="DU4" s="371"/>
      <c r="DV4" s="371"/>
      <c r="DW4" s="371"/>
      <c r="DX4" s="371"/>
      <c r="DY4" s="371"/>
      <c r="DZ4" s="371"/>
      <c r="EA4" s="371"/>
      <c r="EB4" s="371"/>
      <c r="EC4" s="371"/>
      <c r="ED4" s="371"/>
      <c r="EE4" s="371"/>
      <c r="EF4" s="371"/>
      <c r="EG4" s="371"/>
      <c r="EH4" s="371"/>
      <c r="EI4" s="371"/>
      <c r="EJ4" s="371"/>
      <c r="EK4" s="371"/>
      <c r="EL4" s="371"/>
      <c r="EM4" s="371"/>
      <c r="EN4" s="371"/>
      <c r="EO4" s="371"/>
      <c r="EP4" s="371"/>
      <c r="EQ4" s="371"/>
      <c r="ER4" s="371"/>
      <c r="ES4" s="371"/>
      <c r="ET4" s="371"/>
      <c r="EU4" s="371"/>
      <c r="EV4" s="371"/>
      <c r="EW4" s="371"/>
      <c r="EX4" s="371"/>
      <c r="EY4" s="371"/>
      <c r="EZ4" s="371"/>
      <c r="FA4" s="371"/>
      <c r="FB4" s="371"/>
      <c r="FC4" s="371"/>
      <c r="FD4" s="371"/>
      <c r="FE4" s="371"/>
      <c r="FF4" s="371"/>
      <c r="FG4" s="371"/>
      <c r="FH4" s="371"/>
      <c r="FI4" s="371"/>
      <c r="FJ4" s="371"/>
      <c r="FK4" s="371"/>
      <c r="FL4" s="371"/>
      <c r="FM4" s="371"/>
      <c r="FN4" s="371"/>
      <c r="FO4" s="371"/>
      <c r="FP4" s="371"/>
      <c r="FQ4" s="371"/>
      <c r="FR4" s="371"/>
      <c r="FS4" s="371"/>
      <c r="FT4" s="371"/>
      <c r="FU4" s="371"/>
      <c r="FV4" s="371"/>
      <c r="FW4" s="371"/>
      <c r="FX4" s="371"/>
      <c r="FY4" s="371"/>
      <c r="FZ4" s="371"/>
      <c r="GA4" s="371"/>
      <c r="GB4" s="371"/>
      <c r="GC4" s="371"/>
      <c r="GD4" s="371"/>
      <c r="GE4" s="371"/>
      <c r="GF4" s="371"/>
      <c r="GG4" s="371"/>
      <c r="GH4" s="371"/>
      <c r="GI4" s="371"/>
      <c r="GJ4" s="371"/>
      <c r="GK4" s="371"/>
      <c r="GL4" s="371"/>
      <c r="GM4" s="371"/>
      <c r="GN4" s="371"/>
      <c r="GO4" s="371"/>
      <c r="GP4" s="371"/>
      <c r="GQ4" s="371"/>
      <c r="GR4" s="371"/>
      <c r="GS4" s="371"/>
      <c r="GT4" s="371"/>
      <c r="GU4" s="371"/>
      <c r="GV4" s="371"/>
      <c r="GW4" s="371"/>
      <c r="GX4" s="371"/>
      <c r="GY4" s="371"/>
      <c r="GZ4" s="371"/>
      <c r="HA4" s="371"/>
      <c r="HB4" s="371"/>
      <c r="HC4" s="371"/>
      <c r="HD4" s="371"/>
      <c r="HE4" s="371"/>
      <c r="HF4" s="371"/>
      <c r="HG4" s="371"/>
      <c r="HH4" s="371"/>
      <c r="HI4" s="371"/>
      <c r="HJ4" s="371"/>
      <c r="HK4" s="371"/>
      <c r="HL4" s="371"/>
      <c r="HM4" s="371"/>
      <c r="HN4" s="371"/>
      <c r="HO4" s="371"/>
      <c r="HP4" s="371"/>
      <c r="HQ4" s="371"/>
      <c r="HR4" s="371"/>
      <c r="HS4" s="371"/>
      <c r="HT4" s="371"/>
      <c r="HU4" s="371"/>
      <c r="HV4" s="371"/>
      <c r="HW4" s="371"/>
      <c r="HX4" s="371"/>
      <c r="HY4" s="371"/>
      <c r="HZ4" s="371"/>
      <c r="IA4" s="371"/>
      <c r="IB4" s="371"/>
      <c r="IC4" s="371"/>
      <c r="ID4" s="371"/>
      <c r="IE4" s="371"/>
      <c r="IF4" s="371"/>
      <c r="IG4" s="371"/>
      <c r="IH4" s="371"/>
      <c r="II4" s="371"/>
      <c r="IJ4" s="371"/>
      <c r="IK4" s="371"/>
      <c r="IL4" s="371"/>
      <c r="IM4" s="371"/>
      <c r="IN4" s="371"/>
      <c r="IO4" s="371"/>
      <c r="IP4" s="371"/>
      <c r="IQ4" s="371"/>
      <c r="IR4" s="371"/>
      <c r="IS4" s="371"/>
      <c r="IT4" s="371"/>
      <c r="IU4" s="371"/>
      <c r="IV4" s="371"/>
    </row>
    <row r="5" spans="1:256" x14ac:dyDescent="0.2">
      <c r="A5" s="365"/>
      <c r="B5" s="368"/>
      <c r="C5" s="368"/>
      <c r="D5" s="368"/>
      <c r="E5" s="372"/>
      <c r="F5" s="368"/>
      <c r="G5" s="370"/>
      <c r="H5" s="368"/>
      <c r="I5" s="370"/>
      <c r="J5" s="371"/>
      <c r="K5" s="371"/>
      <c r="L5" s="371"/>
      <c r="M5" s="371"/>
      <c r="N5" s="371"/>
      <c r="O5" s="371"/>
      <c r="P5" s="371"/>
      <c r="Q5" s="371"/>
      <c r="R5" s="371"/>
      <c r="S5" s="371"/>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row>
    <row r="6" spans="1:256" ht="25.5" x14ac:dyDescent="0.2">
      <c r="A6" s="365"/>
      <c r="B6" s="375" t="s">
        <v>1313</v>
      </c>
      <c r="C6" s="795" t="str">
        <f>СВОД!B42</f>
        <v>Сети связи и сигнализации</v>
      </c>
      <c r="D6" s="795"/>
      <c r="E6" s="795"/>
      <c r="F6" s="376"/>
      <c r="G6" s="376"/>
      <c r="H6" s="376"/>
      <c r="I6" s="376"/>
      <c r="J6" s="371"/>
      <c r="K6" s="371"/>
      <c r="L6" s="371"/>
      <c r="M6" s="371"/>
      <c r="N6" s="371"/>
      <c r="O6" s="371"/>
      <c r="P6" s="371"/>
      <c r="Q6" s="371"/>
      <c r="R6" s="371"/>
      <c r="S6" s="371"/>
      <c r="T6" s="371"/>
      <c r="U6" s="371"/>
      <c r="V6" s="371"/>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71"/>
      <c r="BF6" s="371"/>
      <c r="BG6" s="371"/>
      <c r="BH6" s="371"/>
      <c r="BI6" s="371"/>
      <c r="BJ6" s="371"/>
      <c r="BK6" s="371"/>
      <c r="BL6" s="371"/>
      <c r="BM6" s="371"/>
      <c r="BN6" s="371"/>
      <c r="BO6" s="371"/>
      <c r="BP6" s="371"/>
      <c r="BQ6" s="371"/>
      <c r="BR6" s="371"/>
      <c r="BS6" s="371"/>
      <c r="BT6" s="371"/>
      <c r="BU6" s="371"/>
      <c r="BV6" s="371"/>
      <c r="BW6" s="371"/>
      <c r="BX6" s="371"/>
      <c r="BY6" s="371"/>
      <c r="BZ6" s="371"/>
      <c r="CA6" s="371"/>
      <c r="CB6" s="371"/>
      <c r="CC6" s="371"/>
      <c r="CD6" s="371"/>
      <c r="CE6" s="371"/>
      <c r="CF6" s="371"/>
      <c r="CG6" s="371"/>
      <c r="CH6" s="371"/>
      <c r="CI6" s="371"/>
      <c r="CJ6" s="371"/>
      <c r="CK6" s="371"/>
      <c r="CL6" s="371"/>
      <c r="CM6" s="371"/>
      <c r="CN6" s="371"/>
      <c r="CO6" s="371"/>
      <c r="CP6" s="371"/>
      <c r="CQ6" s="371"/>
      <c r="CR6" s="371"/>
      <c r="CS6" s="371"/>
      <c r="CT6" s="371"/>
      <c r="CU6" s="371"/>
      <c r="CV6" s="371"/>
      <c r="CW6" s="371"/>
      <c r="CX6" s="371"/>
      <c r="CY6" s="371"/>
      <c r="CZ6" s="371"/>
      <c r="DA6" s="371"/>
      <c r="DB6" s="371"/>
      <c r="DC6" s="371"/>
      <c r="DD6" s="371"/>
      <c r="DE6" s="371"/>
      <c r="DF6" s="371"/>
      <c r="DG6" s="371"/>
      <c r="DH6" s="371"/>
      <c r="DI6" s="371"/>
      <c r="DJ6" s="371"/>
      <c r="DK6" s="371"/>
      <c r="DL6" s="371"/>
      <c r="DM6" s="371"/>
      <c r="DN6" s="371"/>
      <c r="DO6" s="371"/>
      <c r="DP6" s="371"/>
      <c r="DQ6" s="371"/>
      <c r="DR6" s="371"/>
      <c r="DS6" s="371"/>
      <c r="DT6" s="371"/>
      <c r="DU6" s="371"/>
      <c r="DV6" s="371"/>
      <c r="DW6" s="371"/>
      <c r="DX6" s="371"/>
      <c r="DY6" s="371"/>
      <c r="DZ6" s="371"/>
      <c r="EA6" s="371"/>
      <c r="EB6" s="371"/>
      <c r="EC6" s="371"/>
      <c r="ED6" s="371"/>
      <c r="EE6" s="371"/>
      <c r="EF6" s="371"/>
      <c r="EG6" s="371"/>
      <c r="EH6" s="371"/>
      <c r="EI6" s="371"/>
      <c r="EJ6" s="371"/>
      <c r="EK6" s="371"/>
      <c r="EL6" s="371"/>
      <c r="EM6" s="371"/>
      <c r="EN6" s="371"/>
      <c r="EO6" s="371"/>
      <c r="EP6" s="371"/>
      <c r="EQ6" s="371"/>
      <c r="ER6" s="371"/>
      <c r="ES6" s="371"/>
      <c r="ET6" s="371"/>
      <c r="EU6" s="371"/>
      <c r="EV6" s="371"/>
      <c r="EW6" s="371"/>
      <c r="EX6" s="371"/>
      <c r="EY6" s="371"/>
      <c r="EZ6" s="371"/>
      <c r="FA6" s="371"/>
      <c r="FB6" s="371"/>
      <c r="FC6" s="371"/>
      <c r="FD6" s="371"/>
      <c r="FE6" s="371"/>
      <c r="FF6" s="371"/>
      <c r="FG6" s="371"/>
      <c r="FH6" s="371"/>
      <c r="FI6" s="371"/>
      <c r="FJ6" s="371"/>
      <c r="FK6" s="371"/>
      <c r="FL6" s="371"/>
      <c r="FM6" s="371"/>
      <c r="FN6" s="371"/>
      <c r="FO6" s="371"/>
      <c r="FP6" s="371"/>
      <c r="FQ6" s="371"/>
      <c r="FR6" s="371"/>
      <c r="FS6" s="371"/>
      <c r="FT6" s="371"/>
      <c r="FU6" s="371"/>
      <c r="FV6" s="371"/>
      <c r="FW6" s="371"/>
      <c r="FX6" s="371"/>
      <c r="FY6" s="371"/>
      <c r="FZ6" s="371"/>
      <c r="GA6" s="371"/>
      <c r="GB6" s="371"/>
      <c r="GC6" s="371"/>
      <c r="GD6" s="371"/>
      <c r="GE6" s="371"/>
      <c r="GF6" s="371"/>
      <c r="GG6" s="371"/>
      <c r="GH6" s="371"/>
      <c r="GI6" s="371"/>
      <c r="GJ6" s="371"/>
      <c r="GK6" s="371"/>
      <c r="GL6" s="371"/>
      <c r="GM6" s="371"/>
      <c r="GN6" s="371"/>
      <c r="GO6" s="371"/>
      <c r="GP6" s="371"/>
      <c r="GQ6" s="371"/>
      <c r="GR6" s="371"/>
      <c r="GS6" s="371"/>
      <c r="GT6" s="371"/>
      <c r="GU6" s="371"/>
      <c r="GV6" s="371"/>
      <c r="GW6" s="371"/>
      <c r="GX6" s="371"/>
      <c r="GY6" s="371"/>
      <c r="GZ6" s="371"/>
      <c r="HA6" s="371"/>
      <c r="HB6" s="371"/>
      <c r="HC6" s="371"/>
      <c r="HD6" s="371"/>
      <c r="HE6" s="371"/>
      <c r="HF6" s="371"/>
      <c r="HG6" s="371"/>
      <c r="HH6" s="371"/>
      <c r="HI6" s="371"/>
      <c r="HJ6" s="371"/>
      <c r="HK6" s="371"/>
      <c r="HL6" s="371"/>
      <c r="HM6" s="371"/>
      <c r="HN6" s="371"/>
      <c r="HO6" s="371"/>
      <c r="HP6" s="371"/>
      <c r="HQ6" s="371"/>
      <c r="HR6" s="371"/>
      <c r="HS6" s="371"/>
      <c r="HT6" s="371"/>
      <c r="HU6" s="371"/>
      <c r="HV6" s="371"/>
      <c r="HW6" s="371"/>
      <c r="HX6" s="371"/>
      <c r="HY6" s="371"/>
      <c r="HZ6" s="371"/>
      <c r="IA6" s="371"/>
      <c r="IB6" s="371"/>
      <c r="IC6" s="371"/>
      <c r="ID6" s="371"/>
      <c r="IE6" s="371"/>
      <c r="IF6" s="371"/>
      <c r="IG6" s="371"/>
      <c r="IH6" s="371"/>
      <c r="II6" s="371"/>
      <c r="IJ6" s="371"/>
      <c r="IK6" s="371"/>
      <c r="IL6" s="371"/>
      <c r="IM6" s="371"/>
      <c r="IN6" s="371"/>
      <c r="IO6" s="371"/>
      <c r="IP6" s="371"/>
      <c r="IQ6" s="371"/>
      <c r="IR6" s="371"/>
      <c r="IS6" s="371"/>
      <c r="IT6" s="371"/>
      <c r="IU6" s="371"/>
      <c r="IV6" s="371"/>
    </row>
    <row r="7" spans="1:256" x14ac:dyDescent="0.2">
      <c r="A7" s="365"/>
      <c r="B7" s="377"/>
      <c r="C7" s="378" t="s">
        <v>885</v>
      </c>
      <c r="D7" s="377"/>
      <c r="E7" s="379"/>
      <c r="F7" s="378"/>
      <c r="G7" s="378"/>
      <c r="H7" s="378"/>
      <c r="I7" s="378"/>
      <c r="J7" s="380"/>
      <c r="K7" s="380"/>
      <c r="L7" s="380"/>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0"/>
      <c r="CH7" s="380"/>
      <c r="CI7" s="380"/>
      <c r="CJ7" s="380"/>
      <c r="CK7" s="380"/>
      <c r="CL7" s="380"/>
      <c r="CM7" s="380"/>
      <c r="CN7" s="380"/>
      <c r="CO7" s="380"/>
      <c r="CP7" s="380"/>
      <c r="CQ7" s="380"/>
      <c r="CR7" s="380"/>
      <c r="CS7" s="380"/>
      <c r="CT7" s="380"/>
      <c r="CU7" s="380"/>
      <c r="CV7" s="380"/>
      <c r="CW7" s="380"/>
      <c r="CX7" s="380"/>
      <c r="CY7" s="380"/>
      <c r="CZ7" s="380"/>
      <c r="DA7" s="380"/>
      <c r="DB7" s="380"/>
      <c r="DC7" s="380"/>
      <c r="DD7" s="380"/>
      <c r="DE7" s="380"/>
      <c r="DF7" s="380"/>
      <c r="DG7" s="380"/>
      <c r="DH7" s="380"/>
      <c r="DI7" s="380"/>
      <c r="DJ7" s="380"/>
      <c r="DK7" s="380"/>
      <c r="DL7" s="380"/>
      <c r="DM7" s="380"/>
      <c r="DN7" s="380"/>
      <c r="DO7" s="380"/>
      <c r="DP7" s="380"/>
      <c r="DQ7" s="380"/>
      <c r="DR7" s="380"/>
      <c r="DS7" s="380"/>
      <c r="DT7" s="380"/>
      <c r="DU7" s="380"/>
      <c r="DV7" s="380"/>
      <c r="DW7" s="380"/>
      <c r="DX7" s="380"/>
      <c r="DY7" s="380"/>
      <c r="DZ7" s="380"/>
      <c r="EA7" s="380"/>
      <c r="EB7" s="380"/>
      <c r="EC7" s="380"/>
      <c r="ED7" s="380"/>
      <c r="EE7" s="380"/>
      <c r="EF7" s="380"/>
      <c r="EG7" s="380"/>
      <c r="EH7" s="380"/>
      <c r="EI7" s="380"/>
      <c r="EJ7" s="380"/>
      <c r="EK7" s="380"/>
      <c r="EL7" s="380"/>
      <c r="EM7" s="380"/>
      <c r="EN7" s="380"/>
      <c r="EO7" s="380"/>
      <c r="EP7" s="380"/>
      <c r="EQ7" s="380"/>
      <c r="ER7" s="380"/>
      <c r="ES7" s="380"/>
      <c r="ET7" s="380"/>
      <c r="EU7" s="380"/>
      <c r="EV7" s="380"/>
      <c r="EW7" s="380"/>
      <c r="EX7" s="380"/>
      <c r="EY7" s="380"/>
      <c r="EZ7" s="380"/>
      <c r="FA7" s="380"/>
      <c r="FB7" s="380"/>
      <c r="FC7" s="380"/>
      <c r="FD7" s="380"/>
      <c r="FE7" s="380"/>
      <c r="FF7" s="380"/>
      <c r="FG7" s="380"/>
      <c r="FH7" s="380"/>
      <c r="FI7" s="380"/>
      <c r="FJ7" s="380"/>
      <c r="FK7" s="380"/>
      <c r="FL7" s="380"/>
      <c r="FM7" s="380"/>
      <c r="FN7" s="380"/>
      <c r="FO7" s="380"/>
      <c r="FP7" s="380"/>
      <c r="FQ7" s="380"/>
      <c r="FR7" s="380"/>
      <c r="FS7" s="380"/>
      <c r="FT7" s="380"/>
      <c r="FU7" s="380"/>
      <c r="FV7" s="380"/>
      <c r="FW7" s="380"/>
      <c r="FX7" s="380"/>
      <c r="FY7" s="380"/>
      <c r="FZ7" s="380"/>
      <c r="GA7" s="380"/>
      <c r="GB7" s="380"/>
      <c r="GC7" s="380"/>
      <c r="GD7" s="380"/>
      <c r="GE7" s="380"/>
      <c r="GF7" s="380"/>
      <c r="GG7" s="380"/>
      <c r="GH7" s="380"/>
      <c r="GI7" s="380"/>
      <c r="GJ7" s="380"/>
      <c r="GK7" s="380"/>
      <c r="GL7" s="380"/>
      <c r="GM7" s="380"/>
      <c r="GN7" s="380"/>
      <c r="GO7" s="380"/>
      <c r="GP7" s="380"/>
      <c r="GQ7" s="380"/>
      <c r="GR7" s="380"/>
      <c r="GS7" s="380"/>
      <c r="GT7" s="380"/>
      <c r="GU7" s="380"/>
      <c r="GV7" s="380"/>
      <c r="GW7" s="380"/>
      <c r="GX7" s="380"/>
      <c r="GY7" s="380"/>
      <c r="GZ7" s="380"/>
      <c r="HA7" s="380"/>
      <c r="HB7" s="380"/>
      <c r="HC7" s="380"/>
      <c r="HD7" s="380"/>
      <c r="HE7" s="380"/>
      <c r="HF7" s="380"/>
      <c r="HG7" s="380"/>
      <c r="HH7" s="380"/>
      <c r="HI7" s="380"/>
      <c r="HJ7" s="380"/>
      <c r="HK7" s="380"/>
      <c r="HL7" s="380"/>
      <c r="HM7" s="380"/>
      <c r="HN7" s="380"/>
      <c r="HO7" s="380"/>
      <c r="HP7" s="380"/>
      <c r="HQ7" s="380"/>
      <c r="HR7" s="380"/>
      <c r="HS7" s="380"/>
      <c r="HT7" s="380"/>
      <c r="HU7" s="380"/>
      <c r="HV7" s="380"/>
      <c r="HW7" s="380"/>
      <c r="HX7" s="380"/>
      <c r="HY7" s="380"/>
      <c r="HZ7" s="380"/>
      <c r="IA7" s="380"/>
      <c r="IB7" s="380"/>
      <c r="IC7" s="380"/>
      <c r="ID7" s="380"/>
      <c r="IE7" s="380"/>
      <c r="IF7" s="380"/>
      <c r="IG7" s="380"/>
      <c r="IH7" s="380"/>
      <c r="II7" s="380"/>
      <c r="IJ7" s="380"/>
      <c r="IK7" s="380"/>
      <c r="IL7" s="380"/>
      <c r="IM7" s="380"/>
      <c r="IN7" s="380"/>
      <c r="IO7" s="380"/>
      <c r="IP7" s="380"/>
      <c r="IQ7" s="380"/>
      <c r="IR7" s="380"/>
      <c r="IS7" s="380"/>
      <c r="IT7" s="380"/>
      <c r="IU7" s="380"/>
      <c r="IV7" s="380"/>
    </row>
    <row r="8" spans="1:256" x14ac:dyDescent="0.2">
      <c r="A8" s="365"/>
      <c r="B8" s="381" t="s">
        <v>1314</v>
      </c>
      <c r="C8" s="377" t="str">
        <f>СВОД!D14</f>
        <v>Определяется по итогам конкурентных процедур</v>
      </c>
      <c r="D8" s="377"/>
      <c r="E8" s="382"/>
      <c r="F8" s="383"/>
      <c r="G8" s="384"/>
      <c r="H8" s="377"/>
      <c r="I8" s="385"/>
      <c r="J8" s="371"/>
      <c r="K8" s="371"/>
      <c r="L8" s="371"/>
      <c r="M8" s="371"/>
      <c r="N8" s="371"/>
      <c r="O8" s="371"/>
      <c r="P8" s="371"/>
      <c r="Q8" s="371"/>
      <c r="R8" s="371"/>
      <c r="S8" s="371"/>
      <c r="T8" s="371"/>
      <c r="U8" s="371"/>
      <c r="V8" s="371"/>
      <c r="W8" s="371"/>
      <c r="X8" s="371"/>
      <c r="Y8" s="371"/>
      <c r="Z8" s="371"/>
      <c r="AA8" s="371"/>
      <c r="AB8" s="371"/>
      <c r="AC8" s="371"/>
      <c r="AD8" s="371"/>
      <c r="AE8" s="371"/>
      <c r="AF8" s="371"/>
      <c r="AG8" s="371"/>
      <c r="AH8" s="371"/>
      <c r="AI8" s="371"/>
      <c r="AJ8" s="371"/>
      <c r="AK8" s="371"/>
      <c r="AL8" s="371"/>
      <c r="AM8" s="371"/>
      <c r="AN8" s="371"/>
      <c r="AO8" s="371"/>
      <c r="AP8" s="371"/>
      <c r="AQ8" s="371"/>
      <c r="AR8" s="371"/>
      <c r="AS8" s="371"/>
      <c r="AT8" s="371"/>
      <c r="AU8" s="371"/>
      <c r="AV8" s="371"/>
      <c r="AW8" s="371"/>
      <c r="AX8" s="371"/>
      <c r="AY8" s="371"/>
      <c r="AZ8" s="371"/>
      <c r="BA8" s="371"/>
      <c r="BB8" s="371"/>
      <c r="BC8" s="371"/>
      <c r="BD8" s="371"/>
      <c r="BE8" s="371"/>
      <c r="BF8" s="371"/>
      <c r="BG8" s="371"/>
      <c r="BH8" s="371"/>
      <c r="BI8" s="371"/>
      <c r="BJ8" s="371"/>
      <c r="BK8" s="371"/>
      <c r="BL8" s="371"/>
      <c r="BM8" s="371"/>
      <c r="BN8" s="371"/>
      <c r="BO8" s="371"/>
      <c r="BP8" s="371"/>
      <c r="BQ8" s="371"/>
      <c r="BR8" s="371"/>
      <c r="BS8" s="371"/>
      <c r="BT8" s="371"/>
      <c r="BU8" s="371"/>
      <c r="BV8" s="371"/>
      <c r="BW8" s="371"/>
      <c r="BX8" s="371"/>
      <c r="BY8" s="371"/>
      <c r="BZ8" s="371"/>
      <c r="CA8" s="371"/>
      <c r="CB8" s="371"/>
      <c r="CC8" s="371"/>
      <c r="CD8" s="371"/>
      <c r="CE8" s="371"/>
      <c r="CF8" s="371"/>
      <c r="CG8" s="371"/>
      <c r="CH8" s="371"/>
      <c r="CI8" s="371"/>
      <c r="CJ8" s="371"/>
      <c r="CK8" s="371"/>
      <c r="CL8" s="371"/>
      <c r="CM8" s="371"/>
      <c r="CN8" s="371"/>
      <c r="CO8" s="371"/>
      <c r="CP8" s="371"/>
      <c r="CQ8" s="371"/>
      <c r="CR8" s="371"/>
      <c r="CS8" s="371"/>
      <c r="CT8" s="371"/>
      <c r="CU8" s="371"/>
      <c r="CV8" s="371"/>
      <c r="CW8" s="371"/>
      <c r="CX8" s="371"/>
      <c r="CY8" s="371"/>
      <c r="CZ8" s="371"/>
      <c r="DA8" s="371"/>
      <c r="DB8" s="371"/>
      <c r="DC8" s="371"/>
      <c r="DD8" s="371"/>
      <c r="DE8" s="371"/>
      <c r="DF8" s="371"/>
      <c r="DG8" s="371"/>
      <c r="DH8" s="371"/>
      <c r="DI8" s="371"/>
      <c r="DJ8" s="371"/>
      <c r="DK8" s="371"/>
      <c r="DL8" s="371"/>
      <c r="DM8" s="371"/>
      <c r="DN8" s="371"/>
      <c r="DO8" s="371"/>
      <c r="DP8" s="371"/>
      <c r="DQ8" s="371"/>
      <c r="DR8" s="371"/>
      <c r="DS8" s="371"/>
      <c r="DT8" s="371"/>
      <c r="DU8" s="371"/>
      <c r="DV8" s="371"/>
      <c r="DW8" s="371"/>
      <c r="DX8" s="371"/>
      <c r="DY8" s="371"/>
      <c r="DZ8" s="371"/>
      <c r="EA8" s="371"/>
      <c r="EB8" s="371"/>
      <c r="EC8" s="371"/>
      <c r="ED8" s="371"/>
      <c r="EE8" s="371"/>
      <c r="EF8" s="371"/>
      <c r="EG8" s="371"/>
      <c r="EH8" s="371"/>
      <c r="EI8" s="371"/>
      <c r="EJ8" s="371"/>
      <c r="EK8" s="371"/>
      <c r="EL8" s="371"/>
      <c r="EM8" s="371"/>
      <c r="EN8" s="371"/>
      <c r="EO8" s="371"/>
      <c r="EP8" s="371"/>
      <c r="EQ8" s="371"/>
      <c r="ER8" s="371"/>
      <c r="ES8" s="371"/>
      <c r="ET8" s="371"/>
      <c r="EU8" s="371"/>
      <c r="EV8" s="371"/>
      <c r="EW8" s="371"/>
      <c r="EX8" s="371"/>
      <c r="EY8" s="371"/>
      <c r="EZ8" s="371"/>
      <c r="FA8" s="371"/>
      <c r="FB8" s="371"/>
      <c r="FC8" s="371"/>
      <c r="FD8" s="371"/>
      <c r="FE8" s="371"/>
      <c r="FF8" s="371"/>
      <c r="FG8" s="371"/>
      <c r="FH8" s="371"/>
      <c r="FI8" s="371"/>
      <c r="FJ8" s="371"/>
      <c r="FK8" s="371"/>
      <c r="FL8" s="371"/>
      <c r="FM8" s="371"/>
      <c r="FN8" s="371"/>
      <c r="FO8" s="371"/>
      <c r="FP8" s="371"/>
      <c r="FQ8" s="371"/>
      <c r="FR8" s="371"/>
      <c r="FS8" s="371"/>
      <c r="FT8" s="371"/>
      <c r="FU8" s="371"/>
      <c r="FV8" s="371"/>
      <c r="FW8" s="371"/>
      <c r="FX8" s="371"/>
      <c r="FY8" s="371"/>
      <c r="FZ8" s="371"/>
      <c r="GA8" s="371"/>
      <c r="GB8" s="371"/>
      <c r="GC8" s="371"/>
      <c r="GD8" s="371"/>
      <c r="GE8" s="371"/>
      <c r="GF8" s="371"/>
      <c r="GG8" s="371"/>
      <c r="GH8" s="371"/>
      <c r="GI8" s="371"/>
      <c r="GJ8" s="371"/>
      <c r="GK8" s="371"/>
      <c r="GL8" s="371"/>
      <c r="GM8" s="371"/>
      <c r="GN8" s="371"/>
      <c r="GO8" s="371"/>
      <c r="GP8" s="371"/>
      <c r="GQ8" s="371"/>
      <c r="GR8" s="371"/>
      <c r="GS8" s="371"/>
      <c r="GT8" s="371"/>
      <c r="GU8" s="371"/>
      <c r="GV8" s="371"/>
      <c r="GW8" s="371"/>
      <c r="GX8" s="371"/>
      <c r="GY8" s="371"/>
      <c r="GZ8" s="371"/>
      <c r="HA8" s="371"/>
      <c r="HB8" s="371"/>
      <c r="HC8" s="371"/>
      <c r="HD8" s="371"/>
      <c r="HE8" s="371"/>
      <c r="HF8" s="371"/>
      <c r="HG8" s="371"/>
      <c r="HH8" s="371"/>
      <c r="HI8" s="371"/>
      <c r="HJ8" s="371"/>
      <c r="HK8" s="371"/>
      <c r="HL8" s="371"/>
      <c r="HM8" s="371"/>
      <c r="HN8" s="371"/>
      <c r="HO8" s="371"/>
      <c r="HP8" s="371"/>
      <c r="HQ8" s="371"/>
      <c r="HR8" s="371"/>
      <c r="HS8" s="371"/>
      <c r="HT8" s="371"/>
      <c r="HU8" s="371"/>
      <c r="HV8" s="371"/>
      <c r="HW8" s="371"/>
      <c r="HX8" s="371"/>
      <c r="HY8" s="371"/>
      <c r="HZ8" s="371"/>
      <c r="IA8" s="371"/>
      <c r="IB8" s="371"/>
      <c r="IC8" s="371"/>
      <c r="ID8" s="371"/>
      <c r="IE8" s="371"/>
      <c r="IF8" s="371"/>
      <c r="IG8" s="371"/>
      <c r="IH8" s="371"/>
      <c r="II8" s="371"/>
      <c r="IJ8" s="371"/>
      <c r="IK8" s="371"/>
      <c r="IL8" s="371"/>
      <c r="IM8" s="371"/>
      <c r="IN8" s="371"/>
      <c r="IO8" s="371"/>
      <c r="IP8" s="371"/>
      <c r="IQ8" s="371"/>
      <c r="IR8" s="371"/>
      <c r="IS8" s="371"/>
      <c r="IT8" s="371"/>
      <c r="IU8" s="371"/>
      <c r="IV8" s="371"/>
    </row>
    <row r="9" spans="1:256" x14ac:dyDescent="0.2">
      <c r="A9" s="365"/>
      <c r="B9" s="381" t="s">
        <v>1315</v>
      </c>
      <c r="C9" s="368"/>
      <c r="D9" s="377"/>
      <c r="E9" s="382"/>
      <c r="F9" s="383"/>
      <c r="G9" s="386"/>
      <c r="H9" s="387"/>
      <c r="I9" s="386"/>
      <c r="J9" s="371"/>
      <c r="K9" s="371"/>
      <c r="L9" s="371"/>
      <c r="M9" s="371"/>
      <c r="N9" s="371"/>
      <c r="O9" s="371"/>
      <c r="P9" s="371"/>
      <c r="Q9" s="371"/>
      <c r="R9" s="371"/>
      <c r="S9" s="371"/>
      <c r="T9" s="371"/>
      <c r="U9" s="371"/>
      <c r="V9" s="371"/>
      <c r="W9" s="371"/>
      <c r="X9" s="371"/>
      <c r="Y9" s="371"/>
      <c r="Z9" s="371"/>
      <c r="AA9" s="371"/>
      <c r="AB9" s="371"/>
      <c r="AC9" s="371"/>
      <c r="AD9" s="371"/>
      <c r="AE9" s="371"/>
      <c r="AF9" s="371"/>
      <c r="AG9" s="371"/>
      <c r="AH9" s="371"/>
      <c r="AI9" s="371"/>
      <c r="AJ9" s="371"/>
      <c r="AK9" s="371"/>
      <c r="AL9" s="371"/>
      <c r="AM9" s="371"/>
      <c r="AN9" s="371"/>
      <c r="AO9" s="371"/>
      <c r="AP9" s="371"/>
      <c r="AQ9" s="371"/>
      <c r="AR9" s="371"/>
      <c r="AS9" s="371"/>
      <c r="AT9" s="371"/>
      <c r="AU9" s="371"/>
      <c r="AV9" s="371"/>
      <c r="AW9" s="371"/>
      <c r="AX9" s="371"/>
      <c r="AY9" s="371"/>
      <c r="AZ9" s="371"/>
      <c r="BA9" s="371"/>
      <c r="BB9" s="371"/>
      <c r="BC9" s="371"/>
      <c r="BD9" s="371"/>
      <c r="BE9" s="371"/>
      <c r="BF9" s="371"/>
      <c r="BG9" s="371"/>
      <c r="BH9" s="371"/>
      <c r="BI9" s="371"/>
      <c r="BJ9" s="371"/>
      <c r="BK9" s="371"/>
      <c r="BL9" s="371"/>
      <c r="BM9" s="371"/>
      <c r="BN9" s="371"/>
      <c r="BO9" s="371"/>
      <c r="BP9" s="371"/>
      <c r="BQ9" s="371"/>
      <c r="BR9" s="371"/>
      <c r="BS9" s="371"/>
      <c r="BT9" s="371"/>
      <c r="BU9" s="371"/>
      <c r="BV9" s="371"/>
      <c r="BW9" s="371"/>
      <c r="BX9" s="371"/>
      <c r="BY9" s="371"/>
      <c r="BZ9" s="371"/>
      <c r="CA9" s="371"/>
      <c r="CB9" s="371"/>
      <c r="CC9" s="371"/>
      <c r="CD9" s="371"/>
      <c r="CE9" s="371"/>
      <c r="CF9" s="371"/>
      <c r="CG9" s="371"/>
      <c r="CH9" s="371"/>
      <c r="CI9" s="371"/>
      <c r="CJ9" s="371"/>
      <c r="CK9" s="371"/>
      <c r="CL9" s="371"/>
      <c r="CM9" s="371"/>
      <c r="CN9" s="371"/>
      <c r="CO9" s="371"/>
      <c r="CP9" s="371"/>
      <c r="CQ9" s="371"/>
      <c r="CR9" s="371"/>
      <c r="CS9" s="371"/>
      <c r="CT9" s="371"/>
      <c r="CU9" s="371"/>
      <c r="CV9" s="371"/>
      <c r="CW9" s="371"/>
      <c r="CX9" s="371"/>
      <c r="CY9" s="371"/>
      <c r="CZ9" s="371"/>
      <c r="DA9" s="371"/>
      <c r="DB9" s="371"/>
      <c r="DC9" s="371"/>
      <c r="DD9" s="371"/>
      <c r="DE9" s="371"/>
      <c r="DF9" s="371"/>
      <c r="DG9" s="371"/>
      <c r="DH9" s="371"/>
      <c r="DI9" s="371"/>
      <c r="DJ9" s="371"/>
      <c r="DK9" s="371"/>
      <c r="DL9" s="371"/>
      <c r="DM9" s="371"/>
      <c r="DN9" s="371"/>
      <c r="DO9" s="371"/>
      <c r="DP9" s="371"/>
      <c r="DQ9" s="371"/>
      <c r="DR9" s="371"/>
      <c r="DS9" s="371"/>
      <c r="DT9" s="371"/>
      <c r="DU9" s="371"/>
      <c r="DV9" s="371"/>
      <c r="DW9" s="371"/>
      <c r="DX9" s="371"/>
      <c r="DY9" s="371"/>
      <c r="DZ9" s="371"/>
      <c r="EA9" s="371"/>
      <c r="EB9" s="371"/>
      <c r="EC9" s="371"/>
      <c r="ED9" s="371"/>
      <c r="EE9" s="371"/>
      <c r="EF9" s="371"/>
      <c r="EG9" s="371"/>
      <c r="EH9" s="371"/>
      <c r="EI9" s="371"/>
      <c r="EJ9" s="371"/>
      <c r="EK9" s="371"/>
      <c r="EL9" s="371"/>
      <c r="EM9" s="371"/>
      <c r="EN9" s="371"/>
      <c r="EO9" s="371"/>
      <c r="EP9" s="371"/>
      <c r="EQ9" s="371"/>
      <c r="ER9" s="371"/>
      <c r="ES9" s="371"/>
      <c r="ET9" s="371"/>
      <c r="EU9" s="371"/>
      <c r="EV9" s="371"/>
      <c r="EW9" s="371"/>
      <c r="EX9" s="371"/>
      <c r="EY9" s="371"/>
      <c r="EZ9" s="371"/>
      <c r="FA9" s="371"/>
      <c r="FB9" s="371"/>
      <c r="FC9" s="371"/>
      <c r="FD9" s="371"/>
      <c r="FE9" s="371"/>
      <c r="FF9" s="371"/>
      <c r="FG9" s="371"/>
      <c r="FH9" s="371"/>
      <c r="FI9" s="371"/>
      <c r="FJ9" s="371"/>
      <c r="FK9" s="371"/>
      <c r="FL9" s="371"/>
      <c r="FM9" s="371"/>
      <c r="FN9" s="371"/>
      <c r="FO9" s="371"/>
      <c r="FP9" s="371"/>
      <c r="FQ9" s="371"/>
      <c r="FR9" s="371"/>
      <c r="FS9" s="371"/>
      <c r="FT9" s="371"/>
      <c r="FU9" s="371"/>
      <c r="FV9" s="371"/>
      <c r="FW9" s="371"/>
      <c r="FX9" s="371"/>
      <c r="FY9" s="371"/>
      <c r="FZ9" s="371"/>
      <c r="GA9" s="371"/>
      <c r="GB9" s="371"/>
      <c r="GC9" s="371"/>
      <c r="GD9" s="371"/>
      <c r="GE9" s="371"/>
      <c r="GF9" s="371"/>
      <c r="GG9" s="371"/>
      <c r="GH9" s="371"/>
      <c r="GI9" s="371"/>
      <c r="GJ9" s="371"/>
      <c r="GK9" s="371"/>
      <c r="GL9" s="371"/>
      <c r="GM9" s="371"/>
      <c r="GN9" s="371"/>
      <c r="GO9" s="371"/>
      <c r="GP9" s="371"/>
      <c r="GQ9" s="371"/>
      <c r="GR9" s="371"/>
      <c r="GS9" s="371"/>
      <c r="GT9" s="371"/>
      <c r="GU9" s="371"/>
      <c r="GV9" s="371"/>
      <c r="GW9" s="371"/>
      <c r="GX9" s="371"/>
      <c r="GY9" s="371"/>
      <c r="GZ9" s="371"/>
      <c r="HA9" s="371"/>
      <c r="HB9" s="371"/>
      <c r="HC9" s="371"/>
      <c r="HD9" s="371"/>
      <c r="HE9" s="371"/>
      <c r="HF9" s="371"/>
      <c r="HG9" s="371"/>
      <c r="HH9" s="371"/>
      <c r="HI9" s="371"/>
      <c r="HJ9" s="371"/>
      <c r="HK9" s="371"/>
      <c r="HL9" s="371"/>
      <c r="HM9" s="371"/>
      <c r="HN9" s="371"/>
      <c r="HO9" s="371"/>
      <c r="HP9" s="371"/>
      <c r="HQ9" s="371"/>
      <c r="HR9" s="371"/>
      <c r="HS9" s="371"/>
      <c r="HT9" s="371"/>
      <c r="HU9" s="371"/>
      <c r="HV9" s="371"/>
      <c r="HW9" s="371"/>
      <c r="HX9" s="371"/>
      <c r="HY9" s="371"/>
      <c r="HZ9" s="371"/>
      <c r="IA9" s="371"/>
      <c r="IB9" s="371"/>
      <c r="IC9" s="371"/>
      <c r="ID9" s="371"/>
      <c r="IE9" s="371"/>
      <c r="IF9" s="371"/>
      <c r="IG9" s="371"/>
      <c r="IH9" s="371"/>
      <c r="II9" s="371"/>
      <c r="IJ9" s="371"/>
      <c r="IK9" s="371"/>
      <c r="IL9" s="371"/>
      <c r="IM9" s="371"/>
      <c r="IN9" s="371"/>
      <c r="IO9" s="371"/>
      <c r="IP9" s="371"/>
      <c r="IQ9" s="371"/>
      <c r="IR9" s="371"/>
      <c r="IS9" s="371"/>
      <c r="IT9" s="371"/>
      <c r="IU9" s="371"/>
      <c r="IV9" s="371"/>
    </row>
    <row r="10" spans="1:256" x14ac:dyDescent="0.2">
      <c r="A10" s="365"/>
      <c r="B10" s="381"/>
      <c r="C10" s="377"/>
      <c r="D10" s="377"/>
      <c r="E10" s="382"/>
      <c r="F10" s="383"/>
      <c r="G10" s="386"/>
      <c r="H10" s="387"/>
      <c r="I10" s="386"/>
      <c r="J10" s="371"/>
      <c r="K10" s="371"/>
      <c r="L10" s="371"/>
      <c r="M10" s="371"/>
      <c r="N10" s="371"/>
      <c r="O10" s="371"/>
      <c r="P10" s="371"/>
      <c r="Q10" s="371"/>
      <c r="R10" s="371"/>
      <c r="S10" s="371"/>
      <c r="T10" s="371"/>
      <c r="U10" s="371"/>
      <c r="V10" s="371"/>
      <c r="W10" s="371"/>
      <c r="X10" s="371"/>
      <c r="Y10" s="371"/>
      <c r="Z10" s="371"/>
      <c r="AA10" s="371"/>
      <c r="AB10" s="371"/>
      <c r="AC10" s="371"/>
      <c r="AD10" s="371"/>
      <c r="AE10" s="371"/>
      <c r="AF10" s="371"/>
      <c r="AG10" s="371"/>
      <c r="AH10" s="371"/>
      <c r="AI10" s="371"/>
      <c r="AJ10" s="371"/>
      <c r="AK10" s="371"/>
      <c r="AL10" s="371"/>
      <c r="AM10" s="371"/>
      <c r="AN10" s="371"/>
      <c r="AO10" s="371"/>
      <c r="AP10" s="371"/>
      <c r="AQ10" s="371"/>
      <c r="AR10" s="371"/>
      <c r="AS10" s="371"/>
      <c r="AT10" s="371"/>
      <c r="AU10" s="371"/>
      <c r="AV10" s="371"/>
      <c r="AW10" s="371"/>
      <c r="AX10" s="371"/>
      <c r="AY10" s="371"/>
      <c r="AZ10" s="371"/>
      <c r="BA10" s="371"/>
      <c r="BB10" s="371"/>
      <c r="BC10" s="371"/>
      <c r="BD10" s="371"/>
      <c r="BE10" s="371"/>
      <c r="BF10" s="371"/>
      <c r="BG10" s="371"/>
      <c r="BH10" s="371"/>
      <c r="BI10" s="371"/>
      <c r="BJ10" s="371"/>
      <c r="BK10" s="371"/>
      <c r="BL10" s="371"/>
      <c r="BM10" s="371"/>
      <c r="BN10" s="371"/>
      <c r="BO10" s="371"/>
      <c r="BP10" s="371"/>
      <c r="BQ10" s="371"/>
      <c r="BR10" s="371"/>
      <c r="BS10" s="371"/>
      <c r="BT10" s="371"/>
      <c r="BU10" s="371"/>
      <c r="BV10" s="371"/>
      <c r="BW10" s="371"/>
      <c r="BX10" s="371"/>
      <c r="BY10" s="371"/>
      <c r="BZ10" s="371"/>
      <c r="CA10" s="371"/>
      <c r="CB10" s="371"/>
      <c r="CC10" s="371"/>
      <c r="CD10" s="371"/>
      <c r="CE10" s="371"/>
      <c r="CF10" s="371"/>
      <c r="CG10" s="371"/>
      <c r="CH10" s="371"/>
      <c r="CI10" s="371"/>
      <c r="CJ10" s="371"/>
      <c r="CK10" s="371"/>
      <c r="CL10" s="371"/>
      <c r="CM10" s="371"/>
      <c r="CN10" s="371"/>
      <c r="CO10" s="371"/>
      <c r="CP10" s="371"/>
      <c r="CQ10" s="371"/>
      <c r="CR10" s="371"/>
      <c r="CS10" s="371"/>
      <c r="CT10" s="371"/>
      <c r="CU10" s="371"/>
      <c r="CV10" s="371"/>
      <c r="CW10" s="371"/>
      <c r="CX10" s="371"/>
      <c r="CY10" s="371"/>
      <c r="CZ10" s="371"/>
      <c r="DA10" s="371"/>
      <c r="DB10" s="371"/>
      <c r="DC10" s="371"/>
      <c r="DD10" s="371"/>
      <c r="DE10" s="371"/>
      <c r="DF10" s="371"/>
      <c r="DG10" s="371"/>
      <c r="DH10" s="371"/>
      <c r="DI10" s="371"/>
      <c r="DJ10" s="371"/>
      <c r="DK10" s="371"/>
      <c r="DL10" s="371"/>
      <c r="DM10" s="371"/>
      <c r="DN10" s="371"/>
      <c r="DO10" s="371"/>
      <c r="DP10" s="371"/>
      <c r="DQ10" s="371"/>
      <c r="DR10" s="371"/>
      <c r="DS10" s="371"/>
      <c r="DT10" s="371"/>
      <c r="DU10" s="371"/>
      <c r="DV10" s="371"/>
      <c r="DW10" s="371"/>
      <c r="DX10" s="371"/>
      <c r="DY10" s="371"/>
      <c r="DZ10" s="371"/>
      <c r="EA10" s="371"/>
      <c r="EB10" s="371"/>
      <c r="EC10" s="371"/>
      <c r="ED10" s="371"/>
      <c r="EE10" s="371"/>
      <c r="EF10" s="371"/>
      <c r="EG10" s="371"/>
      <c r="EH10" s="371"/>
      <c r="EI10" s="371"/>
      <c r="EJ10" s="371"/>
      <c r="EK10" s="371"/>
      <c r="EL10" s="371"/>
      <c r="EM10" s="371"/>
      <c r="EN10" s="371"/>
      <c r="EO10" s="371"/>
      <c r="EP10" s="371"/>
      <c r="EQ10" s="371"/>
      <c r="ER10" s="371"/>
      <c r="ES10" s="371"/>
      <c r="ET10" s="371"/>
      <c r="EU10" s="371"/>
      <c r="EV10" s="371"/>
      <c r="EW10" s="371"/>
      <c r="EX10" s="371"/>
      <c r="EY10" s="371"/>
      <c r="EZ10" s="371"/>
      <c r="FA10" s="371"/>
      <c r="FB10" s="371"/>
      <c r="FC10" s="371"/>
      <c r="FD10" s="371"/>
      <c r="FE10" s="371"/>
      <c r="FF10" s="371"/>
      <c r="FG10" s="371"/>
      <c r="FH10" s="371"/>
      <c r="FI10" s="371"/>
      <c r="FJ10" s="371"/>
      <c r="FK10" s="371"/>
      <c r="FL10" s="371"/>
      <c r="FM10" s="371"/>
      <c r="FN10" s="371"/>
      <c r="FO10" s="371"/>
      <c r="FP10" s="371"/>
      <c r="FQ10" s="371"/>
      <c r="FR10" s="371"/>
      <c r="FS10" s="371"/>
      <c r="FT10" s="371"/>
      <c r="FU10" s="371"/>
      <c r="FV10" s="371"/>
      <c r="FW10" s="371"/>
      <c r="FX10" s="371"/>
      <c r="FY10" s="371"/>
      <c r="FZ10" s="371"/>
      <c r="GA10" s="371"/>
      <c r="GB10" s="371"/>
      <c r="GC10" s="371"/>
      <c r="GD10" s="371"/>
      <c r="GE10" s="371"/>
      <c r="GF10" s="371"/>
      <c r="GG10" s="371"/>
      <c r="GH10" s="371"/>
      <c r="GI10" s="371"/>
      <c r="GJ10" s="371"/>
      <c r="GK10" s="371"/>
      <c r="GL10" s="371"/>
      <c r="GM10" s="371"/>
      <c r="GN10" s="371"/>
      <c r="GO10" s="371"/>
      <c r="GP10" s="371"/>
      <c r="GQ10" s="371"/>
      <c r="GR10" s="371"/>
      <c r="GS10" s="371"/>
      <c r="GT10" s="371"/>
      <c r="GU10" s="371"/>
      <c r="GV10" s="371"/>
      <c r="GW10" s="371"/>
      <c r="GX10" s="371"/>
      <c r="GY10" s="371"/>
      <c r="GZ10" s="371"/>
      <c r="HA10" s="371"/>
      <c r="HB10" s="371"/>
      <c r="HC10" s="371"/>
      <c r="HD10" s="371"/>
      <c r="HE10" s="371"/>
      <c r="HF10" s="371"/>
      <c r="HG10" s="371"/>
      <c r="HH10" s="371"/>
      <c r="HI10" s="371"/>
      <c r="HJ10" s="371"/>
      <c r="HK10" s="371"/>
      <c r="HL10" s="371"/>
      <c r="HM10" s="371"/>
      <c r="HN10" s="371"/>
      <c r="HO10" s="371"/>
      <c r="HP10" s="371"/>
      <c r="HQ10" s="371"/>
      <c r="HR10" s="371"/>
      <c r="HS10" s="371"/>
      <c r="HT10" s="371"/>
      <c r="HU10" s="371"/>
      <c r="HV10" s="371"/>
      <c r="HW10" s="371"/>
      <c r="HX10" s="371"/>
      <c r="HY10" s="371"/>
      <c r="HZ10" s="371"/>
      <c r="IA10" s="371"/>
      <c r="IB10" s="371"/>
      <c r="IC10" s="371"/>
      <c r="ID10" s="371"/>
      <c r="IE10" s="371"/>
      <c r="IF10" s="371"/>
      <c r="IG10" s="371"/>
      <c r="IH10" s="371"/>
      <c r="II10" s="371"/>
      <c r="IJ10" s="371"/>
      <c r="IK10" s="371"/>
      <c r="IL10" s="371"/>
      <c r="IM10" s="371"/>
      <c r="IN10" s="371"/>
      <c r="IO10" s="371"/>
      <c r="IP10" s="371"/>
      <c r="IQ10" s="371"/>
      <c r="IR10" s="371"/>
      <c r="IS10" s="371"/>
      <c r="IT10" s="371"/>
      <c r="IU10" s="371"/>
      <c r="IV10" s="371"/>
    </row>
    <row r="11" spans="1:256" x14ac:dyDescent="0.2">
      <c r="A11" s="365"/>
      <c r="B11" s="388" t="s">
        <v>1316</v>
      </c>
      <c r="C11" s="377" t="str">
        <f>СВОД!D16</f>
        <v>ООО «Газпром проектирование»</v>
      </c>
      <c r="D11" s="377"/>
      <c r="E11" s="382"/>
      <c r="F11" s="387"/>
      <c r="G11" s="386"/>
      <c r="H11" s="387"/>
      <c r="I11" s="386"/>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1"/>
      <c r="BR11" s="371"/>
      <c r="BS11" s="371"/>
      <c r="BT11" s="371"/>
      <c r="BU11" s="371"/>
      <c r="BV11" s="371"/>
      <c r="BW11" s="371"/>
      <c r="BX11" s="371"/>
      <c r="BY11" s="371"/>
      <c r="BZ11" s="371"/>
      <c r="CA11" s="371"/>
      <c r="CB11" s="371"/>
      <c r="CC11" s="371"/>
      <c r="CD11" s="371"/>
      <c r="CE11" s="371"/>
      <c r="CF11" s="371"/>
      <c r="CG11" s="371"/>
      <c r="CH11" s="371"/>
      <c r="CI11" s="371"/>
      <c r="CJ11" s="371"/>
      <c r="CK11" s="371"/>
      <c r="CL11" s="371"/>
      <c r="CM11" s="371"/>
      <c r="CN11" s="371"/>
      <c r="CO11" s="371"/>
      <c r="CP11" s="371"/>
      <c r="CQ11" s="371"/>
      <c r="CR11" s="371"/>
      <c r="CS11" s="371"/>
      <c r="CT11" s="371"/>
      <c r="CU11" s="371"/>
      <c r="CV11" s="371"/>
      <c r="CW11" s="371"/>
      <c r="CX11" s="371"/>
      <c r="CY11" s="371"/>
      <c r="CZ11" s="371"/>
      <c r="DA11" s="371"/>
      <c r="DB11" s="371"/>
      <c r="DC11" s="371"/>
      <c r="DD11" s="371"/>
      <c r="DE11" s="371"/>
      <c r="DF11" s="371"/>
      <c r="DG11" s="371"/>
      <c r="DH11" s="371"/>
      <c r="DI11" s="371"/>
      <c r="DJ11" s="371"/>
      <c r="DK11" s="371"/>
      <c r="DL11" s="371"/>
      <c r="DM11" s="371"/>
      <c r="DN11" s="371"/>
      <c r="DO11" s="371"/>
      <c r="DP11" s="371"/>
      <c r="DQ11" s="371"/>
      <c r="DR11" s="371"/>
      <c r="DS11" s="371"/>
      <c r="DT11" s="371"/>
      <c r="DU11" s="371"/>
      <c r="DV11" s="371"/>
      <c r="DW11" s="371"/>
      <c r="DX11" s="371"/>
      <c r="DY11" s="371"/>
      <c r="DZ11" s="371"/>
      <c r="EA11" s="371"/>
      <c r="EB11" s="371"/>
      <c r="EC11" s="371"/>
      <c r="ED11" s="371"/>
      <c r="EE11" s="371"/>
      <c r="EF11" s="371"/>
      <c r="EG11" s="371"/>
      <c r="EH11" s="371"/>
      <c r="EI11" s="371"/>
      <c r="EJ11" s="371"/>
      <c r="EK11" s="371"/>
      <c r="EL11" s="371"/>
      <c r="EM11" s="371"/>
      <c r="EN11" s="371"/>
      <c r="EO11" s="371"/>
      <c r="EP11" s="371"/>
      <c r="EQ11" s="371"/>
      <c r="ER11" s="371"/>
      <c r="ES11" s="371"/>
      <c r="ET11" s="371"/>
      <c r="EU11" s="371"/>
      <c r="EV11" s="371"/>
      <c r="EW11" s="371"/>
      <c r="EX11" s="371"/>
      <c r="EY11" s="371"/>
      <c r="EZ11" s="371"/>
      <c r="FA11" s="371"/>
      <c r="FB11" s="371"/>
      <c r="FC11" s="371"/>
      <c r="FD11" s="371"/>
      <c r="FE11" s="371"/>
      <c r="FF11" s="371"/>
      <c r="FG11" s="371"/>
      <c r="FH11" s="371"/>
      <c r="FI11" s="371"/>
      <c r="FJ11" s="371"/>
      <c r="FK11" s="371"/>
      <c r="FL11" s="371"/>
      <c r="FM11" s="371"/>
      <c r="FN11" s="371"/>
      <c r="FO11" s="371"/>
      <c r="FP11" s="371"/>
      <c r="FQ11" s="371"/>
      <c r="FR11" s="371"/>
      <c r="FS11" s="371"/>
      <c r="FT11" s="371"/>
      <c r="FU11" s="371"/>
      <c r="FV11" s="371"/>
      <c r="FW11" s="371"/>
      <c r="FX11" s="371"/>
      <c r="FY11" s="371"/>
      <c r="FZ11" s="371"/>
      <c r="GA11" s="371"/>
      <c r="GB11" s="371"/>
      <c r="GC11" s="371"/>
      <c r="GD11" s="371"/>
      <c r="GE11" s="371"/>
      <c r="GF11" s="371"/>
      <c r="GG11" s="371"/>
      <c r="GH11" s="371"/>
      <c r="GI11" s="371"/>
      <c r="GJ11" s="371"/>
      <c r="GK11" s="371"/>
      <c r="GL11" s="371"/>
      <c r="GM11" s="371"/>
      <c r="GN11" s="371"/>
      <c r="GO11" s="371"/>
      <c r="GP11" s="371"/>
      <c r="GQ11" s="371"/>
      <c r="GR11" s="371"/>
      <c r="GS11" s="371"/>
      <c r="GT11" s="371"/>
      <c r="GU11" s="371"/>
      <c r="GV11" s="371"/>
      <c r="GW11" s="371"/>
      <c r="GX11" s="371"/>
      <c r="GY11" s="371"/>
      <c r="GZ11" s="371"/>
      <c r="HA11" s="371"/>
      <c r="HB11" s="371"/>
      <c r="HC11" s="371"/>
      <c r="HD11" s="371"/>
      <c r="HE11" s="371"/>
      <c r="HF11" s="371"/>
      <c r="HG11" s="371"/>
      <c r="HH11" s="371"/>
      <c r="HI11" s="371"/>
      <c r="HJ11" s="371"/>
      <c r="HK11" s="371"/>
      <c r="HL11" s="371"/>
      <c r="HM11" s="371"/>
      <c r="HN11" s="371"/>
      <c r="HO11" s="371"/>
      <c r="HP11" s="371"/>
      <c r="HQ11" s="371"/>
      <c r="HR11" s="371"/>
      <c r="HS11" s="371"/>
      <c r="HT11" s="371"/>
      <c r="HU11" s="371"/>
      <c r="HV11" s="371"/>
      <c r="HW11" s="371"/>
      <c r="HX11" s="371"/>
      <c r="HY11" s="371"/>
      <c r="HZ11" s="371"/>
      <c r="IA11" s="371"/>
      <c r="IB11" s="371"/>
      <c r="IC11" s="371"/>
      <c r="ID11" s="371"/>
      <c r="IE11" s="371"/>
      <c r="IF11" s="371"/>
      <c r="IG11" s="371"/>
      <c r="IH11" s="371"/>
      <c r="II11" s="371"/>
      <c r="IJ11" s="371"/>
      <c r="IK11" s="371"/>
      <c r="IL11" s="371"/>
      <c r="IM11" s="371"/>
      <c r="IN11" s="371"/>
      <c r="IO11" s="371"/>
      <c r="IP11" s="371"/>
      <c r="IQ11" s="371"/>
      <c r="IR11" s="371"/>
      <c r="IS11" s="371"/>
      <c r="IT11" s="371"/>
      <c r="IU11" s="371"/>
      <c r="IV11" s="371"/>
    </row>
    <row r="12" spans="1:256" x14ac:dyDescent="0.2">
      <c r="A12" s="365"/>
      <c r="B12" s="388" t="s">
        <v>1317</v>
      </c>
      <c r="C12" s="377"/>
      <c r="D12" s="377"/>
      <c r="E12" s="389"/>
      <c r="F12" s="387"/>
      <c r="G12" s="386"/>
      <c r="H12" s="387"/>
      <c r="I12" s="386"/>
      <c r="J12" s="371"/>
      <c r="K12" s="371"/>
      <c r="L12" s="371"/>
      <c r="M12" s="371"/>
      <c r="N12" s="371"/>
      <c r="O12" s="371"/>
      <c r="P12" s="371"/>
      <c r="Q12" s="371"/>
      <c r="R12" s="371"/>
      <c r="S12" s="371"/>
      <c r="T12" s="371"/>
      <c r="U12" s="371"/>
      <c r="V12" s="371"/>
      <c r="W12" s="371"/>
      <c r="X12" s="371"/>
      <c r="Y12" s="371"/>
      <c r="Z12" s="371"/>
      <c r="AA12" s="371"/>
      <c r="AB12" s="371"/>
      <c r="AC12" s="371"/>
      <c r="AD12" s="371"/>
      <c r="AE12" s="371"/>
      <c r="AF12" s="371"/>
      <c r="AG12" s="371"/>
      <c r="AH12" s="371"/>
      <c r="AI12" s="371"/>
      <c r="AJ12" s="371"/>
      <c r="AK12" s="371"/>
      <c r="AL12" s="371"/>
      <c r="AM12" s="371"/>
      <c r="AN12" s="371"/>
      <c r="AO12" s="371"/>
      <c r="AP12" s="371"/>
      <c r="AQ12" s="371"/>
      <c r="AR12" s="371"/>
      <c r="AS12" s="371"/>
      <c r="AT12" s="371"/>
      <c r="AU12" s="371"/>
      <c r="AV12" s="371"/>
      <c r="AW12" s="371"/>
      <c r="AX12" s="371"/>
      <c r="AY12" s="371"/>
      <c r="AZ12" s="371"/>
      <c r="BA12" s="371"/>
      <c r="BB12" s="371"/>
      <c r="BC12" s="371"/>
      <c r="BD12" s="371"/>
      <c r="BE12" s="371"/>
      <c r="BF12" s="371"/>
      <c r="BG12" s="371"/>
      <c r="BH12" s="371"/>
      <c r="BI12" s="371"/>
      <c r="BJ12" s="371"/>
      <c r="BK12" s="371"/>
      <c r="BL12" s="371"/>
      <c r="BM12" s="371"/>
      <c r="BN12" s="371"/>
      <c r="BO12" s="371"/>
      <c r="BP12" s="371"/>
      <c r="BQ12" s="371"/>
      <c r="BR12" s="371"/>
      <c r="BS12" s="371"/>
      <c r="BT12" s="371"/>
      <c r="BU12" s="371"/>
      <c r="BV12" s="371"/>
      <c r="BW12" s="371"/>
      <c r="BX12" s="371"/>
      <c r="BY12" s="371"/>
      <c r="BZ12" s="371"/>
      <c r="CA12" s="371"/>
      <c r="CB12" s="371"/>
      <c r="CC12" s="371"/>
      <c r="CD12" s="371"/>
      <c r="CE12" s="371"/>
      <c r="CF12" s="371"/>
      <c r="CG12" s="371"/>
      <c r="CH12" s="371"/>
      <c r="CI12" s="371"/>
      <c r="CJ12" s="371"/>
      <c r="CK12" s="371"/>
      <c r="CL12" s="371"/>
      <c r="CM12" s="371"/>
      <c r="CN12" s="371"/>
      <c r="CO12" s="371"/>
      <c r="CP12" s="371"/>
      <c r="CQ12" s="371"/>
      <c r="CR12" s="371"/>
      <c r="CS12" s="371"/>
      <c r="CT12" s="371"/>
      <c r="CU12" s="371"/>
      <c r="CV12" s="371"/>
      <c r="CW12" s="371"/>
      <c r="CX12" s="371"/>
      <c r="CY12" s="371"/>
      <c r="CZ12" s="371"/>
      <c r="DA12" s="371"/>
      <c r="DB12" s="371"/>
      <c r="DC12" s="371"/>
      <c r="DD12" s="371"/>
      <c r="DE12" s="371"/>
      <c r="DF12" s="371"/>
      <c r="DG12" s="371"/>
      <c r="DH12" s="371"/>
      <c r="DI12" s="371"/>
      <c r="DJ12" s="371"/>
      <c r="DK12" s="371"/>
      <c r="DL12" s="371"/>
      <c r="DM12" s="371"/>
      <c r="DN12" s="371"/>
      <c r="DO12" s="371"/>
      <c r="DP12" s="371"/>
      <c r="DQ12" s="371"/>
      <c r="DR12" s="371"/>
      <c r="DS12" s="371"/>
      <c r="DT12" s="371"/>
      <c r="DU12" s="371"/>
      <c r="DV12" s="371"/>
      <c r="DW12" s="371"/>
      <c r="DX12" s="371"/>
      <c r="DY12" s="371"/>
      <c r="DZ12" s="371"/>
      <c r="EA12" s="371"/>
      <c r="EB12" s="371"/>
      <c r="EC12" s="371"/>
      <c r="ED12" s="371"/>
      <c r="EE12" s="371"/>
      <c r="EF12" s="371"/>
      <c r="EG12" s="371"/>
      <c r="EH12" s="371"/>
      <c r="EI12" s="371"/>
      <c r="EJ12" s="371"/>
      <c r="EK12" s="371"/>
      <c r="EL12" s="371"/>
      <c r="EM12" s="371"/>
      <c r="EN12" s="371"/>
      <c r="EO12" s="371"/>
      <c r="EP12" s="371"/>
      <c r="EQ12" s="371"/>
      <c r="ER12" s="371"/>
      <c r="ES12" s="371"/>
      <c r="ET12" s="371"/>
      <c r="EU12" s="371"/>
      <c r="EV12" s="371"/>
      <c r="EW12" s="371"/>
      <c r="EX12" s="371"/>
      <c r="EY12" s="371"/>
      <c r="EZ12" s="371"/>
      <c r="FA12" s="371"/>
      <c r="FB12" s="371"/>
      <c r="FC12" s="371"/>
      <c r="FD12" s="371"/>
      <c r="FE12" s="371"/>
      <c r="FF12" s="371"/>
      <c r="FG12" s="371"/>
      <c r="FH12" s="371"/>
      <c r="FI12" s="371"/>
      <c r="FJ12" s="371"/>
      <c r="FK12" s="371"/>
      <c r="FL12" s="371"/>
      <c r="FM12" s="371"/>
      <c r="FN12" s="371"/>
      <c r="FO12" s="371"/>
      <c r="FP12" s="371"/>
      <c r="FQ12" s="371"/>
      <c r="FR12" s="371"/>
      <c r="FS12" s="371"/>
      <c r="FT12" s="371"/>
      <c r="FU12" s="371"/>
      <c r="FV12" s="371"/>
      <c r="FW12" s="371"/>
      <c r="FX12" s="371"/>
      <c r="FY12" s="371"/>
      <c r="FZ12" s="371"/>
      <c r="GA12" s="371"/>
      <c r="GB12" s="371"/>
      <c r="GC12" s="371"/>
      <c r="GD12" s="371"/>
      <c r="GE12" s="371"/>
      <c r="GF12" s="371"/>
      <c r="GG12" s="371"/>
      <c r="GH12" s="371"/>
      <c r="GI12" s="371"/>
      <c r="GJ12" s="371"/>
      <c r="GK12" s="371"/>
      <c r="GL12" s="371"/>
      <c r="GM12" s="371"/>
      <c r="GN12" s="371"/>
      <c r="GO12" s="371"/>
      <c r="GP12" s="371"/>
      <c r="GQ12" s="371"/>
      <c r="GR12" s="371"/>
      <c r="GS12" s="371"/>
      <c r="GT12" s="371"/>
      <c r="GU12" s="371"/>
      <c r="GV12" s="371"/>
      <c r="GW12" s="371"/>
      <c r="GX12" s="371"/>
      <c r="GY12" s="371"/>
      <c r="GZ12" s="371"/>
      <c r="HA12" s="371"/>
      <c r="HB12" s="371"/>
      <c r="HC12" s="371"/>
      <c r="HD12" s="371"/>
      <c r="HE12" s="371"/>
      <c r="HF12" s="371"/>
      <c r="HG12" s="371"/>
      <c r="HH12" s="371"/>
      <c r="HI12" s="371"/>
      <c r="HJ12" s="371"/>
      <c r="HK12" s="371"/>
      <c r="HL12" s="371"/>
      <c r="HM12" s="371"/>
      <c r="HN12" s="371"/>
      <c r="HO12" s="371"/>
      <c r="HP12" s="371"/>
      <c r="HQ12" s="371"/>
      <c r="HR12" s="371"/>
      <c r="HS12" s="371"/>
      <c r="HT12" s="371"/>
      <c r="HU12" s="371"/>
      <c r="HV12" s="371"/>
      <c r="HW12" s="371"/>
      <c r="HX12" s="371"/>
      <c r="HY12" s="371"/>
      <c r="HZ12" s="371"/>
      <c r="IA12" s="371"/>
      <c r="IB12" s="371"/>
      <c r="IC12" s="371"/>
      <c r="ID12" s="371"/>
      <c r="IE12" s="371"/>
      <c r="IF12" s="371"/>
      <c r="IG12" s="371"/>
      <c r="IH12" s="371"/>
      <c r="II12" s="371"/>
      <c r="IJ12" s="371"/>
      <c r="IK12" s="371"/>
      <c r="IL12" s="371"/>
      <c r="IM12" s="371"/>
      <c r="IN12" s="371"/>
      <c r="IO12" s="371"/>
      <c r="IP12" s="371"/>
      <c r="IQ12" s="371"/>
      <c r="IR12" s="371"/>
      <c r="IS12" s="371"/>
      <c r="IT12" s="371"/>
      <c r="IU12" s="371"/>
      <c r="IV12" s="371"/>
    </row>
    <row r="13" spans="1:256" x14ac:dyDescent="0.2">
      <c r="A13" s="365"/>
      <c r="B13" s="390" t="s">
        <v>15</v>
      </c>
      <c r="C13" s="368"/>
      <c r="D13" s="368"/>
      <c r="E13" s="372"/>
      <c r="F13" s="368"/>
      <c r="G13" s="390"/>
      <c r="H13" s="370"/>
      <c r="I13" s="370"/>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371"/>
      <c r="AN13" s="371"/>
      <c r="AO13" s="371"/>
      <c r="AP13" s="371"/>
      <c r="AQ13" s="371"/>
      <c r="AR13" s="371"/>
      <c r="AS13" s="371"/>
      <c r="AT13" s="371"/>
      <c r="AU13" s="371"/>
      <c r="AV13" s="371"/>
      <c r="AW13" s="371"/>
      <c r="AX13" s="371"/>
      <c r="AY13" s="371"/>
      <c r="AZ13" s="371"/>
      <c r="BA13" s="371"/>
      <c r="BB13" s="371"/>
      <c r="BC13" s="371"/>
      <c r="BD13" s="371"/>
      <c r="BE13" s="371"/>
      <c r="BF13" s="371"/>
      <c r="BG13" s="371"/>
      <c r="BH13" s="371"/>
      <c r="BI13" s="371"/>
      <c r="BJ13" s="371"/>
      <c r="BK13" s="371"/>
      <c r="BL13" s="371"/>
      <c r="BM13" s="371"/>
      <c r="BN13" s="371"/>
      <c r="BO13" s="371"/>
      <c r="BP13" s="371"/>
      <c r="BQ13" s="371"/>
      <c r="BR13" s="371"/>
      <c r="BS13" s="371"/>
      <c r="BT13" s="371"/>
      <c r="BU13" s="371"/>
      <c r="BV13" s="371"/>
      <c r="BW13" s="371"/>
      <c r="BX13" s="371"/>
      <c r="BY13" s="371"/>
      <c r="BZ13" s="371"/>
      <c r="CA13" s="371"/>
      <c r="CB13" s="371"/>
      <c r="CC13" s="371"/>
      <c r="CD13" s="371"/>
      <c r="CE13" s="371"/>
      <c r="CF13" s="371"/>
      <c r="CG13" s="371"/>
      <c r="CH13" s="371"/>
      <c r="CI13" s="371"/>
      <c r="CJ13" s="371"/>
      <c r="CK13" s="371"/>
      <c r="CL13" s="371"/>
      <c r="CM13" s="371"/>
      <c r="CN13" s="371"/>
      <c r="CO13" s="371"/>
      <c r="CP13" s="371"/>
      <c r="CQ13" s="371"/>
      <c r="CR13" s="371"/>
      <c r="CS13" s="371"/>
      <c r="CT13" s="371"/>
      <c r="CU13" s="371"/>
      <c r="CV13" s="371"/>
      <c r="CW13" s="371"/>
      <c r="CX13" s="371"/>
      <c r="CY13" s="371"/>
      <c r="CZ13" s="371"/>
      <c r="DA13" s="371"/>
      <c r="DB13" s="371"/>
      <c r="DC13" s="371"/>
      <c r="DD13" s="371"/>
      <c r="DE13" s="371"/>
      <c r="DF13" s="371"/>
      <c r="DG13" s="371"/>
      <c r="DH13" s="371"/>
      <c r="DI13" s="371"/>
      <c r="DJ13" s="371"/>
      <c r="DK13" s="371"/>
      <c r="DL13" s="371"/>
      <c r="DM13" s="371"/>
      <c r="DN13" s="371"/>
      <c r="DO13" s="371"/>
      <c r="DP13" s="371"/>
      <c r="DQ13" s="371"/>
      <c r="DR13" s="371"/>
      <c r="DS13" s="371"/>
      <c r="DT13" s="371"/>
      <c r="DU13" s="371"/>
      <c r="DV13" s="371"/>
      <c r="DW13" s="371"/>
      <c r="DX13" s="371"/>
      <c r="DY13" s="371"/>
      <c r="DZ13" s="371"/>
      <c r="EA13" s="371"/>
      <c r="EB13" s="371"/>
      <c r="EC13" s="371"/>
      <c r="ED13" s="371"/>
      <c r="EE13" s="371"/>
      <c r="EF13" s="371"/>
      <c r="EG13" s="371"/>
      <c r="EH13" s="371"/>
      <c r="EI13" s="371"/>
      <c r="EJ13" s="371"/>
      <c r="EK13" s="371"/>
      <c r="EL13" s="371"/>
      <c r="EM13" s="371"/>
      <c r="EN13" s="371"/>
      <c r="EO13" s="371"/>
      <c r="EP13" s="371"/>
      <c r="EQ13" s="371"/>
      <c r="ER13" s="371"/>
      <c r="ES13" s="371"/>
      <c r="ET13" s="371"/>
      <c r="EU13" s="371"/>
      <c r="EV13" s="371"/>
      <c r="EW13" s="371"/>
      <c r="EX13" s="371"/>
      <c r="EY13" s="371"/>
      <c r="EZ13" s="371"/>
      <c r="FA13" s="371"/>
      <c r="FB13" s="371"/>
      <c r="FC13" s="371"/>
      <c r="FD13" s="371"/>
      <c r="FE13" s="371"/>
      <c r="FF13" s="371"/>
      <c r="FG13" s="371"/>
      <c r="FH13" s="371"/>
      <c r="FI13" s="371"/>
      <c r="FJ13" s="371"/>
      <c r="FK13" s="371"/>
      <c r="FL13" s="371"/>
      <c r="FM13" s="371"/>
      <c r="FN13" s="371"/>
      <c r="FO13" s="371"/>
      <c r="FP13" s="371"/>
      <c r="FQ13" s="371"/>
      <c r="FR13" s="371"/>
      <c r="FS13" s="371"/>
      <c r="FT13" s="371"/>
      <c r="FU13" s="371"/>
      <c r="FV13" s="371"/>
      <c r="FW13" s="371"/>
      <c r="FX13" s="371"/>
      <c r="FY13" s="371"/>
      <c r="FZ13" s="371"/>
      <c r="GA13" s="371"/>
      <c r="GB13" s="371"/>
      <c r="GC13" s="371"/>
      <c r="GD13" s="371"/>
      <c r="GE13" s="371"/>
      <c r="GF13" s="371"/>
      <c r="GG13" s="371"/>
      <c r="GH13" s="371"/>
      <c r="GI13" s="371"/>
      <c r="GJ13" s="371"/>
      <c r="GK13" s="371"/>
      <c r="GL13" s="371"/>
      <c r="GM13" s="371"/>
      <c r="GN13" s="371"/>
      <c r="GO13" s="371"/>
      <c r="GP13" s="371"/>
      <c r="GQ13" s="371"/>
      <c r="GR13" s="371"/>
      <c r="GS13" s="371"/>
      <c r="GT13" s="371"/>
      <c r="GU13" s="371"/>
      <c r="GV13" s="371"/>
      <c r="GW13" s="371"/>
      <c r="GX13" s="371"/>
      <c r="GY13" s="371"/>
      <c r="GZ13" s="371"/>
      <c r="HA13" s="371"/>
      <c r="HB13" s="371"/>
      <c r="HC13" s="371"/>
      <c r="HD13" s="371"/>
      <c r="HE13" s="371"/>
      <c r="HF13" s="371"/>
      <c r="HG13" s="371"/>
      <c r="HH13" s="371"/>
      <c r="HI13" s="371"/>
      <c r="HJ13" s="371"/>
      <c r="HK13" s="371"/>
      <c r="HL13" s="371"/>
      <c r="HM13" s="371"/>
      <c r="HN13" s="371"/>
      <c r="HO13" s="371"/>
      <c r="HP13" s="371"/>
      <c r="HQ13" s="371"/>
      <c r="HR13" s="371"/>
      <c r="HS13" s="371"/>
      <c r="HT13" s="371"/>
      <c r="HU13" s="371"/>
      <c r="HV13" s="371"/>
      <c r="HW13" s="371"/>
      <c r="HX13" s="371"/>
      <c r="HY13" s="371"/>
      <c r="HZ13" s="371"/>
      <c r="IA13" s="371"/>
      <c r="IB13" s="371"/>
      <c r="IC13" s="371"/>
      <c r="ID13" s="371"/>
      <c r="IE13" s="371"/>
      <c r="IF13" s="371"/>
      <c r="IG13" s="371"/>
      <c r="IH13" s="371"/>
      <c r="II13" s="371"/>
      <c r="IJ13" s="371"/>
      <c r="IK13" s="371"/>
      <c r="IL13" s="371"/>
      <c r="IM13" s="371"/>
      <c r="IN13" s="371"/>
      <c r="IO13" s="371"/>
      <c r="IP13" s="371"/>
      <c r="IQ13" s="371"/>
      <c r="IR13" s="371"/>
      <c r="IS13" s="371"/>
      <c r="IT13" s="371"/>
      <c r="IU13" s="371"/>
      <c r="IV13" s="371"/>
    </row>
    <row r="14" spans="1:256" ht="70.5" customHeight="1" x14ac:dyDescent="0.2">
      <c r="A14" s="391" t="s">
        <v>1318</v>
      </c>
      <c r="B14" s="392" t="s">
        <v>1319</v>
      </c>
      <c r="C14" s="392" t="s">
        <v>1320</v>
      </c>
      <c r="D14" s="392" t="s">
        <v>1321</v>
      </c>
      <c r="E14" s="393" t="s">
        <v>13</v>
      </c>
      <c r="F14" s="394"/>
      <c r="G14" s="394"/>
      <c r="H14" s="394"/>
      <c r="I14" s="394"/>
      <c r="J14" s="394"/>
      <c r="K14" s="394"/>
      <c r="L14" s="394"/>
      <c r="M14" s="394"/>
      <c r="N14" s="394"/>
      <c r="O14" s="394"/>
      <c r="P14" s="394"/>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4"/>
      <c r="AX14" s="394"/>
      <c r="AY14" s="394"/>
      <c r="AZ14" s="394"/>
      <c r="BA14" s="394"/>
      <c r="BB14" s="394"/>
      <c r="BC14" s="394"/>
      <c r="BD14" s="394"/>
      <c r="BE14" s="394"/>
      <c r="BF14" s="394"/>
      <c r="BG14" s="394"/>
      <c r="BH14" s="394"/>
      <c r="BI14" s="394"/>
      <c r="BJ14" s="394"/>
      <c r="BK14" s="394"/>
      <c r="BL14" s="394"/>
      <c r="BM14" s="394"/>
      <c r="BN14" s="394"/>
      <c r="BO14" s="394"/>
      <c r="BP14" s="394"/>
      <c r="BQ14" s="394"/>
      <c r="BR14" s="394"/>
      <c r="BS14" s="394"/>
      <c r="BT14" s="394"/>
      <c r="BU14" s="394"/>
      <c r="BV14" s="394"/>
      <c r="BW14" s="394"/>
      <c r="BX14" s="394"/>
      <c r="BY14" s="394"/>
      <c r="BZ14" s="394"/>
      <c r="CA14" s="394"/>
      <c r="CB14" s="394"/>
      <c r="CC14" s="394"/>
      <c r="CD14" s="394"/>
      <c r="CE14" s="394"/>
      <c r="CF14" s="394"/>
      <c r="CG14" s="394"/>
      <c r="CH14" s="394"/>
      <c r="CI14" s="394"/>
      <c r="CJ14" s="394"/>
      <c r="CK14" s="394"/>
      <c r="CL14" s="394"/>
      <c r="CM14" s="394"/>
      <c r="CN14" s="394"/>
      <c r="CO14" s="394"/>
      <c r="CP14" s="394"/>
      <c r="CQ14" s="394"/>
      <c r="CR14" s="394"/>
      <c r="CS14" s="394"/>
      <c r="CT14" s="394"/>
      <c r="CU14" s="394"/>
      <c r="CV14" s="394"/>
      <c r="CW14" s="394"/>
      <c r="CX14" s="394"/>
      <c r="CY14" s="394"/>
      <c r="CZ14" s="394"/>
      <c r="DA14" s="394"/>
      <c r="DB14" s="394"/>
      <c r="DC14" s="394"/>
      <c r="DD14" s="394"/>
      <c r="DE14" s="394"/>
      <c r="DF14" s="394"/>
      <c r="DG14" s="394"/>
      <c r="DH14" s="394"/>
      <c r="DI14" s="394"/>
      <c r="DJ14" s="394"/>
      <c r="DK14" s="394"/>
      <c r="DL14" s="394"/>
      <c r="DM14" s="394"/>
      <c r="DN14" s="394"/>
      <c r="DO14" s="394"/>
      <c r="DP14" s="394"/>
      <c r="DQ14" s="394"/>
      <c r="DR14" s="394"/>
      <c r="DS14" s="394"/>
      <c r="DT14" s="394"/>
      <c r="DU14" s="394"/>
      <c r="DV14" s="394"/>
      <c r="DW14" s="394"/>
      <c r="DX14" s="394"/>
      <c r="DY14" s="394"/>
      <c r="DZ14" s="394"/>
      <c r="EA14" s="394"/>
      <c r="EB14" s="394"/>
      <c r="EC14" s="394"/>
      <c r="ED14" s="394"/>
      <c r="EE14" s="394"/>
      <c r="EF14" s="394"/>
      <c r="EG14" s="394"/>
      <c r="EH14" s="394"/>
      <c r="EI14" s="394"/>
      <c r="EJ14" s="394"/>
      <c r="EK14" s="394"/>
      <c r="EL14" s="394"/>
      <c r="EM14" s="394"/>
      <c r="EN14" s="394"/>
      <c r="EO14" s="394"/>
      <c r="EP14" s="394"/>
      <c r="EQ14" s="394"/>
      <c r="ER14" s="394"/>
      <c r="ES14" s="394"/>
      <c r="ET14" s="394"/>
      <c r="EU14" s="394"/>
      <c r="EV14" s="394"/>
      <c r="EW14" s="394"/>
      <c r="EX14" s="394"/>
      <c r="EY14" s="394"/>
      <c r="EZ14" s="394"/>
      <c r="FA14" s="394"/>
      <c r="FB14" s="394"/>
      <c r="FC14" s="394"/>
      <c r="FD14" s="394"/>
      <c r="FE14" s="394"/>
      <c r="FF14" s="394"/>
      <c r="FG14" s="394"/>
      <c r="FH14" s="394"/>
      <c r="FI14" s="394"/>
      <c r="FJ14" s="394"/>
      <c r="FK14" s="394"/>
      <c r="FL14" s="394"/>
      <c r="FM14" s="394"/>
      <c r="FN14" s="394"/>
      <c r="FO14" s="394"/>
      <c r="FP14" s="394"/>
      <c r="FQ14" s="394"/>
      <c r="FR14" s="394"/>
      <c r="FS14" s="394"/>
      <c r="FT14" s="394"/>
      <c r="FU14" s="394"/>
      <c r="FV14" s="394"/>
      <c r="FW14" s="394"/>
      <c r="FX14" s="394"/>
      <c r="FY14" s="394"/>
      <c r="FZ14" s="394"/>
      <c r="GA14" s="394"/>
      <c r="GB14" s="394"/>
      <c r="GC14" s="394"/>
      <c r="GD14" s="394"/>
      <c r="GE14" s="394"/>
      <c r="GF14" s="394"/>
      <c r="GG14" s="394"/>
      <c r="GH14" s="394"/>
      <c r="GI14" s="394"/>
      <c r="GJ14" s="394"/>
      <c r="GK14" s="394"/>
      <c r="GL14" s="394"/>
      <c r="GM14" s="394"/>
      <c r="GN14" s="394"/>
      <c r="GO14" s="394"/>
      <c r="GP14" s="394"/>
      <c r="GQ14" s="394"/>
      <c r="GR14" s="394"/>
      <c r="GS14" s="394"/>
      <c r="GT14" s="394"/>
      <c r="GU14" s="394"/>
      <c r="GV14" s="394"/>
      <c r="GW14" s="394"/>
      <c r="GX14" s="394"/>
      <c r="GY14" s="394"/>
      <c r="GZ14" s="394"/>
      <c r="HA14" s="394"/>
      <c r="HB14" s="394"/>
      <c r="HC14" s="394"/>
      <c r="HD14" s="394"/>
      <c r="HE14" s="394"/>
      <c r="HF14" s="394"/>
      <c r="HG14" s="394"/>
      <c r="HH14" s="394"/>
      <c r="HI14" s="394"/>
      <c r="HJ14" s="394"/>
      <c r="HK14" s="394"/>
      <c r="HL14" s="394"/>
      <c r="HM14" s="394"/>
      <c r="HN14" s="394"/>
      <c r="HO14" s="394"/>
      <c r="HP14" s="394"/>
      <c r="HQ14" s="394"/>
      <c r="HR14" s="394"/>
      <c r="HS14" s="394"/>
      <c r="HT14" s="394"/>
      <c r="HU14" s="394"/>
      <c r="HV14" s="394"/>
      <c r="HW14" s="394"/>
      <c r="HX14" s="394"/>
      <c r="HY14" s="394"/>
      <c r="HZ14" s="394"/>
      <c r="IA14" s="394"/>
      <c r="IB14" s="394"/>
      <c r="IC14" s="394"/>
      <c r="ID14" s="394"/>
      <c r="IE14" s="394"/>
      <c r="IF14" s="394"/>
      <c r="IG14" s="394"/>
      <c r="IH14" s="394"/>
      <c r="II14" s="394"/>
      <c r="IJ14" s="394"/>
      <c r="IK14" s="394"/>
      <c r="IL14" s="394"/>
      <c r="IM14" s="394"/>
      <c r="IN14" s="394"/>
      <c r="IO14" s="394"/>
      <c r="IP14" s="394"/>
      <c r="IQ14" s="394"/>
      <c r="IR14" s="394"/>
      <c r="IS14" s="394"/>
      <c r="IT14" s="394"/>
      <c r="IU14" s="394"/>
      <c r="IV14" s="394"/>
    </row>
    <row r="15" spans="1:256" x14ac:dyDescent="0.2">
      <c r="A15" s="395">
        <v>1</v>
      </c>
      <c r="B15" s="395">
        <v>2</v>
      </c>
      <c r="C15" s="395">
        <v>3</v>
      </c>
      <c r="D15" s="395">
        <v>4</v>
      </c>
      <c r="E15" s="395">
        <v>5</v>
      </c>
      <c r="F15" s="394"/>
      <c r="G15" s="394"/>
      <c r="H15" s="394"/>
      <c r="I15" s="394"/>
      <c r="J15" s="394"/>
      <c r="K15" s="394"/>
      <c r="L15" s="394"/>
      <c r="M15" s="394"/>
      <c r="N15" s="394"/>
      <c r="O15" s="394"/>
      <c r="P15" s="394"/>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4"/>
      <c r="BK15" s="394"/>
      <c r="BL15" s="394"/>
      <c r="BM15" s="394"/>
      <c r="BN15" s="394"/>
      <c r="BO15" s="394"/>
      <c r="BP15" s="394"/>
      <c r="BQ15" s="394"/>
      <c r="BR15" s="394"/>
      <c r="BS15" s="394"/>
      <c r="BT15" s="394"/>
      <c r="BU15" s="394"/>
      <c r="BV15" s="394"/>
      <c r="BW15" s="394"/>
      <c r="BX15" s="394"/>
      <c r="BY15" s="394"/>
      <c r="BZ15" s="394"/>
      <c r="CA15" s="394"/>
      <c r="CB15" s="394"/>
      <c r="CC15" s="394"/>
      <c r="CD15" s="394"/>
      <c r="CE15" s="394"/>
      <c r="CF15" s="394"/>
      <c r="CG15" s="394"/>
      <c r="CH15" s="394"/>
      <c r="CI15" s="394"/>
      <c r="CJ15" s="394"/>
      <c r="CK15" s="394"/>
      <c r="CL15" s="394"/>
      <c r="CM15" s="394"/>
      <c r="CN15" s="394"/>
      <c r="CO15" s="394"/>
      <c r="CP15" s="394"/>
      <c r="CQ15" s="394"/>
      <c r="CR15" s="394"/>
      <c r="CS15" s="394"/>
      <c r="CT15" s="394"/>
      <c r="CU15" s="394"/>
      <c r="CV15" s="394"/>
      <c r="CW15" s="394"/>
      <c r="CX15" s="394"/>
      <c r="CY15" s="394"/>
      <c r="CZ15" s="394"/>
      <c r="DA15" s="394"/>
      <c r="DB15" s="394"/>
      <c r="DC15" s="394"/>
      <c r="DD15" s="394"/>
      <c r="DE15" s="394"/>
      <c r="DF15" s="394"/>
      <c r="DG15" s="394"/>
      <c r="DH15" s="394"/>
      <c r="DI15" s="394"/>
      <c r="DJ15" s="394"/>
      <c r="DK15" s="394"/>
      <c r="DL15" s="394"/>
      <c r="DM15" s="394"/>
      <c r="DN15" s="394"/>
      <c r="DO15" s="394"/>
      <c r="DP15" s="394"/>
      <c r="DQ15" s="394"/>
      <c r="DR15" s="394"/>
      <c r="DS15" s="394"/>
      <c r="DT15" s="394"/>
      <c r="DU15" s="394"/>
      <c r="DV15" s="394"/>
      <c r="DW15" s="394"/>
      <c r="DX15" s="394"/>
      <c r="DY15" s="394"/>
      <c r="DZ15" s="394"/>
      <c r="EA15" s="394"/>
      <c r="EB15" s="394"/>
      <c r="EC15" s="394"/>
      <c r="ED15" s="394"/>
      <c r="EE15" s="394"/>
      <c r="EF15" s="394"/>
      <c r="EG15" s="394"/>
      <c r="EH15" s="394"/>
      <c r="EI15" s="394"/>
      <c r="EJ15" s="394"/>
      <c r="EK15" s="394"/>
      <c r="EL15" s="394"/>
      <c r="EM15" s="394"/>
      <c r="EN15" s="394"/>
      <c r="EO15" s="394"/>
      <c r="EP15" s="394"/>
      <c r="EQ15" s="394"/>
      <c r="ER15" s="394"/>
      <c r="ES15" s="394"/>
      <c r="ET15" s="394"/>
      <c r="EU15" s="394"/>
      <c r="EV15" s="394"/>
      <c r="EW15" s="394"/>
      <c r="EX15" s="394"/>
      <c r="EY15" s="394"/>
      <c r="EZ15" s="394"/>
      <c r="FA15" s="394"/>
      <c r="FB15" s="394"/>
      <c r="FC15" s="394"/>
      <c r="FD15" s="394"/>
      <c r="FE15" s="394"/>
      <c r="FF15" s="394"/>
      <c r="FG15" s="394"/>
      <c r="FH15" s="394"/>
      <c r="FI15" s="394"/>
      <c r="FJ15" s="394"/>
      <c r="FK15" s="394"/>
      <c r="FL15" s="394"/>
      <c r="FM15" s="394"/>
      <c r="FN15" s="394"/>
      <c r="FO15" s="394"/>
      <c r="FP15" s="394"/>
      <c r="FQ15" s="394"/>
      <c r="FR15" s="394"/>
      <c r="FS15" s="394"/>
      <c r="FT15" s="394"/>
      <c r="FU15" s="394"/>
      <c r="FV15" s="394"/>
      <c r="FW15" s="394"/>
      <c r="FX15" s="394"/>
      <c r="FY15" s="394"/>
      <c r="FZ15" s="394"/>
      <c r="GA15" s="394"/>
      <c r="GB15" s="394"/>
      <c r="GC15" s="394"/>
      <c r="GD15" s="394"/>
      <c r="GE15" s="394"/>
      <c r="GF15" s="394"/>
      <c r="GG15" s="394"/>
      <c r="GH15" s="394"/>
      <c r="GI15" s="394"/>
      <c r="GJ15" s="394"/>
      <c r="GK15" s="394"/>
      <c r="GL15" s="394"/>
      <c r="GM15" s="394"/>
      <c r="GN15" s="394"/>
      <c r="GO15" s="394"/>
      <c r="GP15" s="394"/>
      <c r="GQ15" s="394"/>
      <c r="GR15" s="394"/>
      <c r="GS15" s="394"/>
      <c r="GT15" s="394"/>
      <c r="GU15" s="394"/>
      <c r="GV15" s="394"/>
      <c r="GW15" s="394"/>
      <c r="GX15" s="394"/>
      <c r="GY15" s="394"/>
      <c r="GZ15" s="394"/>
      <c r="HA15" s="394"/>
      <c r="HB15" s="394"/>
      <c r="HC15" s="394"/>
      <c r="HD15" s="394"/>
      <c r="HE15" s="394"/>
      <c r="HF15" s="394"/>
      <c r="HG15" s="394"/>
      <c r="HH15" s="394"/>
      <c r="HI15" s="394"/>
      <c r="HJ15" s="394"/>
      <c r="HK15" s="394"/>
      <c r="HL15" s="394"/>
      <c r="HM15" s="394"/>
      <c r="HN15" s="394"/>
      <c r="HO15" s="394"/>
      <c r="HP15" s="394"/>
      <c r="HQ15" s="394"/>
      <c r="HR15" s="394"/>
      <c r="HS15" s="394"/>
      <c r="HT15" s="394"/>
      <c r="HU15" s="394"/>
      <c r="HV15" s="394"/>
      <c r="HW15" s="394"/>
      <c r="HX15" s="394"/>
      <c r="HY15" s="394"/>
      <c r="HZ15" s="394"/>
      <c r="IA15" s="394"/>
      <c r="IB15" s="394"/>
      <c r="IC15" s="394"/>
      <c r="ID15" s="394"/>
      <c r="IE15" s="394"/>
      <c r="IF15" s="394"/>
      <c r="IG15" s="394"/>
      <c r="IH15" s="394"/>
      <c r="II15" s="394"/>
      <c r="IJ15" s="394"/>
      <c r="IK15" s="394"/>
      <c r="IL15" s="394"/>
      <c r="IM15" s="394"/>
      <c r="IN15" s="394"/>
      <c r="IO15" s="394"/>
      <c r="IP15" s="394"/>
      <c r="IQ15" s="394"/>
      <c r="IR15" s="394"/>
      <c r="IS15" s="394"/>
      <c r="IT15" s="394"/>
      <c r="IU15" s="394"/>
      <c r="IV15" s="394"/>
    </row>
    <row r="16" spans="1:256" ht="3.75" customHeight="1" x14ac:dyDescent="0.2">
      <c r="A16" s="396"/>
      <c r="B16" s="396"/>
      <c r="C16" s="397"/>
      <c r="D16" s="397"/>
      <c r="E16" s="398"/>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4"/>
      <c r="BK16" s="394"/>
      <c r="BL16" s="394"/>
      <c r="BM16" s="394"/>
      <c r="BN16" s="394"/>
      <c r="BO16" s="394"/>
      <c r="BP16" s="394"/>
      <c r="BQ16" s="394"/>
      <c r="BR16" s="394"/>
      <c r="BS16" s="394"/>
      <c r="BT16" s="394"/>
      <c r="BU16" s="394"/>
      <c r="BV16" s="394"/>
      <c r="BW16" s="394"/>
      <c r="BX16" s="394"/>
      <c r="BY16" s="394"/>
      <c r="BZ16" s="394"/>
      <c r="CA16" s="394"/>
      <c r="CB16" s="394"/>
      <c r="CC16" s="394"/>
      <c r="CD16" s="394"/>
      <c r="CE16" s="394"/>
      <c r="CF16" s="394"/>
      <c r="CG16" s="394"/>
      <c r="CH16" s="394"/>
      <c r="CI16" s="394"/>
      <c r="CJ16" s="394"/>
      <c r="CK16" s="394"/>
      <c r="CL16" s="394"/>
      <c r="CM16" s="394"/>
      <c r="CN16" s="394"/>
      <c r="CO16" s="394"/>
      <c r="CP16" s="394"/>
      <c r="CQ16" s="394"/>
      <c r="CR16" s="394"/>
      <c r="CS16" s="394"/>
      <c r="CT16" s="394"/>
      <c r="CU16" s="394"/>
      <c r="CV16" s="394"/>
      <c r="CW16" s="394"/>
      <c r="CX16" s="394"/>
      <c r="CY16" s="394"/>
      <c r="CZ16" s="394"/>
      <c r="DA16" s="394"/>
      <c r="DB16" s="394"/>
      <c r="DC16" s="394"/>
      <c r="DD16" s="394"/>
      <c r="DE16" s="394"/>
      <c r="DF16" s="394"/>
      <c r="DG16" s="394"/>
      <c r="DH16" s="394"/>
      <c r="DI16" s="394"/>
      <c r="DJ16" s="394"/>
      <c r="DK16" s="394"/>
      <c r="DL16" s="394"/>
      <c r="DM16" s="394"/>
      <c r="DN16" s="394"/>
      <c r="DO16" s="394"/>
      <c r="DP16" s="394"/>
      <c r="DQ16" s="394"/>
      <c r="DR16" s="394"/>
      <c r="DS16" s="394"/>
      <c r="DT16" s="394"/>
      <c r="DU16" s="394"/>
      <c r="DV16" s="394"/>
      <c r="DW16" s="394"/>
      <c r="DX16" s="394"/>
      <c r="DY16" s="394"/>
      <c r="DZ16" s="394"/>
      <c r="EA16" s="394"/>
      <c r="EB16" s="394"/>
      <c r="EC16" s="394"/>
      <c r="ED16" s="394"/>
      <c r="EE16" s="394"/>
      <c r="EF16" s="394"/>
      <c r="EG16" s="394"/>
      <c r="EH16" s="394"/>
      <c r="EI16" s="394"/>
      <c r="EJ16" s="394"/>
      <c r="EK16" s="394"/>
      <c r="EL16" s="394"/>
      <c r="EM16" s="394"/>
      <c r="EN16" s="394"/>
      <c r="EO16" s="394"/>
      <c r="EP16" s="394"/>
      <c r="EQ16" s="394"/>
      <c r="ER16" s="394"/>
      <c r="ES16" s="394"/>
      <c r="ET16" s="394"/>
      <c r="EU16" s="394"/>
      <c r="EV16" s="394"/>
      <c r="EW16" s="394"/>
      <c r="EX16" s="394"/>
      <c r="EY16" s="394"/>
      <c r="EZ16" s="394"/>
      <c r="FA16" s="394"/>
      <c r="FB16" s="394"/>
      <c r="FC16" s="394"/>
      <c r="FD16" s="394"/>
      <c r="FE16" s="394"/>
      <c r="FF16" s="394"/>
      <c r="FG16" s="394"/>
      <c r="FH16" s="394"/>
      <c r="FI16" s="394"/>
      <c r="FJ16" s="394"/>
      <c r="FK16" s="394"/>
      <c r="FL16" s="394"/>
      <c r="FM16" s="394"/>
      <c r="FN16" s="394"/>
      <c r="FO16" s="394"/>
      <c r="FP16" s="394"/>
      <c r="FQ16" s="394"/>
      <c r="FR16" s="394"/>
      <c r="FS16" s="394"/>
      <c r="FT16" s="394"/>
      <c r="FU16" s="394"/>
      <c r="FV16" s="394"/>
      <c r="FW16" s="394"/>
      <c r="FX16" s="394"/>
      <c r="FY16" s="394"/>
      <c r="FZ16" s="394"/>
      <c r="GA16" s="394"/>
      <c r="GB16" s="394"/>
      <c r="GC16" s="394"/>
      <c r="GD16" s="394"/>
      <c r="GE16" s="394"/>
      <c r="GF16" s="394"/>
      <c r="GG16" s="394"/>
      <c r="GH16" s="394"/>
      <c r="GI16" s="394"/>
      <c r="GJ16" s="394"/>
      <c r="GK16" s="394"/>
      <c r="GL16" s="394"/>
      <c r="GM16" s="394"/>
      <c r="GN16" s="394"/>
      <c r="GO16" s="394"/>
      <c r="GP16" s="394"/>
      <c r="GQ16" s="394"/>
      <c r="GR16" s="394"/>
      <c r="GS16" s="394"/>
      <c r="GT16" s="394"/>
      <c r="GU16" s="394"/>
      <c r="GV16" s="394"/>
      <c r="GW16" s="394"/>
      <c r="GX16" s="394"/>
      <c r="GY16" s="394"/>
      <c r="GZ16" s="394"/>
      <c r="HA16" s="394"/>
      <c r="HB16" s="394"/>
      <c r="HC16" s="394"/>
      <c r="HD16" s="394"/>
      <c r="HE16" s="394"/>
      <c r="HF16" s="394"/>
      <c r="HG16" s="394"/>
      <c r="HH16" s="394"/>
      <c r="HI16" s="394"/>
      <c r="HJ16" s="394"/>
      <c r="HK16" s="394"/>
      <c r="HL16" s="394"/>
      <c r="HM16" s="394"/>
      <c r="HN16" s="394"/>
      <c r="HO16" s="394"/>
      <c r="HP16" s="394"/>
      <c r="HQ16" s="394"/>
      <c r="HR16" s="394"/>
      <c r="HS16" s="394"/>
      <c r="HT16" s="394"/>
      <c r="HU16" s="394"/>
      <c r="HV16" s="394"/>
      <c r="HW16" s="394"/>
      <c r="HX16" s="394"/>
      <c r="HY16" s="394"/>
      <c r="HZ16" s="394"/>
      <c r="IA16" s="394"/>
      <c r="IB16" s="394"/>
      <c r="IC16" s="394"/>
      <c r="ID16" s="394"/>
      <c r="IE16" s="394"/>
      <c r="IF16" s="394"/>
      <c r="IG16" s="394"/>
      <c r="IH16" s="394"/>
      <c r="II16" s="394"/>
      <c r="IJ16" s="394"/>
      <c r="IK16" s="394"/>
      <c r="IL16" s="394"/>
      <c r="IM16" s="394"/>
      <c r="IN16" s="394"/>
      <c r="IO16" s="394"/>
      <c r="IP16" s="394"/>
      <c r="IQ16" s="394"/>
      <c r="IR16" s="394"/>
      <c r="IS16" s="394"/>
      <c r="IT16" s="394"/>
      <c r="IU16" s="394"/>
      <c r="IV16" s="399"/>
    </row>
    <row r="17" spans="1:5" x14ac:dyDescent="0.2">
      <c r="A17" s="790" t="s">
        <v>765</v>
      </c>
      <c r="B17" s="791"/>
      <c r="C17" s="791"/>
      <c r="D17" s="791"/>
      <c r="E17" s="792"/>
    </row>
    <row r="18" spans="1:5" ht="25.5" x14ac:dyDescent="0.2">
      <c r="A18" s="778">
        <v>1</v>
      </c>
      <c r="B18" s="781" t="s">
        <v>1322</v>
      </c>
      <c r="C18" s="401" t="s">
        <v>1323</v>
      </c>
      <c r="D18" s="778" t="s">
        <v>1324</v>
      </c>
      <c r="E18" s="784">
        <f>1152*0.6*55.26*1.5*1.2*1.1*1.3</f>
        <v>98315.762687999973</v>
      </c>
    </row>
    <row r="19" spans="1:5" x14ac:dyDescent="0.2">
      <c r="A19" s="779"/>
      <c r="B19" s="782"/>
      <c r="C19" s="401" t="s">
        <v>1325</v>
      </c>
      <c r="D19" s="779"/>
      <c r="E19" s="785"/>
    </row>
    <row r="20" spans="1:5" x14ac:dyDescent="0.2">
      <c r="A20" s="779"/>
      <c r="B20" s="782"/>
      <c r="C20" s="401" t="s">
        <v>1326</v>
      </c>
      <c r="D20" s="779"/>
      <c r="E20" s="785"/>
    </row>
    <row r="21" spans="1:5" x14ac:dyDescent="0.2">
      <c r="A21" s="779"/>
      <c r="B21" s="782"/>
      <c r="C21" s="401" t="s">
        <v>1327</v>
      </c>
      <c r="D21" s="779"/>
      <c r="E21" s="785"/>
    </row>
    <row r="22" spans="1:5" x14ac:dyDescent="0.2">
      <c r="A22" s="779"/>
      <c r="B22" s="782"/>
      <c r="C22" s="401" t="s">
        <v>1328</v>
      </c>
      <c r="D22" s="779"/>
      <c r="E22" s="785"/>
    </row>
    <row r="23" spans="1:5" x14ac:dyDescent="0.2">
      <c r="A23" s="779"/>
      <c r="B23" s="782"/>
      <c r="C23" s="401" t="s">
        <v>1329</v>
      </c>
      <c r="D23" s="779"/>
      <c r="E23" s="785"/>
    </row>
    <row r="24" spans="1:5" x14ac:dyDescent="0.2">
      <c r="A24" s="780"/>
      <c r="B24" s="783"/>
      <c r="C24" s="405" t="s">
        <v>1330</v>
      </c>
      <c r="D24" s="780"/>
      <c r="E24" s="786"/>
    </row>
    <row r="25" spans="1:5" ht="25.5" x14ac:dyDescent="0.2">
      <c r="A25" s="778">
        <v>2</v>
      </c>
      <c r="B25" s="781" t="s">
        <v>1331</v>
      </c>
      <c r="C25" s="401" t="s">
        <v>1332</v>
      </c>
      <c r="D25" s="778" t="s">
        <v>1333</v>
      </c>
      <c r="E25" s="784">
        <f>922*0.6*55.26*1.4*1.1*1.3</f>
        <v>61200.803663999992</v>
      </c>
    </row>
    <row r="26" spans="1:5" x14ac:dyDescent="0.2">
      <c r="A26" s="779"/>
      <c r="B26" s="782"/>
      <c r="C26" s="401" t="s">
        <v>1325</v>
      </c>
      <c r="D26" s="779"/>
      <c r="E26" s="785"/>
    </row>
    <row r="27" spans="1:5" x14ac:dyDescent="0.2">
      <c r="A27" s="779"/>
      <c r="B27" s="782"/>
      <c r="C27" s="401" t="s">
        <v>1326</v>
      </c>
      <c r="D27" s="779"/>
      <c r="E27" s="785"/>
    </row>
    <row r="28" spans="1:5" x14ac:dyDescent="0.2">
      <c r="A28" s="779"/>
      <c r="B28" s="782"/>
      <c r="C28" s="401" t="s">
        <v>1334</v>
      </c>
      <c r="D28" s="779"/>
      <c r="E28" s="785"/>
    </row>
    <row r="29" spans="1:5" x14ac:dyDescent="0.2">
      <c r="A29" s="779"/>
      <c r="B29" s="782"/>
      <c r="C29" s="401" t="s">
        <v>1329</v>
      </c>
      <c r="D29" s="779"/>
      <c r="E29" s="785"/>
    </row>
    <row r="30" spans="1:5" x14ac:dyDescent="0.2">
      <c r="A30" s="780"/>
      <c r="B30" s="783"/>
      <c r="C30" s="405" t="s">
        <v>1335</v>
      </c>
      <c r="D30" s="780"/>
      <c r="E30" s="786"/>
    </row>
    <row r="31" spans="1:5" ht="25.5" x14ac:dyDescent="0.2">
      <c r="A31" s="778">
        <v>3</v>
      </c>
      <c r="B31" s="781" t="s">
        <v>1336</v>
      </c>
      <c r="C31" s="401" t="s">
        <v>1337</v>
      </c>
      <c r="D31" s="778" t="s">
        <v>1338</v>
      </c>
      <c r="E31" s="784">
        <f>(1020+15*5)*0.52*7.22</f>
        <v>4111.0679999999993</v>
      </c>
    </row>
    <row r="32" spans="1:5" x14ac:dyDescent="0.2">
      <c r="A32" s="779"/>
      <c r="B32" s="782"/>
      <c r="C32" s="401" t="s">
        <v>1339</v>
      </c>
      <c r="D32" s="779"/>
      <c r="E32" s="785"/>
    </row>
    <row r="33" spans="1:5" x14ac:dyDescent="0.2">
      <c r="A33" s="780"/>
      <c r="B33" s="783"/>
      <c r="C33" s="405" t="s">
        <v>1340</v>
      </c>
      <c r="D33" s="780"/>
      <c r="E33" s="786"/>
    </row>
    <row r="34" spans="1:5" ht="25.5" x14ac:dyDescent="0.2">
      <c r="A34" s="778">
        <v>4</v>
      </c>
      <c r="B34" s="781" t="s">
        <v>1341</v>
      </c>
      <c r="C34" s="401" t="s">
        <v>1342</v>
      </c>
      <c r="D34" s="778" t="s">
        <v>1343</v>
      </c>
      <c r="E34" s="784">
        <f>(1650+76*5)*0.52*7.22</f>
        <v>7621.4320000000007</v>
      </c>
    </row>
    <row r="35" spans="1:5" x14ac:dyDescent="0.2">
      <c r="A35" s="779"/>
      <c r="B35" s="782"/>
      <c r="C35" s="401" t="s">
        <v>1339</v>
      </c>
      <c r="D35" s="779"/>
      <c r="E35" s="785"/>
    </row>
    <row r="36" spans="1:5" x14ac:dyDescent="0.2">
      <c r="A36" s="780"/>
      <c r="B36" s="783"/>
      <c r="C36" s="405" t="s">
        <v>1340</v>
      </c>
      <c r="D36" s="780"/>
      <c r="E36" s="786"/>
    </row>
    <row r="37" spans="1:5" ht="25.5" x14ac:dyDescent="0.2">
      <c r="A37" s="778">
        <v>5</v>
      </c>
      <c r="B37" s="781" t="s">
        <v>1344</v>
      </c>
      <c r="C37" s="401" t="s">
        <v>1345</v>
      </c>
      <c r="D37" s="778" t="s">
        <v>1346</v>
      </c>
      <c r="E37" s="784">
        <f>(1950+19*10)*0.52*7.22</f>
        <v>8034.4159999999993</v>
      </c>
    </row>
    <row r="38" spans="1:5" x14ac:dyDescent="0.2">
      <c r="A38" s="779"/>
      <c r="B38" s="782"/>
      <c r="C38" s="401" t="s">
        <v>1339</v>
      </c>
      <c r="D38" s="779"/>
      <c r="E38" s="785"/>
    </row>
    <row r="39" spans="1:5" x14ac:dyDescent="0.2">
      <c r="A39" s="780"/>
      <c r="B39" s="783"/>
      <c r="C39" s="405" t="s">
        <v>1340</v>
      </c>
      <c r="D39" s="780"/>
      <c r="E39" s="786"/>
    </row>
    <row r="40" spans="1:5" ht="25.5" x14ac:dyDescent="0.2">
      <c r="A40" s="778">
        <v>6</v>
      </c>
      <c r="B40" s="781" t="s">
        <v>1347</v>
      </c>
      <c r="C40" s="401" t="s">
        <v>1348</v>
      </c>
      <c r="D40" s="778" t="s">
        <v>1349</v>
      </c>
      <c r="E40" s="784">
        <f>(2450+3680*1)*0.5*7.22</f>
        <v>22129.3</v>
      </c>
    </row>
    <row r="41" spans="1:5" x14ac:dyDescent="0.2">
      <c r="A41" s="779"/>
      <c r="B41" s="782"/>
      <c r="C41" s="401" t="s">
        <v>1350</v>
      </c>
      <c r="D41" s="779"/>
      <c r="E41" s="785"/>
    </row>
    <row r="42" spans="1:5" x14ac:dyDescent="0.2">
      <c r="A42" s="780"/>
      <c r="B42" s="783"/>
      <c r="C42" s="405" t="s">
        <v>1340</v>
      </c>
      <c r="D42" s="780"/>
      <c r="E42" s="786"/>
    </row>
    <row r="43" spans="1:5" ht="25.5" x14ac:dyDescent="0.2">
      <c r="A43" s="778">
        <v>7</v>
      </c>
      <c r="B43" s="781" t="s">
        <v>1351</v>
      </c>
      <c r="C43" s="401" t="s">
        <v>1352</v>
      </c>
      <c r="D43" s="778" t="s">
        <v>1353</v>
      </c>
      <c r="E43" s="784">
        <f>(2450+3680*5)*0.5*7.22</f>
        <v>75268.5</v>
      </c>
    </row>
    <row r="44" spans="1:5" x14ac:dyDescent="0.2">
      <c r="A44" s="779"/>
      <c r="B44" s="782"/>
      <c r="C44" s="401" t="s">
        <v>1350</v>
      </c>
      <c r="D44" s="779"/>
      <c r="E44" s="785"/>
    </row>
    <row r="45" spans="1:5" x14ac:dyDescent="0.2">
      <c r="A45" s="780"/>
      <c r="B45" s="783"/>
      <c r="C45" s="405" t="s">
        <v>1340</v>
      </c>
      <c r="D45" s="780"/>
      <c r="E45" s="786"/>
    </row>
    <row r="46" spans="1:5" ht="25.5" x14ac:dyDescent="0.2">
      <c r="A46" s="778">
        <v>8</v>
      </c>
      <c r="B46" s="781" t="s">
        <v>1354</v>
      </c>
      <c r="C46" s="401" t="s">
        <v>1355</v>
      </c>
      <c r="D46" s="778" t="s">
        <v>1356</v>
      </c>
      <c r="E46" s="784">
        <f>(25980+4623*15)*0.58*7.22</f>
        <v>399182.96999999991</v>
      </c>
    </row>
    <row r="47" spans="1:5" x14ac:dyDescent="0.2">
      <c r="A47" s="779"/>
      <c r="B47" s="782"/>
      <c r="C47" s="401" t="s">
        <v>1357</v>
      </c>
      <c r="D47" s="779"/>
      <c r="E47" s="785"/>
    </row>
    <row r="48" spans="1:5" x14ac:dyDescent="0.2">
      <c r="A48" s="780"/>
      <c r="B48" s="783"/>
      <c r="C48" s="405" t="s">
        <v>1340</v>
      </c>
      <c r="D48" s="780"/>
      <c r="E48" s="786"/>
    </row>
    <row r="49" spans="1:5" ht="25.5" x14ac:dyDescent="0.2">
      <c r="A49" s="403">
        <v>9</v>
      </c>
      <c r="B49" s="405" t="s">
        <v>1358</v>
      </c>
      <c r="C49" s="405"/>
      <c r="D49" s="406"/>
      <c r="E49" s="407">
        <f>SUM(E18:E48)</f>
        <v>675864.25235199986</v>
      </c>
    </row>
    <row r="50" spans="1:5" x14ac:dyDescent="0.2">
      <c r="A50" s="790" t="s">
        <v>1359</v>
      </c>
      <c r="B50" s="791"/>
      <c r="C50" s="791"/>
      <c r="D50" s="791"/>
      <c r="E50" s="792"/>
    </row>
    <row r="51" spans="1:5" ht="25.5" x14ac:dyDescent="0.2">
      <c r="A51" s="778">
        <v>9</v>
      </c>
      <c r="B51" s="781" t="s">
        <v>1360</v>
      </c>
      <c r="C51" s="401" t="s">
        <v>1361</v>
      </c>
      <c r="D51" s="778" t="s">
        <v>1362</v>
      </c>
      <c r="E51" s="784">
        <f>600*0.6*55.26*1.5*1.2</f>
        <v>35808.479999999996</v>
      </c>
    </row>
    <row r="52" spans="1:5" x14ac:dyDescent="0.2">
      <c r="A52" s="779"/>
      <c r="B52" s="782"/>
      <c r="C52" s="401" t="s">
        <v>1325</v>
      </c>
      <c r="D52" s="779"/>
      <c r="E52" s="785"/>
    </row>
    <row r="53" spans="1:5" x14ac:dyDescent="0.2">
      <c r="A53" s="779"/>
      <c r="B53" s="782"/>
      <c r="C53" s="401" t="s">
        <v>1326</v>
      </c>
      <c r="D53" s="779"/>
      <c r="E53" s="785"/>
    </row>
    <row r="54" spans="1:5" x14ac:dyDescent="0.2">
      <c r="A54" s="779"/>
      <c r="B54" s="782"/>
      <c r="C54" s="401" t="s">
        <v>1327</v>
      </c>
      <c r="D54" s="779"/>
      <c r="E54" s="785"/>
    </row>
    <row r="55" spans="1:5" x14ac:dyDescent="0.2">
      <c r="A55" s="780"/>
      <c r="B55" s="783"/>
      <c r="C55" s="405" t="s">
        <v>1328</v>
      </c>
      <c r="D55" s="780"/>
      <c r="E55" s="786"/>
    </row>
    <row r="56" spans="1:5" ht="25.5" x14ac:dyDescent="0.2">
      <c r="A56" s="778">
        <v>10</v>
      </c>
      <c r="B56" s="781" t="s">
        <v>1363</v>
      </c>
      <c r="C56" s="401" t="s">
        <v>1364</v>
      </c>
      <c r="D56" s="778" t="s">
        <v>1365</v>
      </c>
      <c r="E56" s="784">
        <f>480*0.6*55.26*1.4</f>
        <v>22280.831999999999</v>
      </c>
    </row>
    <row r="57" spans="1:5" x14ac:dyDescent="0.2">
      <c r="A57" s="779"/>
      <c r="B57" s="782"/>
      <c r="C57" s="401" t="s">
        <v>1325</v>
      </c>
      <c r="D57" s="779"/>
      <c r="E57" s="785"/>
    </row>
    <row r="58" spans="1:5" x14ac:dyDescent="0.2">
      <c r="A58" s="779"/>
      <c r="B58" s="782"/>
      <c r="C58" s="401" t="s">
        <v>1326</v>
      </c>
      <c r="D58" s="779"/>
      <c r="E58" s="785"/>
    </row>
    <row r="59" spans="1:5" x14ac:dyDescent="0.2">
      <c r="A59" s="780"/>
      <c r="B59" s="783"/>
      <c r="C59" s="405" t="s">
        <v>1334</v>
      </c>
      <c r="D59" s="780"/>
      <c r="E59" s="786"/>
    </row>
    <row r="60" spans="1:5" ht="25.5" x14ac:dyDescent="0.2">
      <c r="A60" s="778">
        <v>11</v>
      </c>
      <c r="B60" s="781" t="s">
        <v>1336</v>
      </c>
      <c r="C60" s="401" t="s">
        <v>1337</v>
      </c>
      <c r="D60" s="778" t="s">
        <v>1366</v>
      </c>
      <c r="E60" s="784">
        <f>(1020+15*10)*0.52*7.22</f>
        <v>4392.6480000000001</v>
      </c>
    </row>
    <row r="61" spans="1:5" x14ac:dyDescent="0.2">
      <c r="A61" s="779"/>
      <c r="B61" s="782"/>
      <c r="C61" s="401" t="s">
        <v>1339</v>
      </c>
      <c r="D61" s="779"/>
      <c r="E61" s="785"/>
    </row>
    <row r="62" spans="1:5" x14ac:dyDescent="0.2">
      <c r="A62" s="780"/>
      <c r="B62" s="783"/>
      <c r="C62" s="405" t="s">
        <v>1340</v>
      </c>
      <c r="D62" s="780"/>
      <c r="E62" s="786"/>
    </row>
    <row r="63" spans="1:5" ht="25.5" x14ac:dyDescent="0.2">
      <c r="A63" s="778">
        <v>12</v>
      </c>
      <c r="B63" s="781" t="s">
        <v>1341</v>
      </c>
      <c r="C63" s="401" t="s">
        <v>1342</v>
      </c>
      <c r="D63" s="778" t="s">
        <v>1367</v>
      </c>
      <c r="E63" s="784">
        <f>(1650+76*10)*0.52*7.22</f>
        <v>9048.1039999999994</v>
      </c>
    </row>
    <row r="64" spans="1:5" x14ac:dyDescent="0.2">
      <c r="A64" s="779"/>
      <c r="B64" s="782"/>
      <c r="C64" s="401" t="s">
        <v>1339</v>
      </c>
      <c r="D64" s="779"/>
      <c r="E64" s="785"/>
    </row>
    <row r="65" spans="1:5" x14ac:dyDescent="0.2">
      <c r="A65" s="780"/>
      <c r="B65" s="783"/>
      <c r="C65" s="405" t="s">
        <v>1340</v>
      </c>
      <c r="D65" s="780"/>
      <c r="E65" s="786"/>
    </row>
    <row r="66" spans="1:5" ht="25.5" x14ac:dyDescent="0.2">
      <c r="A66" s="778">
        <v>13</v>
      </c>
      <c r="B66" s="781" t="s">
        <v>1344</v>
      </c>
      <c r="C66" s="401" t="s">
        <v>1345</v>
      </c>
      <c r="D66" s="778" t="s">
        <v>1346</v>
      </c>
      <c r="E66" s="784">
        <f>(1950+19*10)*0.52*7.22</f>
        <v>8034.4159999999993</v>
      </c>
    </row>
    <row r="67" spans="1:5" x14ac:dyDescent="0.2">
      <c r="A67" s="779"/>
      <c r="B67" s="782"/>
      <c r="C67" s="401" t="s">
        <v>1339</v>
      </c>
      <c r="D67" s="779"/>
      <c r="E67" s="785"/>
    </row>
    <row r="68" spans="1:5" x14ac:dyDescent="0.2">
      <c r="A68" s="780"/>
      <c r="B68" s="783"/>
      <c r="C68" s="405" t="s">
        <v>1340</v>
      </c>
      <c r="D68" s="780"/>
      <c r="E68" s="786"/>
    </row>
    <row r="69" spans="1:5" ht="25.5" x14ac:dyDescent="0.2">
      <c r="A69" s="778">
        <v>14</v>
      </c>
      <c r="B69" s="781" t="s">
        <v>1347</v>
      </c>
      <c r="C69" s="401" t="s">
        <v>1348</v>
      </c>
      <c r="D69" s="778" t="s">
        <v>1349</v>
      </c>
      <c r="E69" s="784">
        <f>(2450+3680*1)*0.5*7.22</f>
        <v>22129.3</v>
      </c>
    </row>
    <row r="70" spans="1:5" x14ac:dyDescent="0.2">
      <c r="A70" s="779"/>
      <c r="B70" s="782"/>
      <c r="C70" s="401" t="s">
        <v>1350</v>
      </c>
      <c r="D70" s="779"/>
      <c r="E70" s="785"/>
    </row>
    <row r="71" spans="1:5" x14ac:dyDescent="0.2">
      <c r="A71" s="780"/>
      <c r="B71" s="783"/>
      <c r="C71" s="405" t="s">
        <v>1340</v>
      </c>
      <c r="D71" s="780"/>
      <c r="E71" s="786"/>
    </row>
    <row r="72" spans="1:5" ht="25.5" x14ac:dyDescent="0.2">
      <c r="A72" s="778">
        <v>15</v>
      </c>
      <c r="B72" s="781" t="s">
        <v>1351</v>
      </c>
      <c r="C72" s="401" t="s">
        <v>1352</v>
      </c>
      <c r="D72" s="778" t="s">
        <v>1368</v>
      </c>
      <c r="E72" s="784">
        <f>(2450+3680*10)*0.5*7.22</f>
        <v>141692.5</v>
      </c>
    </row>
    <row r="73" spans="1:5" x14ac:dyDescent="0.2">
      <c r="A73" s="779"/>
      <c r="B73" s="782"/>
      <c r="C73" s="401" t="s">
        <v>1350</v>
      </c>
      <c r="D73" s="779"/>
      <c r="E73" s="785"/>
    </row>
    <row r="74" spans="1:5" x14ac:dyDescent="0.2">
      <c r="A74" s="780"/>
      <c r="B74" s="783"/>
      <c r="C74" s="405" t="s">
        <v>1340</v>
      </c>
      <c r="D74" s="780"/>
      <c r="E74" s="786"/>
    </row>
    <row r="75" spans="1:5" ht="25.5" x14ac:dyDescent="0.2">
      <c r="A75" s="778">
        <v>16</v>
      </c>
      <c r="B75" s="781" t="s">
        <v>1369</v>
      </c>
      <c r="C75" s="401" t="s">
        <v>1355</v>
      </c>
      <c r="D75" s="778" t="s">
        <v>1370</v>
      </c>
      <c r="E75" s="784">
        <f>(25980+4623*10)*0.58*7.22</f>
        <v>302386.59599999996</v>
      </c>
    </row>
    <row r="76" spans="1:5" x14ac:dyDescent="0.2">
      <c r="A76" s="779"/>
      <c r="B76" s="782"/>
      <c r="C76" s="401" t="s">
        <v>1357</v>
      </c>
      <c r="D76" s="779"/>
      <c r="E76" s="785"/>
    </row>
    <row r="77" spans="1:5" x14ac:dyDescent="0.2">
      <c r="A77" s="780"/>
      <c r="B77" s="783"/>
      <c r="C77" s="405" t="s">
        <v>1340</v>
      </c>
      <c r="D77" s="780"/>
      <c r="E77" s="786"/>
    </row>
    <row r="78" spans="1:5" ht="25.5" x14ac:dyDescent="0.2">
      <c r="A78" s="778">
        <v>17</v>
      </c>
      <c r="B78" s="401" t="s">
        <v>1371</v>
      </c>
      <c r="C78" s="781"/>
      <c r="D78" s="778"/>
      <c r="E78" s="784">
        <v>500000</v>
      </c>
    </row>
    <row r="79" spans="1:5" ht="25.5" x14ac:dyDescent="0.2">
      <c r="A79" s="780"/>
      <c r="B79" s="405" t="s">
        <v>1372</v>
      </c>
      <c r="C79" s="783"/>
      <c r="D79" s="780"/>
      <c r="E79" s="786"/>
    </row>
    <row r="80" spans="1:5" x14ac:dyDescent="0.2">
      <c r="A80" s="403"/>
      <c r="B80" s="405" t="s">
        <v>1373</v>
      </c>
      <c r="C80" s="405"/>
      <c r="D80" s="406"/>
      <c r="E80" s="407">
        <f>SUM(E51:E79)</f>
        <v>1045772.8759999999</v>
      </c>
    </row>
    <row r="81" spans="1:5" x14ac:dyDescent="0.2">
      <c r="A81" s="790" t="s">
        <v>1277</v>
      </c>
      <c r="B81" s="791"/>
      <c r="C81" s="791"/>
      <c r="D81" s="791"/>
      <c r="E81" s="792"/>
    </row>
    <row r="82" spans="1:5" ht="25.5" x14ac:dyDescent="0.2">
      <c r="A82" s="778">
        <v>18</v>
      </c>
      <c r="B82" s="781" t="s">
        <v>1374</v>
      </c>
      <c r="C82" s="401" t="s">
        <v>1375</v>
      </c>
      <c r="D82" s="778" t="s">
        <v>1376</v>
      </c>
      <c r="E82" s="784">
        <f>820*0.6*55.26*1.5*1.2</f>
        <v>48938.255999999994</v>
      </c>
    </row>
    <row r="83" spans="1:5" x14ac:dyDescent="0.2">
      <c r="A83" s="779"/>
      <c r="B83" s="782"/>
      <c r="C83" s="401" t="s">
        <v>1325</v>
      </c>
      <c r="D83" s="779"/>
      <c r="E83" s="785"/>
    </row>
    <row r="84" spans="1:5" x14ac:dyDescent="0.2">
      <c r="A84" s="779"/>
      <c r="B84" s="782"/>
      <c r="C84" s="401" t="s">
        <v>1326</v>
      </c>
      <c r="D84" s="779"/>
      <c r="E84" s="785"/>
    </row>
    <row r="85" spans="1:5" x14ac:dyDescent="0.2">
      <c r="A85" s="779"/>
      <c r="B85" s="782"/>
      <c r="C85" s="401" t="s">
        <v>1327</v>
      </c>
      <c r="D85" s="779"/>
      <c r="E85" s="785"/>
    </row>
    <row r="86" spans="1:5" x14ac:dyDescent="0.2">
      <c r="A86" s="780"/>
      <c r="B86" s="783"/>
      <c r="C86" s="405" t="s">
        <v>1328</v>
      </c>
      <c r="D86" s="780"/>
      <c r="E86" s="786"/>
    </row>
    <row r="87" spans="1:5" ht="25.5" x14ac:dyDescent="0.2">
      <c r="A87" s="778">
        <v>19</v>
      </c>
      <c r="B87" s="781" t="s">
        <v>1377</v>
      </c>
      <c r="C87" s="401" t="s">
        <v>1378</v>
      </c>
      <c r="D87" s="778" t="s">
        <v>1379</v>
      </c>
      <c r="E87" s="784">
        <f>(2290+5510*3.56)*0.62*7.22</f>
        <v>98058.227839999992</v>
      </c>
    </row>
    <row r="88" spans="1:5" x14ac:dyDescent="0.2">
      <c r="A88" s="779"/>
      <c r="B88" s="782"/>
      <c r="C88" s="401" t="s">
        <v>1380</v>
      </c>
      <c r="D88" s="779"/>
      <c r="E88" s="785"/>
    </row>
    <row r="89" spans="1:5" x14ac:dyDescent="0.2">
      <c r="A89" s="780"/>
      <c r="B89" s="783"/>
      <c r="C89" s="405" t="s">
        <v>1340</v>
      </c>
      <c r="D89" s="780"/>
      <c r="E89" s="786"/>
    </row>
    <row r="90" spans="1:5" ht="25.5" x14ac:dyDescent="0.2">
      <c r="A90" s="778">
        <v>20</v>
      </c>
      <c r="B90" s="781" t="s">
        <v>1381</v>
      </c>
      <c r="C90" s="401" t="s">
        <v>1355</v>
      </c>
      <c r="D90" s="778" t="s">
        <v>1370</v>
      </c>
      <c r="E90" s="784">
        <f>(25980+4623*10)*0.58*7.22</f>
        <v>302386.59599999996</v>
      </c>
    </row>
    <row r="91" spans="1:5" x14ac:dyDescent="0.2">
      <c r="A91" s="779"/>
      <c r="B91" s="782"/>
      <c r="C91" s="401" t="s">
        <v>1357</v>
      </c>
      <c r="D91" s="779"/>
      <c r="E91" s="785"/>
    </row>
    <row r="92" spans="1:5" x14ac:dyDescent="0.2">
      <c r="A92" s="780"/>
      <c r="B92" s="783"/>
      <c r="C92" s="405" t="s">
        <v>1340</v>
      </c>
      <c r="D92" s="780"/>
      <c r="E92" s="786"/>
    </row>
    <row r="93" spans="1:5" ht="25.5" x14ac:dyDescent="0.2">
      <c r="A93" s="778">
        <v>21</v>
      </c>
      <c r="B93" s="781" t="s">
        <v>1382</v>
      </c>
      <c r="C93" s="401" t="s">
        <v>1378</v>
      </c>
      <c r="D93" s="778" t="s">
        <v>1383</v>
      </c>
      <c r="E93" s="784">
        <f>(2290+5510*1.9)*0.62*7.22</f>
        <v>57114.387599999995</v>
      </c>
    </row>
    <row r="94" spans="1:5" x14ac:dyDescent="0.2">
      <c r="A94" s="779"/>
      <c r="B94" s="782"/>
      <c r="C94" s="401" t="s">
        <v>1380</v>
      </c>
      <c r="D94" s="779"/>
      <c r="E94" s="785"/>
    </row>
    <row r="95" spans="1:5" x14ac:dyDescent="0.2">
      <c r="A95" s="780"/>
      <c r="B95" s="783"/>
      <c r="C95" s="405" t="s">
        <v>1340</v>
      </c>
      <c r="D95" s="780"/>
      <c r="E95" s="786"/>
    </row>
    <row r="96" spans="1:5" ht="25.5" x14ac:dyDescent="0.2">
      <c r="A96" s="778">
        <v>22</v>
      </c>
      <c r="B96" s="781" t="s">
        <v>1384</v>
      </c>
      <c r="C96" s="401" t="s">
        <v>1385</v>
      </c>
      <c r="D96" s="778" t="s">
        <v>1386</v>
      </c>
      <c r="E96" s="784">
        <f>85450*1*7.22</f>
        <v>616949</v>
      </c>
    </row>
    <row r="97" spans="1:5" x14ac:dyDescent="0.2">
      <c r="A97" s="779"/>
      <c r="B97" s="782"/>
      <c r="C97" s="401" t="s">
        <v>1387</v>
      </c>
      <c r="D97" s="779"/>
      <c r="E97" s="785"/>
    </row>
    <row r="98" spans="1:5" x14ac:dyDescent="0.2">
      <c r="A98" s="780"/>
      <c r="B98" s="783"/>
      <c r="C98" s="405" t="s">
        <v>1340</v>
      </c>
      <c r="D98" s="780"/>
      <c r="E98" s="786"/>
    </row>
    <row r="99" spans="1:5" ht="25.5" x14ac:dyDescent="0.2">
      <c r="A99" s="778">
        <v>23</v>
      </c>
      <c r="B99" s="781" t="s">
        <v>1388</v>
      </c>
      <c r="C99" s="401" t="s">
        <v>1389</v>
      </c>
      <c r="D99" s="778" t="s">
        <v>1390</v>
      </c>
      <c r="E99" s="784">
        <f>(36610+4570*26.4)*1*1.1*7.22</f>
        <v>1248943.0360000001</v>
      </c>
    </row>
    <row r="100" spans="1:5" x14ac:dyDescent="0.2">
      <c r="A100" s="779"/>
      <c r="B100" s="782"/>
      <c r="C100" s="401" t="s">
        <v>1387</v>
      </c>
      <c r="D100" s="779"/>
      <c r="E100" s="785"/>
    </row>
    <row r="101" spans="1:5" x14ac:dyDescent="0.2">
      <c r="A101" s="779"/>
      <c r="B101" s="782"/>
      <c r="C101" s="401" t="s">
        <v>1391</v>
      </c>
      <c r="D101" s="779"/>
      <c r="E101" s="785"/>
    </row>
    <row r="102" spans="1:5" x14ac:dyDescent="0.2">
      <c r="A102" s="780"/>
      <c r="B102" s="783"/>
      <c r="C102" s="405" t="s">
        <v>1340</v>
      </c>
      <c r="D102" s="780"/>
      <c r="E102" s="786"/>
    </row>
    <row r="103" spans="1:5" ht="25.5" x14ac:dyDescent="0.2">
      <c r="A103" s="778">
        <v>24</v>
      </c>
      <c r="B103" s="781" t="s">
        <v>1392</v>
      </c>
      <c r="C103" s="401" t="s">
        <v>1393</v>
      </c>
      <c r="D103" s="778" t="s">
        <v>1394</v>
      </c>
      <c r="E103" s="784">
        <f>2400*1*7.22</f>
        <v>17328</v>
      </c>
    </row>
    <row r="104" spans="1:5" x14ac:dyDescent="0.2">
      <c r="A104" s="779"/>
      <c r="B104" s="782"/>
      <c r="C104" s="401" t="s">
        <v>1387</v>
      </c>
      <c r="D104" s="779"/>
      <c r="E104" s="785"/>
    </row>
    <row r="105" spans="1:5" x14ac:dyDescent="0.2">
      <c r="A105" s="780"/>
      <c r="B105" s="783"/>
      <c r="C105" s="405" t="s">
        <v>1340</v>
      </c>
      <c r="D105" s="780"/>
      <c r="E105" s="786"/>
    </row>
    <row r="106" spans="1:5" ht="25.5" x14ac:dyDescent="0.2">
      <c r="A106" s="778">
        <v>25</v>
      </c>
      <c r="B106" s="781" t="s">
        <v>1395</v>
      </c>
      <c r="C106" s="401" t="s">
        <v>1378</v>
      </c>
      <c r="D106" s="778" t="s">
        <v>1396</v>
      </c>
      <c r="E106" s="784">
        <f>(2290+5510*5)*1*7.22</f>
        <v>215444.8</v>
      </c>
    </row>
    <row r="107" spans="1:5" x14ac:dyDescent="0.2">
      <c r="A107" s="779"/>
      <c r="B107" s="782"/>
      <c r="C107" s="401" t="s">
        <v>1387</v>
      </c>
      <c r="D107" s="779"/>
      <c r="E107" s="785"/>
    </row>
    <row r="108" spans="1:5" x14ac:dyDescent="0.2">
      <c r="A108" s="780"/>
      <c r="B108" s="783"/>
      <c r="C108" s="405" t="s">
        <v>1340</v>
      </c>
      <c r="D108" s="780"/>
      <c r="E108" s="786"/>
    </row>
    <row r="109" spans="1:5" ht="25.5" x14ac:dyDescent="0.2">
      <c r="A109" s="778">
        <v>26</v>
      </c>
      <c r="B109" s="781" t="s">
        <v>1397</v>
      </c>
      <c r="C109" s="401" t="s">
        <v>1348</v>
      </c>
      <c r="D109" s="778" t="s">
        <v>1398</v>
      </c>
      <c r="E109" s="784">
        <f>(2450+3680*10)*1*7.22</f>
        <v>283385</v>
      </c>
    </row>
    <row r="110" spans="1:5" x14ac:dyDescent="0.2">
      <c r="A110" s="779"/>
      <c r="B110" s="782"/>
      <c r="C110" s="401" t="s">
        <v>1387</v>
      </c>
      <c r="D110" s="779"/>
      <c r="E110" s="785"/>
    </row>
    <row r="111" spans="1:5" x14ac:dyDescent="0.2">
      <c r="A111" s="780"/>
      <c r="B111" s="783"/>
      <c r="C111" s="405" t="s">
        <v>1340</v>
      </c>
      <c r="D111" s="780"/>
      <c r="E111" s="786"/>
    </row>
    <row r="112" spans="1:5" x14ac:dyDescent="0.2">
      <c r="A112" s="403">
        <v>27</v>
      </c>
      <c r="B112" s="405" t="s">
        <v>1399</v>
      </c>
      <c r="C112" s="405"/>
      <c r="D112" s="406"/>
      <c r="E112" s="407">
        <f>SUM(E82:E111)</f>
        <v>2888547.3034399999</v>
      </c>
    </row>
    <row r="113" spans="1:5" x14ac:dyDescent="0.2">
      <c r="A113" s="403">
        <v>28</v>
      </c>
      <c r="B113" s="405" t="s">
        <v>1400</v>
      </c>
      <c r="C113" s="405"/>
      <c r="D113" s="406"/>
      <c r="E113" s="407">
        <f>E112+E80+E49</f>
        <v>4610184.4317920003</v>
      </c>
    </row>
    <row r="114" spans="1:5" ht="51" x14ac:dyDescent="0.2">
      <c r="A114" s="403">
        <v>29</v>
      </c>
      <c r="B114" s="408" t="s">
        <v>1401</v>
      </c>
      <c r="C114" s="408" t="s">
        <v>1402</v>
      </c>
      <c r="D114" s="506" t="s">
        <v>1403</v>
      </c>
      <c r="E114" s="409">
        <f>E113*0.8</f>
        <v>3688147.5454336004</v>
      </c>
    </row>
    <row r="115" spans="1:5" ht="25.5" x14ac:dyDescent="0.2">
      <c r="A115" s="403">
        <v>30</v>
      </c>
      <c r="B115" s="505" t="s">
        <v>2317</v>
      </c>
      <c r="C115" s="505" t="s">
        <v>2314</v>
      </c>
      <c r="D115" s="507" t="s">
        <v>2318</v>
      </c>
      <c r="E115" s="409">
        <f>E114*0.7</f>
        <v>2581703.2818035199</v>
      </c>
    </row>
    <row r="116" spans="1:5" x14ac:dyDescent="0.2">
      <c r="A116" s="787" t="s">
        <v>252</v>
      </c>
      <c r="B116" s="788"/>
      <c r="C116" s="788"/>
      <c r="D116" s="789"/>
      <c r="E116" s="508">
        <f>E115</f>
        <v>2581703.2818035199</v>
      </c>
    </row>
    <row r="117" spans="1:5" x14ac:dyDescent="0.2">
      <c r="A117" s="411"/>
      <c r="B117" s="411"/>
      <c r="C117" s="411"/>
      <c r="D117" s="411"/>
      <c r="E117" s="412"/>
    </row>
  </sheetData>
  <mergeCells count="111">
    <mergeCell ref="A3:E3"/>
    <mergeCell ref="A4:E4"/>
    <mergeCell ref="C6:E6"/>
    <mergeCell ref="A17:E17"/>
    <mergeCell ref="A18:A24"/>
    <mergeCell ref="B18:B24"/>
    <mergeCell ref="D18:D24"/>
    <mergeCell ref="E18:E24"/>
    <mergeCell ref="A25:A30"/>
    <mergeCell ref="B25:B30"/>
    <mergeCell ref="D25:D30"/>
    <mergeCell ref="E25:E30"/>
    <mergeCell ref="A31:A33"/>
    <mergeCell ref="B31:B33"/>
    <mergeCell ref="D31:D33"/>
    <mergeCell ref="E31:E33"/>
    <mergeCell ref="A34:A36"/>
    <mergeCell ref="B34:B36"/>
    <mergeCell ref="D34:D36"/>
    <mergeCell ref="E34:E36"/>
    <mergeCell ref="A37:A39"/>
    <mergeCell ref="B37:B39"/>
    <mergeCell ref="D37:D39"/>
    <mergeCell ref="E37:E39"/>
    <mergeCell ref="A40:A42"/>
    <mergeCell ref="B40:B42"/>
    <mergeCell ref="D40:D42"/>
    <mergeCell ref="E40:E42"/>
    <mergeCell ref="A43:A45"/>
    <mergeCell ref="B43:B45"/>
    <mergeCell ref="D43:D45"/>
    <mergeCell ref="E43:E45"/>
    <mergeCell ref="A46:A48"/>
    <mergeCell ref="B46:B48"/>
    <mergeCell ref="D46:D48"/>
    <mergeCell ref="E46:E48"/>
    <mergeCell ref="A50:E50"/>
    <mergeCell ref="A51:A55"/>
    <mergeCell ref="B51:B55"/>
    <mergeCell ref="D51:D55"/>
    <mergeCell ref="E51:E55"/>
    <mergeCell ref="A56:A59"/>
    <mergeCell ref="B56:B59"/>
    <mergeCell ref="D56:D59"/>
    <mergeCell ref="E56:E59"/>
    <mergeCell ref="A60:A62"/>
    <mergeCell ref="B60:B62"/>
    <mergeCell ref="D60:D62"/>
    <mergeCell ref="E60:E62"/>
    <mergeCell ref="A63:A65"/>
    <mergeCell ref="B63:B65"/>
    <mergeCell ref="D63:D65"/>
    <mergeCell ref="E63:E65"/>
    <mergeCell ref="A66:A68"/>
    <mergeCell ref="B66:B68"/>
    <mergeCell ref="D66:D68"/>
    <mergeCell ref="E66:E68"/>
    <mergeCell ref="A69:A71"/>
    <mergeCell ref="B69:B71"/>
    <mergeCell ref="D69:D71"/>
    <mergeCell ref="E69:E71"/>
    <mergeCell ref="A72:A74"/>
    <mergeCell ref="B72:B74"/>
    <mergeCell ref="D72:D74"/>
    <mergeCell ref="E72:E74"/>
    <mergeCell ref="A75:A77"/>
    <mergeCell ref="B75:B77"/>
    <mergeCell ref="D75:D77"/>
    <mergeCell ref="E75:E77"/>
    <mergeCell ref="A78:A79"/>
    <mergeCell ref="C78:C79"/>
    <mergeCell ref="D78:D79"/>
    <mergeCell ref="E78:E79"/>
    <mergeCell ref="A81:E81"/>
    <mergeCell ref="A82:A86"/>
    <mergeCell ref="B82:B86"/>
    <mergeCell ref="D82:D86"/>
    <mergeCell ref="E82:E86"/>
    <mergeCell ref="A87:A89"/>
    <mergeCell ref="B87:B89"/>
    <mergeCell ref="D87:D89"/>
    <mergeCell ref="E87:E89"/>
    <mergeCell ref="A90:A92"/>
    <mergeCell ref="B90:B92"/>
    <mergeCell ref="D90:D92"/>
    <mergeCell ref="E90:E92"/>
    <mergeCell ref="A93:A95"/>
    <mergeCell ref="B93:B95"/>
    <mergeCell ref="D93:D95"/>
    <mergeCell ref="E93:E95"/>
    <mergeCell ref="A96:A98"/>
    <mergeCell ref="B96:B98"/>
    <mergeCell ref="D96:D98"/>
    <mergeCell ref="E96:E98"/>
    <mergeCell ref="A99:A102"/>
    <mergeCell ref="B99:B102"/>
    <mergeCell ref="D99:D102"/>
    <mergeCell ref="E99:E102"/>
    <mergeCell ref="A103:A105"/>
    <mergeCell ref="B103:B105"/>
    <mergeCell ref="D103:D105"/>
    <mergeCell ref="E103:E105"/>
    <mergeCell ref="A106:A108"/>
    <mergeCell ref="B106:B108"/>
    <mergeCell ref="D106:D108"/>
    <mergeCell ref="E106:E108"/>
    <mergeCell ref="A109:A111"/>
    <mergeCell ref="B109:B111"/>
    <mergeCell ref="D109:D111"/>
    <mergeCell ref="E109:E111"/>
    <mergeCell ref="A116:D116"/>
  </mergeCells>
  <conditionalFormatting sqref="C1 C116:C64998 C4:C16">
    <cfRule type="containsText" dxfId="42" priority="2" operator="containsText" text="стадия Р">
      <formula>NOT(ISERROR(SEARCH("стадия Р",C1)))</formula>
    </cfRule>
  </conditionalFormatting>
  <conditionalFormatting sqref="C3">
    <cfRule type="containsText" dxfId="41" priority="1" operator="containsText" text="стадия Р">
      <formula>NOT(ISERROR(SEARCH("стадия Р",C3)))</formula>
    </cfRule>
  </conditionalFormatting>
  <pageMargins left="0.23622047244094491" right="0.23622047244094491" top="0.74803149606299213" bottom="0.74803149606299213" header="0.31496062992125984" footer="0.31496062992125984"/>
  <pageSetup paperSize="9" scale="79" fitToHeight="0" orientation="portrait" verticalDpi="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pageSetUpPr fitToPage="1"/>
  </sheetPr>
  <dimension ref="A1:IV32"/>
  <sheetViews>
    <sheetView zoomScale="85" workbookViewId="0">
      <selection activeCell="E26" sqref="E26"/>
    </sheetView>
  </sheetViews>
  <sheetFormatPr defaultColWidth="9.140625" defaultRowHeight="12.75" x14ac:dyDescent="0.2"/>
  <cols>
    <col min="1" max="1" width="9.140625" style="362"/>
    <col min="2" max="2" width="34.85546875" style="362" customWidth="1"/>
    <col min="3" max="3" width="42.85546875" style="363" customWidth="1"/>
    <col min="4" max="4" width="26.5703125" style="364" customWidth="1"/>
    <col min="5" max="5" width="17.42578125" style="413" customWidth="1"/>
    <col min="6" max="219" width="9.140625" style="362"/>
    <col min="220" max="220" width="28" style="362" customWidth="1"/>
    <col min="221" max="221" width="52" style="362" customWidth="1"/>
    <col min="222" max="222" width="27.28515625" style="362" customWidth="1"/>
    <col min="223" max="223" width="20.5703125" style="362" customWidth="1"/>
    <col min="224" max="225" width="9.140625" style="362"/>
    <col min="226" max="226" width="11.5703125" style="362" bestFit="1" customWidth="1"/>
    <col min="227" max="257" width="9.140625" style="362"/>
    <col min="258" max="258" width="28.7109375" style="362" customWidth="1"/>
    <col min="259" max="259" width="42.85546875" style="362" customWidth="1"/>
    <col min="260" max="260" width="26.28515625" style="362" customWidth="1"/>
    <col min="261" max="261" width="17.42578125" style="362" customWidth="1"/>
    <col min="262" max="475" width="9.140625" style="362"/>
    <col min="476" max="476" width="28" style="362" customWidth="1"/>
    <col min="477" max="477" width="52" style="362" customWidth="1"/>
    <col min="478" max="478" width="27.28515625" style="362" customWidth="1"/>
    <col min="479" max="479" width="20.5703125" style="362" customWidth="1"/>
    <col min="480" max="481" width="9.140625" style="362"/>
    <col min="482" max="482" width="11.5703125" style="362" bestFit="1" customWidth="1"/>
    <col min="483" max="513" width="9.140625" style="362"/>
    <col min="514" max="514" width="28.7109375" style="362" customWidth="1"/>
    <col min="515" max="515" width="42.85546875" style="362" customWidth="1"/>
    <col min="516" max="516" width="26.28515625" style="362" customWidth="1"/>
    <col min="517" max="517" width="17.42578125" style="362" customWidth="1"/>
    <col min="518" max="731" width="9.140625" style="362"/>
    <col min="732" max="732" width="28" style="362" customWidth="1"/>
    <col min="733" max="733" width="52" style="362" customWidth="1"/>
    <col min="734" max="734" width="27.28515625" style="362" customWidth="1"/>
    <col min="735" max="735" width="20.5703125" style="362" customWidth="1"/>
    <col min="736" max="737" width="9.140625" style="362"/>
    <col min="738" max="738" width="11.5703125" style="362" bestFit="1" customWidth="1"/>
    <col min="739" max="769" width="9.140625" style="362"/>
    <col min="770" max="770" width="28.7109375" style="362" customWidth="1"/>
    <col min="771" max="771" width="42.85546875" style="362" customWidth="1"/>
    <col min="772" max="772" width="26.28515625" style="362" customWidth="1"/>
    <col min="773" max="773" width="17.42578125" style="362" customWidth="1"/>
    <col min="774" max="987" width="9.140625" style="362"/>
    <col min="988" max="988" width="28" style="362" customWidth="1"/>
    <col min="989" max="989" width="52" style="362" customWidth="1"/>
    <col min="990" max="990" width="27.28515625" style="362" customWidth="1"/>
    <col min="991" max="991" width="20.5703125" style="362" customWidth="1"/>
    <col min="992" max="993" width="9.140625" style="362"/>
    <col min="994" max="994" width="11.5703125" style="362" bestFit="1" customWidth="1"/>
    <col min="995" max="1025" width="9.140625" style="362"/>
    <col min="1026" max="1026" width="28.7109375" style="362" customWidth="1"/>
    <col min="1027" max="1027" width="42.85546875" style="362" customWidth="1"/>
    <col min="1028" max="1028" width="26.28515625" style="362" customWidth="1"/>
    <col min="1029" max="1029" width="17.42578125" style="362" customWidth="1"/>
    <col min="1030" max="1243" width="9.140625" style="362"/>
    <col min="1244" max="1244" width="28" style="362" customWidth="1"/>
    <col min="1245" max="1245" width="52" style="362" customWidth="1"/>
    <col min="1246" max="1246" width="27.28515625" style="362" customWidth="1"/>
    <col min="1247" max="1247" width="20.5703125" style="362" customWidth="1"/>
    <col min="1248" max="1249" width="9.140625" style="362"/>
    <col min="1250" max="1250" width="11.5703125" style="362" bestFit="1" customWidth="1"/>
    <col min="1251" max="1281" width="9.140625" style="362"/>
    <col min="1282" max="1282" width="28.7109375" style="362" customWidth="1"/>
    <col min="1283" max="1283" width="42.85546875" style="362" customWidth="1"/>
    <col min="1284" max="1284" width="26.28515625" style="362" customWidth="1"/>
    <col min="1285" max="1285" width="17.42578125" style="362" customWidth="1"/>
    <col min="1286" max="1499" width="9.140625" style="362"/>
    <col min="1500" max="1500" width="28" style="362" customWidth="1"/>
    <col min="1501" max="1501" width="52" style="362" customWidth="1"/>
    <col min="1502" max="1502" width="27.28515625" style="362" customWidth="1"/>
    <col min="1503" max="1503" width="20.5703125" style="362" customWidth="1"/>
    <col min="1504" max="1505" width="9.140625" style="362"/>
    <col min="1506" max="1506" width="11.5703125" style="362" bestFit="1" customWidth="1"/>
    <col min="1507" max="1537" width="9.140625" style="362"/>
    <col min="1538" max="1538" width="28.7109375" style="362" customWidth="1"/>
    <col min="1539" max="1539" width="42.85546875" style="362" customWidth="1"/>
    <col min="1540" max="1540" width="26.28515625" style="362" customWidth="1"/>
    <col min="1541" max="1541" width="17.42578125" style="362" customWidth="1"/>
    <col min="1542" max="1755" width="9.140625" style="362"/>
    <col min="1756" max="1756" width="28" style="362" customWidth="1"/>
    <col min="1757" max="1757" width="52" style="362" customWidth="1"/>
    <col min="1758" max="1758" width="27.28515625" style="362" customWidth="1"/>
    <col min="1759" max="1759" width="20.5703125" style="362" customWidth="1"/>
    <col min="1760" max="1761" width="9.140625" style="362"/>
    <col min="1762" max="1762" width="11.5703125" style="362" bestFit="1" customWidth="1"/>
    <col min="1763" max="1793" width="9.140625" style="362"/>
    <col min="1794" max="1794" width="28.7109375" style="362" customWidth="1"/>
    <col min="1795" max="1795" width="42.85546875" style="362" customWidth="1"/>
    <col min="1796" max="1796" width="26.28515625" style="362" customWidth="1"/>
    <col min="1797" max="1797" width="17.42578125" style="362" customWidth="1"/>
    <col min="1798" max="2011" width="9.140625" style="362"/>
    <col min="2012" max="2012" width="28" style="362" customWidth="1"/>
    <col min="2013" max="2013" width="52" style="362" customWidth="1"/>
    <col min="2014" max="2014" width="27.28515625" style="362" customWidth="1"/>
    <col min="2015" max="2015" width="20.5703125" style="362" customWidth="1"/>
    <col min="2016" max="2017" width="9.140625" style="362"/>
    <col min="2018" max="2018" width="11.5703125" style="362" bestFit="1" customWidth="1"/>
    <col min="2019" max="2049" width="9.140625" style="362"/>
    <col min="2050" max="2050" width="28.7109375" style="362" customWidth="1"/>
    <col min="2051" max="2051" width="42.85546875" style="362" customWidth="1"/>
    <col min="2052" max="2052" width="26.28515625" style="362" customWidth="1"/>
    <col min="2053" max="2053" width="17.42578125" style="362" customWidth="1"/>
    <col min="2054" max="2267" width="9.140625" style="362"/>
    <col min="2268" max="2268" width="28" style="362" customWidth="1"/>
    <col min="2269" max="2269" width="52" style="362" customWidth="1"/>
    <col min="2270" max="2270" width="27.28515625" style="362" customWidth="1"/>
    <col min="2271" max="2271" width="20.5703125" style="362" customWidth="1"/>
    <col min="2272" max="2273" width="9.140625" style="362"/>
    <col min="2274" max="2274" width="11.5703125" style="362" bestFit="1" customWidth="1"/>
    <col min="2275" max="2305" width="9.140625" style="362"/>
    <col min="2306" max="2306" width="28.7109375" style="362" customWidth="1"/>
    <col min="2307" max="2307" width="42.85546875" style="362" customWidth="1"/>
    <col min="2308" max="2308" width="26.28515625" style="362" customWidth="1"/>
    <col min="2309" max="2309" width="17.42578125" style="362" customWidth="1"/>
    <col min="2310" max="2523" width="9.140625" style="362"/>
    <col min="2524" max="2524" width="28" style="362" customWidth="1"/>
    <col min="2525" max="2525" width="52" style="362" customWidth="1"/>
    <col min="2526" max="2526" width="27.28515625" style="362" customWidth="1"/>
    <col min="2527" max="2527" width="20.5703125" style="362" customWidth="1"/>
    <col min="2528" max="2529" width="9.140625" style="362"/>
    <col min="2530" max="2530" width="11.5703125" style="362" bestFit="1" customWidth="1"/>
    <col min="2531" max="2561" width="9.140625" style="362"/>
    <col min="2562" max="2562" width="28.7109375" style="362" customWidth="1"/>
    <col min="2563" max="2563" width="42.85546875" style="362" customWidth="1"/>
    <col min="2564" max="2564" width="26.28515625" style="362" customWidth="1"/>
    <col min="2565" max="2565" width="17.42578125" style="362" customWidth="1"/>
    <col min="2566" max="2779" width="9.140625" style="362"/>
    <col min="2780" max="2780" width="28" style="362" customWidth="1"/>
    <col min="2781" max="2781" width="52" style="362" customWidth="1"/>
    <col min="2782" max="2782" width="27.28515625" style="362" customWidth="1"/>
    <col min="2783" max="2783" width="20.5703125" style="362" customWidth="1"/>
    <col min="2784" max="2785" width="9.140625" style="362"/>
    <col min="2786" max="2786" width="11.5703125" style="362" bestFit="1" customWidth="1"/>
    <col min="2787" max="2817" width="9.140625" style="362"/>
    <col min="2818" max="2818" width="28.7109375" style="362" customWidth="1"/>
    <col min="2819" max="2819" width="42.85546875" style="362" customWidth="1"/>
    <col min="2820" max="2820" width="26.28515625" style="362" customWidth="1"/>
    <col min="2821" max="2821" width="17.42578125" style="362" customWidth="1"/>
    <col min="2822" max="3035" width="9.140625" style="362"/>
    <col min="3036" max="3036" width="28" style="362" customWidth="1"/>
    <col min="3037" max="3037" width="52" style="362" customWidth="1"/>
    <col min="3038" max="3038" width="27.28515625" style="362" customWidth="1"/>
    <col min="3039" max="3039" width="20.5703125" style="362" customWidth="1"/>
    <col min="3040" max="3041" width="9.140625" style="362"/>
    <col min="3042" max="3042" width="11.5703125" style="362" bestFit="1" customWidth="1"/>
    <col min="3043" max="3073" width="9.140625" style="362"/>
    <col min="3074" max="3074" width="28.7109375" style="362" customWidth="1"/>
    <col min="3075" max="3075" width="42.85546875" style="362" customWidth="1"/>
    <col min="3076" max="3076" width="26.28515625" style="362" customWidth="1"/>
    <col min="3077" max="3077" width="17.42578125" style="362" customWidth="1"/>
    <col min="3078" max="3291" width="9.140625" style="362"/>
    <col min="3292" max="3292" width="28" style="362" customWidth="1"/>
    <col min="3293" max="3293" width="52" style="362" customWidth="1"/>
    <col min="3294" max="3294" width="27.28515625" style="362" customWidth="1"/>
    <col min="3295" max="3295" width="20.5703125" style="362" customWidth="1"/>
    <col min="3296" max="3297" width="9.140625" style="362"/>
    <col min="3298" max="3298" width="11.5703125" style="362" bestFit="1" customWidth="1"/>
    <col min="3299" max="3329" width="9.140625" style="362"/>
    <col min="3330" max="3330" width="28.7109375" style="362" customWidth="1"/>
    <col min="3331" max="3331" width="42.85546875" style="362" customWidth="1"/>
    <col min="3332" max="3332" width="26.28515625" style="362" customWidth="1"/>
    <col min="3333" max="3333" width="17.42578125" style="362" customWidth="1"/>
    <col min="3334" max="3547" width="9.140625" style="362"/>
    <col min="3548" max="3548" width="28" style="362" customWidth="1"/>
    <col min="3549" max="3549" width="52" style="362" customWidth="1"/>
    <col min="3550" max="3550" width="27.28515625" style="362" customWidth="1"/>
    <col min="3551" max="3551" width="20.5703125" style="362" customWidth="1"/>
    <col min="3552" max="3553" width="9.140625" style="362"/>
    <col min="3554" max="3554" width="11.5703125" style="362" bestFit="1" customWidth="1"/>
    <col min="3555" max="3585" width="9.140625" style="362"/>
    <col min="3586" max="3586" width="28.7109375" style="362" customWidth="1"/>
    <col min="3587" max="3587" width="42.85546875" style="362" customWidth="1"/>
    <col min="3588" max="3588" width="26.28515625" style="362" customWidth="1"/>
    <col min="3589" max="3589" width="17.42578125" style="362" customWidth="1"/>
    <col min="3590" max="3803" width="9.140625" style="362"/>
    <col min="3804" max="3804" width="28" style="362" customWidth="1"/>
    <col min="3805" max="3805" width="52" style="362" customWidth="1"/>
    <col min="3806" max="3806" width="27.28515625" style="362" customWidth="1"/>
    <col min="3807" max="3807" width="20.5703125" style="362" customWidth="1"/>
    <col min="3808" max="3809" width="9.140625" style="362"/>
    <col min="3810" max="3810" width="11.5703125" style="362" bestFit="1" customWidth="1"/>
    <col min="3811" max="3841" width="9.140625" style="362"/>
    <col min="3842" max="3842" width="28.7109375" style="362" customWidth="1"/>
    <col min="3843" max="3843" width="42.85546875" style="362" customWidth="1"/>
    <col min="3844" max="3844" width="26.28515625" style="362" customWidth="1"/>
    <col min="3845" max="3845" width="17.42578125" style="362" customWidth="1"/>
    <col min="3846" max="4059" width="9.140625" style="362"/>
    <col min="4060" max="4060" width="28" style="362" customWidth="1"/>
    <col min="4061" max="4061" width="52" style="362" customWidth="1"/>
    <col min="4062" max="4062" width="27.28515625" style="362" customWidth="1"/>
    <col min="4063" max="4063" width="20.5703125" style="362" customWidth="1"/>
    <col min="4064" max="4065" width="9.140625" style="362"/>
    <col min="4066" max="4066" width="11.5703125" style="362" bestFit="1" customWidth="1"/>
    <col min="4067" max="4097" width="9.140625" style="362"/>
    <col min="4098" max="4098" width="28.7109375" style="362" customWidth="1"/>
    <col min="4099" max="4099" width="42.85546875" style="362" customWidth="1"/>
    <col min="4100" max="4100" width="26.28515625" style="362" customWidth="1"/>
    <col min="4101" max="4101" width="17.42578125" style="362" customWidth="1"/>
    <col min="4102" max="4315" width="9.140625" style="362"/>
    <col min="4316" max="4316" width="28" style="362" customWidth="1"/>
    <col min="4317" max="4317" width="52" style="362" customWidth="1"/>
    <col min="4318" max="4318" width="27.28515625" style="362" customWidth="1"/>
    <col min="4319" max="4319" width="20.5703125" style="362" customWidth="1"/>
    <col min="4320" max="4321" width="9.140625" style="362"/>
    <col min="4322" max="4322" width="11.5703125" style="362" bestFit="1" customWidth="1"/>
    <col min="4323" max="4353" width="9.140625" style="362"/>
    <col min="4354" max="4354" width="28.7109375" style="362" customWidth="1"/>
    <col min="4355" max="4355" width="42.85546875" style="362" customWidth="1"/>
    <col min="4356" max="4356" width="26.28515625" style="362" customWidth="1"/>
    <col min="4357" max="4357" width="17.42578125" style="362" customWidth="1"/>
    <col min="4358" max="4571" width="9.140625" style="362"/>
    <col min="4572" max="4572" width="28" style="362" customWidth="1"/>
    <col min="4573" max="4573" width="52" style="362" customWidth="1"/>
    <col min="4574" max="4574" width="27.28515625" style="362" customWidth="1"/>
    <col min="4575" max="4575" width="20.5703125" style="362" customWidth="1"/>
    <col min="4576" max="4577" width="9.140625" style="362"/>
    <col min="4578" max="4578" width="11.5703125" style="362" bestFit="1" customWidth="1"/>
    <col min="4579" max="4609" width="9.140625" style="362"/>
    <col min="4610" max="4610" width="28.7109375" style="362" customWidth="1"/>
    <col min="4611" max="4611" width="42.85546875" style="362" customWidth="1"/>
    <col min="4612" max="4612" width="26.28515625" style="362" customWidth="1"/>
    <col min="4613" max="4613" width="17.42578125" style="362" customWidth="1"/>
    <col min="4614" max="4827" width="9.140625" style="362"/>
    <col min="4828" max="4828" width="28" style="362" customWidth="1"/>
    <col min="4829" max="4829" width="52" style="362" customWidth="1"/>
    <col min="4830" max="4830" width="27.28515625" style="362" customWidth="1"/>
    <col min="4831" max="4831" width="20.5703125" style="362" customWidth="1"/>
    <col min="4832" max="4833" width="9.140625" style="362"/>
    <col min="4834" max="4834" width="11.5703125" style="362" bestFit="1" customWidth="1"/>
    <col min="4835" max="4865" width="9.140625" style="362"/>
    <col min="4866" max="4866" width="28.7109375" style="362" customWidth="1"/>
    <col min="4867" max="4867" width="42.85546875" style="362" customWidth="1"/>
    <col min="4868" max="4868" width="26.28515625" style="362" customWidth="1"/>
    <col min="4869" max="4869" width="17.42578125" style="362" customWidth="1"/>
    <col min="4870" max="5083" width="9.140625" style="362"/>
    <col min="5084" max="5084" width="28" style="362" customWidth="1"/>
    <col min="5085" max="5085" width="52" style="362" customWidth="1"/>
    <col min="5086" max="5086" width="27.28515625" style="362" customWidth="1"/>
    <col min="5087" max="5087" width="20.5703125" style="362" customWidth="1"/>
    <col min="5088" max="5089" width="9.140625" style="362"/>
    <col min="5090" max="5090" width="11.5703125" style="362" bestFit="1" customWidth="1"/>
    <col min="5091" max="5121" width="9.140625" style="362"/>
    <col min="5122" max="5122" width="28.7109375" style="362" customWidth="1"/>
    <col min="5123" max="5123" width="42.85546875" style="362" customWidth="1"/>
    <col min="5124" max="5124" width="26.28515625" style="362" customWidth="1"/>
    <col min="5125" max="5125" width="17.42578125" style="362" customWidth="1"/>
    <col min="5126" max="5339" width="9.140625" style="362"/>
    <col min="5340" max="5340" width="28" style="362" customWidth="1"/>
    <col min="5341" max="5341" width="52" style="362" customWidth="1"/>
    <col min="5342" max="5342" width="27.28515625" style="362" customWidth="1"/>
    <col min="5343" max="5343" width="20.5703125" style="362" customWidth="1"/>
    <col min="5344" max="5345" width="9.140625" style="362"/>
    <col min="5346" max="5346" width="11.5703125" style="362" bestFit="1" customWidth="1"/>
    <col min="5347" max="5377" width="9.140625" style="362"/>
    <col min="5378" max="5378" width="28.7109375" style="362" customWidth="1"/>
    <col min="5379" max="5379" width="42.85546875" style="362" customWidth="1"/>
    <col min="5380" max="5380" width="26.28515625" style="362" customWidth="1"/>
    <col min="5381" max="5381" width="17.42578125" style="362" customWidth="1"/>
    <col min="5382" max="5595" width="9.140625" style="362"/>
    <col min="5596" max="5596" width="28" style="362" customWidth="1"/>
    <col min="5597" max="5597" width="52" style="362" customWidth="1"/>
    <col min="5598" max="5598" width="27.28515625" style="362" customWidth="1"/>
    <col min="5599" max="5599" width="20.5703125" style="362" customWidth="1"/>
    <col min="5600" max="5601" width="9.140625" style="362"/>
    <col min="5602" max="5602" width="11.5703125" style="362" bestFit="1" customWidth="1"/>
    <col min="5603" max="5633" width="9.140625" style="362"/>
    <col min="5634" max="5634" width="28.7109375" style="362" customWidth="1"/>
    <col min="5635" max="5635" width="42.85546875" style="362" customWidth="1"/>
    <col min="5636" max="5636" width="26.28515625" style="362" customWidth="1"/>
    <col min="5637" max="5637" width="17.42578125" style="362" customWidth="1"/>
    <col min="5638" max="5851" width="9.140625" style="362"/>
    <col min="5852" max="5852" width="28" style="362" customWidth="1"/>
    <col min="5853" max="5853" width="52" style="362" customWidth="1"/>
    <col min="5854" max="5854" width="27.28515625" style="362" customWidth="1"/>
    <col min="5855" max="5855" width="20.5703125" style="362" customWidth="1"/>
    <col min="5856" max="5857" width="9.140625" style="362"/>
    <col min="5858" max="5858" width="11.5703125" style="362" bestFit="1" customWidth="1"/>
    <col min="5859" max="5889" width="9.140625" style="362"/>
    <col min="5890" max="5890" width="28.7109375" style="362" customWidth="1"/>
    <col min="5891" max="5891" width="42.85546875" style="362" customWidth="1"/>
    <col min="5892" max="5892" width="26.28515625" style="362" customWidth="1"/>
    <col min="5893" max="5893" width="17.42578125" style="362" customWidth="1"/>
    <col min="5894" max="6107" width="9.140625" style="362"/>
    <col min="6108" max="6108" width="28" style="362" customWidth="1"/>
    <col min="6109" max="6109" width="52" style="362" customWidth="1"/>
    <col min="6110" max="6110" width="27.28515625" style="362" customWidth="1"/>
    <col min="6111" max="6111" width="20.5703125" style="362" customWidth="1"/>
    <col min="6112" max="6113" width="9.140625" style="362"/>
    <col min="6114" max="6114" width="11.5703125" style="362" bestFit="1" customWidth="1"/>
    <col min="6115" max="6145" width="9.140625" style="362"/>
    <col min="6146" max="6146" width="28.7109375" style="362" customWidth="1"/>
    <col min="6147" max="6147" width="42.85546875" style="362" customWidth="1"/>
    <col min="6148" max="6148" width="26.28515625" style="362" customWidth="1"/>
    <col min="6149" max="6149" width="17.42578125" style="362" customWidth="1"/>
    <col min="6150" max="6363" width="9.140625" style="362"/>
    <col min="6364" max="6364" width="28" style="362" customWidth="1"/>
    <col min="6365" max="6365" width="52" style="362" customWidth="1"/>
    <col min="6366" max="6366" width="27.28515625" style="362" customWidth="1"/>
    <col min="6367" max="6367" width="20.5703125" style="362" customWidth="1"/>
    <col min="6368" max="6369" width="9.140625" style="362"/>
    <col min="6370" max="6370" width="11.5703125" style="362" bestFit="1" customWidth="1"/>
    <col min="6371" max="6401" width="9.140625" style="362"/>
    <col min="6402" max="6402" width="28.7109375" style="362" customWidth="1"/>
    <col min="6403" max="6403" width="42.85546875" style="362" customWidth="1"/>
    <col min="6404" max="6404" width="26.28515625" style="362" customWidth="1"/>
    <col min="6405" max="6405" width="17.42578125" style="362" customWidth="1"/>
    <col min="6406" max="6619" width="9.140625" style="362"/>
    <col min="6620" max="6620" width="28" style="362" customWidth="1"/>
    <col min="6621" max="6621" width="52" style="362" customWidth="1"/>
    <col min="6622" max="6622" width="27.28515625" style="362" customWidth="1"/>
    <col min="6623" max="6623" width="20.5703125" style="362" customWidth="1"/>
    <col min="6624" max="6625" width="9.140625" style="362"/>
    <col min="6626" max="6626" width="11.5703125" style="362" bestFit="1" customWidth="1"/>
    <col min="6627" max="6657" width="9.140625" style="362"/>
    <col min="6658" max="6658" width="28.7109375" style="362" customWidth="1"/>
    <col min="6659" max="6659" width="42.85546875" style="362" customWidth="1"/>
    <col min="6660" max="6660" width="26.28515625" style="362" customWidth="1"/>
    <col min="6661" max="6661" width="17.42578125" style="362" customWidth="1"/>
    <col min="6662" max="6875" width="9.140625" style="362"/>
    <col min="6876" max="6876" width="28" style="362" customWidth="1"/>
    <col min="6877" max="6877" width="52" style="362" customWidth="1"/>
    <col min="6878" max="6878" width="27.28515625" style="362" customWidth="1"/>
    <col min="6879" max="6879" width="20.5703125" style="362" customWidth="1"/>
    <col min="6880" max="6881" width="9.140625" style="362"/>
    <col min="6882" max="6882" width="11.5703125" style="362" bestFit="1" customWidth="1"/>
    <col min="6883" max="6913" width="9.140625" style="362"/>
    <col min="6914" max="6914" width="28.7109375" style="362" customWidth="1"/>
    <col min="6915" max="6915" width="42.85546875" style="362" customWidth="1"/>
    <col min="6916" max="6916" width="26.28515625" style="362" customWidth="1"/>
    <col min="6917" max="6917" width="17.42578125" style="362" customWidth="1"/>
    <col min="6918" max="7131" width="9.140625" style="362"/>
    <col min="7132" max="7132" width="28" style="362" customWidth="1"/>
    <col min="7133" max="7133" width="52" style="362" customWidth="1"/>
    <col min="7134" max="7134" width="27.28515625" style="362" customWidth="1"/>
    <col min="7135" max="7135" width="20.5703125" style="362" customWidth="1"/>
    <col min="7136" max="7137" width="9.140625" style="362"/>
    <col min="7138" max="7138" width="11.5703125" style="362" bestFit="1" customWidth="1"/>
    <col min="7139" max="7169" width="9.140625" style="362"/>
    <col min="7170" max="7170" width="28.7109375" style="362" customWidth="1"/>
    <col min="7171" max="7171" width="42.85546875" style="362" customWidth="1"/>
    <col min="7172" max="7172" width="26.28515625" style="362" customWidth="1"/>
    <col min="7173" max="7173" width="17.42578125" style="362" customWidth="1"/>
    <col min="7174" max="7387" width="9.140625" style="362"/>
    <col min="7388" max="7388" width="28" style="362" customWidth="1"/>
    <col min="7389" max="7389" width="52" style="362" customWidth="1"/>
    <col min="7390" max="7390" width="27.28515625" style="362" customWidth="1"/>
    <col min="7391" max="7391" width="20.5703125" style="362" customWidth="1"/>
    <col min="7392" max="7393" width="9.140625" style="362"/>
    <col min="7394" max="7394" width="11.5703125" style="362" bestFit="1" customWidth="1"/>
    <col min="7395" max="7425" width="9.140625" style="362"/>
    <col min="7426" max="7426" width="28.7109375" style="362" customWidth="1"/>
    <col min="7427" max="7427" width="42.85546875" style="362" customWidth="1"/>
    <col min="7428" max="7428" width="26.28515625" style="362" customWidth="1"/>
    <col min="7429" max="7429" width="17.42578125" style="362" customWidth="1"/>
    <col min="7430" max="7643" width="9.140625" style="362"/>
    <col min="7644" max="7644" width="28" style="362" customWidth="1"/>
    <col min="7645" max="7645" width="52" style="362" customWidth="1"/>
    <col min="7646" max="7646" width="27.28515625" style="362" customWidth="1"/>
    <col min="7647" max="7647" width="20.5703125" style="362" customWidth="1"/>
    <col min="7648" max="7649" width="9.140625" style="362"/>
    <col min="7650" max="7650" width="11.5703125" style="362" bestFit="1" customWidth="1"/>
    <col min="7651" max="7681" width="9.140625" style="362"/>
    <col min="7682" max="7682" width="28.7109375" style="362" customWidth="1"/>
    <col min="7683" max="7683" width="42.85546875" style="362" customWidth="1"/>
    <col min="7684" max="7684" width="26.28515625" style="362" customWidth="1"/>
    <col min="7685" max="7685" width="17.42578125" style="362" customWidth="1"/>
    <col min="7686" max="7899" width="9.140625" style="362"/>
    <col min="7900" max="7900" width="28" style="362" customWidth="1"/>
    <col min="7901" max="7901" width="52" style="362" customWidth="1"/>
    <col min="7902" max="7902" width="27.28515625" style="362" customWidth="1"/>
    <col min="7903" max="7903" width="20.5703125" style="362" customWidth="1"/>
    <col min="7904" max="7905" width="9.140625" style="362"/>
    <col min="7906" max="7906" width="11.5703125" style="362" bestFit="1" customWidth="1"/>
    <col min="7907" max="7937" width="9.140625" style="362"/>
    <col min="7938" max="7938" width="28.7109375" style="362" customWidth="1"/>
    <col min="7939" max="7939" width="42.85546875" style="362" customWidth="1"/>
    <col min="7940" max="7940" width="26.28515625" style="362" customWidth="1"/>
    <col min="7941" max="7941" width="17.42578125" style="362" customWidth="1"/>
    <col min="7942" max="8155" width="9.140625" style="362"/>
    <col min="8156" max="8156" width="28" style="362" customWidth="1"/>
    <col min="8157" max="8157" width="52" style="362" customWidth="1"/>
    <col min="8158" max="8158" width="27.28515625" style="362" customWidth="1"/>
    <col min="8159" max="8159" width="20.5703125" style="362" customWidth="1"/>
    <col min="8160" max="8161" width="9.140625" style="362"/>
    <col min="8162" max="8162" width="11.5703125" style="362" bestFit="1" customWidth="1"/>
    <col min="8163" max="8193" width="9.140625" style="362"/>
    <col min="8194" max="8194" width="28.7109375" style="362" customWidth="1"/>
    <col min="8195" max="8195" width="42.85546875" style="362" customWidth="1"/>
    <col min="8196" max="8196" width="26.28515625" style="362" customWidth="1"/>
    <col min="8197" max="8197" width="17.42578125" style="362" customWidth="1"/>
    <col min="8198" max="8411" width="9.140625" style="362"/>
    <col min="8412" max="8412" width="28" style="362" customWidth="1"/>
    <col min="8413" max="8413" width="52" style="362" customWidth="1"/>
    <col min="8414" max="8414" width="27.28515625" style="362" customWidth="1"/>
    <col min="8415" max="8415" width="20.5703125" style="362" customWidth="1"/>
    <col min="8416" max="8417" width="9.140625" style="362"/>
    <col min="8418" max="8418" width="11.5703125" style="362" bestFit="1" customWidth="1"/>
    <col min="8419" max="8449" width="9.140625" style="362"/>
    <col min="8450" max="8450" width="28.7109375" style="362" customWidth="1"/>
    <col min="8451" max="8451" width="42.85546875" style="362" customWidth="1"/>
    <col min="8452" max="8452" width="26.28515625" style="362" customWidth="1"/>
    <col min="8453" max="8453" width="17.42578125" style="362" customWidth="1"/>
    <col min="8454" max="8667" width="9.140625" style="362"/>
    <col min="8668" max="8668" width="28" style="362" customWidth="1"/>
    <col min="8669" max="8669" width="52" style="362" customWidth="1"/>
    <col min="8670" max="8670" width="27.28515625" style="362" customWidth="1"/>
    <col min="8671" max="8671" width="20.5703125" style="362" customWidth="1"/>
    <col min="8672" max="8673" width="9.140625" style="362"/>
    <col min="8674" max="8674" width="11.5703125" style="362" bestFit="1" customWidth="1"/>
    <col min="8675" max="8705" width="9.140625" style="362"/>
    <col min="8706" max="8706" width="28.7109375" style="362" customWidth="1"/>
    <col min="8707" max="8707" width="42.85546875" style="362" customWidth="1"/>
    <col min="8708" max="8708" width="26.28515625" style="362" customWidth="1"/>
    <col min="8709" max="8709" width="17.42578125" style="362" customWidth="1"/>
    <col min="8710" max="8923" width="9.140625" style="362"/>
    <col min="8924" max="8924" width="28" style="362" customWidth="1"/>
    <col min="8925" max="8925" width="52" style="362" customWidth="1"/>
    <col min="8926" max="8926" width="27.28515625" style="362" customWidth="1"/>
    <col min="8927" max="8927" width="20.5703125" style="362" customWidth="1"/>
    <col min="8928" max="8929" width="9.140625" style="362"/>
    <col min="8930" max="8930" width="11.5703125" style="362" bestFit="1" customWidth="1"/>
    <col min="8931" max="8961" width="9.140625" style="362"/>
    <col min="8962" max="8962" width="28.7109375" style="362" customWidth="1"/>
    <col min="8963" max="8963" width="42.85546875" style="362" customWidth="1"/>
    <col min="8964" max="8964" width="26.28515625" style="362" customWidth="1"/>
    <col min="8965" max="8965" width="17.42578125" style="362" customWidth="1"/>
    <col min="8966" max="9179" width="9.140625" style="362"/>
    <col min="9180" max="9180" width="28" style="362" customWidth="1"/>
    <col min="9181" max="9181" width="52" style="362" customWidth="1"/>
    <col min="9182" max="9182" width="27.28515625" style="362" customWidth="1"/>
    <col min="9183" max="9183" width="20.5703125" style="362" customWidth="1"/>
    <col min="9184" max="9185" width="9.140625" style="362"/>
    <col min="9186" max="9186" width="11.5703125" style="362" bestFit="1" customWidth="1"/>
    <col min="9187" max="9217" width="9.140625" style="362"/>
    <col min="9218" max="9218" width="28.7109375" style="362" customWidth="1"/>
    <col min="9219" max="9219" width="42.85546875" style="362" customWidth="1"/>
    <col min="9220" max="9220" width="26.28515625" style="362" customWidth="1"/>
    <col min="9221" max="9221" width="17.42578125" style="362" customWidth="1"/>
    <col min="9222" max="9435" width="9.140625" style="362"/>
    <col min="9436" max="9436" width="28" style="362" customWidth="1"/>
    <col min="9437" max="9437" width="52" style="362" customWidth="1"/>
    <col min="9438" max="9438" width="27.28515625" style="362" customWidth="1"/>
    <col min="9439" max="9439" width="20.5703125" style="362" customWidth="1"/>
    <col min="9440" max="9441" width="9.140625" style="362"/>
    <col min="9442" max="9442" width="11.5703125" style="362" bestFit="1" customWidth="1"/>
    <col min="9443" max="9473" width="9.140625" style="362"/>
    <col min="9474" max="9474" width="28.7109375" style="362" customWidth="1"/>
    <col min="9475" max="9475" width="42.85546875" style="362" customWidth="1"/>
    <col min="9476" max="9476" width="26.28515625" style="362" customWidth="1"/>
    <col min="9477" max="9477" width="17.42578125" style="362" customWidth="1"/>
    <col min="9478" max="9691" width="9.140625" style="362"/>
    <col min="9692" max="9692" width="28" style="362" customWidth="1"/>
    <col min="9693" max="9693" width="52" style="362" customWidth="1"/>
    <col min="9694" max="9694" width="27.28515625" style="362" customWidth="1"/>
    <col min="9695" max="9695" width="20.5703125" style="362" customWidth="1"/>
    <col min="9696" max="9697" width="9.140625" style="362"/>
    <col min="9698" max="9698" width="11.5703125" style="362" bestFit="1" customWidth="1"/>
    <col min="9699" max="9729" width="9.140625" style="362"/>
    <col min="9730" max="9730" width="28.7109375" style="362" customWidth="1"/>
    <col min="9731" max="9731" width="42.85546875" style="362" customWidth="1"/>
    <col min="9732" max="9732" width="26.28515625" style="362" customWidth="1"/>
    <col min="9733" max="9733" width="17.42578125" style="362" customWidth="1"/>
    <col min="9734" max="9947" width="9.140625" style="362"/>
    <col min="9948" max="9948" width="28" style="362" customWidth="1"/>
    <col min="9949" max="9949" width="52" style="362" customWidth="1"/>
    <col min="9950" max="9950" width="27.28515625" style="362" customWidth="1"/>
    <col min="9951" max="9951" width="20.5703125" style="362" customWidth="1"/>
    <col min="9952" max="9953" width="9.140625" style="362"/>
    <col min="9954" max="9954" width="11.5703125" style="362" bestFit="1" customWidth="1"/>
    <col min="9955" max="9985" width="9.140625" style="362"/>
    <col min="9986" max="9986" width="28.7109375" style="362" customWidth="1"/>
    <col min="9987" max="9987" width="42.85546875" style="362" customWidth="1"/>
    <col min="9988" max="9988" width="26.28515625" style="362" customWidth="1"/>
    <col min="9989" max="9989" width="17.42578125" style="362" customWidth="1"/>
    <col min="9990" max="10203" width="9.140625" style="362"/>
    <col min="10204" max="10204" width="28" style="362" customWidth="1"/>
    <col min="10205" max="10205" width="52" style="362" customWidth="1"/>
    <col min="10206" max="10206" width="27.28515625" style="362" customWidth="1"/>
    <col min="10207" max="10207" width="20.5703125" style="362" customWidth="1"/>
    <col min="10208" max="10209" width="9.140625" style="362"/>
    <col min="10210" max="10210" width="11.5703125" style="362" bestFit="1" customWidth="1"/>
    <col min="10211" max="10241" width="9.140625" style="362"/>
    <col min="10242" max="10242" width="28.7109375" style="362" customWidth="1"/>
    <col min="10243" max="10243" width="42.85546875" style="362" customWidth="1"/>
    <col min="10244" max="10244" width="26.28515625" style="362" customWidth="1"/>
    <col min="10245" max="10245" width="17.42578125" style="362" customWidth="1"/>
    <col min="10246" max="10459" width="9.140625" style="362"/>
    <col min="10460" max="10460" width="28" style="362" customWidth="1"/>
    <col min="10461" max="10461" width="52" style="362" customWidth="1"/>
    <col min="10462" max="10462" width="27.28515625" style="362" customWidth="1"/>
    <col min="10463" max="10463" width="20.5703125" style="362" customWidth="1"/>
    <col min="10464" max="10465" width="9.140625" style="362"/>
    <col min="10466" max="10466" width="11.5703125" style="362" bestFit="1" customWidth="1"/>
    <col min="10467" max="10497" width="9.140625" style="362"/>
    <col min="10498" max="10498" width="28.7109375" style="362" customWidth="1"/>
    <col min="10499" max="10499" width="42.85546875" style="362" customWidth="1"/>
    <col min="10500" max="10500" width="26.28515625" style="362" customWidth="1"/>
    <col min="10501" max="10501" width="17.42578125" style="362" customWidth="1"/>
    <col min="10502" max="10715" width="9.140625" style="362"/>
    <col min="10716" max="10716" width="28" style="362" customWidth="1"/>
    <col min="10717" max="10717" width="52" style="362" customWidth="1"/>
    <col min="10718" max="10718" width="27.28515625" style="362" customWidth="1"/>
    <col min="10719" max="10719" width="20.5703125" style="362" customWidth="1"/>
    <col min="10720" max="10721" width="9.140625" style="362"/>
    <col min="10722" max="10722" width="11.5703125" style="362" bestFit="1" customWidth="1"/>
    <col min="10723" max="10753" width="9.140625" style="362"/>
    <col min="10754" max="10754" width="28.7109375" style="362" customWidth="1"/>
    <col min="10755" max="10755" width="42.85546875" style="362" customWidth="1"/>
    <col min="10756" max="10756" width="26.28515625" style="362" customWidth="1"/>
    <col min="10757" max="10757" width="17.42578125" style="362" customWidth="1"/>
    <col min="10758" max="10971" width="9.140625" style="362"/>
    <col min="10972" max="10972" width="28" style="362" customWidth="1"/>
    <col min="10973" max="10973" width="52" style="362" customWidth="1"/>
    <col min="10974" max="10974" width="27.28515625" style="362" customWidth="1"/>
    <col min="10975" max="10975" width="20.5703125" style="362" customWidth="1"/>
    <col min="10976" max="10977" width="9.140625" style="362"/>
    <col min="10978" max="10978" width="11.5703125" style="362" bestFit="1" customWidth="1"/>
    <col min="10979" max="11009" width="9.140625" style="362"/>
    <col min="11010" max="11010" width="28.7109375" style="362" customWidth="1"/>
    <col min="11011" max="11011" width="42.85546875" style="362" customWidth="1"/>
    <col min="11012" max="11012" width="26.28515625" style="362" customWidth="1"/>
    <col min="11013" max="11013" width="17.42578125" style="362" customWidth="1"/>
    <col min="11014" max="11227" width="9.140625" style="362"/>
    <col min="11228" max="11228" width="28" style="362" customWidth="1"/>
    <col min="11229" max="11229" width="52" style="362" customWidth="1"/>
    <col min="11230" max="11230" width="27.28515625" style="362" customWidth="1"/>
    <col min="11231" max="11231" width="20.5703125" style="362" customWidth="1"/>
    <col min="11232" max="11233" width="9.140625" style="362"/>
    <col min="11234" max="11234" width="11.5703125" style="362" bestFit="1" customWidth="1"/>
    <col min="11235" max="11265" width="9.140625" style="362"/>
    <col min="11266" max="11266" width="28.7109375" style="362" customWidth="1"/>
    <col min="11267" max="11267" width="42.85546875" style="362" customWidth="1"/>
    <col min="11268" max="11268" width="26.28515625" style="362" customWidth="1"/>
    <col min="11269" max="11269" width="17.42578125" style="362" customWidth="1"/>
    <col min="11270" max="11483" width="9.140625" style="362"/>
    <col min="11484" max="11484" width="28" style="362" customWidth="1"/>
    <col min="11485" max="11485" width="52" style="362" customWidth="1"/>
    <col min="11486" max="11486" width="27.28515625" style="362" customWidth="1"/>
    <col min="11487" max="11487" width="20.5703125" style="362" customWidth="1"/>
    <col min="11488" max="11489" width="9.140625" style="362"/>
    <col min="11490" max="11490" width="11.5703125" style="362" bestFit="1" customWidth="1"/>
    <col min="11491" max="11521" width="9.140625" style="362"/>
    <col min="11522" max="11522" width="28.7109375" style="362" customWidth="1"/>
    <col min="11523" max="11523" width="42.85546875" style="362" customWidth="1"/>
    <col min="11524" max="11524" width="26.28515625" style="362" customWidth="1"/>
    <col min="11525" max="11525" width="17.42578125" style="362" customWidth="1"/>
    <col min="11526" max="11739" width="9.140625" style="362"/>
    <col min="11740" max="11740" width="28" style="362" customWidth="1"/>
    <col min="11741" max="11741" width="52" style="362" customWidth="1"/>
    <col min="11742" max="11742" width="27.28515625" style="362" customWidth="1"/>
    <col min="11743" max="11743" width="20.5703125" style="362" customWidth="1"/>
    <col min="11744" max="11745" width="9.140625" style="362"/>
    <col min="11746" max="11746" width="11.5703125" style="362" bestFit="1" customWidth="1"/>
    <col min="11747" max="11777" width="9.140625" style="362"/>
    <col min="11778" max="11778" width="28.7109375" style="362" customWidth="1"/>
    <col min="11779" max="11779" width="42.85546875" style="362" customWidth="1"/>
    <col min="11780" max="11780" width="26.28515625" style="362" customWidth="1"/>
    <col min="11781" max="11781" width="17.42578125" style="362" customWidth="1"/>
    <col min="11782" max="11995" width="9.140625" style="362"/>
    <col min="11996" max="11996" width="28" style="362" customWidth="1"/>
    <col min="11997" max="11997" width="52" style="362" customWidth="1"/>
    <col min="11998" max="11998" width="27.28515625" style="362" customWidth="1"/>
    <col min="11999" max="11999" width="20.5703125" style="362" customWidth="1"/>
    <col min="12000" max="12001" width="9.140625" style="362"/>
    <col min="12002" max="12002" width="11.5703125" style="362" bestFit="1" customWidth="1"/>
    <col min="12003" max="12033" width="9.140625" style="362"/>
    <col min="12034" max="12034" width="28.7109375" style="362" customWidth="1"/>
    <col min="12035" max="12035" width="42.85546875" style="362" customWidth="1"/>
    <col min="12036" max="12036" width="26.28515625" style="362" customWidth="1"/>
    <col min="12037" max="12037" width="17.42578125" style="362" customWidth="1"/>
    <col min="12038" max="12251" width="9.140625" style="362"/>
    <col min="12252" max="12252" width="28" style="362" customWidth="1"/>
    <col min="12253" max="12253" width="52" style="362" customWidth="1"/>
    <col min="12254" max="12254" width="27.28515625" style="362" customWidth="1"/>
    <col min="12255" max="12255" width="20.5703125" style="362" customWidth="1"/>
    <col min="12256" max="12257" width="9.140625" style="362"/>
    <col min="12258" max="12258" width="11.5703125" style="362" bestFit="1" customWidth="1"/>
    <col min="12259" max="12289" width="9.140625" style="362"/>
    <col min="12290" max="12290" width="28.7109375" style="362" customWidth="1"/>
    <col min="12291" max="12291" width="42.85546875" style="362" customWidth="1"/>
    <col min="12292" max="12292" width="26.28515625" style="362" customWidth="1"/>
    <col min="12293" max="12293" width="17.42578125" style="362" customWidth="1"/>
    <col min="12294" max="12507" width="9.140625" style="362"/>
    <col min="12508" max="12508" width="28" style="362" customWidth="1"/>
    <col min="12509" max="12509" width="52" style="362" customWidth="1"/>
    <col min="12510" max="12510" width="27.28515625" style="362" customWidth="1"/>
    <col min="12511" max="12511" width="20.5703125" style="362" customWidth="1"/>
    <col min="12512" max="12513" width="9.140625" style="362"/>
    <col min="12514" max="12514" width="11.5703125" style="362" bestFit="1" customWidth="1"/>
    <col min="12515" max="12545" width="9.140625" style="362"/>
    <col min="12546" max="12546" width="28.7109375" style="362" customWidth="1"/>
    <col min="12547" max="12547" width="42.85546875" style="362" customWidth="1"/>
    <col min="12548" max="12548" width="26.28515625" style="362" customWidth="1"/>
    <col min="12549" max="12549" width="17.42578125" style="362" customWidth="1"/>
    <col min="12550" max="12763" width="9.140625" style="362"/>
    <col min="12764" max="12764" width="28" style="362" customWidth="1"/>
    <col min="12765" max="12765" width="52" style="362" customWidth="1"/>
    <col min="12766" max="12766" width="27.28515625" style="362" customWidth="1"/>
    <col min="12767" max="12767" width="20.5703125" style="362" customWidth="1"/>
    <col min="12768" max="12769" width="9.140625" style="362"/>
    <col min="12770" max="12770" width="11.5703125" style="362" bestFit="1" customWidth="1"/>
    <col min="12771" max="12801" width="9.140625" style="362"/>
    <col min="12802" max="12802" width="28.7109375" style="362" customWidth="1"/>
    <col min="12803" max="12803" width="42.85546875" style="362" customWidth="1"/>
    <col min="12804" max="12804" width="26.28515625" style="362" customWidth="1"/>
    <col min="12805" max="12805" width="17.42578125" style="362" customWidth="1"/>
    <col min="12806" max="13019" width="9.140625" style="362"/>
    <col min="13020" max="13020" width="28" style="362" customWidth="1"/>
    <col min="13021" max="13021" width="52" style="362" customWidth="1"/>
    <col min="13022" max="13022" width="27.28515625" style="362" customWidth="1"/>
    <col min="13023" max="13023" width="20.5703125" style="362" customWidth="1"/>
    <col min="13024" max="13025" width="9.140625" style="362"/>
    <col min="13026" max="13026" width="11.5703125" style="362" bestFit="1" customWidth="1"/>
    <col min="13027" max="13057" width="9.140625" style="362"/>
    <col min="13058" max="13058" width="28.7109375" style="362" customWidth="1"/>
    <col min="13059" max="13059" width="42.85546875" style="362" customWidth="1"/>
    <col min="13060" max="13060" width="26.28515625" style="362" customWidth="1"/>
    <col min="13061" max="13061" width="17.42578125" style="362" customWidth="1"/>
    <col min="13062" max="13275" width="9.140625" style="362"/>
    <col min="13276" max="13276" width="28" style="362" customWidth="1"/>
    <col min="13277" max="13277" width="52" style="362" customWidth="1"/>
    <col min="13278" max="13278" width="27.28515625" style="362" customWidth="1"/>
    <col min="13279" max="13279" width="20.5703125" style="362" customWidth="1"/>
    <col min="13280" max="13281" width="9.140625" style="362"/>
    <col min="13282" max="13282" width="11.5703125" style="362" bestFit="1" customWidth="1"/>
    <col min="13283" max="13313" width="9.140625" style="362"/>
    <col min="13314" max="13314" width="28.7109375" style="362" customWidth="1"/>
    <col min="13315" max="13315" width="42.85546875" style="362" customWidth="1"/>
    <col min="13316" max="13316" width="26.28515625" style="362" customWidth="1"/>
    <col min="13317" max="13317" width="17.42578125" style="362" customWidth="1"/>
    <col min="13318" max="13531" width="9.140625" style="362"/>
    <col min="13532" max="13532" width="28" style="362" customWidth="1"/>
    <col min="13533" max="13533" width="52" style="362" customWidth="1"/>
    <col min="13534" max="13534" width="27.28515625" style="362" customWidth="1"/>
    <col min="13535" max="13535" width="20.5703125" style="362" customWidth="1"/>
    <col min="13536" max="13537" width="9.140625" style="362"/>
    <col min="13538" max="13538" width="11.5703125" style="362" bestFit="1" customWidth="1"/>
    <col min="13539" max="13569" width="9.140625" style="362"/>
    <col min="13570" max="13570" width="28.7109375" style="362" customWidth="1"/>
    <col min="13571" max="13571" width="42.85546875" style="362" customWidth="1"/>
    <col min="13572" max="13572" width="26.28515625" style="362" customWidth="1"/>
    <col min="13573" max="13573" width="17.42578125" style="362" customWidth="1"/>
    <col min="13574" max="13787" width="9.140625" style="362"/>
    <col min="13788" max="13788" width="28" style="362" customWidth="1"/>
    <col min="13789" max="13789" width="52" style="362" customWidth="1"/>
    <col min="13790" max="13790" width="27.28515625" style="362" customWidth="1"/>
    <col min="13791" max="13791" width="20.5703125" style="362" customWidth="1"/>
    <col min="13792" max="13793" width="9.140625" style="362"/>
    <col min="13794" max="13794" width="11.5703125" style="362" bestFit="1" customWidth="1"/>
    <col min="13795" max="13825" width="9.140625" style="362"/>
    <col min="13826" max="13826" width="28.7109375" style="362" customWidth="1"/>
    <col min="13827" max="13827" width="42.85546875" style="362" customWidth="1"/>
    <col min="13828" max="13828" width="26.28515625" style="362" customWidth="1"/>
    <col min="13829" max="13829" width="17.42578125" style="362" customWidth="1"/>
    <col min="13830" max="14043" width="9.140625" style="362"/>
    <col min="14044" max="14044" width="28" style="362" customWidth="1"/>
    <col min="14045" max="14045" width="52" style="362" customWidth="1"/>
    <col min="14046" max="14046" width="27.28515625" style="362" customWidth="1"/>
    <col min="14047" max="14047" width="20.5703125" style="362" customWidth="1"/>
    <col min="14048" max="14049" width="9.140625" style="362"/>
    <col min="14050" max="14050" width="11.5703125" style="362" bestFit="1" customWidth="1"/>
    <col min="14051" max="14081" width="9.140625" style="362"/>
    <col min="14082" max="14082" width="28.7109375" style="362" customWidth="1"/>
    <col min="14083" max="14083" width="42.85546875" style="362" customWidth="1"/>
    <col min="14084" max="14084" width="26.28515625" style="362" customWidth="1"/>
    <col min="14085" max="14085" width="17.42578125" style="362" customWidth="1"/>
    <col min="14086" max="14299" width="9.140625" style="362"/>
    <col min="14300" max="14300" width="28" style="362" customWidth="1"/>
    <col min="14301" max="14301" width="52" style="362" customWidth="1"/>
    <col min="14302" max="14302" width="27.28515625" style="362" customWidth="1"/>
    <col min="14303" max="14303" width="20.5703125" style="362" customWidth="1"/>
    <col min="14304" max="14305" width="9.140625" style="362"/>
    <col min="14306" max="14306" width="11.5703125" style="362" bestFit="1" customWidth="1"/>
    <col min="14307" max="14337" width="9.140625" style="362"/>
    <col min="14338" max="14338" width="28.7109375" style="362" customWidth="1"/>
    <col min="14339" max="14339" width="42.85546875" style="362" customWidth="1"/>
    <col min="14340" max="14340" width="26.28515625" style="362" customWidth="1"/>
    <col min="14341" max="14341" width="17.42578125" style="362" customWidth="1"/>
    <col min="14342" max="14555" width="9.140625" style="362"/>
    <col min="14556" max="14556" width="28" style="362" customWidth="1"/>
    <col min="14557" max="14557" width="52" style="362" customWidth="1"/>
    <col min="14558" max="14558" width="27.28515625" style="362" customWidth="1"/>
    <col min="14559" max="14559" width="20.5703125" style="362" customWidth="1"/>
    <col min="14560" max="14561" width="9.140625" style="362"/>
    <col min="14562" max="14562" width="11.5703125" style="362" bestFit="1" customWidth="1"/>
    <col min="14563" max="14593" width="9.140625" style="362"/>
    <col min="14594" max="14594" width="28.7109375" style="362" customWidth="1"/>
    <col min="14595" max="14595" width="42.85546875" style="362" customWidth="1"/>
    <col min="14596" max="14596" width="26.28515625" style="362" customWidth="1"/>
    <col min="14597" max="14597" width="17.42578125" style="362" customWidth="1"/>
    <col min="14598" max="14811" width="9.140625" style="362"/>
    <col min="14812" max="14812" width="28" style="362" customWidth="1"/>
    <col min="14813" max="14813" width="52" style="362" customWidth="1"/>
    <col min="14814" max="14814" width="27.28515625" style="362" customWidth="1"/>
    <col min="14815" max="14815" width="20.5703125" style="362" customWidth="1"/>
    <col min="14816" max="14817" width="9.140625" style="362"/>
    <col min="14818" max="14818" width="11.5703125" style="362" bestFit="1" customWidth="1"/>
    <col min="14819" max="14849" width="9.140625" style="362"/>
    <col min="14850" max="14850" width="28.7109375" style="362" customWidth="1"/>
    <col min="14851" max="14851" width="42.85546875" style="362" customWidth="1"/>
    <col min="14852" max="14852" width="26.28515625" style="362" customWidth="1"/>
    <col min="14853" max="14853" width="17.42578125" style="362" customWidth="1"/>
    <col min="14854" max="15067" width="9.140625" style="362"/>
    <col min="15068" max="15068" width="28" style="362" customWidth="1"/>
    <col min="15069" max="15069" width="52" style="362" customWidth="1"/>
    <col min="15070" max="15070" width="27.28515625" style="362" customWidth="1"/>
    <col min="15071" max="15071" width="20.5703125" style="362" customWidth="1"/>
    <col min="15072" max="15073" width="9.140625" style="362"/>
    <col min="15074" max="15074" width="11.5703125" style="362" bestFit="1" customWidth="1"/>
    <col min="15075" max="15105" width="9.140625" style="362"/>
    <col min="15106" max="15106" width="28.7109375" style="362" customWidth="1"/>
    <col min="15107" max="15107" width="42.85546875" style="362" customWidth="1"/>
    <col min="15108" max="15108" width="26.28515625" style="362" customWidth="1"/>
    <col min="15109" max="15109" width="17.42578125" style="362" customWidth="1"/>
    <col min="15110" max="15323" width="9.140625" style="362"/>
    <col min="15324" max="15324" width="28" style="362" customWidth="1"/>
    <col min="15325" max="15325" width="52" style="362" customWidth="1"/>
    <col min="15326" max="15326" width="27.28515625" style="362" customWidth="1"/>
    <col min="15327" max="15327" width="20.5703125" style="362" customWidth="1"/>
    <col min="15328" max="15329" width="9.140625" style="362"/>
    <col min="15330" max="15330" width="11.5703125" style="362" bestFit="1" customWidth="1"/>
    <col min="15331" max="15361" width="9.140625" style="362"/>
    <col min="15362" max="15362" width="28.7109375" style="362" customWidth="1"/>
    <col min="15363" max="15363" width="42.85546875" style="362" customWidth="1"/>
    <col min="15364" max="15364" width="26.28515625" style="362" customWidth="1"/>
    <col min="15365" max="15365" width="17.42578125" style="362" customWidth="1"/>
    <col min="15366" max="15579" width="9.140625" style="362"/>
    <col min="15580" max="15580" width="28" style="362" customWidth="1"/>
    <col min="15581" max="15581" width="52" style="362" customWidth="1"/>
    <col min="15582" max="15582" width="27.28515625" style="362" customWidth="1"/>
    <col min="15583" max="15583" width="20.5703125" style="362" customWidth="1"/>
    <col min="15584" max="15585" width="9.140625" style="362"/>
    <col min="15586" max="15586" width="11.5703125" style="362" bestFit="1" customWidth="1"/>
    <col min="15587" max="15617" width="9.140625" style="362"/>
    <col min="15618" max="15618" width="28.7109375" style="362" customWidth="1"/>
    <col min="15619" max="15619" width="42.85546875" style="362" customWidth="1"/>
    <col min="15620" max="15620" width="26.28515625" style="362" customWidth="1"/>
    <col min="15621" max="15621" width="17.42578125" style="362" customWidth="1"/>
    <col min="15622" max="15835" width="9.140625" style="362"/>
    <col min="15836" max="15836" width="28" style="362" customWidth="1"/>
    <col min="15837" max="15837" width="52" style="362" customWidth="1"/>
    <col min="15838" max="15838" width="27.28515625" style="362" customWidth="1"/>
    <col min="15839" max="15839" width="20.5703125" style="362" customWidth="1"/>
    <col min="15840" max="15841" width="9.140625" style="362"/>
    <col min="15842" max="15842" width="11.5703125" style="362" bestFit="1" customWidth="1"/>
    <col min="15843" max="15873" width="9.140625" style="362"/>
    <col min="15874" max="15874" width="28.7109375" style="362" customWidth="1"/>
    <col min="15875" max="15875" width="42.85546875" style="362" customWidth="1"/>
    <col min="15876" max="15876" width="26.28515625" style="362" customWidth="1"/>
    <col min="15877" max="15877" width="17.42578125" style="362" customWidth="1"/>
    <col min="15878" max="16091" width="9.140625" style="362"/>
    <col min="16092" max="16092" width="28" style="362" customWidth="1"/>
    <col min="16093" max="16093" width="52" style="362" customWidth="1"/>
    <col min="16094" max="16094" width="27.28515625" style="362" customWidth="1"/>
    <col min="16095" max="16095" width="20.5703125" style="362" customWidth="1"/>
    <col min="16096" max="16097" width="9.140625" style="362"/>
    <col min="16098" max="16098" width="11.5703125" style="362" bestFit="1" customWidth="1"/>
    <col min="16099" max="16129" width="9.140625" style="362"/>
    <col min="16130" max="16130" width="28.7109375" style="362" customWidth="1"/>
    <col min="16131" max="16131" width="42.85546875" style="362" customWidth="1"/>
    <col min="16132" max="16132" width="26.28515625" style="362" customWidth="1"/>
    <col min="16133" max="16133" width="17.42578125" style="362" customWidth="1"/>
    <col min="16134" max="16347" width="9.140625" style="362"/>
    <col min="16348" max="16348" width="28" style="362" customWidth="1"/>
    <col min="16349" max="16349" width="52" style="362" customWidth="1"/>
    <col min="16350" max="16350" width="27.28515625" style="362" customWidth="1"/>
    <col min="16351" max="16351" width="20.5703125" style="362" customWidth="1"/>
    <col min="16352" max="16353" width="9.140625" style="362"/>
    <col min="16354" max="16354" width="11.5703125" style="362" bestFit="1" customWidth="1"/>
    <col min="16355" max="16384" width="9.140625" style="362"/>
  </cols>
  <sheetData>
    <row r="1" spans="1:256" x14ac:dyDescent="0.2">
      <c r="A1" s="365"/>
      <c r="B1" s="366"/>
      <c r="C1" s="367"/>
      <c r="D1" s="368"/>
      <c r="E1" s="414" t="s">
        <v>1310</v>
      </c>
      <c r="F1" s="368"/>
      <c r="G1" s="370"/>
      <c r="H1" s="368"/>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c r="BJ1" s="371"/>
      <c r="BK1" s="371"/>
      <c r="BL1" s="371"/>
      <c r="BM1" s="371"/>
      <c r="BN1" s="371"/>
      <c r="BO1" s="371"/>
      <c r="BP1" s="371"/>
      <c r="BQ1" s="371"/>
      <c r="BR1" s="371"/>
      <c r="BS1" s="371"/>
      <c r="BT1" s="371"/>
      <c r="BU1" s="371"/>
      <c r="BV1" s="371"/>
      <c r="BW1" s="371"/>
      <c r="BX1" s="371"/>
      <c r="BY1" s="371"/>
      <c r="BZ1" s="371"/>
      <c r="CA1" s="371"/>
      <c r="CB1" s="371"/>
      <c r="CC1" s="371"/>
      <c r="CD1" s="371"/>
      <c r="CE1" s="371"/>
      <c r="CF1" s="371"/>
      <c r="CG1" s="371"/>
      <c r="CH1" s="371"/>
      <c r="CI1" s="371"/>
      <c r="CJ1" s="371"/>
      <c r="CK1" s="371"/>
      <c r="CL1" s="371"/>
      <c r="CM1" s="371"/>
      <c r="CN1" s="371"/>
      <c r="CO1" s="371"/>
      <c r="CP1" s="371"/>
      <c r="CQ1" s="371"/>
      <c r="CR1" s="371"/>
      <c r="CS1" s="371"/>
      <c r="CT1" s="371"/>
      <c r="CU1" s="371"/>
      <c r="CV1" s="371"/>
      <c r="CW1" s="371"/>
      <c r="CX1" s="371"/>
      <c r="CY1" s="371"/>
      <c r="CZ1" s="371"/>
      <c r="DA1" s="371"/>
      <c r="DB1" s="371"/>
      <c r="DC1" s="371"/>
      <c r="DD1" s="371"/>
      <c r="DE1" s="371"/>
      <c r="DF1" s="371"/>
      <c r="DG1" s="371"/>
      <c r="DH1" s="371"/>
      <c r="DI1" s="371"/>
      <c r="DJ1" s="371"/>
      <c r="DK1" s="371"/>
      <c r="DL1" s="371"/>
      <c r="DM1" s="371"/>
      <c r="DN1" s="371"/>
      <c r="DO1" s="371"/>
      <c r="DP1" s="371"/>
      <c r="DQ1" s="371"/>
      <c r="DR1" s="371"/>
      <c r="DS1" s="371"/>
      <c r="DT1" s="371"/>
      <c r="DU1" s="371"/>
      <c r="DV1" s="371"/>
      <c r="DW1" s="371"/>
      <c r="DX1" s="371"/>
      <c r="DY1" s="371"/>
      <c r="DZ1" s="371"/>
      <c r="EA1" s="371"/>
      <c r="EB1" s="371"/>
      <c r="EC1" s="371"/>
      <c r="ED1" s="371"/>
      <c r="EE1" s="371"/>
      <c r="EF1" s="371"/>
      <c r="EG1" s="371"/>
      <c r="EH1" s="371"/>
      <c r="EI1" s="371"/>
      <c r="EJ1" s="371"/>
      <c r="EK1" s="371"/>
      <c r="EL1" s="371"/>
      <c r="EM1" s="371"/>
      <c r="EN1" s="371"/>
      <c r="EO1" s="371"/>
      <c r="EP1" s="371"/>
      <c r="EQ1" s="371"/>
      <c r="ER1" s="371"/>
      <c r="ES1" s="371"/>
      <c r="ET1" s="371"/>
      <c r="EU1" s="371"/>
      <c r="EV1" s="371"/>
      <c r="EW1" s="371"/>
      <c r="EX1" s="371"/>
      <c r="EY1" s="371"/>
      <c r="EZ1" s="371"/>
      <c r="FA1" s="371"/>
      <c r="FB1" s="371"/>
      <c r="FC1" s="371"/>
      <c r="FD1" s="371"/>
      <c r="FE1" s="371"/>
      <c r="FF1" s="371"/>
      <c r="FG1" s="371"/>
      <c r="FH1" s="371"/>
      <c r="FI1" s="371"/>
      <c r="FJ1" s="371"/>
      <c r="FK1" s="371"/>
      <c r="FL1" s="371"/>
      <c r="FM1" s="371"/>
      <c r="FN1" s="371"/>
      <c r="FO1" s="371"/>
      <c r="FP1" s="371"/>
      <c r="FQ1" s="371"/>
      <c r="FR1" s="371"/>
      <c r="FS1" s="371"/>
      <c r="FT1" s="371"/>
      <c r="FU1" s="371"/>
      <c r="FV1" s="371"/>
      <c r="FW1" s="371"/>
      <c r="FX1" s="371"/>
      <c r="FY1" s="371"/>
      <c r="FZ1" s="371"/>
      <c r="GA1" s="371"/>
      <c r="GB1" s="371"/>
      <c r="GC1" s="371"/>
      <c r="GD1" s="371"/>
      <c r="GE1" s="371"/>
      <c r="GF1" s="371"/>
      <c r="GG1" s="371"/>
      <c r="GH1" s="371"/>
      <c r="GI1" s="371"/>
      <c r="GJ1" s="371"/>
      <c r="GK1" s="371"/>
      <c r="GL1" s="371"/>
      <c r="GM1" s="371"/>
      <c r="GN1" s="371"/>
      <c r="GO1" s="371"/>
      <c r="GP1" s="371"/>
      <c r="GQ1" s="371"/>
      <c r="GR1" s="371"/>
      <c r="GS1" s="371"/>
      <c r="GT1" s="371"/>
      <c r="GU1" s="371"/>
      <c r="GV1" s="371"/>
      <c r="GW1" s="371"/>
      <c r="GX1" s="371"/>
      <c r="GY1" s="371"/>
      <c r="GZ1" s="371"/>
      <c r="HA1" s="371"/>
      <c r="HB1" s="371"/>
      <c r="HC1" s="371"/>
      <c r="HD1" s="371"/>
      <c r="HE1" s="371"/>
      <c r="HF1" s="371"/>
      <c r="HG1" s="371"/>
      <c r="HH1" s="371"/>
      <c r="HI1" s="371"/>
      <c r="HJ1" s="371"/>
      <c r="HK1" s="371"/>
      <c r="HL1" s="371"/>
      <c r="HM1" s="371"/>
      <c r="HN1" s="371"/>
      <c r="HO1" s="371"/>
      <c r="HP1" s="371"/>
      <c r="HQ1" s="371"/>
      <c r="HR1" s="371"/>
      <c r="HS1" s="371"/>
      <c r="HT1" s="371"/>
      <c r="HU1" s="371"/>
      <c r="HV1" s="371"/>
      <c r="HW1" s="371"/>
      <c r="HX1" s="371"/>
      <c r="HY1" s="371"/>
      <c r="HZ1" s="371"/>
      <c r="IA1" s="371"/>
      <c r="IB1" s="371"/>
      <c r="IC1" s="371"/>
      <c r="ID1" s="371"/>
      <c r="IE1" s="371"/>
      <c r="IF1" s="371"/>
      <c r="IG1" s="371"/>
      <c r="IH1" s="371"/>
      <c r="II1" s="371"/>
      <c r="IJ1" s="371"/>
      <c r="IK1" s="371"/>
      <c r="IL1" s="371"/>
      <c r="IM1" s="371"/>
      <c r="IN1" s="371"/>
      <c r="IO1" s="371"/>
      <c r="IP1" s="371"/>
      <c r="IQ1" s="371"/>
      <c r="IR1" s="371"/>
      <c r="IS1" s="371"/>
      <c r="IT1" s="371"/>
      <c r="IU1" s="371"/>
      <c r="IV1" s="371"/>
    </row>
    <row r="2" spans="1:256" x14ac:dyDescent="0.2">
      <c r="A2" s="365"/>
      <c r="B2" s="368"/>
      <c r="D2" s="368"/>
      <c r="E2" s="368"/>
      <c r="F2" s="368"/>
      <c r="G2" s="370"/>
      <c r="H2" s="368"/>
      <c r="I2" s="370"/>
      <c r="J2" s="371"/>
      <c r="K2" s="371"/>
      <c r="L2" s="371"/>
      <c r="M2" s="371"/>
      <c r="N2" s="371"/>
      <c r="O2" s="371"/>
      <c r="P2" s="371"/>
      <c r="Q2" s="371"/>
      <c r="R2" s="371"/>
      <c r="S2" s="371"/>
      <c r="T2" s="371"/>
      <c r="U2" s="371"/>
      <c r="V2" s="371"/>
      <c r="W2" s="371"/>
      <c r="X2" s="371"/>
      <c r="Y2" s="371"/>
      <c r="Z2" s="371"/>
      <c r="AA2" s="371"/>
      <c r="AB2" s="371"/>
      <c r="AC2" s="371"/>
      <c r="AD2" s="371"/>
      <c r="AE2" s="371"/>
      <c r="AF2" s="371"/>
      <c r="AG2" s="371"/>
      <c r="AH2" s="371"/>
      <c r="AI2" s="371"/>
      <c r="AJ2" s="371"/>
      <c r="AK2" s="371"/>
      <c r="AL2" s="371"/>
      <c r="AM2" s="371"/>
      <c r="AN2" s="371"/>
      <c r="AO2" s="371"/>
      <c r="AP2" s="371"/>
      <c r="AQ2" s="371"/>
      <c r="AR2" s="371"/>
      <c r="AS2" s="371"/>
      <c r="AT2" s="371"/>
      <c r="AU2" s="371"/>
      <c r="AV2" s="371"/>
      <c r="AW2" s="371"/>
      <c r="AX2" s="371"/>
      <c r="AY2" s="371"/>
      <c r="AZ2" s="371"/>
      <c r="BA2" s="371"/>
      <c r="BB2" s="371"/>
      <c r="BC2" s="371"/>
      <c r="BD2" s="371"/>
      <c r="BE2" s="371"/>
      <c r="BF2" s="371"/>
      <c r="BG2" s="371"/>
      <c r="BH2" s="371"/>
      <c r="BI2" s="371"/>
      <c r="BJ2" s="371"/>
      <c r="BK2" s="371"/>
      <c r="BL2" s="371"/>
      <c r="BM2" s="371"/>
      <c r="BN2" s="371"/>
      <c r="BO2" s="371"/>
      <c r="BP2" s="371"/>
      <c r="BQ2" s="371"/>
      <c r="BR2" s="371"/>
      <c r="BS2" s="371"/>
      <c r="BT2" s="371"/>
      <c r="BU2" s="371"/>
      <c r="BV2" s="371"/>
      <c r="BW2" s="371"/>
      <c r="BX2" s="371"/>
      <c r="BY2" s="371"/>
      <c r="BZ2" s="371"/>
      <c r="CA2" s="371"/>
      <c r="CB2" s="371"/>
      <c r="CC2" s="371"/>
      <c r="CD2" s="371"/>
      <c r="CE2" s="371"/>
      <c r="CF2" s="371"/>
      <c r="CG2" s="371"/>
      <c r="CH2" s="371"/>
      <c r="CI2" s="371"/>
      <c r="CJ2" s="371"/>
      <c r="CK2" s="371"/>
      <c r="CL2" s="371"/>
      <c r="CM2" s="371"/>
      <c r="CN2" s="371"/>
      <c r="CO2" s="371"/>
      <c r="CP2" s="371"/>
      <c r="CQ2" s="371"/>
      <c r="CR2" s="371"/>
      <c r="CS2" s="371"/>
      <c r="CT2" s="371"/>
      <c r="CU2" s="371"/>
      <c r="CV2" s="371"/>
      <c r="CW2" s="371"/>
      <c r="CX2" s="371"/>
      <c r="CY2" s="371"/>
      <c r="CZ2" s="371"/>
      <c r="DA2" s="371"/>
      <c r="DB2" s="371"/>
      <c r="DC2" s="371"/>
      <c r="DD2" s="371"/>
      <c r="DE2" s="371"/>
      <c r="DF2" s="371"/>
      <c r="DG2" s="371"/>
      <c r="DH2" s="371"/>
      <c r="DI2" s="371"/>
      <c r="DJ2" s="371"/>
      <c r="DK2" s="371"/>
      <c r="DL2" s="371"/>
      <c r="DM2" s="371"/>
      <c r="DN2" s="371"/>
      <c r="DO2" s="371"/>
      <c r="DP2" s="371"/>
      <c r="DQ2" s="371"/>
      <c r="DR2" s="371"/>
      <c r="DS2" s="371"/>
      <c r="DT2" s="371"/>
      <c r="DU2" s="371"/>
      <c r="DV2" s="371"/>
      <c r="DW2" s="371"/>
      <c r="DX2" s="371"/>
      <c r="DY2" s="371"/>
      <c r="DZ2" s="371"/>
      <c r="EA2" s="371"/>
      <c r="EB2" s="371"/>
      <c r="EC2" s="371"/>
      <c r="ED2" s="371"/>
      <c r="EE2" s="371"/>
      <c r="EF2" s="371"/>
      <c r="EG2" s="371"/>
      <c r="EH2" s="371"/>
      <c r="EI2" s="371"/>
      <c r="EJ2" s="371"/>
      <c r="EK2" s="371"/>
      <c r="EL2" s="371"/>
      <c r="EM2" s="371"/>
      <c r="EN2" s="371"/>
      <c r="EO2" s="371"/>
      <c r="EP2" s="371"/>
      <c r="EQ2" s="371"/>
      <c r="ER2" s="371"/>
      <c r="ES2" s="371"/>
      <c r="ET2" s="371"/>
      <c r="EU2" s="371"/>
      <c r="EV2" s="371"/>
      <c r="EW2" s="371"/>
      <c r="EX2" s="371"/>
      <c r="EY2" s="371"/>
      <c r="EZ2" s="371"/>
      <c r="FA2" s="371"/>
      <c r="FB2" s="371"/>
      <c r="FC2" s="371"/>
      <c r="FD2" s="371"/>
      <c r="FE2" s="371"/>
      <c r="FF2" s="371"/>
      <c r="FG2" s="371"/>
      <c r="FH2" s="371"/>
      <c r="FI2" s="371"/>
      <c r="FJ2" s="371"/>
      <c r="FK2" s="371"/>
      <c r="FL2" s="371"/>
      <c r="FM2" s="371"/>
      <c r="FN2" s="371"/>
      <c r="FO2" s="371"/>
      <c r="FP2" s="371"/>
      <c r="FQ2" s="371"/>
      <c r="FR2" s="371"/>
      <c r="FS2" s="371"/>
      <c r="FT2" s="371"/>
      <c r="FU2" s="371"/>
      <c r="FV2" s="371"/>
      <c r="FW2" s="371"/>
      <c r="FX2" s="371"/>
      <c r="FY2" s="371"/>
      <c r="FZ2" s="371"/>
      <c r="GA2" s="371"/>
      <c r="GB2" s="371"/>
      <c r="GC2" s="371"/>
      <c r="GD2" s="371"/>
      <c r="GE2" s="371"/>
      <c r="GF2" s="371"/>
      <c r="GG2" s="371"/>
      <c r="GH2" s="371"/>
      <c r="GI2" s="371"/>
      <c r="GJ2" s="371"/>
      <c r="GK2" s="371"/>
      <c r="GL2" s="371"/>
      <c r="GM2" s="371"/>
      <c r="GN2" s="371"/>
      <c r="GO2" s="371"/>
      <c r="GP2" s="371"/>
      <c r="GQ2" s="371"/>
      <c r="GR2" s="371"/>
      <c r="GS2" s="371"/>
      <c r="GT2" s="371"/>
      <c r="GU2" s="371"/>
      <c r="GV2" s="371"/>
      <c r="GW2" s="371"/>
      <c r="GX2" s="371"/>
      <c r="GY2" s="371"/>
      <c r="GZ2" s="371"/>
      <c r="HA2" s="371"/>
      <c r="HB2" s="371"/>
      <c r="HC2" s="371"/>
      <c r="HD2" s="371"/>
      <c r="HE2" s="371"/>
      <c r="HF2" s="371"/>
      <c r="HG2" s="371"/>
      <c r="HH2" s="371"/>
      <c r="HI2" s="371"/>
      <c r="HJ2" s="371"/>
      <c r="HK2" s="371"/>
      <c r="HL2" s="371"/>
      <c r="HM2" s="371"/>
      <c r="HN2" s="371"/>
      <c r="HO2" s="371"/>
      <c r="HP2" s="371"/>
      <c r="HQ2" s="371"/>
      <c r="HR2" s="371"/>
      <c r="HS2" s="371"/>
      <c r="HT2" s="371"/>
      <c r="HU2" s="371"/>
      <c r="HV2" s="371"/>
      <c r="HW2" s="371"/>
      <c r="HX2" s="371"/>
      <c r="HY2" s="371"/>
      <c r="HZ2" s="371"/>
      <c r="IA2" s="371"/>
      <c r="IB2" s="371"/>
      <c r="IC2" s="371"/>
      <c r="ID2" s="371"/>
      <c r="IE2" s="371"/>
      <c r="IF2" s="371"/>
      <c r="IG2" s="371"/>
      <c r="IH2" s="371"/>
      <c r="II2" s="371"/>
      <c r="IJ2" s="371"/>
      <c r="IK2" s="371"/>
      <c r="IL2" s="371"/>
      <c r="IM2" s="371"/>
      <c r="IN2" s="371"/>
      <c r="IO2" s="371"/>
      <c r="IP2" s="371"/>
      <c r="IQ2" s="371"/>
      <c r="IR2" s="371"/>
      <c r="IS2" s="371"/>
      <c r="IT2" s="371"/>
      <c r="IU2" s="371"/>
      <c r="IV2" s="371"/>
    </row>
    <row r="3" spans="1:256" x14ac:dyDescent="0.2">
      <c r="A3" s="793" t="s">
        <v>1404</v>
      </c>
      <c r="B3" s="793"/>
      <c r="C3" s="793"/>
      <c r="D3" s="793"/>
      <c r="E3" s="793"/>
      <c r="F3" s="373"/>
      <c r="G3" s="373"/>
      <c r="H3" s="373"/>
      <c r="I3" s="373"/>
      <c r="J3" s="371"/>
      <c r="K3" s="371"/>
      <c r="L3" s="371"/>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O3" s="371"/>
      <c r="AP3" s="371"/>
      <c r="AQ3" s="371"/>
      <c r="AR3" s="371"/>
      <c r="AS3" s="371"/>
      <c r="AT3" s="371"/>
      <c r="AU3" s="371"/>
      <c r="AV3" s="371"/>
      <c r="AW3" s="371"/>
      <c r="AX3" s="371"/>
      <c r="AY3" s="371"/>
      <c r="AZ3" s="371"/>
      <c r="BA3" s="371"/>
      <c r="BB3" s="371"/>
      <c r="BC3" s="371"/>
      <c r="BD3" s="371"/>
      <c r="BE3" s="371"/>
      <c r="BF3" s="371"/>
      <c r="BG3" s="371"/>
      <c r="BH3" s="371"/>
      <c r="BI3" s="371"/>
      <c r="BJ3" s="371"/>
      <c r="BK3" s="371"/>
      <c r="BL3" s="371"/>
      <c r="BM3" s="371"/>
      <c r="BN3" s="371"/>
      <c r="BO3" s="371"/>
      <c r="BP3" s="371"/>
      <c r="BQ3" s="371"/>
      <c r="BR3" s="371"/>
      <c r="BS3" s="371"/>
      <c r="BT3" s="371"/>
      <c r="BU3" s="371"/>
      <c r="BV3" s="371"/>
      <c r="BW3" s="371"/>
      <c r="BX3" s="371"/>
      <c r="BY3" s="371"/>
      <c r="BZ3" s="371"/>
      <c r="CA3" s="371"/>
      <c r="CB3" s="371"/>
      <c r="CC3" s="371"/>
      <c r="CD3" s="371"/>
      <c r="CE3" s="371"/>
      <c r="CF3" s="371"/>
      <c r="CG3" s="371"/>
      <c r="CH3" s="371"/>
      <c r="CI3" s="371"/>
      <c r="CJ3" s="371"/>
      <c r="CK3" s="371"/>
      <c r="CL3" s="371"/>
      <c r="CM3" s="371"/>
      <c r="CN3" s="371"/>
      <c r="CO3" s="371"/>
      <c r="CP3" s="371"/>
      <c r="CQ3" s="371"/>
      <c r="CR3" s="371"/>
      <c r="CS3" s="371"/>
      <c r="CT3" s="371"/>
      <c r="CU3" s="371"/>
      <c r="CV3" s="371"/>
      <c r="CW3" s="371"/>
      <c r="CX3" s="371"/>
      <c r="CY3" s="371"/>
      <c r="CZ3" s="371"/>
      <c r="DA3" s="371"/>
      <c r="DB3" s="371"/>
      <c r="DC3" s="371"/>
      <c r="DD3" s="371"/>
      <c r="DE3" s="371"/>
      <c r="DF3" s="371"/>
      <c r="DG3" s="371"/>
      <c r="DH3" s="371"/>
      <c r="DI3" s="371"/>
      <c r="DJ3" s="371"/>
      <c r="DK3" s="371"/>
      <c r="DL3" s="371"/>
      <c r="DM3" s="371"/>
      <c r="DN3" s="371"/>
      <c r="DO3" s="371"/>
      <c r="DP3" s="371"/>
      <c r="DQ3" s="371"/>
      <c r="DR3" s="371"/>
      <c r="DS3" s="371"/>
      <c r="DT3" s="371"/>
      <c r="DU3" s="371"/>
      <c r="DV3" s="371"/>
      <c r="DW3" s="371"/>
      <c r="DX3" s="371"/>
      <c r="DY3" s="371"/>
      <c r="DZ3" s="371"/>
      <c r="EA3" s="371"/>
      <c r="EB3" s="371"/>
      <c r="EC3" s="371"/>
      <c r="ED3" s="371"/>
      <c r="EE3" s="371"/>
      <c r="EF3" s="371"/>
      <c r="EG3" s="371"/>
      <c r="EH3" s="371"/>
      <c r="EI3" s="371"/>
      <c r="EJ3" s="371"/>
      <c r="EK3" s="371"/>
      <c r="EL3" s="371"/>
      <c r="EM3" s="371"/>
      <c r="EN3" s="371"/>
      <c r="EO3" s="371"/>
      <c r="EP3" s="371"/>
      <c r="EQ3" s="371"/>
      <c r="ER3" s="371"/>
      <c r="ES3" s="371"/>
      <c r="ET3" s="371"/>
      <c r="EU3" s="371"/>
      <c r="EV3" s="371"/>
      <c r="EW3" s="371"/>
      <c r="EX3" s="371"/>
      <c r="EY3" s="371"/>
      <c r="EZ3" s="371"/>
      <c r="FA3" s="371"/>
      <c r="FB3" s="371"/>
      <c r="FC3" s="371"/>
      <c r="FD3" s="371"/>
      <c r="FE3" s="371"/>
      <c r="FF3" s="371"/>
      <c r="FG3" s="371"/>
      <c r="FH3" s="371"/>
      <c r="FI3" s="371"/>
      <c r="FJ3" s="371"/>
      <c r="FK3" s="371"/>
      <c r="FL3" s="371"/>
      <c r="FM3" s="371"/>
      <c r="FN3" s="371"/>
      <c r="FO3" s="371"/>
      <c r="FP3" s="371"/>
      <c r="FQ3" s="371"/>
      <c r="FR3" s="371"/>
      <c r="FS3" s="371"/>
      <c r="FT3" s="371"/>
      <c r="FU3" s="371"/>
      <c r="FV3" s="371"/>
      <c r="FW3" s="371"/>
      <c r="FX3" s="371"/>
      <c r="FY3" s="371"/>
      <c r="FZ3" s="371"/>
      <c r="GA3" s="371"/>
      <c r="GB3" s="371"/>
      <c r="GC3" s="371"/>
      <c r="GD3" s="371"/>
      <c r="GE3" s="371"/>
      <c r="GF3" s="371"/>
      <c r="GG3" s="371"/>
      <c r="GH3" s="371"/>
      <c r="GI3" s="371"/>
      <c r="GJ3" s="371"/>
      <c r="GK3" s="371"/>
      <c r="GL3" s="371"/>
      <c r="GM3" s="371"/>
      <c r="GN3" s="371"/>
      <c r="GO3" s="371"/>
      <c r="GP3" s="371"/>
      <c r="GQ3" s="371"/>
      <c r="GR3" s="371"/>
      <c r="GS3" s="371"/>
      <c r="GT3" s="371"/>
      <c r="GU3" s="371"/>
      <c r="GV3" s="371"/>
      <c r="GW3" s="371"/>
      <c r="GX3" s="371"/>
      <c r="GY3" s="371"/>
      <c r="GZ3" s="371"/>
      <c r="HA3" s="371"/>
      <c r="HB3" s="371"/>
      <c r="HC3" s="371"/>
      <c r="HD3" s="371"/>
      <c r="HE3" s="371"/>
      <c r="HF3" s="371"/>
      <c r="HG3" s="371"/>
      <c r="HH3" s="371"/>
      <c r="HI3" s="371"/>
      <c r="HJ3" s="371"/>
      <c r="HK3" s="371"/>
      <c r="HL3" s="371"/>
      <c r="HM3" s="371"/>
      <c r="HN3" s="371"/>
      <c r="HO3" s="371"/>
      <c r="HP3" s="371"/>
      <c r="HQ3" s="371"/>
      <c r="HR3" s="371"/>
      <c r="HS3" s="371"/>
      <c r="HT3" s="371"/>
      <c r="HU3" s="371"/>
      <c r="HV3" s="371"/>
      <c r="HW3" s="371"/>
      <c r="HX3" s="371"/>
      <c r="HY3" s="371"/>
      <c r="HZ3" s="371"/>
      <c r="IA3" s="371"/>
      <c r="IB3" s="371"/>
      <c r="IC3" s="371"/>
      <c r="ID3" s="371"/>
      <c r="IE3" s="371"/>
      <c r="IF3" s="371"/>
      <c r="IG3" s="371"/>
      <c r="IH3" s="371"/>
      <c r="II3" s="371"/>
      <c r="IJ3" s="371"/>
      <c r="IK3" s="371"/>
      <c r="IL3" s="371"/>
      <c r="IM3" s="371"/>
      <c r="IN3" s="371"/>
      <c r="IO3" s="371"/>
      <c r="IP3" s="371"/>
      <c r="IQ3" s="371"/>
      <c r="IR3" s="371"/>
      <c r="IS3" s="371"/>
      <c r="IT3" s="371"/>
      <c r="IU3" s="371"/>
      <c r="IV3" s="371"/>
    </row>
    <row r="4" spans="1:256" x14ac:dyDescent="0.2">
      <c r="A4" s="794" t="s">
        <v>1312</v>
      </c>
      <c r="B4" s="794"/>
      <c r="C4" s="794"/>
      <c r="D4" s="794"/>
      <c r="E4" s="794"/>
      <c r="F4" s="374"/>
      <c r="G4" s="374"/>
      <c r="H4" s="374"/>
      <c r="I4" s="374"/>
      <c r="J4" s="371"/>
      <c r="K4" s="371"/>
      <c r="L4" s="371"/>
      <c r="M4" s="371"/>
      <c r="N4" s="371"/>
      <c r="O4" s="371"/>
      <c r="P4" s="371"/>
      <c r="Q4" s="371"/>
      <c r="R4" s="371"/>
      <c r="S4" s="371"/>
      <c r="T4" s="371"/>
      <c r="U4" s="371"/>
      <c r="V4" s="371"/>
      <c r="W4" s="371"/>
      <c r="X4" s="371"/>
      <c r="Y4" s="371"/>
      <c r="Z4" s="371"/>
      <c r="AA4" s="371"/>
      <c r="AB4" s="371"/>
      <c r="AC4" s="371"/>
      <c r="AD4" s="371"/>
      <c r="AE4" s="371"/>
      <c r="AF4" s="371"/>
      <c r="AG4" s="371"/>
      <c r="AH4" s="371"/>
      <c r="AI4" s="371"/>
      <c r="AJ4" s="371"/>
      <c r="AK4" s="371"/>
      <c r="AL4" s="371"/>
      <c r="AM4" s="371"/>
      <c r="AN4" s="371"/>
      <c r="AO4" s="371"/>
      <c r="AP4" s="371"/>
      <c r="AQ4" s="371"/>
      <c r="AR4" s="371"/>
      <c r="AS4" s="371"/>
      <c r="AT4" s="371"/>
      <c r="AU4" s="371"/>
      <c r="AV4" s="371"/>
      <c r="AW4" s="371"/>
      <c r="AX4" s="371"/>
      <c r="AY4" s="371"/>
      <c r="AZ4" s="371"/>
      <c r="BA4" s="371"/>
      <c r="BB4" s="371"/>
      <c r="BC4" s="371"/>
      <c r="BD4" s="371"/>
      <c r="BE4" s="371"/>
      <c r="BF4" s="371"/>
      <c r="BG4" s="371"/>
      <c r="BH4" s="371"/>
      <c r="BI4" s="371"/>
      <c r="BJ4" s="371"/>
      <c r="BK4" s="371"/>
      <c r="BL4" s="371"/>
      <c r="BM4" s="371"/>
      <c r="BN4" s="371"/>
      <c r="BO4" s="371"/>
      <c r="BP4" s="371"/>
      <c r="BQ4" s="371"/>
      <c r="BR4" s="371"/>
      <c r="BS4" s="371"/>
      <c r="BT4" s="371"/>
      <c r="BU4" s="371"/>
      <c r="BV4" s="371"/>
      <c r="BW4" s="371"/>
      <c r="BX4" s="371"/>
      <c r="BY4" s="371"/>
      <c r="BZ4" s="371"/>
      <c r="CA4" s="371"/>
      <c r="CB4" s="371"/>
      <c r="CC4" s="371"/>
      <c r="CD4" s="371"/>
      <c r="CE4" s="371"/>
      <c r="CF4" s="371"/>
      <c r="CG4" s="371"/>
      <c r="CH4" s="371"/>
      <c r="CI4" s="371"/>
      <c r="CJ4" s="371"/>
      <c r="CK4" s="371"/>
      <c r="CL4" s="371"/>
      <c r="CM4" s="371"/>
      <c r="CN4" s="371"/>
      <c r="CO4" s="371"/>
      <c r="CP4" s="371"/>
      <c r="CQ4" s="371"/>
      <c r="CR4" s="371"/>
      <c r="CS4" s="371"/>
      <c r="CT4" s="371"/>
      <c r="CU4" s="371"/>
      <c r="CV4" s="371"/>
      <c r="CW4" s="371"/>
      <c r="CX4" s="371"/>
      <c r="CY4" s="371"/>
      <c r="CZ4" s="371"/>
      <c r="DA4" s="371"/>
      <c r="DB4" s="371"/>
      <c r="DC4" s="371"/>
      <c r="DD4" s="371"/>
      <c r="DE4" s="371"/>
      <c r="DF4" s="371"/>
      <c r="DG4" s="371"/>
      <c r="DH4" s="371"/>
      <c r="DI4" s="371"/>
      <c r="DJ4" s="371"/>
      <c r="DK4" s="371"/>
      <c r="DL4" s="371"/>
      <c r="DM4" s="371"/>
      <c r="DN4" s="371"/>
      <c r="DO4" s="371"/>
      <c r="DP4" s="371"/>
      <c r="DQ4" s="371"/>
      <c r="DR4" s="371"/>
      <c r="DS4" s="371"/>
      <c r="DT4" s="371"/>
      <c r="DU4" s="371"/>
      <c r="DV4" s="371"/>
      <c r="DW4" s="371"/>
      <c r="DX4" s="371"/>
      <c r="DY4" s="371"/>
      <c r="DZ4" s="371"/>
      <c r="EA4" s="371"/>
      <c r="EB4" s="371"/>
      <c r="EC4" s="371"/>
      <c r="ED4" s="371"/>
      <c r="EE4" s="371"/>
      <c r="EF4" s="371"/>
      <c r="EG4" s="371"/>
      <c r="EH4" s="371"/>
      <c r="EI4" s="371"/>
      <c r="EJ4" s="371"/>
      <c r="EK4" s="371"/>
      <c r="EL4" s="371"/>
      <c r="EM4" s="371"/>
      <c r="EN4" s="371"/>
      <c r="EO4" s="371"/>
      <c r="EP4" s="371"/>
      <c r="EQ4" s="371"/>
      <c r="ER4" s="371"/>
      <c r="ES4" s="371"/>
      <c r="ET4" s="371"/>
      <c r="EU4" s="371"/>
      <c r="EV4" s="371"/>
      <c r="EW4" s="371"/>
      <c r="EX4" s="371"/>
      <c r="EY4" s="371"/>
      <c r="EZ4" s="371"/>
      <c r="FA4" s="371"/>
      <c r="FB4" s="371"/>
      <c r="FC4" s="371"/>
      <c r="FD4" s="371"/>
      <c r="FE4" s="371"/>
      <c r="FF4" s="371"/>
      <c r="FG4" s="371"/>
      <c r="FH4" s="371"/>
      <c r="FI4" s="371"/>
      <c r="FJ4" s="371"/>
      <c r="FK4" s="371"/>
      <c r="FL4" s="371"/>
      <c r="FM4" s="371"/>
      <c r="FN4" s="371"/>
      <c r="FO4" s="371"/>
      <c r="FP4" s="371"/>
      <c r="FQ4" s="371"/>
      <c r="FR4" s="371"/>
      <c r="FS4" s="371"/>
      <c r="FT4" s="371"/>
      <c r="FU4" s="371"/>
      <c r="FV4" s="371"/>
      <c r="FW4" s="371"/>
      <c r="FX4" s="371"/>
      <c r="FY4" s="371"/>
      <c r="FZ4" s="371"/>
      <c r="GA4" s="371"/>
      <c r="GB4" s="371"/>
      <c r="GC4" s="371"/>
      <c r="GD4" s="371"/>
      <c r="GE4" s="371"/>
      <c r="GF4" s="371"/>
      <c r="GG4" s="371"/>
      <c r="GH4" s="371"/>
      <c r="GI4" s="371"/>
      <c r="GJ4" s="371"/>
      <c r="GK4" s="371"/>
      <c r="GL4" s="371"/>
      <c r="GM4" s="371"/>
      <c r="GN4" s="371"/>
      <c r="GO4" s="371"/>
      <c r="GP4" s="371"/>
      <c r="GQ4" s="371"/>
      <c r="GR4" s="371"/>
      <c r="GS4" s="371"/>
      <c r="GT4" s="371"/>
      <c r="GU4" s="371"/>
      <c r="GV4" s="371"/>
      <c r="GW4" s="371"/>
      <c r="GX4" s="371"/>
      <c r="GY4" s="371"/>
      <c r="GZ4" s="371"/>
      <c r="HA4" s="371"/>
      <c r="HB4" s="371"/>
      <c r="HC4" s="371"/>
      <c r="HD4" s="371"/>
      <c r="HE4" s="371"/>
      <c r="HF4" s="371"/>
      <c r="HG4" s="371"/>
      <c r="HH4" s="371"/>
      <c r="HI4" s="371"/>
      <c r="HJ4" s="371"/>
      <c r="HK4" s="371"/>
      <c r="HL4" s="371"/>
      <c r="HM4" s="371"/>
      <c r="HN4" s="371"/>
      <c r="HO4" s="371"/>
      <c r="HP4" s="371"/>
      <c r="HQ4" s="371"/>
      <c r="HR4" s="371"/>
      <c r="HS4" s="371"/>
      <c r="HT4" s="371"/>
      <c r="HU4" s="371"/>
      <c r="HV4" s="371"/>
      <c r="HW4" s="371"/>
      <c r="HX4" s="371"/>
      <c r="HY4" s="371"/>
      <c r="HZ4" s="371"/>
      <c r="IA4" s="371"/>
      <c r="IB4" s="371"/>
      <c r="IC4" s="371"/>
      <c r="ID4" s="371"/>
      <c r="IE4" s="371"/>
      <c r="IF4" s="371"/>
      <c r="IG4" s="371"/>
      <c r="IH4" s="371"/>
      <c r="II4" s="371"/>
      <c r="IJ4" s="371"/>
      <c r="IK4" s="371"/>
      <c r="IL4" s="371"/>
      <c r="IM4" s="371"/>
      <c r="IN4" s="371"/>
      <c r="IO4" s="371"/>
      <c r="IP4" s="371"/>
      <c r="IQ4" s="371"/>
      <c r="IR4" s="371"/>
      <c r="IS4" s="371"/>
      <c r="IT4" s="371"/>
      <c r="IU4" s="371"/>
      <c r="IV4" s="371"/>
    </row>
    <row r="5" spans="1:256" x14ac:dyDescent="0.2">
      <c r="A5" s="365"/>
      <c r="B5" s="368"/>
      <c r="C5" s="368"/>
      <c r="D5" s="368"/>
      <c r="E5" s="368"/>
      <c r="F5" s="368"/>
      <c r="G5" s="370"/>
      <c r="H5" s="368"/>
      <c r="I5" s="370"/>
      <c r="J5" s="371"/>
      <c r="K5" s="371"/>
      <c r="L5" s="371"/>
      <c r="M5" s="371"/>
      <c r="N5" s="371"/>
      <c r="O5" s="371"/>
      <c r="P5" s="371"/>
      <c r="Q5" s="371"/>
      <c r="R5" s="371"/>
      <c r="S5" s="371"/>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row>
    <row r="6" spans="1:256" ht="25.5" x14ac:dyDescent="0.2">
      <c r="A6" s="365"/>
      <c r="B6" s="375" t="s">
        <v>1313</v>
      </c>
      <c r="C6" s="795" t="str">
        <f>СВОД!B42</f>
        <v>Сети связи и сигнализации</v>
      </c>
      <c r="D6" s="795"/>
      <c r="E6" s="795"/>
      <c r="F6" s="376"/>
      <c r="G6" s="376"/>
      <c r="H6" s="376"/>
      <c r="I6" s="376"/>
      <c r="J6" s="371"/>
      <c r="K6" s="371"/>
      <c r="L6" s="371"/>
      <c r="M6" s="371"/>
      <c r="N6" s="371"/>
      <c r="O6" s="371"/>
      <c r="P6" s="371"/>
      <c r="Q6" s="371"/>
      <c r="R6" s="371"/>
      <c r="S6" s="371"/>
      <c r="T6" s="371"/>
      <c r="U6" s="371"/>
      <c r="V6" s="371"/>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71"/>
      <c r="BF6" s="371"/>
      <c r="BG6" s="371"/>
      <c r="BH6" s="371"/>
      <c r="BI6" s="371"/>
      <c r="BJ6" s="371"/>
      <c r="BK6" s="371"/>
      <c r="BL6" s="371"/>
      <c r="BM6" s="371"/>
      <c r="BN6" s="371"/>
      <c r="BO6" s="371"/>
      <c r="BP6" s="371"/>
      <c r="BQ6" s="371"/>
      <c r="BR6" s="371"/>
      <c r="BS6" s="371"/>
      <c r="BT6" s="371"/>
      <c r="BU6" s="371"/>
      <c r="BV6" s="371"/>
      <c r="BW6" s="371"/>
      <c r="BX6" s="371"/>
      <c r="BY6" s="371"/>
      <c r="BZ6" s="371"/>
      <c r="CA6" s="371"/>
      <c r="CB6" s="371"/>
      <c r="CC6" s="371"/>
      <c r="CD6" s="371"/>
      <c r="CE6" s="371"/>
      <c r="CF6" s="371"/>
      <c r="CG6" s="371"/>
      <c r="CH6" s="371"/>
      <c r="CI6" s="371"/>
      <c r="CJ6" s="371"/>
      <c r="CK6" s="371"/>
      <c r="CL6" s="371"/>
      <c r="CM6" s="371"/>
      <c r="CN6" s="371"/>
      <c r="CO6" s="371"/>
      <c r="CP6" s="371"/>
      <c r="CQ6" s="371"/>
      <c r="CR6" s="371"/>
      <c r="CS6" s="371"/>
      <c r="CT6" s="371"/>
      <c r="CU6" s="371"/>
      <c r="CV6" s="371"/>
      <c r="CW6" s="371"/>
      <c r="CX6" s="371"/>
      <c r="CY6" s="371"/>
      <c r="CZ6" s="371"/>
      <c r="DA6" s="371"/>
      <c r="DB6" s="371"/>
      <c r="DC6" s="371"/>
      <c r="DD6" s="371"/>
      <c r="DE6" s="371"/>
      <c r="DF6" s="371"/>
      <c r="DG6" s="371"/>
      <c r="DH6" s="371"/>
      <c r="DI6" s="371"/>
      <c r="DJ6" s="371"/>
      <c r="DK6" s="371"/>
      <c r="DL6" s="371"/>
      <c r="DM6" s="371"/>
      <c r="DN6" s="371"/>
      <c r="DO6" s="371"/>
      <c r="DP6" s="371"/>
      <c r="DQ6" s="371"/>
      <c r="DR6" s="371"/>
      <c r="DS6" s="371"/>
      <c r="DT6" s="371"/>
      <c r="DU6" s="371"/>
      <c r="DV6" s="371"/>
      <c r="DW6" s="371"/>
      <c r="DX6" s="371"/>
      <c r="DY6" s="371"/>
      <c r="DZ6" s="371"/>
      <c r="EA6" s="371"/>
      <c r="EB6" s="371"/>
      <c r="EC6" s="371"/>
      <c r="ED6" s="371"/>
      <c r="EE6" s="371"/>
      <c r="EF6" s="371"/>
      <c r="EG6" s="371"/>
      <c r="EH6" s="371"/>
      <c r="EI6" s="371"/>
      <c r="EJ6" s="371"/>
      <c r="EK6" s="371"/>
      <c r="EL6" s="371"/>
      <c r="EM6" s="371"/>
      <c r="EN6" s="371"/>
      <c r="EO6" s="371"/>
      <c r="EP6" s="371"/>
      <c r="EQ6" s="371"/>
      <c r="ER6" s="371"/>
      <c r="ES6" s="371"/>
      <c r="ET6" s="371"/>
      <c r="EU6" s="371"/>
      <c r="EV6" s="371"/>
      <c r="EW6" s="371"/>
      <c r="EX6" s="371"/>
      <c r="EY6" s="371"/>
      <c r="EZ6" s="371"/>
      <c r="FA6" s="371"/>
      <c r="FB6" s="371"/>
      <c r="FC6" s="371"/>
      <c r="FD6" s="371"/>
      <c r="FE6" s="371"/>
      <c r="FF6" s="371"/>
      <c r="FG6" s="371"/>
      <c r="FH6" s="371"/>
      <c r="FI6" s="371"/>
      <c r="FJ6" s="371"/>
      <c r="FK6" s="371"/>
      <c r="FL6" s="371"/>
      <c r="FM6" s="371"/>
      <c r="FN6" s="371"/>
      <c r="FO6" s="371"/>
      <c r="FP6" s="371"/>
      <c r="FQ6" s="371"/>
      <c r="FR6" s="371"/>
      <c r="FS6" s="371"/>
      <c r="FT6" s="371"/>
      <c r="FU6" s="371"/>
      <c r="FV6" s="371"/>
      <c r="FW6" s="371"/>
      <c r="FX6" s="371"/>
      <c r="FY6" s="371"/>
      <c r="FZ6" s="371"/>
      <c r="GA6" s="371"/>
      <c r="GB6" s="371"/>
      <c r="GC6" s="371"/>
      <c r="GD6" s="371"/>
      <c r="GE6" s="371"/>
      <c r="GF6" s="371"/>
      <c r="GG6" s="371"/>
      <c r="GH6" s="371"/>
      <c r="GI6" s="371"/>
      <c r="GJ6" s="371"/>
      <c r="GK6" s="371"/>
      <c r="GL6" s="371"/>
      <c r="GM6" s="371"/>
      <c r="GN6" s="371"/>
      <c r="GO6" s="371"/>
      <c r="GP6" s="371"/>
      <c r="GQ6" s="371"/>
      <c r="GR6" s="371"/>
      <c r="GS6" s="371"/>
      <c r="GT6" s="371"/>
      <c r="GU6" s="371"/>
      <c r="GV6" s="371"/>
      <c r="GW6" s="371"/>
      <c r="GX6" s="371"/>
      <c r="GY6" s="371"/>
      <c r="GZ6" s="371"/>
      <c r="HA6" s="371"/>
      <c r="HB6" s="371"/>
      <c r="HC6" s="371"/>
      <c r="HD6" s="371"/>
      <c r="HE6" s="371"/>
      <c r="HF6" s="371"/>
      <c r="HG6" s="371"/>
      <c r="HH6" s="371"/>
      <c r="HI6" s="371"/>
      <c r="HJ6" s="371"/>
      <c r="HK6" s="371"/>
      <c r="HL6" s="371"/>
      <c r="HM6" s="371"/>
      <c r="HN6" s="371"/>
      <c r="HO6" s="371"/>
      <c r="HP6" s="371"/>
      <c r="HQ6" s="371"/>
      <c r="HR6" s="371"/>
      <c r="HS6" s="371"/>
      <c r="HT6" s="371"/>
      <c r="HU6" s="371"/>
      <c r="HV6" s="371"/>
      <c r="HW6" s="371"/>
      <c r="HX6" s="371"/>
      <c r="HY6" s="371"/>
      <c r="HZ6" s="371"/>
      <c r="IA6" s="371"/>
      <c r="IB6" s="371"/>
      <c r="IC6" s="371"/>
      <c r="ID6" s="371"/>
      <c r="IE6" s="371"/>
      <c r="IF6" s="371"/>
      <c r="IG6" s="371"/>
      <c r="IH6" s="371"/>
      <c r="II6" s="371"/>
      <c r="IJ6" s="371"/>
      <c r="IK6" s="371"/>
      <c r="IL6" s="371"/>
      <c r="IM6" s="371"/>
      <c r="IN6" s="371"/>
      <c r="IO6" s="371"/>
      <c r="IP6" s="371"/>
      <c r="IQ6" s="371"/>
      <c r="IR6" s="371"/>
      <c r="IS6" s="371"/>
      <c r="IT6" s="371"/>
      <c r="IU6" s="371"/>
      <c r="IV6" s="371"/>
    </row>
    <row r="7" spans="1:256" x14ac:dyDescent="0.2">
      <c r="A7" s="365"/>
      <c r="B7" s="377"/>
      <c r="C7" s="378" t="s">
        <v>1405</v>
      </c>
      <c r="D7" s="377"/>
      <c r="E7" s="380"/>
      <c r="F7" s="378"/>
      <c r="G7" s="378"/>
      <c r="H7" s="378"/>
      <c r="I7" s="378"/>
      <c r="J7" s="380"/>
      <c r="K7" s="380"/>
      <c r="L7" s="380"/>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0"/>
      <c r="CH7" s="380"/>
      <c r="CI7" s="380"/>
      <c r="CJ7" s="380"/>
      <c r="CK7" s="380"/>
      <c r="CL7" s="380"/>
      <c r="CM7" s="380"/>
      <c r="CN7" s="380"/>
      <c r="CO7" s="380"/>
      <c r="CP7" s="380"/>
      <c r="CQ7" s="380"/>
      <c r="CR7" s="380"/>
      <c r="CS7" s="380"/>
      <c r="CT7" s="380"/>
      <c r="CU7" s="380"/>
      <c r="CV7" s="380"/>
      <c r="CW7" s="380"/>
      <c r="CX7" s="380"/>
      <c r="CY7" s="380"/>
      <c r="CZ7" s="380"/>
      <c r="DA7" s="380"/>
      <c r="DB7" s="380"/>
      <c r="DC7" s="380"/>
      <c r="DD7" s="380"/>
      <c r="DE7" s="380"/>
      <c r="DF7" s="380"/>
      <c r="DG7" s="380"/>
      <c r="DH7" s="380"/>
      <c r="DI7" s="380"/>
      <c r="DJ7" s="380"/>
      <c r="DK7" s="380"/>
      <c r="DL7" s="380"/>
      <c r="DM7" s="380"/>
      <c r="DN7" s="380"/>
      <c r="DO7" s="380"/>
      <c r="DP7" s="380"/>
      <c r="DQ7" s="380"/>
      <c r="DR7" s="380"/>
      <c r="DS7" s="380"/>
      <c r="DT7" s="380"/>
      <c r="DU7" s="380"/>
      <c r="DV7" s="380"/>
      <c r="DW7" s="380"/>
      <c r="DX7" s="380"/>
      <c r="DY7" s="380"/>
      <c r="DZ7" s="380"/>
      <c r="EA7" s="380"/>
      <c r="EB7" s="380"/>
      <c r="EC7" s="380"/>
      <c r="ED7" s="380"/>
      <c r="EE7" s="380"/>
      <c r="EF7" s="380"/>
      <c r="EG7" s="380"/>
      <c r="EH7" s="380"/>
      <c r="EI7" s="380"/>
      <c r="EJ7" s="380"/>
      <c r="EK7" s="380"/>
      <c r="EL7" s="380"/>
      <c r="EM7" s="380"/>
      <c r="EN7" s="380"/>
      <c r="EO7" s="380"/>
      <c r="EP7" s="380"/>
      <c r="EQ7" s="380"/>
      <c r="ER7" s="380"/>
      <c r="ES7" s="380"/>
      <c r="ET7" s="380"/>
      <c r="EU7" s="380"/>
      <c r="EV7" s="380"/>
      <c r="EW7" s="380"/>
      <c r="EX7" s="380"/>
      <c r="EY7" s="380"/>
      <c r="EZ7" s="380"/>
      <c r="FA7" s="380"/>
      <c r="FB7" s="380"/>
      <c r="FC7" s="380"/>
      <c r="FD7" s="380"/>
      <c r="FE7" s="380"/>
      <c r="FF7" s="380"/>
      <c r="FG7" s="380"/>
      <c r="FH7" s="380"/>
      <c r="FI7" s="380"/>
      <c r="FJ7" s="380"/>
      <c r="FK7" s="380"/>
      <c r="FL7" s="380"/>
      <c r="FM7" s="380"/>
      <c r="FN7" s="380"/>
      <c r="FO7" s="380"/>
      <c r="FP7" s="380"/>
      <c r="FQ7" s="380"/>
      <c r="FR7" s="380"/>
      <c r="FS7" s="380"/>
      <c r="FT7" s="380"/>
      <c r="FU7" s="380"/>
      <c r="FV7" s="380"/>
      <c r="FW7" s="380"/>
      <c r="FX7" s="380"/>
      <c r="FY7" s="380"/>
      <c r="FZ7" s="380"/>
      <c r="GA7" s="380"/>
      <c r="GB7" s="380"/>
      <c r="GC7" s="380"/>
      <c r="GD7" s="380"/>
      <c r="GE7" s="380"/>
      <c r="GF7" s="380"/>
      <c r="GG7" s="380"/>
      <c r="GH7" s="380"/>
      <c r="GI7" s="380"/>
      <c r="GJ7" s="380"/>
      <c r="GK7" s="380"/>
      <c r="GL7" s="380"/>
      <c r="GM7" s="380"/>
      <c r="GN7" s="380"/>
      <c r="GO7" s="380"/>
      <c r="GP7" s="380"/>
      <c r="GQ7" s="380"/>
      <c r="GR7" s="380"/>
      <c r="GS7" s="380"/>
      <c r="GT7" s="380"/>
      <c r="GU7" s="380"/>
      <c r="GV7" s="380"/>
      <c r="GW7" s="380"/>
      <c r="GX7" s="380"/>
      <c r="GY7" s="380"/>
      <c r="GZ7" s="380"/>
      <c r="HA7" s="380"/>
      <c r="HB7" s="380"/>
      <c r="HC7" s="380"/>
      <c r="HD7" s="380"/>
      <c r="HE7" s="380"/>
      <c r="HF7" s="380"/>
      <c r="HG7" s="380"/>
      <c r="HH7" s="380"/>
      <c r="HI7" s="380"/>
      <c r="HJ7" s="380"/>
      <c r="HK7" s="380"/>
      <c r="HL7" s="380"/>
      <c r="HM7" s="380"/>
      <c r="HN7" s="380"/>
      <c r="HO7" s="380"/>
      <c r="HP7" s="380"/>
      <c r="HQ7" s="380"/>
      <c r="HR7" s="380"/>
      <c r="HS7" s="380"/>
      <c r="HT7" s="380"/>
      <c r="HU7" s="380"/>
      <c r="HV7" s="380"/>
      <c r="HW7" s="380"/>
      <c r="HX7" s="380"/>
      <c r="HY7" s="380"/>
      <c r="HZ7" s="380"/>
      <c r="IA7" s="380"/>
      <c r="IB7" s="380"/>
      <c r="IC7" s="380"/>
      <c r="ID7" s="380"/>
      <c r="IE7" s="380"/>
      <c r="IF7" s="380"/>
      <c r="IG7" s="380"/>
      <c r="IH7" s="380"/>
      <c r="II7" s="380"/>
      <c r="IJ7" s="380"/>
      <c r="IK7" s="380"/>
      <c r="IL7" s="380"/>
      <c r="IM7" s="380"/>
      <c r="IN7" s="380"/>
      <c r="IO7" s="380"/>
      <c r="IP7" s="380"/>
      <c r="IQ7" s="380"/>
      <c r="IR7" s="380"/>
      <c r="IS7" s="380"/>
      <c r="IT7" s="380"/>
      <c r="IU7" s="380"/>
      <c r="IV7" s="380"/>
    </row>
    <row r="8" spans="1:256" x14ac:dyDescent="0.2">
      <c r="A8" s="365"/>
      <c r="B8" s="381" t="s">
        <v>1314</v>
      </c>
      <c r="C8" s="377" t="str">
        <f>СВОД!D14</f>
        <v>Определяется по итогам конкурентных процедур</v>
      </c>
      <c r="D8" s="377"/>
      <c r="E8" s="371"/>
      <c r="F8" s="383"/>
      <c r="G8" s="384"/>
      <c r="H8" s="377"/>
      <c r="I8" s="385"/>
      <c r="J8" s="371"/>
      <c r="K8" s="371"/>
      <c r="L8" s="371"/>
      <c r="M8" s="371"/>
      <c r="N8" s="371"/>
      <c r="O8" s="371"/>
      <c r="P8" s="371"/>
      <c r="Q8" s="371"/>
      <c r="R8" s="371"/>
      <c r="S8" s="371"/>
      <c r="T8" s="371"/>
      <c r="U8" s="371"/>
      <c r="V8" s="371"/>
      <c r="W8" s="371"/>
      <c r="X8" s="371"/>
      <c r="Y8" s="371"/>
      <c r="Z8" s="371"/>
      <c r="AA8" s="371"/>
      <c r="AB8" s="371"/>
      <c r="AC8" s="371"/>
      <c r="AD8" s="371"/>
      <c r="AE8" s="371"/>
      <c r="AF8" s="371"/>
      <c r="AG8" s="371"/>
      <c r="AH8" s="371"/>
      <c r="AI8" s="371"/>
      <c r="AJ8" s="371"/>
      <c r="AK8" s="371"/>
      <c r="AL8" s="371"/>
      <c r="AM8" s="371"/>
      <c r="AN8" s="371"/>
      <c r="AO8" s="371"/>
      <c r="AP8" s="371"/>
      <c r="AQ8" s="371"/>
      <c r="AR8" s="371"/>
      <c r="AS8" s="371"/>
      <c r="AT8" s="371"/>
      <c r="AU8" s="371"/>
      <c r="AV8" s="371"/>
      <c r="AW8" s="371"/>
      <c r="AX8" s="371"/>
      <c r="AY8" s="371"/>
      <c r="AZ8" s="371"/>
      <c r="BA8" s="371"/>
      <c r="BB8" s="371"/>
      <c r="BC8" s="371"/>
      <c r="BD8" s="371"/>
      <c r="BE8" s="371"/>
      <c r="BF8" s="371"/>
      <c r="BG8" s="371"/>
      <c r="BH8" s="371"/>
      <c r="BI8" s="371"/>
      <c r="BJ8" s="371"/>
      <c r="BK8" s="371"/>
      <c r="BL8" s="371"/>
      <c r="BM8" s="371"/>
      <c r="BN8" s="371"/>
      <c r="BO8" s="371"/>
      <c r="BP8" s="371"/>
      <c r="BQ8" s="371"/>
      <c r="BR8" s="371"/>
      <c r="BS8" s="371"/>
      <c r="BT8" s="371"/>
      <c r="BU8" s="371"/>
      <c r="BV8" s="371"/>
      <c r="BW8" s="371"/>
      <c r="BX8" s="371"/>
      <c r="BY8" s="371"/>
      <c r="BZ8" s="371"/>
      <c r="CA8" s="371"/>
      <c r="CB8" s="371"/>
      <c r="CC8" s="371"/>
      <c r="CD8" s="371"/>
      <c r="CE8" s="371"/>
      <c r="CF8" s="371"/>
      <c r="CG8" s="371"/>
      <c r="CH8" s="371"/>
      <c r="CI8" s="371"/>
      <c r="CJ8" s="371"/>
      <c r="CK8" s="371"/>
      <c r="CL8" s="371"/>
      <c r="CM8" s="371"/>
      <c r="CN8" s="371"/>
      <c r="CO8" s="371"/>
      <c r="CP8" s="371"/>
      <c r="CQ8" s="371"/>
      <c r="CR8" s="371"/>
      <c r="CS8" s="371"/>
      <c r="CT8" s="371"/>
      <c r="CU8" s="371"/>
      <c r="CV8" s="371"/>
      <c r="CW8" s="371"/>
      <c r="CX8" s="371"/>
      <c r="CY8" s="371"/>
      <c r="CZ8" s="371"/>
      <c r="DA8" s="371"/>
      <c r="DB8" s="371"/>
      <c r="DC8" s="371"/>
      <c r="DD8" s="371"/>
      <c r="DE8" s="371"/>
      <c r="DF8" s="371"/>
      <c r="DG8" s="371"/>
      <c r="DH8" s="371"/>
      <c r="DI8" s="371"/>
      <c r="DJ8" s="371"/>
      <c r="DK8" s="371"/>
      <c r="DL8" s="371"/>
      <c r="DM8" s="371"/>
      <c r="DN8" s="371"/>
      <c r="DO8" s="371"/>
      <c r="DP8" s="371"/>
      <c r="DQ8" s="371"/>
      <c r="DR8" s="371"/>
      <c r="DS8" s="371"/>
      <c r="DT8" s="371"/>
      <c r="DU8" s="371"/>
      <c r="DV8" s="371"/>
      <c r="DW8" s="371"/>
      <c r="DX8" s="371"/>
      <c r="DY8" s="371"/>
      <c r="DZ8" s="371"/>
      <c r="EA8" s="371"/>
      <c r="EB8" s="371"/>
      <c r="EC8" s="371"/>
      <c r="ED8" s="371"/>
      <c r="EE8" s="371"/>
      <c r="EF8" s="371"/>
      <c r="EG8" s="371"/>
      <c r="EH8" s="371"/>
      <c r="EI8" s="371"/>
      <c r="EJ8" s="371"/>
      <c r="EK8" s="371"/>
      <c r="EL8" s="371"/>
      <c r="EM8" s="371"/>
      <c r="EN8" s="371"/>
      <c r="EO8" s="371"/>
      <c r="EP8" s="371"/>
      <c r="EQ8" s="371"/>
      <c r="ER8" s="371"/>
      <c r="ES8" s="371"/>
      <c r="ET8" s="371"/>
      <c r="EU8" s="371"/>
      <c r="EV8" s="371"/>
      <c r="EW8" s="371"/>
      <c r="EX8" s="371"/>
      <c r="EY8" s="371"/>
      <c r="EZ8" s="371"/>
      <c r="FA8" s="371"/>
      <c r="FB8" s="371"/>
      <c r="FC8" s="371"/>
      <c r="FD8" s="371"/>
      <c r="FE8" s="371"/>
      <c r="FF8" s="371"/>
      <c r="FG8" s="371"/>
      <c r="FH8" s="371"/>
      <c r="FI8" s="371"/>
      <c r="FJ8" s="371"/>
      <c r="FK8" s="371"/>
      <c r="FL8" s="371"/>
      <c r="FM8" s="371"/>
      <c r="FN8" s="371"/>
      <c r="FO8" s="371"/>
      <c r="FP8" s="371"/>
      <c r="FQ8" s="371"/>
      <c r="FR8" s="371"/>
      <c r="FS8" s="371"/>
      <c r="FT8" s="371"/>
      <c r="FU8" s="371"/>
      <c r="FV8" s="371"/>
      <c r="FW8" s="371"/>
      <c r="FX8" s="371"/>
      <c r="FY8" s="371"/>
      <c r="FZ8" s="371"/>
      <c r="GA8" s="371"/>
      <c r="GB8" s="371"/>
      <c r="GC8" s="371"/>
      <c r="GD8" s="371"/>
      <c r="GE8" s="371"/>
      <c r="GF8" s="371"/>
      <c r="GG8" s="371"/>
      <c r="GH8" s="371"/>
      <c r="GI8" s="371"/>
      <c r="GJ8" s="371"/>
      <c r="GK8" s="371"/>
      <c r="GL8" s="371"/>
      <c r="GM8" s="371"/>
      <c r="GN8" s="371"/>
      <c r="GO8" s="371"/>
      <c r="GP8" s="371"/>
      <c r="GQ8" s="371"/>
      <c r="GR8" s="371"/>
      <c r="GS8" s="371"/>
      <c r="GT8" s="371"/>
      <c r="GU8" s="371"/>
      <c r="GV8" s="371"/>
      <c r="GW8" s="371"/>
      <c r="GX8" s="371"/>
      <c r="GY8" s="371"/>
      <c r="GZ8" s="371"/>
      <c r="HA8" s="371"/>
      <c r="HB8" s="371"/>
      <c r="HC8" s="371"/>
      <c r="HD8" s="371"/>
      <c r="HE8" s="371"/>
      <c r="HF8" s="371"/>
      <c r="HG8" s="371"/>
      <c r="HH8" s="371"/>
      <c r="HI8" s="371"/>
      <c r="HJ8" s="371"/>
      <c r="HK8" s="371"/>
      <c r="HL8" s="371"/>
      <c r="HM8" s="371"/>
      <c r="HN8" s="371"/>
      <c r="HO8" s="371"/>
      <c r="HP8" s="371"/>
      <c r="HQ8" s="371"/>
      <c r="HR8" s="371"/>
      <c r="HS8" s="371"/>
      <c r="HT8" s="371"/>
      <c r="HU8" s="371"/>
      <c r="HV8" s="371"/>
      <c r="HW8" s="371"/>
      <c r="HX8" s="371"/>
      <c r="HY8" s="371"/>
      <c r="HZ8" s="371"/>
      <c r="IA8" s="371"/>
      <c r="IB8" s="371"/>
      <c r="IC8" s="371"/>
      <c r="ID8" s="371"/>
      <c r="IE8" s="371"/>
      <c r="IF8" s="371"/>
      <c r="IG8" s="371"/>
      <c r="IH8" s="371"/>
      <c r="II8" s="371"/>
      <c r="IJ8" s="371"/>
      <c r="IK8" s="371"/>
      <c r="IL8" s="371"/>
      <c r="IM8" s="371"/>
      <c r="IN8" s="371"/>
      <c r="IO8" s="371"/>
      <c r="IP8" s="371"/>
      <c r="IQ8" s="371"/>
      <c r="IR8" s="371"/>
      <c r="IS8" s="371"/>
      <c r="IT8" s="371"/>
      <c r="IU8" s="371"/>
      <c r="IV8" s="371"/>
    </row>
    <row r="9" spans="1:256" x14ac:dyDescent="0.2">
      <c r="A9" s="365"/>
      <c r="B9" s="381" t="s">
        <v>1315</v>
      </c>
      <c r="C9" s="368"/>
      <c r="D9" s="377"/>
      <c r="E9" s="371"/>
      <c r="F9" s="383"/>
      <c r="G9" s="386"/>
      <c r="H9" s="387"/>
      <c r="I9" s="386"/>
      <c r="J9" s="371"/>
      <c r="K9" s="371"/>
      <c r="L9" s="371"/>
      <c r="M9" s="371"/>
      <c r="N9" s="371"/>
      <c r="O9" s="371"/>
      <c r="P9" s="371"/>
      <c r="Q9" s="371"/>
      <c r="R9" s="371"/>
      <c r="S9" s="371"/>
      <c r="T9" s="371"/>
      <c r="U9" s="371"/>
      <c r="V9" s="371"/>
      <c r="W9" s="371"/>
      <c r="X9" s="371"/>
      <c r="Y9" s="371"/>
      <c r="Z9" s="371"/>
      <c r="AA9" s="371"/>
      <c r="AB9" s="371"/>
      <c r="AC9" s="371"/>
      <c r="AD9" s="371"/>
      <c r="AE9" s="371"/>
      <c r="AF9" s="371"/>
      <c r="AG9" s="371"/>
      <c r="AH9" s="371"/>
      <c r="AI9" s="371"/>
      <c r="AJ9" s="371"/>
      <c r="AK9" s="371"/>
      <c r="AL9" s="371"/>
      <c r="AM9" s="371"/>
      <c r="AN9" s="371"/>
      <c r="AO9" s="371"/>
      <c r="AP9" s="371"/>
      <c r="AQ9" s="371"/>
      <c r="AR9" s="371"/>
      <c r="AS9" s="371"/>
      <c r="AT9" s="371"/>
      <c r="AU9" s="371"/>
      <c r="AV9" s="371"/>
      <c r="AW9" s="371"/>
      <c r="AX9" s="371"/>
      <c r="AY9" s="371"/>
      <c r="AZ9" s="371"/>
      <c r="BA9" s="371"/>
      <c r="BB9" s="371"/>
      <c r="BC9" s="371"/>
      <c r="BD9" s="371"/>
      <c r="BE9" s="371"/>
      <c r="BF9" s="371"/>
      <c r="BG9" s="371"/>
      <c r="BH9" s="371"/>
      <c r="BI9" s="371"/>
      <c r="BJ9" s="371"/>
      <c r="BK9" s="371"/>
      <c r="BL9" s="371"/>
      <c r="BM9" s="371"/>
      <c r="BN9" s="371"/>
      <c r="BO9" s="371"/>
      <c r="BP9" s="371"/>
      <c r="BQ9" s="371"/>
      <c r="BR9" s="371"/>
      <c r="BS9" s="371"/>
      <c r="BT9" s="371"/>
      <c r="BU9" s="371"/>
      <c r="BV9" s="371"/>
      <c r="BW9" s="371"/>
      <c r="BX9" s="371"/>
      <c r="BY9" s="371"/>
      <c r="BZ9" s="371"/>
      <c r="CA9" s="371"/>
      <c r="CB9" s="371"/>
      <c r="CC9" s="371"/>
      <c r="CD9" s="371"/>
      <c r="CE9" s="371"/>
      <c r="CF9" s="371"/>
      <c r="CG9" s="371"/>
      <c r="CH9" s="371"/>
      <c r="CI9" s="371"/>
      <c r="CJ9" s="371"/>
      <c r="CK9" s="371"/>
      <c r="CL9" s="371"/>
      <c r="CM9" s="371"/>
      <c r="CN9" s="371"/>
      <c r="CO9" s="371"/>
      <c r="CP9" s="371"/>
      <c r="CQ9" s="371"/>
      <c r="CR9" s="371"/>
      <c r="CS9" s="371"/>
      <c r="CT9" s="371"/>
      <c r="CU9" s="371"/>
      <c r="CV9" s="371"/>
      <c r="CW9" s="371"/>
      <c r="CX9" s="371"/>
      <c r="CY9" s="371"/>
      <c r="CZ9" s="371"/>
      <c r="DA9" s="371"/>
      <c r="DB9" s="371"/>
      <c r="DC9" s="371"/>
      <c r="DD9" s="371"/>
      <c r="DE9" s="371"/>
      <c r="DF9" s="371"/>
      <c r="DG9" s="371"/>
      <c r="DH9" s="371"/>
      <c r="DI9" s="371"/>
      <c r="DJ9" s="371"/>
      <c r="DK9" s="371"/>
      <c r="DL9" s="371"/>
      <c r="DM9" s="371"/>
      <c r="DN9" s="371"/>
      <c r="DO9" s="371"/>
      <c r="DP9" s="371"/>
      <c r="DQ9" s="371"/>
      <c r="DR9" s="371"/>
      <c r="DS9" s="371"/>
      <c r="DT9" s="371"/>
      <c r="DU9" s="371"/>
      <c r="DV9" s="371"/>
      <c r="DW9" s="371"/>
      <c r="DX9" s="371"/>
      <c r="DY9" s="371"/>
      <c r="DZ9" s="371"/>
      <c r="EA9" s="371"/>
      <c r="EB9" s="371"/>
      <c r="EC9" s="371"/>
      <c r="ED9" s="371"/>
      <c r="EE9" s="371"/>
      <c r="EF9" s="371"/>
      <c r="EG9" s="371"/>
      <c r="EH9" s="371"/>
      <c r="EI9" s="371"/>
      <c r="EJ9" s="371"/>
      <c r="EK9" s="371"/>
      <c r="EL9" s="371"/>
      <c r="EM9" s="371"/>
      <c r="EN9" s="371"/>
      <c r="EO9" s="371"/>
      <c r="EP9" s="371"/>
      <c r="EQ9" s="371"/>
      <c r="ER9" s="371"/>
      <c r="ES9" s="371"/>
      <c r="ET9" s="371"/>
      <c r="EU9" s="371"/>
      <c r="EV9" s="371"/>
      <c r="EW9" s="371"/>
      <c r="EX9" s="371"/>
      <c r="EY9" s="371"/>
      <c r="EZ9" s="371"/>
      <c r="FA9" s="371"/>
      <c r="FB9" s="371"/>
      <c r="FC9" s="371"/>
      <c r="FD9" s="371"/>
      <c r="FE9" s="371"/>
      <c r="FF9" s="371"/>
      <c r="FG9" s="371"/>
      <c r="FH9" s="371"/>
      <c r="FI9" s="371"/>
      <c r="FJ9" s="371"/>
      <c r="FK9" s="371"/>
      <c r="FL9" s="371"/>
      <c r="FM9" s="371"/>
      <c r="FN9" s="371"/>
      <c r="FO9" s="371"/>
      <c r="FP9" s="371"/>
      <c r="FQ9" s="371"/>
      <c r="FR9" s="371"/>
      <c r="FS9" s="371"/>
      <c r="FT9" s="371"/>
      <c r="FU9" s="371"/>
      <c r="FV9" s="371"/>
      <c r="FW9" s="371"/>
      <c r="FX9" s="371"/>
      <c r="FY9" s="371"/>
      <c r="FZ9" s="371"/>
      <c r="GA9" s="371"/>
      <c r="GB9" s="371"/>
      <c r="GC9" s="371"/>
      <c r="GD9" s="371"/>
      <c r="GE9" s="371"/>
      <c r="GF9" s="371"/>
      <c r="GG9" s="371"/>
      <c r="GH9" s="371"/>
      <c r="GI9" s="371"/>
      <c r="GJ9" s="371"/>
      <c r="GK9" s="371"/>
      <c r="GL9" s="371"/>
      <c r="GM9" s="371"/>
      <c r="GN9" s="371"/>
      <c r="GO9" s="371"/>
      <c r="GP9" s="371"/>
      <c r="GQ9" s="371"/>
      <c r="GR9" s="371"/>
      <c r="GS9" s="371"/>
      <c r="GT9" s="371"/>
      <c r="GU9" s="371"/>
      <c r="GV9" s="371"/>
      <c r="GW9" s="371"/>
      <c r="GX9" s="371"/>
      <c r="GY9" s="371"/>
      <c r="GZ9" s="371"/>
      <c r="HA9" s="371"/>
      <c r="HB9" s="371"/>
      <c r="HC9" s="371"/>
      <c r="HD9" s="371"/>
      <c r="HE9" s="371"/>
      <c r="HF9" s="371"/>
      <c r="HG9" s="371"/>
      <c r="HH9" s="371"/>
      <c r="HI9" s="371"/>
      <c r="HJ9" s="371"/>
      <c r="HK9" s="371"/>
      <c r="HL9" s="371"/>
      <c r="HM9" s="371"/>
      <c r="HN9" s="371"/>
      <c r="HO9" s="371"/>
      <c r="HP9" s="371"/>
      <c r="HQ9" s="371"/>
      <c r="HR9" s="371"/>
      <c r="HS9" s="371"/>
      <c r="HT9" s="371"/>
      <c r="HU9" s="371"/>
      <c r="HV9" s="371"/>
      <c r="HW9" s="371"/>
      <c r="HX9" s="371"/>
      <c r="HY9" s="371"/>
      <c r="HZ9" s="371"/>
      <c r="IA9" s="371"/>
      <c r="IB9" s="371"/>
      <c r="IC9" s="371"/>
      <c r="ID9" s="371"/>
      <c r="IE9" s="371"/>
      <c r="IF9" s="371"/>
      <c r="IG9" s="371"/>
      <c r="IH9" s="371"/>
      <c r="II9" s="371"/>
      <c r="IJ9" s="371"/>
      <c r="IK9" s="371"/>
      <c r="IL9" s="371"/>
      <c r="IM9" s="371"/>
      <c r="IN9" s="371"/>
      <c r="IO9" s="371"/>
      <c r="IP9" s="371"/>
      <c r="IQ9" s="371"/>
      <c r="IR9" s="371"/>
      <c r="IS9" s="371"/>
      <c r="IT9" s="371"/>
      <c r="IU9" s="371"/>
      <c r="IV9" s="371"/>
    </row>
    <row r="10" spans="1:256" x14ac:dyDescent="0.2">
      <c r="A10" s="365"/>
      <c r="B10" s="381"/>
      <c r="C10" s="377"/>
      <c r="D10" s="377"/>
      <c r="E10" s="371"/>
      <c r="F10" s="383"/>
      <c r="G10" s="386"/>
      <c r="H10" s="387"/>
      <c r="I10" s="386"/>
      <c r="J10" s="371"/>
      <c r="K10" s="371"/>
      <c r="L10" s="371"/>
      <c r="M10" s="371"/>
      <c r="N10" s="371"/>
      <c r="O10" s="371"/>
      <c r="P10" s="371"/>
      <c r="Q10" s="371"/>
      <c r="R10" s="371"/>
      <c r="S10" s="371"/>
      <c r="T10" s="371"/>
      <c r="U10" s="371"/>
      <c r="V10" s="371"/>
      <c r="W10" s="371"/>
      <c r="X10" s="371"/>
      <c r="Y10" s="371"/>
      <c r="Z10" s="371"/>
      <c r="AA10" s="371"/>
      <c r="AB10" s="371"/>
      <c r="AC10" s="371"/>
      <c r="AD10" s="371"/>
      <c r="AE10" s="371"/>
      <c r="AF10" s="371"/>
      <c r="AG10" s="371"/>
      <c r="AH10" s="371"/>
      <c r="AI10" s="371"/>
      <c r="AJ10" s="371"/>
      <c r="AK10" s="371"/>
      <c r="AL10" s="371"/>
      <c r="AM10" s="371"/>
      <c r="AN10" s="371"/>
      <c r="AO10" s="371"/>
      <c r="AP10" s="371"/>
      <c r="AQ10" s="371"/>
      <c r="AR10" s="371"/>
      <c r="AS10" s="371"/>
      <c r="AT10" s="371"/>
      <c r="AU10" s="371"/>
      <c r="AV10" s="371"/>
      <c r="AW10" s="371"/>
      <c r="AX10" s="371"/>
      <c r="AY10" s="371"/>
      <c r="AZ10" s="371"/>
      <c r="BA10" s="371"/>
      <c r="BB10" s="371"/>
      <c r="BC10" s="371"/>
      <c r="BD10" s="371"/>
      <c r="BE10" s="371"/>
      <c r="BF10" s="371"/>
      <c r="BG10" s="371"/>
      <c r="BH10" s="371"/>
      <c r="BI10" s="371"/>
      <c r="BJ10" s="371"/>
      <c r="BK10" s="371"/>
      <c r="BL10" s="371"/>
      <c r="BM10" s="371"/>
      <c r="BN10" s="371"/>
      <c r="BO10" s="371"/>
      <c r="BP10" s="371"/>
      <c r="BQ10" s="371"/>
      <c r="BR10" s="371"/>
      <c r="BS10" s="371"/>
      <c r="BT10" s="371"/>
      <c r="BU10" s="371"/>
      <c r="BV10" s="371"/>
      <c r="BW10" s="371"/>
      <c r="BX10" s="371"/>
      <c r="BY10" s="371"/>
      <c r="BZ10" s="371"/>
      <c r="CA10" s="371"/>
      <c r="CB10" s="371"/>
      <c r="CC10" s="371"/>
      <c r="CD10" s="371"/>
      <c r="CE10" s="371"/>
      <c r="CF10" s="371"/>
      <c r="CG10" s="371"/>
      <c r="CH10" s="371"/>
      <c r="CI10" s="371"/>
      <c r="CJ10" s="371"/>
      <c r="CK10" s="371"/>
      <c r="CL10" s="371"/>
      <c r="CM10" s="371"/>
      <c r="CN10" s="371"/>
      <c r="CO10" s="371"/>
      <c r="CP10" s="371"/>
      <c r="CQ10" s="371"/>
      <c r="CR10" s="371"/>
      <c r="CS10" s="371"/>
      <c r="CT10" s="371"/>
      <c r="CU10" s="371"/>
      <c r="CV10" s="371"/>
      <c r="CW10" s="371"/>
      <c r="CX10" s="371"/>
      <c r="CY10" s="371"/>
      <c r="CZ10" s="371"/>
      <c r="DA10" s="371"/>
      <c r="DB10" s="371"/>
      <c r="DC10" s="371"/>
      <c r="DD10" s="371"/>
      <c r="DE10" s="371"/>
      <c r="DF10" s="371"/>
      <c r="DG10" s="371"/>
      <c r="DH10" s="371"/>
      <c r="DI10" s="371"/>
      <c r="DJ10" s="371"/>
      <c r="DK10" s="371"/>
      <c r="DL10" s="371"/>
      <c r="DM10" s="371"/>
      <c r="DN10" s="371"/>
      <c r="DO10" s="371"/>
      <c r="DP10" s="371"/>
      <c r="DQ10" s="371"/>
      <c r="DR10" s="371"/>
      <c r="DS10" s="371"/>
      <c r="DT10" s="371"/>
      <c r="DU10" s="371"/>
      <c r="DV10" s="371"/>
      <c r="DW10" s="371"/>
      <c r="DX10" s="371"/>
      <c r="DY10" s="371"/>
      <c r="DZ10" s="371"/>
      <c r="EA10" s="371"/>
      <c r="EB10" s="371"/>
      <c r="EC10" s="371"/>
      <c r="ED10" s="371"/>
      <c r="EE10" s="371"/>
      <c r="EF10" s="371"/>
      <c r="EG10" s="371"/>
      <c r="EH10" s="371"/>
      <c r="EI10" s="371"/>
      <c r="EJ10" s="371"/>
      <c r="EK10" s="371"/>
      <c r="EL10" s="371"/>
      <c r="EM10" s="371"/>
      <c r="EN10" s="371"/>
      <c r="EO10" s="371"/>
      <c r="EP10" s="371"/>
      <c r="EQ10" s="371"/>
      <c r="ER10" s="371"/>
      <c r="ES10" s="371"/>
      <c r="ET10" s="371"/>
      <c r="EU10" s="371"/>
      <c r="EV10" s="371"/>
      <c r="EW10" s="371"/>
      <c r="EX10" s="371"/>
      <c r="EY10" s="371"/>
      <c r="EZ10" s="371"/>
      <c r="FA10" s="371"/>
      <c r="FB10" s="371"/>
      <c r="FC10" s="371"/>
      <c r="FD10" s="371"/>
      <c r="FE10" s="371"/>
      <c r="FF10" s="371"/>
      <c r="FG10" s="371"/>
      <c r="FH10" s="371"/>
      <c r="FI10" s="371"/>
      <c r="FJ10" s="371"/>
      <c r="FK10" s="371"/>
      <c r="FL10" s="371"/>
      <c r="FM10" s="371"/>
      <c r="FN10" s="371"/>
      <c r="FO10" s="371"/>
      <c r="FP10" s="371"/>
      <c r="FQ10" s="371"/>
      <c r="FR10" s="371"/>
      <c r="FS10" s="371"/>
      <c r="FT10" s="371"/>
      <c r="FU10" s="371"/>
      <c r="FV10" s="371"/>
      <c r="FW10" s="371"/>
      <c r="FX10" s="371"/>
      <c r="FY10" s="371"/>
      <c r="FZ10" s="371"/>
      <c r="GA10" s="371"/>
      <c r="GB10" s="371"/>
      <c r="GC10" s="371"/>
      <c r="GD10" s="371"/>
      <c r="GE10" s="371"/>
      <c r="GF10" s="371"/>
      <c r="GG10" s="371"/>
      <c r="GH10" s="371"/>
      <c r="GI10" s="371"/>
      <c r="GJ10" s="371"/>
      <c r="GK10" s="371"/>
      <c r="GL10" s="371"/>
      <c r="GM10" s="371"/>
      <c r="GN10" s="371"/>
      <c r="GO10" s="371"/>
      <c r="GP10" s="371"/>
      <c r="GQ10" s="371"/>
      <c r="GR10" s="371"/>
      <c r="GS10" s="371"/>
      <c r="GT10" s="371"/>
      <c r="GU10" s="371"/>
      <c r="GV10" s="371"/>
      <c r="GW10" s="371"/>
      <c r="GX10" s="371"/>
      <c r="GY10" s="371"/>
      <c r="GZ10" s="371"/>
      <c r="HA10" s="371"/>
      <c r="HB10" s="371"/>
      <c r="HC10" s="371"/>
      <c r="HD10" s="371"/>
      <c r="HE10" s="371"/>
      <c r="HF10" s="371"/>
      <c r="HG10" s="371"/>
      <c r="HH10" s="371"/>
      <c r="HI10" s="371"/>
      <c r="HJ10" s="371"/>
      <c r="HK10" s="371"/>
      <c r="HL10" s="371"/>
      <c r="HM10" s="371"/>
      <c r="HN10" s="371"/>
      <c r="HO10" s="371"/>
      <c r="HP10" s="371"/>
      <c r="HQ10" s="371"/>
      <c r="HR10" s="371"/>
      <c r="HS10" s="371"/>
      <c r="HT10" s="371"/>
      <c r="HU10" s="371"/>
      <c r="HV10" s="371"/>
      <c r="HW10" s="371"/>
      <c r="HX10" s="371"/>
      <c r="HY10" s="371"/>
      <c r="HZ10" s="371"/>
      <c r="IA10" s="371"/>
      <c r="IB10" s="371"/>
      <c r="IC10" s="371"/>
      <c r="ID10" s="371"/>
      <c r="IE10" s="371"/>
      <c r="IF10" s="371"/>
      <c r="IG10" s="371"/>
      <c r="IH10" s="371"/>
      <c r="II10" s="371"/>
      <c r="IJ10" s="371"/>
      <c r="IK10" s="371"/>
      <c r="IL10" s="371"/>
      <c r="IM10" s="371"/>
      <c r="IN10" s="371"/>
      <c r="IO10" s="371"/>
      <c r="IP10" s="371"/>
      <c r="IQ10" s="371"/>
      <c r="IR10" s="371"/>
      <c r="IS10" s="371"/>
      <c r="IT10" s="371"/>
      <c r="IU10" s="371"/>
      <c r="IV10" s="371"/>
    </row>
    <row r="11" spans="1:256" x14ac:dyDescent="0.2">
      <c r="A11" s="365"/>
      <c r="B11" s="388" t="s">
        <v>1316</v>
      </c>
      <c r="C11" s="377" t="str">
        <f>СВОД!D16</f>
        <v>ООО «Газпром проектирование»</v>
      </c>
      <c r="D11" s="377"/>
      <c r="E11" s="371"/>
      <c r="F11" s="387"/>
      <c r="G11" s="386"/>
      <c r="H11" s="387"/>
      <c r="I11" s="386"/>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1"/>
      <c r="BR11" s="371"/>
      <c r="BS11" s="371"/>
      <c r="BT11" s="371"/>
      <c r="BU11" s="371"/>
      <c r="BV11" s="371"/>
      <c r="BW11" s="371"/>
      <c r="BX11" s="371"/>
      <c r="BY11" s="371"/>
      <c r="BZ11" s="371"/>
      <c r="CA11" s="371"/>
      <c r="CB11" s="371"/>
      <c r="CC11" s="371"/>
      <c r="CD11" s="371"/>
      <c r="CE11" s="371"/>
      <c r="CF11" s="371"/>
      <c r="CG11" s="371"/>
      <c r="CH11" s="371"/>
      <c r="CI11" s="371"/>
      <c r="CJ11" s="371"/>
      <c r="CK11" s="371"/>
      <c r="CL11" s="371"/>
      <c r="CM11" s="371"/>
      <c r="CN11" s="371"/>
      <c r="CO11" s="371"/>
      <c r="CP11" s="371"/>
      <c r="CQ11" s="371"/>
      <c r="CR11" s="371"/>
      <c r="CS11" s="371"/>
      <c r="CT11" s="371"/>
      <c r="CU11" s="371"/>
      <c r="CV11" s="371"/>
      <c r="CW11" s="371"/>
      <c r="CX11" s="371"/>
      <c r="CY11" s="371"/>
      <c r="CZ11" s="371"/>
      <c r="DA11" s="371"/>
      <c r="DB11" s="371"/>
      <c r="DC11" s="371"/>
      <c r="DD11" s="371"/>
      <c r="DE11" s="371"/>
      <c r="DF11" s="371"/>
      <c r="DG11" s="371"/>
      <c r="DH11" s="371"/>
      <c r="DI11" s="371"/>
      <c r="DJ11" s="371"/>
      <c r="DK11" s="371"/>
      <c r="DL11" s="371"/>
      <c r="DM11" s="371"/>
      <c r="DN11" s="371"/>
      <c r="DO11" s="371"/>
      <c r="DP11" s="371"/>
      <c r="DQ11" s="371"/>
      <c r="DR11" s="371"/>
      <c r="DS11" s="371"/>
      <c r="DT11" s="371"/>
      <c r="DU11" s="371"/>
      <c r="DV11" s="371"/>
      <c r="DW11" s="371"/>
      <c r="DX11" s="371"/>
      <c r="DY11" s="371"/>
      <c r="DZ11" s="371"/>
      <c r="EA11" s="371"/>
      <c r="EB11" s="371"/>
      <c r="EC11" s="371"/>
      <c r="ED11" s="371"/>
      <c r="EE11" s="371"/>
      <c r="EF11" s="371"/>
      <c r="EG11" s="371"/>
      <c r="EH11" s="371"/>
      <c r="EI11" s="371"/>
      <c r="EJ11" s="371"/>
      <c r="EK11" s="371"/>
      <c r="EL11" s="371"/>
      <c r="EM11" s="371"/>
      <c r="EN11" s="371"/>
      <c r="EO11" s="371"/>
      <c r="EP11" s="371"/>
      <c r="EQ11" s="371"/>
      <c r="ER11" s="371"/>
      <c r="ES11" s="371"/>
      <c r="ET11" s="371"/>
      <c r="EU11" s="371"/>
      <c r="EV11" s="371"/>
      <c r="EW11" s="371"/>
      <c r="EX11" s="371"/>
      <c r="EY11" s="371"/>
      <c r="EZ11" s="371"/>
      <c r="FA11" s="371"/>
      <c r="FB11" s="371"/>
      <c r="FC11" s="371"/>
      <c r="FD11" s="371"/>
      <c r="FE11" s="371"/>
      <c r="FF11" s="371"/>
      <c r="FG11" s="371"/>
      <c r="FH11" s="371"/>
      <c r="FI11" s="371"/>
      <c r="FJ11" s="371"/>
      <c r="FK11" s="371"/>
      <c r="FL11" s="371"/>
      <c r="FM11" s="371"/>
      <c r="FN11" s="371"/>
      <c r="FO11" s="371"/>
      <c r="FP11" s="371"/>
      <c r="FQ11" s="371"/>
      <c r="FR11" s="371"/>
      <c r="FS11" s="371"/>
      <c r="FT11" s="371"/>
      <c r="FU11" s="371"/>
      <c r="FV11" s="371"/>
      <c r="FW11" s="371"/>
      <c r="FX11" s="371"/>
      <c r="FY11" s="371"/>
      <c r="FZ11" s="371"/>
      <c r="GA11" s="371"/>
      <c r="GB11" s="371"/>
      <c r="GC11" s="371"/>
      <c r="GD11" s="371"/>
      <c r="GE11" s="371"/>
      <c r="GF11" s="371"/>
      <c r="GG11" s="371"/>
      <c r="GH11" s="371"/>
      <c r="GI11" s="371"/>
      <c r="GJ11" s="371"/>
      <c r="GK11" s="371"/>
      <c r="GL11" s="371"/>
      <c r="GM11" s="371"/>
      <c r="GN11" s="371"/>
      <c r="GO11" s="371"/>
      <c r="GP11" s="371"/>
      <c r="GQ11" s="371"/>
      <c r="GR11" s="371"/>
      <c r="GS11" s="371"/>
      <c r="GT11" s="371"/>
      <c r="GU11" s="371"/>
      <c r="GV11" s="371"/>
      <c r="GW11" s="371"/>
      <c r="GX11" s="371"/>
      <c r="GY11" s="371"/>
      <c r="GZ11" s="371"/>
      <c r="HA11" s="371"/>
      <c r="HB11" s="371"/>
      <c r="HC11" s="371"/>
      <c r="HD11" s="371"/>
      <c r="HE11" s="371"/>
      <c r="HF11" s="371"/>
      <c r="HG11" s="371"/>
      <c r="HH11" s="371"/>
      <c r="HI11" s="371"/>
      <c r="HJ11" s="371"/>
      <c r="HK11" s="371"/>
      <c r="HL11" s="371"/>
      <c r="HM11" s="371"/>
      <c r="HN11" s="371"/>
      <c r="HO11" s="371"/>
      <c r="HP11" s="371"/>
      <c r="HQ11" s="371"/>
      <c r="HR11" s="371"/>
      <c r="HS11" s="371"/>
      <c r="HT11" s="371"/>
      <c r="HU11" s="371"/>
      <c r="HV11" s="371"/>
      <c r="HW11" s="371"/>
      <c r="HX11" s="371"/>
      <c r="HY11" s="371"/>
      <c r="HZ11" s="371"/>
      <c r="IA11" s="371"/>
      <c r="IB11" s="371"/>
      <c r="IC11" s="371"/>
      <c r="ID11" s="371"/>
      <c r="IE11" s="371"/>
      <c r="IF11" s="371"/>
      <c r="IG11" s="371"/>
      <c r="IH11" s="371"/>
      <c r="II11" s="371"/>
      <c r="IJ11" s="371"/>
      <c r="IK11" s="371"/>
      <c r="IL11" s="371"/>
      <c r="IM11" s="371"/>
      <c r="IN11" s="371"/>
      <c r="IO11" s="371"/>
      <c r="IP11" s="371"/>
      <c r="IQ11" s="371"/>
      <c r="IR11" s="371"/>
      <c r="IS11" s="371"/>
      <c r="IT11" s="371"/>
      <c r="IU11" s="371"/>
      <c r="IV11" s="371"/>
    </row>
    <row r="12" spans="1:256" x14ac:dyDescent="0.2">
      <c r="A12" s="365"/>
      <c r="B12" s="388" t="s">
        <v>1317</v>
      </c>
      <c r="C12" s="377"/>
      <c r="D12" s="377"/>
      <c r="E12" s="377"/>
      <c r="F12" s="387"/>
      <c r="G12" s="386"/>
      <c r="H12" s="387"/>
      <c r="I12" s="386"/>
      <c r="J12" s="371"/>
      <c r="K12" s="371"/>
      <c r="L12" s="371"/>
      <c r="M12" s="371"/>
      <c r="N12" s="371"/>
      <c r="O12" s="371"/>
      <c r="P12" s="371"/>
      <c r="Q12" s="371"/>
      <c r="R12" s="371"/>
      <c r="S12" s="371"/>
      <c r="T12" s="371"/>
      <c r="U12" s="371"/>
      <c r="V12" s="371"/>
      <c r="W12" s="371"/>
      <c r="X12" s="371"/>
      <c r="Y12" s="371"/>
      <c r="Z12" s="371"/>
      <c r="AA12" s="371"/>
      <c r="AB12" s="371"/>
      <c r="AC12" s="371"/>
      <c r="AD12" s="371"/>
      <c r="AE12" s="371"/>
      <c r="AF12" s="371"/>
      <c r="AG12" s="371"/>
      <c r="AH12" s="371"/>
      <c r="AI12" s="371"/>
      <c r="AJ12" s="371"/>
      <c r="AK12" s="371"/>
      <c r="AL12" s="371"/>
      <c r="AM12" s="371"/>
      <c r="AN12" s="371"/>
      <c r="AO12" s="371"/>
      <c r="AP12" s="371"/>
      <c r="AQ12" s="371"/>
      <c r="AR12" s="371"/>
      <c r="AS12" s="371"/>
      <c r="AT12" s="371"/>
      <c r="AU12" s="371"/>
      <c r="AV12" s="371"/>
      <c r="AW12" s="371"/>
      <c r="AX12" s="371"/>
      <c r="AY12" s="371"/>
      <c r="AZ12" s="371"/>
      <c r="BA12" s="371"/>
      <c r="BB12" s="371"/>
      <c r="BC12" s="371"/>
      <c r="BD12" s="371"/>
      <c r="BE12" s="371"/>
      <c r="BF12" s="371"/>
      <c r="BG12" s="371"/>
      <c r="BH12" s="371"/>
      <c r="BI12" s="371"/>
      <c r="BJ12" s="371"/>
      <c r="BK12" s="371"/>
      <c r="BL12" s="371"/>
      <c r="BM12" s="371"/>
      <c r="BN12" s="371"/>
      <c r="BO12" s="371"/>
      <c r="BP12" s="371"/>
      <c r="BQ12" s="371"/>
      <c r="BR12" s="371"/>
      <c r="BS12" s="371"/>
      <c r="BT12" s="371"/>
      <c r="BU12" s="371"/>
      <c r="BV12" s="371"/>
      <c r="BW12" s="371"/>
      <c r="BX12" s="371"/>
      <c r="BY12" s="371"/>
      <c r="BZ12" s="371"/>
      <c r="CA12" s="371"/>
      <c r="CB12" s="371"/>
      <c r="CC12" s="371"/>
      <c r="CD12" s="371"/>
      <c r="CE12" s="371"/>
      <c r="CF12" s="371"/>
      <c r="CG12" s="371"/>
      <c r="CH12" s="371"/>
      <c r="CI12" s="371"/>
      <c r="CJ12" s="371"/>
      <c r="CK12" s="371"/>
      <c r="CL12" s="371"/>
      <c r="CM12" s="371"/>
      <c r="CN12" s="371"/>
      <c r="CO12" s="371"/>
      <c r="CP12" s="371"/>
      <c r="CQ12" s="371"/>
      <c r="CR12" s="371"/>
      <c r="CS12" s="371"/>
      <c r="CT12" s="371"/>
      <c r="CU12" s="371"/>
      <c r="CV12" s="371"/>
      <c r="CW12" s="371"/>
      <c r="CX12" s="371"/>
      <c r="CY12" s="371"/>
      <c r="CZ12" s="371"/>
      <c r="DA12" s="371"/>
      <c r="DB12" s="371"/>
      <c r="DC12" s="371"/>
      <c r="DD12" s="371"/>
      <c r="DE12" s="371"/>
      <c r="DF12" s="371"/>
      <c r="DG12" s="371"/>
      <c r="DH12" s="371"/>
      <c r="DI12" s="371"/>
      <c r="DJ12" s="371"/>
      <c r="DK12" s="371"/>
      <c r="DL12" s="371"/>
      <c r="DM12" s="371"/>
      <c r="DN12" s="371"/>
      <c r="DO12" s="371"/>
      <c r="DP12" s="371"/>
      <c r="DQ12" s="371"/>
      <c r="DR12" s="371"/>
      <c r="DS12" s="371"/>
      <c r="DT12" s="371"/>
      <c r="DU12" s="371"/>
      <c r="DV12" s="371"/>
      <c r="DW12" s="371"/>
      <c r="DX12" s="371"/>
      <c r="DY12" s="371"/>
      <c r="DZ12" s="371"/>
      <c r="EA12" s="371"/>
      <c r="EB12" s="371"/>
      <c r="EC12" s="371"/>
      <c r="ED12" s="371"/>
      <c r="EE12" s="371"/>
      <c r="EF12" s="371"/>
      <c r="EG12" s="371"/>
      <c r="EH12" s="371"/>
      <c r="EI12" s="371"/>
      <c r="EJ12" s="371"/>
      <c r="EK12" s="371"/>
      <c r="EL12" s="371"/>
      <c r="EM12" s="371"/>
      <c r="EN12" s="371"/>
      <c r="EO12" s="371"/>
      <c r="EP12" s="371"/>
      <c r="EQ12" s="371"/>
      <c r="ER12" s="371"/>
      <c r="ES12" s="371"/>
      <c r="ET12" s="371"/>
      <c r="EU12" s="371"/>
      <c r="EV12" s="371"/>
      <c r="EW12" s="371"/>
      <c r="EX12" s="371"/>
      <c r="EY12" s="371"/>
      <c r="EZ12" s="371"/>
      <c r="FA12" s="371"/>
      <c r="FB12" s="371"/>
      <c r="FC12" s="371"/>
      <c r="FD12" s="371"/>
      <c r="FE12" s="371"/>
      <c r="FF12" s="371"/>
      <c r="FG12" s="371"/>
      <c r="FH12" s="371"/>
      <c r="FI12" s="371"/>
      <c r="FJ12" s="371"/>
      <c r="FK12" s="371"/>
      <c r="FL12" s="371"/>
      <c r="FM12" s="371"/>
      <c r="FN12" s="371"/>
      <c r="FO12" s="371"/>
      <c r="FP12" s="371"/>
      <c r="FQ12" s="371"/>
      <c r="FR12" s="371"/>
      <c r="FS12" s="371"/>
      <c r="FT12" s="371"/>
      <c r="FU12" s="371"/>
      <c r="FV12" s="371"/>
      <c r="FW12" s="371"/>
      <c r="FX12" s="371"/>
      <c r="FY12" s="371"/>
      <c r="FZ12" s="371"/>
      <c r="GA12" s="371"/>
      <c r="GB12" s="371"/>
      <c r="GC12" s="371"/>
      <c r="GD12" s="371"/>
      <c r="GE12" s="371"/>
      <c r="GF12" s="371"/>
      <c r="GG12" s="371"/>
      <c r="GH12" s="371"/>
      <c r="GI12" s="371"/>
      <c r="GJ12" s="371"/>
      <c r="GK12" s="371"/>
      <c r="GL12" s="371"/>
      <c r="GM12" s="371"/>
      <c r="GN12" s="371"/>
      <c r="GO12" s="371"/>
      <c r="GP12" s="371"/>
      <c r="GQ12" s="371"/>
      <c r="GR12" s="371"/>
      <c r="GS12" s="371"/>
      <c r="GT12" s="371"/>
      <c r="GU12" s="371"/>
      <c r="GV12" s="371"/>
      <c r="GW12" s="371"/>
      <c r="GX12" s="371"/>
      <c r="GY12" s="371"/>
      <c r="GZ12" s="371"/>
      <c r="HA12" s="371"/>
      <c r="HB12" s="371"/>
      <c r="HC12" s="371"/>
      <c r="HD12" s="371"/>
      <c r="HE12" s="371"/>
      <c r="HF12" s="371"/>
      <c r="HG12" s="371"/>
      <c r="HH12" s="371"/>
      <c r="HI12" s="371"/>
      <c r="HJ12" s="371"/>
      <c r="HK12" s="371"/>
      <c r="HL12" s="371"/>
      <c r="HM12" s="371"/>
      <c r="HN12" s="371"/>
      <c r="HO12" s="371"/>
      <c r="HP12" s="371"/>
      <c r="HQ12" s="371"/>
      <c r="HR12" s="371"/>
      <c r="HS12" s="371"/>
      <c r="HT12" s="371"/>
      <c r="HU12" s="371"/>
      <c r="HV12" s="371"/>
      <c r="HW12" s="371"/>
      <c r="HX12" s="371"/>
      <c r="HY12" s="371"/>
      <c r="HZ12" s="371"/>
      <c r="IA12" s="371"/>
      <c r="IB12" s="371"/>
      <c r="IC12" s="371"/>
      <c r="ID12" s="371"/>
      <c r="IE12" s="371"/>
      <c r="IF12" s="371"/>
      <c r="IG12" s="371"/>
      <c r="IH12" s="371"/>
      <c r="II12" s="371"/>
      <c r="IJ12" s="371"/>
      <c r="IK12" s="371"/>
      <c r="IL12" s="371"/>
      <c r="IM12" s="371"/>
      <c r="IN12" s="371"/>
      <c r="IO12" s="371"/>
      <c r="IP12" s="371"/>
      <c r="IQ12" s="371"/>
      <c r="IR12" s="371"/>
      <c r="IS12" s="371"/>
      <c r="IT12" s="371"/>
      <c r="IU12" s="371"/>
      <c r="IV12" s="371"/>
    </row>
    <row r="13" spans="1:256" x14ac:dyDescent="0.2">
      <c r="A13" s="365"/>
      <c r="B13" s="390" t="s">
        <v>15</v>
      </c>
      <c r="C13" s="368"/>
      <c r="D13" s="368"/>
      <c r="E13" s="368"/>
      <c r="F13" s="368"/>
      <c r="G13" s="390"/>
      <c r="H13" s="370"/>
      <c r="I13" s="370"/>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371"/>
      <c r="AN13" s="371"/>
      <c r="AO13" s="371"/>
      <c r="AP13" s="371"/>
      <c r="AQ13" s="371"/>
      <c r="AR13" s="371"/>
      <c r="AS13" s="371"/>
      <c r="AT13" s="371"/>
      <c r="AU13" s="371"/>
      <c r="AV13" s="371"/>
      <c r="AW13" s="371"/>
      <c r="AX13" s="371"/>
      <c r="AY13" s="371"/>
      <c r="AZ13" s="371"/>
      <c r="BA13" s="371"/>
      <c r="BB13" s="371"/>
      <c r="BC13" s="371"/>
      <c r="BD13" s="371"/>
      <c r="BE13" s="371"/>
      <c r="BF13" s="371"/>
      <c r="BG13" s="371"/>
      <c r="BH13" s="371"/>
      <c r="BI13" s="371"/>
      <c r="BJ13" s="371"/>
      <c r="BK13" s="371"/>
      <c r="BL13" s="371"/>
      <c r="BM13" s="371"/>
      <c r="BN13" s="371"/>
      <c r="BO13" s="371"/>
      <c r="BP13" s="371"/>
      <c r="BQ13" s="371"/>
      <c r="BR13" s="371"/>
      <c r="BS13" s="371"/>
      <c r="BT13" s="371"/>
      <c r="BU13" s="371"/>
      <c r="BV13" s="371"/>
      <c r="BW13" s="371"/>
      <c r="BX13" s="371"/>
      <c r="BY13" s="371"/>
      <c r="BZ13" s="371"/>
      <c r="CA13" s="371"/>
      <c r="CB13" s="371"/>
      <c r="CC13" s="371"/>
      <c r="CD13" s="371"/>
      <c r="CE13" s="371"/>
      <c r="CF13" s="371"/>
      <c r="CG13" s="371"/>
      <c r="CH13" s="371"/>
      <c r="CI13" s="371"/>
      <c r="CJ13" s="371"/>
      <c r="CK13" s="371"/>
      <c r="CL13" s="371"/>
      <c r="CM13" s="371"/>
      <c r="CN13" s="371"/>
      <c r="CO13" s="371"/>
      <c r="CP13" s="371"/>
      <c r="CQ13" s="371"/>
      <c r="CR13" s="371"/>
      <c r="CS13" s="371"/>
      <c r="CT13" s="371"/>
      <c r="CU13" s="371"/>
      <c r="CV13" s="371"/>
      <c r="CW13" s="371"/>
      <c r="CX13" s="371"/>
      <c r="CY13" s="371"/>
      <c r="CZ13" s="371"/>
      <c r="DA13" s="371"/>
      <c r="DB13" s="371"/>
      <c r="DC13" s="371"/>
      <c r="DD13" s="371"/>
      <c r="DE13" s="371"/>
      <c r="DF13" s="371"/>
      <c r="DG13" s="371"/>
      <c r="DH13" s="371"/>
      <c r="DI13" s="371"/>
      <c r="DJ13" s="371"/>
      <c r="DK13" s="371"/>
      <c r="DL13" s="371"/>
      <c r="DM13" s="371"/>
      <c r="DN13" s="371"/>
      <c r="DO13" s="371"/>
      <c r="DP13" s="371"/>
      <c r="DQ13" s="371"/>
      <c r="DR13" s="371"/>
      <c r="DS13" s="371"/>
      <c r="DT13" s="371"/>
      <c r="DU13" s="371"/>
      <c r="DV13" s="371"/>
      <c r="DW13" s="371"/>
      <c r="DX13" s="371"/>
      <c r="DY13" s="371"/>
      <c r="DZ13" s="371"/>
      <c r="EA13" s="371"/>
      <c r="EB13" s="371"/>
      <c r="EC13" s="371"/>
      <c r="ED13" s="371"/>
      <c r="EE13" s="371"/>
      <c r="EF13" s="371"/>
      <c r="EG13" s="371"/>
      <c r="EH13" s="371"/>
      <c r="EI13" s="371"/>
      <c r="EJ13" s="371"/>
      <c r="EK13" s="371"/>
      <c r="EL13" s="371"/>
      <c r="EM13" s="371"/>
      <c r="EN13" s="371"/>
      <c r="EO13" s="371"/>
      <c r="EP13" s="371"/>
      <c r="EQ13" s="371"/>
      <c r="ER13" s="371"/>
      <c r="ES13" s="371"/>
      <c r="ET13" s="371"/>
      <c r="EU13" s="371"/>
      <c r="EV13" s="371"/>
      <c r="EW13" s="371"/>
      <c r="EX13" s="371"/>
      <c r="EY13" s="371"/>
      <c r="EZ13" s="371"/>
      <c r="FA13" s="371"/>
      <c r="FB13" s="371"/>
      <c r="FC13" s="371"/>
      <c r="FD13" s="371"/>
      <c r="FE13" s="371"/>
      <c r="FF13" s="371"/>
      <c r="FG13" s="371"/>
      <c r="FH13" s="371"/>
      <c r="FI13" s="371"/>
      <c r="FJ13" s="371"/>
      <c r="FK13" s="371"/>
      <c r="FL13" s="371"/>
      <c r="FM13" s="371"/>
      <c r="FN13" s="371"/>
      <c r="FO13" s="371"/>
      <c r="FP13" s="371"/>
      <c r="FQ13" s="371"/>
      <c r="FR13" s="371"/>
      <c r="FS13" s="371"/>
      <c r="FT13" s="371"/>
      <c r="FU13" s="371"/>
      <c r="FV13" s="371"/>
      <c r="FW13" s="371"/>
      <c r="FX13" s="371"/>
      <c r="FY13" s="371"/>
      <c r="FZ13" s="371"/>
      <c r="GA13" s="371"/>
      <c r="GB13" s="371"/>
      <c r="GC13" s="371"/>
      <c r="GD13" s="371"/>
      <c r="GE13" s="371"/>
      <c r="GF13" s="371"/>
      <c r="GG13" s="371"/>
      <c r="GH13" s="371"/>
      <c r="GI13" s="371"/>
      <c r="GJ13" s="371"/>
      <c r="GK13" s="371"/>
      <c r="GL13" s="371"/>
      <c r="GM13" s="371"/>
      <c r="GN13" s="371"/>
      <c r="GO13" s="371"/>
      <c r="GP13" s="371"/>
      <c r="GQ13" s="371"/>
      <c r="GR13" s="371"/>
      <c r="GS13" s="371"/>
      <c r="GT13" s="371"/>
      <c r="GU13" s="371"/>
      <c r="GV13" s="371"/>
      <c r="GW13" s="371"/>
      <c r="GX13" s="371"/>
      <c r="GY13" s="371"/>
      <c r="GZ13" s="371"/>
      <c r="HA13" s="371"/>
      <c r="HB13" s="371"/>
      <c r="HC13" s="371"/>
      <c r="HD13" s="371"/>
      <c r="HE13" s="371"/>
      <c r="HF13" s="371"/>
      <c r="HG13" s="371"/>
      <c r="HH13" s="371"/>
      <c r="HI13" s="371"/>
      <c r="HJ13" s="371"/>
      <c r="HK13" s="371"/>
      <c r="HL13" s="371"/>
      <c r="HM13" s="371"/>
      <c r="HN13" s="371"/>
      <c r="HO13" s="371"/>
      <c r="HP13" s="371"/>
      <c r="HQ13" s="371"/>
      <c r="HR13" s="371"/>
      <c r="HS13" s="371"/>
      <c r="HT13" s="371"/>
      <c r="HU13" s="371"/>
      <c r="HV13" s="371"/>
      <c r="HW13" s="371"/>
      <c r="HX13" s="371"/>
      <c r="HY13" s="371"/>
      <c r="HZ13" s="371"/>
      <c r="IA13" s="371"/>
      <c r="IB13" s="371"/>
      <c r="IC13" s="371"/>
      <c r="ID13" s="371"/>
      <c r="IE13" s="371"/>
      <c r="IF13" s="371"/>
      <c r="IG13" s="371"/>
      <c r="IH13" s="371"/>
      <c r="II13" s="371"/>
      <c r="IJ13" s="371"/>
      <c r="IK13" s="371"/>
      <c r="IL13" s="371"/>
      <c r="IM13" s="371"/>
      <c r="IN13" s="371"/>
      <c r="IO13" s="371"/>
      <c r="IP13" s="371"/>
      <c r="IQ13" s="371"/>
      <c r="IR13" s="371"/>
      <c r="IS13" s="371"/>
      <c r="IT13" s="371"/>
      <c r="IU13" s="371"/>
      <c r="IV13" s="371"/>
    </row>
    <row r="14" spans="1:256" ht="70.5" customHeight="1" x14ac:dyDescent="0.2">
      <c r="A14" s="391" t="s">
        <v>1318</v>
      </c>
      <c r="B14" s="392" t="s">
        <v>1319</v>
      </c>
      <c r="C14" s="392" t="s">
        <v>1320</v>
      </c>
      <c r="D14" s="392" t="s">
        <v>1321</v>
      </c>
      <c r="E14" s="392" t="s">
        <v>13</v>
      </c>
      <c r="F14" s="394"/>
      <c r="G14" s="394"/>
      <c r="H14" s="394"/>
      <c r="I14" s="394"/>
      <c r="J14" s="394"/>
      <c r="K14" s="394"/>
      <c r="L14" s="394"/>
      <c r="M14" s="394"/>
      <c r="N14" s="394"/>
      <c r="O14" s="394"/>
      <c r="P14" s="394"/>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4"/>
      <c r="AX14" s="394"/>
      <c r="AY14" s="394"/>
      <c r="AZ14" s="394"/>
      <c r="BA14" s="394"/>
      <c r="BB14" s="394"/>
      <c r="BC14" s="394"/>
      <c r="BD14" s="394"/>
      <c r="BE14" s="394"/>
      <c r="BF14" s="394"/>
      <c r="BG14" s="394"/>
      <c r="BH14" s="394"/>
      <c r="BI14" s="394"/>
      <c r="BJ14" s="394"/>
      <c r="BK14" s="394"/>
      <c r="BL14" s="394"/>
      <c r="BM14" s="394"/>
      <c r="BN14" s="394"/>
      <c r="BO14" s="394"/>
      <c r="BP14" s="394"/>
      <c r="BQ14" s="394"/>
      <c r="BR14" s="394"/>
      <c r="BS14" s="394"/>
      <c r="BT14" s="394"/>
      <c r="BU14" s="394"/>
      <c r="BV14" s="394"/>
      <c r="BW14" s="394"/>
      <c r="BX14" s="394"/>
      <c r="BY14" s="394"/>
      <c r="BZ14" s="394"/>
      <c r="CA14" s="394"/>
      <c r="CB14" s="394"/>
      <c r="CC14" s="394"/>
      <c r="CD14" s="394"/>
      <c r="CE14" s="394"/>
      <c r="CF14" s="394"/>
      <c r="CG14" s="394"/>
      <c r="CH14" s="394"/>
      <c r="CI14" s="394"/>
      <c r="CJ14" s="394"/>
      <c r="CK14" s="394"/>
      <c r="CL14" s="394"/>
      <c r="CM14" s="394"/>
      <c r="CN14" s="394"/>
      <c r="CO14" s="394"/>
      <c r="CP14" s="394"/>
      <c r="CQ14" s="394"/>
      <c r="CR14" s="394"/>
      <c r="CS14" s="394"/>
      <c r="CT14" s="394"/>
      <c r="CU14" s="394"/>
      <c r="CV14" s="394"/>
      <c r="CW14" s="394"/>
      <c r="CX14" s="394"/>
      <c r="CY14" s="394"/>
      <c r="CZ14" s="394"/>
      <c r="DA14" s="394"/>
      <c r="DB14" s="394"/>
      <c r="DC14" s="394"/>
      <c r="DD14" s="394"/>
      <c r="DE14" s="394"/>
      <c r="DF14" s="394"/>
      <c r="DG14" s="394"/>
      <c r="DH14" s="394"/>
      <c r="DI14" s="394"/>
      <c r="DJ14" s="394"/>
      <c r="DK14" s="394"/>
      <c r="DL14" s="394"/>
      <c r="DM14" s="394"/>
      <c r="DN14" s="394"/>
      <c r="DO14" s="394"/>
      <c r="DP14" s="394"/>
      <c r="DQ14" s="394"/>
      <c r="DR14" s="394"/>
      <c r="DS14" s="394"/>
      <c r="DT14" s="394"/>
      <c r="DU14" s="394"/>
      <c r="DV14" s="394"/>
      <c r="DW14" s="394"/>
      <c r="DX14" s="394"/>
      <c r="DY14" s="394"/>
      <c r="DZ14" s="394"/>
      <c r="EA14" s="394"/>
      <c r="EB14" s="394"/>
      <c r="EC14" s="394"/>
      <c r="ED14" s="394"/>
      <c r="EE14" s="394"/>
      <c r="EF14" s="394"/>
      <c r="EG14" s="394"/>
      <c r="EH14" s="394"/>
      <c r="EI14" s="394"/>
      <c r="EJ14" s="394"/>
      <c r="EK14" s="394"/>
      <c r="EL14" s="394"/>
      <c r="EM14" s="394"/>
      <c r="EN14" s="394"/>
      <c r="EO14" s="394"/>
      <c r="EP14" s="394"/>
      <c r="EQ14" s="394"/>
      <c r="ER14" s="394"/>
      <c r="ES14" s="394"/>
      <c r="ET14" s="394"/>
      <c r="EU14" s="394"/>
      <c r="EV14" s="394"/>
      <c r="EW14" s="394"/>
      <c r="EX14" s="394"/>
      <c r="EY14" s="394"/>
      <c r="EZ14" s="394"/>
      <c r="FA14" s="394"/>
      <c r="FB14" s="394"/>
      <c r="FC14" s="394"/>
      <c r="FD14" s="394"/>
      <c r="FE14" s="394"/>
      <c r="FF14" s="394"/>
      <c r="FG14" s="394"/>
      <c r="FH14" s="394"/>
      <c r="FI14" s="394"/>
      <c r="FJ14" s="394"/>
      <c r="FK14" s="394"/>
      <c r="FL14" s="394"/>
      <c r="FM14" s="394"/>
      <c r="FN14" s="394"/>
      <c r="FO14" s="394"/>
      <c r="FP14" s="394"/>
      <c r="FQ14" s="394"/>
      <c r="FR14" s="394"/>
      <c r="FS14" s="394"/>
      <c r="FT14" s="394"/>
      <c r="FU14" s="394"/>
      <c r="FV14" s="394"/>
      <c r="FW14" s="394"/>
      <c r="FX14" s="394"/>
      <c r="FY14" s="394"/>
      <c r="FZ14" s="394"/>
      <c r="GA14" s="394"/>
      <c r="GB14" s="394"/>
      <c r="GC14" s="394"/>
      <c r="GD14" s="394"/>
      <c r="GE14" s="394"/>
      <c r="GF14" s="394"/>
      <c r="GG14" s="394"/>
      <c r="GH14" s="394"/>
      <c r="GI14" s="394"/>
      <c r="GJ14" s="394"/>
      <c r="GK14" s="394"/>
      <c r="GL14" s="394"/>
      <c r="GM14" s="394"/>
      <c r="GN14" s="394"/>
      <c r="GO14" s="394"/>
      <c r="GP14" s="394"/>
      <c r="GQ14" s="394"/>
      <c r="GR14" s="394"/>
      <c r="GS14" s="394"/>
      <c r="GT14" s="394"/>
      <c r="GU14" s="394"/>
      <c r="GV14" s="394"/>
      <c r="GW14" s="394"/>
      <c r="GX14" s="394"/>
      <c r="GY14" s="394"/>
      <c r="GZ14" s="394"/>
      <c r="HA14" s="394"/>
      <c r="HB14" s="394"/>
      <c r="HC14" s="394"/>
      <c r="HD14" s="394"/>
      <c r="HE14" s="394"/>
      <c r="HF14" s="394"/>
      <c r="HG14" s="394"/>
      <c r="HH14" s="394"/>
      <c r="HI14" s="394"/>
      <c r="HJ14" s="394"/>
      <c r="HK14" s="394"/>
      <c r="HL14" s="394"/>
      <c r="HM14" s="394"/>
      <c r="HN14" s="394"/>
      <c r="HO14" s="394"/>
      <c r="HP14" s="394"/>
      <c r="HQ14" s="394"/>
      <c r="HR14" s="394"/>
      <c r="HS14" s="394"/>
      <c r="HT14" s="394"/>
      <c r="HU14" s="394"/>
      <c r="HV14" s="394"/>
      <c r="HW14" s="394"/>
      <c r="HX14" s="394"/>
      <c r="HY14" s="394"/>
      <c r="HZ14" s="394"/>
      <c r="IA14" s="394"/>
      <c r="IB14" s="394"/>
      <c r="IC14" s="394"/>
      <c r="ID14" s="394"/>
      <c r="IE14" s="394"/>
      <c r="IF14" s="394"/>
      <c r="IG14" s="394"/>
      <c r="IH14" s="394"/>
      <c r="II14" s="394"/>
      <c r="IJ14" s="394"/>
      <c r="IK14" s="394"/>
      <c r="IL14" s="394"/>
      <c r="IM14" s="394"/>
      <c r="IN14" s="394"/>
      <c r="IO14" s="394"/>
      <c r="IP14" s="394"/>
      <c r="IQ14" s="394"/>
      <c r="IR14" s="394"/>
      <c r="IS14" s="394"/>
      <c r="IT14" s="394"/>
      <c r="IU14" s="394"/>
      <c r="IV14" s="394"/>
    </row>
    <row r="15" spans="1:256" x14ac:dyDescent="0.2">
      <c r="A15" s="395">
        <v>1</v>
      </c>
      <c r="B15" s="395">
        <v>2</v>
      </c>
      <c r="C15" s="395">
        <v>3</v>
      </c>
      <c r="D15" s="395">
        <v>4</v>
      </c>
      <c r="E15" s="415">
        <v>5</v>
      </c>
      <c r="F15" s="394"/>
      <c r="G15" s="394"/>
      <c r="H15" s="394"/>
      <c r="I15" s="394"/>
      <c r="J15" s="394"/>
      <c r="K15" s="394"/>
      <c r="L15" s="394"/>
      <c r="M15" s="394"/>
      <c r="N15" s="394"/>
      <c r="O15" s="394"/>
      <c r="P15" s="394"/>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4"/>
      <c r="BK15" s="394"/>
      <c r="BL15" s="394"/>
      <c r="BM15" s="394"/>
      <c r="BN15" s="394"/>
      <c r="BO15" s="394"/>
      <c r="BP15" s="394"/>
      <c r="BQ15" s="394"/>
      <c r="BR15" s="394"/>
      <c r="BS15" s="394"/>
      <c r="BT15" s="394"/>
      <c r="BU15" s="394"/>
      <c r="BV15" s="394"/>
      <c r="BW15" s="394"/>
      <c r="BX15" s="394"/>
      <c r="BY15" s="394"/>
      <c r="BZ15" s="394"/>
      <c r="CA15" s="394"/>
      <c r="CB15" s="394"/>
      <c r="CC15" s="394"/>
      <c r="CD15" s="394"/>
      <c r="CE15" s="394"/>
      <c r="CF15" s="394"/>
      <c r="CG15" s="394"/>
      <c r="CH15" s="394"/>
      <c r="CI15" s="394"/>
      <c r="CJ15" s="394"/>
      <c r="CK15" s="394"/>
      <c r="CL15" s="394"/>
      <c r="CM15" s="394"/>
      <c r="CN15" s="394"/>
      <c r="CO15" s="394"/>
      <c r="CP15" s="394"/>
      <c r="CQ15" s="394"/>
      <c r="CR15" s="394"/>
      <c r="CS15" s="394"/>
      <c r="CT15" s="394"/>
      <c r="CU15" s="394"/>
      <c r="CV15" s="394"/>
      <c r="CW15" s="394"/>
      <c r="CX15" s="394"/>
      <c r="CY15" s="394"/>
      <c r="CZ15" s="394"/>
      <c r="DA15" s="394"/>
      <c r="DB15" s="394"/>
      <c r="DC15" s="394"/>
      <c r="DD15" s="394"/>
      <c r="DE15" s="394"/>
      <c r="DF15" s="394"/>
      <c r="DG15" s="394"/>
      <c r="DH15" s="394"/>
      <c r="DI15" s="394"/>
      <c r="DJ15" s="394"/>
      <c r="DK15" s="394"/>
      <c r="DL15" s="394"/>
      <c r="DM15" s="394"/>
      <c r="DN15" s="394"/>
      <c r="DO15" s="394"/>
      <c r="DP15" s="394"/>
      <c r="DQ15" s="394"/>
      <c r="DR15" s="394"/>
      <c r="DS15" s="394"/>
      <c r="DT15" s="394"/>
      <c r="DU15" s="394"/>
      <c r="DV15" s="394"/>
      <c r="DW15" s="394"/>
      <c r="DX15" s="394"/>
      <c r="DY15" s="394"/>
      <c r="DZ15" s="394"/>
      <c r="EA15" s="394"/>
      <c r="EB15" s="394"/>
      <c r="EC15" s="394"/>
      <c r="ED15" s="394"/>
      <c r="EE15" s="394"/>
      <c r="EF15" s="394"/>
      <c r="EG15" s="394"/>
      <c r="EH15" s="394"/>
      <c r="EI15" s="394"/>
      <c r="EJ15" s="394"/>
      <c r="EK15" s="394"/>
      <c r="EL15" s="394"/>
      <c r="EM15" s="394"/>
      <c r="EN15" s="394"/>
      <c r="EO15" s="394"/>
      <c r="EP15" s="394"/>
      <c r="EQ15" s="394"/>
      <c r="ER15" s="394"/>
      <c r="ES15" s="394"/>
      <c r="ET15" s="394"/>
      <c r="EU15" s="394"/>
      <c r="EV15" s="394"/>
      <c r="EW15" s="394"/>
      <c r="EX15" s="394"/>
      <c r="EY15" s="394"/>
      <c r="EZ15" s="394"/>
      <c r="FA15" s="394"/>
      <c r="FB15" s="394"/>
      <c r="FC15" s="394"/>
      <c r="FD15" s="394"/>
      <c r="FE15" s="394"/>
      <c r="FF15" s="394"/>
      <c r="FG15" s="394"/>
      <c r="FH15" s="394"/>
      <c r="FI15" s="394"/>
      <c r="FJ15" s="394"/>
      <c r="FK15" s="394"/>
      <c r="FL15" s="394"/>
      <c r="FM15" s="394"/>
      <c r="FN15" s="394"/>
      <c r="FO15" s="394"/>
      <c r="FP15" s="394"/>
      <c r="FQ15" s="394"/>
      <c r="FR15" s="394"/>
      <c r="FS15" s="394"/>
      <c r="FT15" s="394"/>
      <c r="FU15" s="394"/>
      <c r="FV15" s="394"/>
      <c r="FW15" s="394"/>
      <c r="FX15" s="394"/>
      <c r="FY15" s="394"/>
      <c r="FZ15" s="394"/>
      <c r="GA15" s="394"/>
      <c r="GB15" s="394"/>
      <c r="GC15" s="394"/>
      <c r="GD15" s="394"/>
      <c r="GE15" s="394"/>
      <c r="GF15" s="394"/>
      <c r="GG15" s="394"/>
      <c r="GH15" s="394"/>
      <c r="GI15" s="394"/>
      <c r="GJ15" s="394"/>
      <c r="GK15" s="394"/>
      <c r="GL15" s="394"/>
      <c r="GM15" s="394"/>
      <c r="GN15" s="394"/>
      <c r="GO15" s="394"/>
      <c r="GP15" s="394"/>
      <c r="GQ15" s="394"/>
      <c r="GR15" s="394"/>
      <c r="GS15" s="394"/>
      <c r="GT15" s="394"/>
      <c r="GU15" s="394"/>
      <c r="GV15" s="394"/>
      <c r="GW15" s="394"/>
      <c r="GX15" s="394"/>
      <c r="GY15" s="394"/>
      <c r="GZ15" s="394"/>
      <c r="HA15" s="394"/>
      <c r="HB15" s="394"/>
      <c r="HC15" s="394"/>
      <c r="HD15" s="394"/>
      <c r="HE15" s="394"/>
      <c r="HF15" s="394"/>
      <c r="HG15" s="394"/>
      <c r="HH15" s="394"/>
      <c r="HI15" s="394"/>
      <c r="HJ15" s="394"/>
      <c r="HK15" s="394"/>
      <c r="HL15" s="394"/>
      <c r="HM15" s="394"/>
      <c r="HN15" s="394"/>
      <c r="HO15" s="394"/>
      <c r="HP15" s="394"/>
      <c r="HQ15" s="394"/>
      <c r="HR15" s="394"/>
      <c r="HS15" s="394"/>
      <c r="HT15" s="394"/>
      <c r="HU15" s="394"/>
      <c r="HV15" s="394"/>
      <c r="HW15" s="394"/>
      <c r="HX15" s="394"/>
      <c r="HY15" s="394"/>
      <c r="HZ15" s="394"/>
      <c r="IA15" s="394"/>
      <c r="IB15" s="394"/>
      <c r="IC15" s="394"/>
      <c r="ID15" s="394"/>
      <c r="IE15" s="394"/>
      <c r="IF15" s="394"/>
      <c r="IG15" s="394"/>
      <c r="IH15" s="394"/>
      <c r="II15" s="394"/>
      <c r="IJ15" s="394"/>
      <c r="IK15" s="394"/>
      <c r="IL15" s="394"/>
      <c r="IM15" s="394"/>
      <c r="IN15" s="394"/>
      <c r="IO15" s="394"/>
      <c r="IP15" s="394"/>
      <c r="IQ15" s="394"/>
      <c r="IR15" s="394"/>
      <c r="IS15" s="394"/>
      <c r="IT15" s="394"/>
      <c r="IU15" s="394"/>
      <c r="IV15" s="394"/>
    </row>
    <row r="16" spans="1:256" ht="3.75" customHeight="1" x14ac:dyDescent="0.2">
      <c r="A16" s="396"/>
      <c r="B16" s="396"/>
      <c r="C16" s="397"/>
      <c r="D16" s="397"/>
      <c r="E16" s="416"/>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4"/>
      <c r="BK16" s="394"/>
      <c r="BL16" s="394"/>
      <c r="BM16" s="394"/>
      <c r="BN16" s="394"/>
      <c r="BO16" s="394"/>
      <c r="BP16" s="394"/>
      <c r="BQ16" s="394"/>
      <c r="BR16" s="394"/>
      <c r="BS16" s="394"/>
      <c r="BT16" s="394"/>
      <c r="BU16" s="394"/>
      <c r="BV16" s="394"/>
      <c r="BW16" s="394"/>
      <c r="BX16" s="394"/>
      <c r="BY16" s="394"/>
      <c r="BZ16" s="394"/>
      <c r="CA16" s="394"/>
      <c r="CB16" s="394"/>
      <c r="CC16" s="394"/>
      <c r="CD16" s="394"/>
      <c r="CE16" s="394"/>
      <c r="CF16" s="394"/>
      <c r="CG16" s="394"/>
      <c r="CH16" s="394"/>
      <c r="CI16" s="394"/>
      <c r="CJ16" s="394"/>
      <c r="CK16" s="394"/>
      <c r="CL16" s="394"/>
      <c r="CM16" s="394"/>
      <c r="CN16" s="394"/>
      <c r="CO16" s="394"/>
      <c r="CP16" s="394"/>
      <c r="CQ16" s="394"/>
      <c r="CR16" s="394"/>
      <c r="CS16" s="394"/>
      <c r="CT16" s="394"/>
      <c r="CU16" s="394"/>
      <c r="CV16" s="394"/>
      <c r="CW16" s="394"/>
      <c r="CX16" s="394"/>
      <c r="CY16" s="394"/>
      <c r="CZ16" s="394"/>
      <c r="DA16" s="394"/>
      <c r="DB16" s="394"/>
      <c r="DC16" s="394"/>
      <c r="DD16" s="394"/>
      <c r="DE16" s="394"/>
      <c r="DF16" s="394"/>
      <c r="DG16" s="394"/>
      <c r="DH16" s="394"/>
      <c r="DI16" s="394"/>
      <c r="DJ16" s="394"/>
      <c r="DK16" s="394"/>
      <c r="DL16" s="394"/>
      <c r="DM16" s="394"/>
      <c r="DN16" s="394"/>
      <c r="DO16" s="394"/>
      <c r="DP16" s="394"/>
      <c r="DQ16" s="394"/>
      <c r="DR16" s="394"/>
      <c r="DS16" s="394"/>
      <c r="DT16" s="394"/>
      <c r="DU16" s="394"/>
      <c r="DV16" s="394"/>
      <c r="DW16" s="394"/>
      <c r="DX16" s="394"/>
      <c r="DY16" s="394"/>
      <c r="DZ16" s="394"/>
      <c r="EA16" s="394"/>
      <c r="EB16" s="394"/>
      <c r="EC16" s="394"/>
      <c r="ED16" s="394"/>
      <c r="EE16" s="394"/>
      <c r="EF16" s="394"/>
      <c r="EG16" s="394"/>
      <c r="EH16" s="394"/>
      <c r="EI16" s="394"/>
      <c r="EJ16" s="394"/>
      <c r="EK16" s="394"/>
      <c r="EL16" s="394"/>
      <c r="EM16" s="394"/>
      <c r="EN16" s="394"/>
      <c r="EO16" s="394"/>
      <c r="EP16" s="394"/>
      <c r="EQ16" s="394"/>
      <c r="ER16" s="394"/>
      <c r="ES16" s="394"/>
      <c r="ET16" s="394"/>
      <c r="EU16" s="394"/>
      <c r="EV16" s="394"/>
      <c r="EW16" s="394"/>
      <c r="EX16" s="394"/>
      <c r="EY16" s="394"/>
      <c r="EZ16" s="394"/>
      <c r="FA16" s="394"/>
      <c r="FB16" s="394"/>
      <c r="FC16" s="394"/>
      <c r="FD16" s="394"/>
      <c r="FE16" s="394"/>
      <c r="FF16" s="394"/>
      <c r="FG16" s="394"/>
      <c r="FH16" s="394"/>
      <c r="FI16" s="394"/>
      <c r="FJ16" s="394"/>
      <c r="FK16" s="394"/>
      <c r="FL16" s="394"/>
      <c r="FM16" s="394"/>
      <c r="FN16" s="394"/>
      <c r="FO16" s="394"/>
      <c r="FP16" s="394"/>
      <c r="FQ16" s="394"/>
      <c r="FR16" s="394"/>
      <c r="FS16" s="394"/>
      <c r="FT16" s="394"/>
      <c r="FU16" s="394"/>
      <c r="FV16" s="394"/>
      <c r="FW16" s="394"/>
      <c r="FX16" s="394"/>
      <c r="FY16" s="394"/>
      <c r="FZ16" s="394"/>
      <c r="GA16" s="394"/>
      <c r="GB16" s="394"/>
      <c r="GC16" s="394"/>
      <c r="GD16" s="394"/>
      <c r="GE16" s="394"/>
      <c r="GF16" s="394"/>
      <c r="GG16" s="394"/>
      <c r="GH16" s="394"/>
      <c r="GI16" s="394"/>
      <c r="GJ16" s="394"/>
      <c r="GK16" s="394"/>
      <c r="GL16" s="394"/>
      <c r="GM16" s="394"/>
      <c r="GN16" s="394"/>
      <c r="GO16" s="394"/>
      <c r="GP16" s="394"/>
      <c r="GQ16" s="394"/>
      <c r="GR16" s="394"/>
      <c r="GS16" s="394"/>
      <c r="GT16" s="394"/>
      <c r="GU16" s="394"/>
      <c r="GV16" s="394"/>
      <c r="GW16" s="394"/>
      <c r="GX16" s="394"/>
      <c r="GY16" s="394"/>
      <c r="GZ16" s="394"/>
      <c r="HA16" s="394"/>
      <c r="HB16" s="394"/>
      <c r="HC16" s="394"/>
      <c r="HD16" s="394"/>
      <c r="HE16" s="394"/>
      <c r="HF16" s="394"/>
      <c r="HG16" s="394"/>
      <c r="HH16" s="394"/>
      <c r="HI16" s="394"/>
      <c r="HJ16" s="394"/>
      <c r="HK16" s="394"/>
      <c r="HL16" s="394"/>
      <c r="HM16" s="394"/>
      <c r="HN16" s="394"/>
      <c r="HO16" s="394"/>
      <c r="HP16" s="394"/>
      <c r="HQ16" s="394"/>
      <c r="HR16" s="394"/>
      <c r="HS16" s="394"/>
      <c r="HT16" s="394"/>
      <c r="HU16" s="394"/>
      <c r="HV16" s="394"/>
      <c r="HW16" s="394"/>
      <c r="HX16" s="394"/>
      <c r="HY16" s="394"/>
      <c r="HZ16" s="394"/>
      <c r="IA16" s="394"/>
      <c r="IB16" s="394"/>
      <c r="IC16" s="394"/>
      <c r="ID16" s="394"/>
      <c r="IE16" s="394"/>
      <c r="IF16" s="394"/>
      <c r="IG16" s="394"/>
      <c r="IH16" s="394"/>
      <c r="II16" s="394"/>
      <c r="IJ16" s="394"/>
      <c r="IK16" s="394"/>
      <c r="IL16" s="394"/>
      <c r="IM16" s="394"/>
      <c r="IN16" s="394"/>
      <c r="IO16" s="394"/>
      <c r="IP16" s="394"/>
      <c r="IQ16" s="394"/>
      <c r="IR16" s="394"/>
      <c r="IS16" s="394"/>
      <c r="IT16" s="394"/>
      <c r="IU16" s="394"/>
      <c r="IV16" s="399"/>
    </row>
    <row r="17" spans="1:10" x14ac:dyDescent="0.2">
      <c r="A17" s="790" t="s">
        <v>1406</v>
      </c>
      <c r="B17" s="791"/>
      <c r="C17" s="791"/>
      <c r="D17" s="791"/>
      <c r="E17" s="792"/>
      <c r="F17" s="417"/>
      <c r="G17" s="417"/>
      <c r="H17" s="417"/>
      <c r="I17" s="417"/>
      <c r="J17" s="417"/>
    </row>
    <row r="18" spans="1:10" x14ac:dyDescent="0.2">
      <c r="A18" s="778">
        <v>1</v>
      </c>
      <c r="B18" s="400" t="s">
        <v>1407</v>
      </c>
      <c r="C18" s="781"/>
      <c r="D18" s="778"/>
      <c r="E18" s="778">
        <v>500000</v>
      </c>
      <c r="F18" s="417"/>
      <c r="G18" s="417"/>
      <c r="H18" s="417"/>
      <c r="I18" s="417"/>
      <c r="J18" s="417"/>
    </row>
    <row r="19" spans="1:10" ht="25.5" x14ac:dyDescent="0.2">
      <c r="A19" s="780"/>
      <c r="B19" s="404" t="s">
        <v>1372</v>
      </c>
      <c r="C19" s="783"/>
      <c r="D19" s="780"/>
      <c r="E19" s="780"/>
      <c r="F19" s="417"/>
      <c r="G19" s="417"/>
      <c r="H19" s="417"/>
      <c r="I19" s="417"/>
      <c r="J19" s="417"/>
    </row>
    <row r="20" spans="1:10" x14ac:dyDescent="0.2">
      <c r="A20" s="778">
        <v>2</v>
      </c>
      <c r="B20" s="402" t="s">
        <v>1408</v>
      </c>
      <c r="C20" s="781"/>
      <c r="D20" s="778"/>
      <c r="E20" s="778">
        <v>500000</v>
      </c>
      <c r="F20" s="417"/>
      <c r="G20" s="417"/>
      <c r="H20" s="417"/>
      <c r="I20" s="417"/>
      <c r="J20" s="417"/>
    </row>
    <row r="21" spans="1:10" ht="25.5" x14ac:dyDescent="0.2">
      <c r="A21" s="780"/>
      <c r="B21" s="404" t="s">
        <v>1372</v>
      </c>
      <c r="C21" s="783"/>
      <c r="D21" s="780"/>
      <c r="E21" s="780"/>
      <c r="F21" s="417"/>
      <c r="G21" s="417"/>
      <c r="H21" s="417"/>
      <c r="I21" s="417"/>
      <c r="J21" s="417"/>
    </row>
    <row r="22" spans="1:10" ht="25.5" x14ac:dyDescent="0.2">
      <c r="A22" s="403">
        <v>3</v>
      </c>
      <c r="B22" s="404" t="s">
        <v>1409</v>
      </c>
      <c r="C22" s="405"/>
      <c r="D22" s="406"/>
      <c r="E22" s="406">
        <v>1000000</v>
      </c>
      <c r="F22" s="417"/>
      <c r="G22" s="417"/>
      <c r="H22" s="417"/>
      <c r="I22" s="417"/>
      <c r="J22" s="417"/>
    </row>
    <row r="23" spans="1:10" ht="25.5" x14ac:dyDescent="0.2">
      <c r="A23" s="403">
        <v>4</v>
      </c>
      <c r="B23" s="404" t="s">
        <v>1410</v>
      </c>
      <c r="C23" s="405"/>
      <c r="D23" s="406"/>
      <c r="E23" s="406">
        <v>1000000</v>
      </c>
      <c r="F23" s="417"/>
      <c r="G23" s="417"/>
      <c r="H23" s="417"/>
      <c r="I23" s="417"/>
      <c r="J23" s="417"/>
    </row>
    <row r="24" spans="1:10" ht="51" x14ac:dyDescent="0.2">
      <c r="A24" s="403">
        <v>5</v>
      </c>
      <c r="B24" s="418" t="s">
        <v>1401</v>
      </c>
      <c r="C24" s="418" t="s">
        <v>1402</v>
      </c>
      <c r="D24" s="418" t="s">
        <v>1403</v>
      </c>
      <c r="E24" s="419">
        <f>E23*0.8</f>
        <v>800000</v>
      </c>
      <c r="F24" s="417"/>
      <c r="G24" s="417"/>
      <c r="H24" s="417"/>
      <c r="I24" s="417"/>
      <c r="J24" s="417"/>
    </row>
    <row r="25" spans="1:10" x14ac:dyDescent="0.2">
      <c r="A25" s="787" t="s">
        <v>252</v>
      </c>
      <c r="B25" s="788"/>
      <c r="C25" s="788"/>
      <c r="D25" s="789"/>
      <c r="E25" s="410">
        <f>E24</f>
        <v>800000</v>
      </c>
      <c r="F25" s="417"/>
      <c r="G25" s="417"/>
      <c r="H25" s="417"/>
      <c r="I25" s="417"/>
      <c r="J25" s="417"/>
    </row>
    <row r="26" spans="1:10" x14ac:dyDescent="0.2">
      <c r="A26" s="411"/>
      <c r="B26" s="411"/>
      <c r="C26" s="411"/>
      <c r="D26" s="411"/>
      <c r="E26" s="412"/>
      <c r="F26" s="417"/>
      <c r="G26" s="417"/>
      <c r="H26" s="417"/>
      <c r="I26" s="417"/>
      <c r="J26" s="417"/>
    </row>
    <row r="27" spans="1:10" x14ac:dyDescent="0.2">
      <c r="E27" s="364"/>
      <c r="F27" s="417"/>
      <c r="G27" s="417"/>
      <c r="H27" s="417"/>
      <c r="I27" s="417"/>
      <c r="J27" s="417"/>
    </row>
    <row r="28" spans="1:10" x14ac:dyDescent="0.2">
      <c r="E28" s="364"/>
      <c r="F28" s="417"/>
      <c r="G28" s="417"/>
      <c r="H28" s="417"/>
      <c r="I28" s="417"/>
      <c r="J28" s="417"/>
    </row>
    <row r="29" spans="1:10" x14ac:dyDescent="0.2">
      <c r="E29" s="364"/>
      <c r="F29" s="417"/>
      <c r="G29" s="417"/>
      <c r="H29" s="417"/>
      <c r="I29" s="417"/>
      <c r="J29" s="417"/>
    </row>
    <row r="30" spans="1:10" x14ac:dyDescent="0.2">
      <c r="E30" s="364"/>
      <c r="F30" s="417"/>
      <c r="G30" s="417"/>
      <c r="H30" s="417"/>
      <c r="I30" s="417"/>
      <c r="J30" s="417"/>
    </row>
    <row r="31" spans="1:10" x14ac:dyDescent="0.2">
      <c r="E31" s="364"/>
      <c r="F31" s="417"/>
      <c r="G31" s="417"/>
      <c r="H31" s="417"/>
      <c r="I31" s="417"/>
      <c r="J31" s="417"/>
    </row>
    <row r="32" spans="1:10" x14ac:dyDescent="0.2">
      <c r="E32" s="364"/>
      <c r="F32" s="417"/>
      <c r="G32" s="417"/>
      <c r="H32" s="417"/>
      <c r="I32" s="417"/>
      <c r="J32" s="417"/>
    </row>
  </sheetData>
  <mergeCells count="13">
    <mergeCell ref="A3:E3"/>
    <mergeCell ref="A4:E4"/>
    <mergeCell ref="C6:E6"/>
    <mergeCell ref="A17:E17"/>
    <mergeCell ref="A18:A19"/>
    <mergeCell ref="C18:C19"/>
    <mergeCell ref="D18:D19"/>
    <mergeCell ref="E18:E19"/>
    <mergeCell ref="A20:A21"/>
    <mergeCell ref="C20:C21"/>
    <mergeCell ref="D20:D21"/>
    <mergeCell ref="E20:E21"/>
    <mergeCell ref="A25:D25"/>
  </mergeCells>
  <conditionalFormatting sqref="C1 C25:C65194 C3:C16">
    <cfRule type="containsText" dxfId="40" priority="1" operator="containsText" text="стадия Р">
      <formula>NOT(ISERROR(SEARCH("стадия Р",C1)))</formula>
    </cfRule>
  </conditionalFormatting>
  <pageMargins left="0.23622047244094491" right="0.23622047244094491" top="0.74803149606299213" bottom="0.74803149606299213" header="0.31496062992125984" footer="0.31496062992125984"/>
  <pageSetup paperSize="9" scale="79" fitToHeight="0" orientation="portrait" verticalDpi="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pageSetUpPr fitToPage="1"/>
  </sheetPr>
  <dimension ref="A1:IV122"/>
  <sheetViews>
    <sheetView topLeftCell="A106" zoomScale="85" workbookViewId="0">
      <selection activeCell="A120" sqref="A120:E121"/>
    </sheetView>
  </sheetViews>
  <sheetFormatPr defaultColWidth="9.140625" defaultRowHeight="12.75" x14ac:dyDescent="0.2"/>
  <cols>
    <col min="1" max="1" width="9.140625" style="362"/>
    <col min="2" max="2" width="34.85546875" style="362" customWidth="1"/>
    <col min="3" max="3" width="42.85546875" style="363" customWidth="1"/>
    <col min="4" max="4" width="26.5703125" style="364" customWidth="1"/>
    <col min="5" max="5" width="17.42578125" style="364" customWidth="1"/>
    <col min="6" max="219" width="9.140625" style="362"/>
    <col min="220" max="220" width="28" style="362" customWidth="1"/>
    <col min="221" max="221" width="52" style="362" customWidth="1"/>
    <col min="222" max="222" width="27.28515625" style="362" customWidth="1"/>
    <col min="223" max="223" width="20.5703125" style="362" customWidth="1"/>
    <col min="224" max="225" width="9.140625" style="362"/>
    <col min="226" max="226" width="11.5703125" style="362" bestFit="1" customWidth="1"/>
    <col min="227" max="257" width="9.140625" style="362"/>
    <col min="258" max="258" width="28.7109375" style="362" customWidth="1"/>
    <col min="259" max="259" width="42.85546875" style="362" customWidth="1"/>
    <col min="260" max="260" width="26.28515625" style="362" customWidth="1"/>
    <col min="261" max="261" width="17.42578125" style="362" customWidth="1"/>
    <col min="262" max="475" width="9.140625" style="362"/>
    <col min="476" max="476" width="28" style="362" customWidth="1"/>
    <col min="477" max="477" width="52" style="362" customWidth="1"/>
    <col min="478" max="478" width="27.28515625" style="362" customWidth="1"/>
    <col min="479" max="479" width="20.5703125" style="362" customWidth="1"/>
    <col min="480" max="481" width="9.140625" style="362"/>
    <col min="482" max="482" width="11.5703125" style="362" bestFit="1" customWidth="1"/>
    <col min="483" max="513" width="9.140625" style="362"/>
    <col min="514" max="514" width="28.7109375" style="362" customWidth="1"/>
    <col min="515" max="515" width="42.85546875" style="362" customWidth="1"/>
    <col min="516" max="516" width="26.28515625" style="362" customWidth="1"/>
    <col min="517" max="517" width="17.42578125" style="362" customWidth="1"/>
    <col min="518" max="731" width="9.140625" style="362"/>
    <col min="732" max="732" width="28" style="362" customWidth="1"/>
    <col min="733" max="733" width="52" style="362" customWidth="1"/>
    <col min="734" max="734" width="27.28515625" style="362" customWidth="1"/>
    <col min="735" max="735" width="20.5703125" style="362" customWidth="1"/>
    <col min="736" max="737" width="9.140625" style="362"/>
    <col min="738" max="738" width="11.5703125" style="362" bestFit="1" customWidth="1"/>
    <col min="739" max="769" width="9.140625" style="362"/>
    <col min="770" max="770" width="28.7109375" style="362" customWidth="1"/>
    <col min="771" max="771" width="42.85546875" style="362" customWidth="1"/>
    <col min="772" max="772" width="26.28515625" style="362" customWidth="1"/>
    <col min="773" max="773" width="17.42578125" style="362" customWidth="1"/>
    <col min="774" max="987" width="9.140625" style="362"/>
    <col min="988" max="988" width="28" style="362" customWidth="1"/>
    <col min="989" max="989" width="52" style="362" customWidth="1"/>
    <col min="990" max="990" width="27.28515625" style="362" customWidth="1"/>
    <col min="991" max="991" width="20.5703125" style="362" customWidth="1"/>
    <col min="992" max="993" width="9.140625" style="362"/>
    <col min="994" max="994" width="11.5703125" style="362" bestFit="1" customWidth="1"/>
    <col min="995" max="1025" width="9.140625" style="362"/>
    <col min="1026" max="1026" width="28.7109375" style="362" customWidth="1"/>
    <col min="1027" max="1027" width="42.85546875" style="362" customWidth="1"/>
    <col min="1028" max="1028" width="26.28515625" style="362" customWidth="1"/>
    <col min="1029" max="1029" width="17.42578125" style="362" customWidth="1"/>
    <col min="1030" max="1243" width="9.140625" style="362"/>
    <col min="1244" max="1244" width="28" style="362" customWidth="1"/>
    <col min="1245" max="1245" width="52" style="362" customWidth="1"/>
    <col min="1246" max="1246" width="27.28515625" style="362" customWidth="1"/>
    <col min="1247" max="1247" width="20.5703125" style="362" customWidth="1"/>
    <col min="1248" max="1249" width="9.140625" style="362"/>
    <col min="1250" max="1250" width="11.5703125" style="362" bestFit="1" customWidth="1"/>
    <col min="1251" max="1281" width="9.140625" style="362"/>
    <col min="1282" max="1282" width="28.7109375" style="362" customWidth="1"/>
    <col min="1283" max="1283" width="42.85546875" style="362" customWidth="1"/>
    <col min="1284" max="1284" width="26.28515625" style="362" customWidth="1"/>
    <col min="1285" max="1285" width="17.42578125" style="362" customWidth="1"/>
    <col min="1286" max="1499" width="9.140625" style="362"/>
    <col min="1500" max="1500" width="28" style="362" customWidth="1"/>
    <col min="1501" max="1501" width="52" style="362" customWidth="1"/>
    <col min="1502" max="1502" width="27.28515625" style="362" customWidth="1"/>
    <col min="1503" max="1503" width="20.5703125" style="362" customWidth="1"/>
    <col min="1504" max="1505" width="9.140625" style="362"/>
    <col min="1506" max="1506" width="11.5703125" style="362" bestFit="1" customWidth="1"/>
    <col min="1507" max="1537" width="9.140625" style="362"/>
    <col min="1538" max="1538" width="28.7109375" style="362" customWidth="1"/>
    <col min="1539" max="1539" width="42.85546875" style="362" customWidth="1"/>
    <col min="1540" max="1540" width="26.28515625" style="362" customWidth="1"/>
    <col min="1541" max="1541" width="17.42578125" style="362" customWidth="1"/>
    <col min="1542" max="1755" width="9.140625" style="362"/>
    <col min="1756" max="1756" width="28" style="362" customWidth="1"/>
    <col min="1757" max="1757" width="52" style="362" customWidth="1"/>
    <col min="1758" max="1758" width="27.28515625" style="362" customWidth="1"/>
    <col min="1759" max="1759" width="20.5703125" style="362" customWidth="1"/>
    <col min="1760" max="1761" width="9.140625" style="362"/>
    <col min="1762" max="1762" width="11.5703125" style="362" bestFit="1" customWidth="1"/>
    <col min="1763" max="1793" width="9.140625" style="362"/>
    <col min="1794" max="1794" width="28.7109375" style="362" customWidth="1"/>
    <col min="1795" max="1795" width="42.85546875" style="362" customWidth="1"/>
    <col min="1796" max="1796" width="26.28515625" style="362" customWidth="1"/>
    <col min="1797" max="1797" width="17.42578125" style="362" customWidth="1"/>
    <col min="1798" max="2011" width="9.140625" style="362"/>
    <col min="2012" max="2012" width="28" style="362" customWidth="1"/>
    <col min="2013" max="2013" width="52" style="362" customWidth="1"/>
    <col min="2014" max="2014" width="27.28515625" style="362" customWidth="1"/>
    <col min="2015" max="2015" width="20.5703125" style="362" customWidth="1"/>
    <col min="2016" max="2017" width="9.140625" style="362"/>
    <col min="2018" max="2018" width="11.5703125" style="362" bestFit="1" customWidth="1"/>
    <col min="2019" max="2049" width="9.140625" style="362"/>
    <col min="2050" max="2050" width="28.7109375" style="362" customWidth="1"/>
    <col min="2051" max="2051" width="42.85546875" style="362" customWidth="1"/>
    <col min="2052" max="2052" width="26.28515625" style="362" customWidth="1"/>
    <col min="2053" max="2053" width="17.42578125" style="362" customWidth="1"/>
    <col min="2054" max="2267" width="9.140625" style="362"/>
    <col min="2268" max="2268" width="28" style="362" customWidth="1"/>
    <col min="2269" max="2269" width="52" style="362" customWidth="1"/>
    <col min="2270" max="2270" width="27.28515625" style="362" customWidth="1"/>
    <col min="2271" max="2271" width="20.5703125" style="362" customWidth="1"/>
    <col min="2272" max="2273" width="9.140625" style="362"/>
    <col min="2274" max="2274" width="11.5703125" style="362" bestFit="1" customWidth="1"/>
    <col min="2275" max="2305" width="9.140625" style="362"/>
    <col min="2306" max="2306" width="28.7109375" style="362" customWidth="1"/>
    <col min="2307" max="2307" width="42.85546875" style="362" customWidth="1"/>
    <col min="2308" max="2308" width="26.28515625" style="362" customWidth="1"/>
    <col min="2309" max="2309" width="17.42578125" style="362" customWidth="1"/>
    <col min="2310" max="2523" width="9.140625" style="362"/>
    <col min="2524" max="2524" width="28" style="362" customWidth="1"/>
    <col min="2525" max="2525" width="52" style="362" customWidth="1"/>
    <col min="2526" max="2526" width="27.28515625" style="362" customWidth="1"/>
    <col min="2527" max="2527" width="20.5703125" style="362" customWidth="1"/>
    <col min="2528" max="2529" width="9.140625" style="362"/>
    <col min="2530" max="2530" width="11.5703125" style="362" bestFit="1" customWidth="1"/>
    <col min="2531" max="2561" width="9.140625" style="362"/>
    <col min="2562" max="2562" width="28.7109375" style="362" customWidth="1"/>
    <col min="2563" max="2563" width="42.85546875" style="362" customWidth="1"/>
    <col min="2564" max="2564" width="26.28515625" style="362" customWidth="1"/>
    <col min="2565" max="2565" width="17.42578125" style="362" customWidth="1"/>
    <col min="2566" max="2779" width="9.140625" style="362"/>
    <col min="2780" max="2780" width="28" style="362" customWidth="1"/>
    <col min="2781" max="2781" width="52" style="362" customWidth="1"/>
    <col min="2782" max="2782" width="27.28515625" style="362" customWidth="1"/>
    <col min="2783" max="2783" width="20.5703125" style="362" customWidth="1"/>
    <col min="2784" max="2785" width="9.140625" style="362"/>
    <col min="2786" max="2786" width="11.5703125" style="362" bestFit="1" customWidth="1"/>
    <col min="2787" max="2817" width="9.140625" style="362"/>
    <col min="2818" max="2818" width="28.7109375" style="362" customWidth="1"/>
    <col min="2819" max="2819" width="42.85546875" style="362" customWidth="1"/>
    <col min="2820" max="2820" width="26.28515625" style="362" customWidth="1"/>
    <col min="2821" max="2821" width="17.42578125" style="362" customWidth="1"/>
    <col min="2822" max="3035" width="9.140625" style="362"/>
    <col min="3036" max="3036" width="28" style="362" customWidth="1"/>
    <col min="3037" max="3037" width="52" style="362" customWidth="1"/>
    <col min="3038" max="3038" width="27.28515625" style="362" customWidth="1"/>
    <col min="3039" max="3039" width="20.5703125" style="362" customWidth="1"/>
    <col min="3040" max="3041" width="9.140625" style="362"/>
    <col min="3042" max="3042" width="11.5703125" style="362" bestFit="1" customWidth="1"/>
    <col min="3043" max="3073" width="9.140625" style="362"/>
    <col min="3074" max="3074" width="28.7109375" style="362" customWidth="1"/>
    <col min="3075" max="3075" width="42.85546875" style="362" customWidth="1"/>
    <col min="3076" max="3076" width="26.28515625" style="362" customWidth="1"/>
    <col min="3077" max="3077" width="17.42578125" style="362" customWidth="1"/>
    <col min="3078" max="3291" width="9.140625" style="362"/>
    <col min="3292" max="3292" width="28" style="362" customWidth="1"/>
    <col min="3293" max="3293" width="52" style="362" customWidth="1"/>
    <col min="3294" max="3294" width="27.28515625" style="362" customWidth="1"/>
    <col min="3295" max="3295" width="20.5703125" style="362" customWidth="1"/>
    <col min="3296" max="3297" width="9.140625" style="362"/>
    <col min="3298" max="3298" width="11.5703125" style="362" bestFit="1" customWidth="1"/>
    <col min="3299" max="3329" width="9.140625" style="362"/>
    <col min="3330" max="3330" width="28.7109375" style="362" customWidth="1"/>
    <col min="3331" max="3331" width="42.85546875" style="362" customWidth="1"/>
    <col min="3332" max="3332" width="26.28515625" style="362" customWidth="1"/>
    <col min="3333" max="3333" width="17.42578125" style="362" customWidth="1"/>
    <col min="3334" max="3547" width="9.140625" style="362"/>
    <col min="3548" max="3548" width="28" style="362" customWidth="1"/>
    <col min="3549" max="3549" width="52" style="362" customWidth="1"/>
    <col min="3550" max="3550" width="27.28515625" style="362" customWidth="1"/>
    <col min="3551" max="3551" width="20.5703125" style="362" customWidth="1"/>
    <col min="3552" max="3553" width="9.140625" style="362"/>
    <col min="3554" max="3554" width="11.5703125" style="362" bestFit="1" customWidth="1"/>
    <col min="3555" max="3585" width="9.140625" style="362"/>
    <col min="3586" max="3586" width="28.7109375" style="362" customWidth="1"/>
    <col min="3587" max="3587" width="42.85546875" style="362" customWidth="1"/>
    <col min="3588" max="3588" width="26.28515625" style="362" customWidth="1"/>
    <col min="3589" max="3589" width="17.42578125" style="362" customWidth="1"/>
    <col min="3590" max="3803" width="9.140625" style="362"/>
    <col min="3804" max="3804" width="28" style="362" customWidth="1"/>
    <col min="3805" max="3805" width="52" style="362" customWidth="1"/>
    <col min="3806" max="3806" width="27.28515625" style="362" customWidth="1"/>
    <col min="3807" max="3807" width="20.5703125" style="362" customWidth="1"/>
    <col min="3808" max="3809" width="9.140625" style="362"/>
    <col min="3810" max="3810" width="11.5703125" style="362" bestFit="1" customWidth="1"/>
    <col min="3811" max="3841" width="9.140625" style="362"/>
    <col min="3842" max="3842" width="28.7109375" style="362" customWidth="1"/>
    <col min="3843" max="3843" width="42.85546875" style="362" customWidth="1"/>
    <col min="3844" max="3844" width="26.28515625" style="362" customWidth="1"/>
    <col min="3845" max="3845" width="17.42578125" style="362" customWidth="1"/>
    <col min="3846" max="4059" width="9.140625" style="362"/>
    <col min="4060" max="4060" width="28" style="362" customWidth="1"/>
    <col min="4061" max="4061" width="52" style="362" customWidth="1"/>
    <col min="4062" max="4062" width="27.28515625" style="362" customWidth="1"/>
    <col min="4063" max="4063" width="20.5703125" style="362" customWidth="1"/>
    <col min="4064" max="4065" width="9.140625" style="362"/>
    <col min="4066" max="4066" width="11.5703125" style="362" bestFit="1" customWidth="1"/>
    <col min="4067" max="4097" width="9.140625" style="362"/>
    <col min="4098" max="4098" width="28.7109375" style="362" customWidth="1"/>
    <col min="4099" max="4099" width="42.85546875" style="362" customWidth="1"/>
    <col min="4100" max="4100" width="26.28515625" style="362" customWidth="1"/>
    <col min="4101" max="4101" width="17.42578125" style="362" customWidth="1"/>
    <col min="4102" max="4315" width="9.140625" style="362"/>
    <col min="4316" max="4316" width="28" style="362" customWidth="1"/>
    <col min="4317" max="4317" width="52" style="362" customWidth="1"/>
    <col min="4318" max="4318" width="27.28515625" style="362" customWidth="1"/>
    <col min="4319" max="4319" width="20.5703125" style="362" customWidth="1"/>
    <col min="4320" max="4321" width="9.140625" style="362"/>
    <col min="4322" max="4322" width="11.5703125" style="362" bestFit="1" customWidth="1"/>
    <col min="4323" max="4353" width="9.140625" style="362"/>
    <col min="4354" max="4354" width="28.7109375" style="362" customWidth="1"/>
    <col min="4355" max="4355" width="42.85546875" style="362" customWidth="1"/>
    <col min="4356" max="4356" width="26.28515625" style="362" customWidth="1"/>
    <col min="4357" max="4357" width="17.42578125" style="362" customWidth="1"/>
    <col min="4358" max="4571" width="9.140625" style="362"/>
    <col min="4572" max="4572" width="28" style="362" customWidth="1"/>
    <col min="4573" max="4573" width="52" style="362" customWidth="1"/>
    <col min="4574" max="4574" width="27.28515625" style="362" customWidth="1"/>
    <col min="4575" max="4575" width="20.5703125" style="362" customWidth="1"/>
    <col min="4576" max="4577" width="9.140625" style="362"/>
    <col min="4578" max="4578" width="11.5703125" style="362" bestFit="1" customWidth="1"/>
    <col min="4579" max="4609" width="9.140625" style="362"/>
    <col min="4610" max="4610" width="28.7109375" style="362" customWidth="1"/>
    <col min="4611" max="4611" width="42.85546875" style="362" customWidth="1"/>
    <col min="4612" max="4612" width="26.28515625" style="362" customWidth="1"/>
    <col min="4613" max="4613" width="17.42578125" style="362" customWidth="1"/>
    <col min="4614" max="4827" width="9.140625" style="362"/>
    <col min="4828" max="4828" width="28" style="362" customWidth="1"/>
    <col min="4829" max="4829" width="52" style="362" customWidth="1"/>
    <col min="4830" max="4830" width="27.28515625" style="362" customWidth="1"/>
    <col min="4831" max="4831" width="20.5703125" style="362" customWidth="1"/>
    <col min="4832" max="4833" width="9.140625" style="362"/>
    <col min="4834" max="4834" width="11.5703125" style="362" bestFit="1" customWidth="1"/>
    <col min="4835" max="4865" width="9.140625" style="362"/>
    <col min="4866" max="4866" width="28.7109375" style="362" customWidth="1"/>
    <col min="4867" max="4867" width="42.85546875" style="362" customWidth="1"/>
    <col min="4868" max="4868" width="26.28515625" style="362" customWidth="1"/>
    <col min="4869" max="4869" width="17.42578125" style="362" customWidth="1"/>
    <col min="4870" max="5083" width="9.140625" style="362"/>
    <col min="5084" max="5084" width="28" style="362" customWidth="1"/>
    <col min="5085" max="5085" width="52" style="362" customWidth="1"/>
    <col min="5086" max="5086" width="27.28515625" style="362" customWidth="1"/>
    <col min="5087" max="5087" width="20.5703125" style="362" customWidth="1"/>
    <col min="5088" max="5089" width="9.140625" style="362"/>
    <col min="5090" max="5090" width="11.5703125" style="362" bestFit="1" customWidth="1"/>
    <col min="5091" max="5121" width="9.140625" style="362"/>
    <col min="5122" max="5122" width="28.7109375" style="362" customWidth="1"/>
    <col min="5123" max="5123" width="42.85546875" style="362" customWidth="1"/>
    <col min="5124" max="5124" width="26.28515625" style="362" customWidth="1"/>
    <col min="5125" max="5125" width="17.42578125" style="362" customWidth="1"/>
    <col min="5126" max="5339" width="9.140625" style="362"/>
    <col min="5340" max="5340" width="28" style="362" customWidth="1"/>
    <col min="5341" max="5341" width="52" style="362" customWidth="1"/>
    <col min="5342" max="5342" width="27.28515625" style="362" customWidth="1"/>
    <col min="5343" max="5343" width="20.5703125" style="362" customWidth="1"/>
    <col min="5344" max="5345" width="9.140625" style="362"/>
    <col min="5346" max="5346" width="11.5703125" style="362" bestFit="1" customWidth="1"/>
    <col min="5347" max="5377" width="9.140625" style="362"/>
    <col min="5378" max="5378" width="28.7109375" style="362" customWidth="1"/>
    <col min="5379" max="5379" width="42.85546875" style="362" customWidth="1"/>
    <col min="5380" max="5380" width="26.28515625" style="362" customWidth="1"/>
    <col min="5381" max="5381" width="17.42578125" style="362" customWidth="1"/>
    <col min="5382" max="5595" width="9.140625" style="362"/>
    <col min="5596" max="5596" width="28" style="362" customWidth="1"/>
    <col min="5597" max="5597" width="52" style="362" customWidth="1"/>
    <col min="5598" max="5598" width="27.28515625" style="362" customWidth="1"/>
    <col min="5599" max="5599" width="20.5703125" style="362" customWidth="1"/>
    <col min="5600" max="5601" width="9.140625" style="362"/>
    <col min="5602" max="5602" width="11.5703125" style="362" bestFit="1" customWidth="1"/>
    <col min="5603" max="5633" width="9.140625" style="362"/>
    <col min="5634" max="5634" width="28.7109375" style="362" customWidth="1"/>
    <col min="5635" max="5635" width="42.85546875" style="362" customWidth="1"/>
    <col min="5636" max="5636" width="26.28515625" style="362" customWidth="1"/>
    <col min="5637" max="5637" width="17.42578125" style="362" customWidth="1"/>
    <col min="5638" max="5851" width="9.140625" style="362"/>
    <col min="5852" max="5852" width="28" style="362" customWidth="1"/>
    <col min="5853" max="5853" width="52" style="362" customWidth="1"/>
    <col min="5854" max="5854" width="27.28515625" style="362" customWidth="1"/>
    <col min="5855" max="5855" width="20.5703125" style="362" customWidth="1"/>
    <col min="5856" max="5857" width="9.140625" style="362"/>
    <col min="5858" max="5858" width="11.5703125" style="362" bestFit="1" customWidth="1"/>
    <col min="5859" max="5889" width="9.140625" style="362"/>
    <col min="5890" max="5890" width="28.7109375" style="362" customWidth="1"/>
    <col min="5891" max="5891" width="42.85546875" style="362" customWidth="1"/>
    <col min="5892" max="5892" width="26.28515625" style="362" customWidth="1"/>
    <col min="5893" max="5893" width="17.42578125" style="362" customWidth="1"/>
    <col min="5894" max="6107" width="9.140625" style="362"/>
    <col min="6108" max="6108" width="28" style="362" customWidth="1"/>
    <col min="6109" max="6109" width="52" style="362" customWidth="1"/>
    <col min="6110" max="6110" width="27.28515625" style="362" customWidth="1"/>
    <col min="6111" max="6111" width="20.5703125" style="362" customWidth="1"/>
    <col min="6112" max="6113" width="9.140625" style="362"/>
    <col min="6114" max="6114" width="11.5703125" style="362" bestFit="1" customWidth="1"/>
    <col min="6115" max="6145" width="9.140625" style="362"/>
    <col min="6146" max="6146" width="28.7109375" style="362" customWidth="1"/>
    <col min="6147" max="6147" width="42.85546875" style="362" customWidth="1"/>
    <col min="6148" max="6148" width="26.28515625" style="362" customWidth="1"/>
    <col min="6149" max="6149" width="17.42578125" style="362" customWidth="1"/>
    <col min="6150" max="6363" width="9.140625" style="362"/>
    <col min="6364" max="6364" width="28" style="362" customWidth="1"/>
    <col min="6365" max="6365" width="52" style="362" customWidth="1"/>
    <col min="6366" max="6366" width="27.28515625" style="362" customWidth="1"/>
    <col min="6367" max="6367" width="20.5703125" style="362" customWidth="1"/>
    <col min="6368" max="6369" width="9.140625" style="362"/>
    <col min="6370" max="6370" width="11.5703125" style="362" bestFit="1" customWidth="1"/>
    <col min="6371" max="6401" width="9.140625" style="362"/>
    <col min="6402" max="6402" width="28.7109375" style="362" customWidth="1"/>
    <col min="6403" max="6403" width="42.85546875" style="362" customWidth="1"/>
    <col min="6404" max="6404" width="26.28515625" style="362" customWidth="1"/>
    <col min="6405" max="6405" width="17.42578125" style="362" customWidth="1"/>
    <col min="6406" max="6619" width="9.140625" style="362"/>
    <col min="6620" max="6620" width="28" style="362" customWidth="1"/>
    <col min="6621" max="6621" width="52" style="362" customWidth="1"/>
    <col min="6622" max="6622" width="27.28515625" style="362" customWidth="1"/>
    <col min="6623" max="6623" width="20.5703125" style="362" customWidth="1"/>
    <col min="6624" max="6625" width="9.140625" style="362"/>
    <col min="6626" max="6626" width="11.5703125" style="362" bestFit="1" customWidth="1"/>
    <col min="6627" max="6657" width="9.140625" style="362"/>
    <col min="6658" max="6658" width="28.7109375" style="362" customWidth="1"/>
    <col min="6659" max="6659" width="42.85546875" style="362" customWidth="1"/>
    <col min="6660" max="6660" width="26.28515625" style="362" customWidth="1"/>
    <col min="6661" max="6661" width="17.42578125" style="362" customWidth="1"/>
    <col min="6662" max="6875" width="9.140625" style="362"/>
    <col min="6876" max="6876" width="28" style="362" customWidth="1"/>
    <col min="6877" max="6877" width="52" style="362" customWidth="1"/>
    <col min="6878" max="6878" width="27.28515625" style="362" customWidth="1"/>
    <col min="6879" max="6879" width="20.5703125" style="362" customWidth="1"/>
    <col min="6880" max="6881" width="9.140625" style="362"/>
    <col min="6882" max="6882" width="11.5703125" style="362" bestFit="1" customWidth="1"/>
    <col min="6883" max="6913" width="9.140625" style="362"/>
    <col min="6914" max="6914" width="28.7109375" style="362" customWidth="1"/>
    <col min="6915" max="6915" width="42.85546875" style="362" customWidth="1"/>
    <col min="6916" max="6916" width="26.28515625" style="362" customWidth="1"/>
    <col min="6917" max="6917" width="17.42578125" style="362" customWidth="1"/>
    <col min="6918" max="7131" width="9.140625" style="362"/>
    <col min="7132" max="7132" width="28" style="362" customWidth="1"/>
    <col min="7133" max="7133" width="52" style="362" customWidth="1"/>
    <col min="7134" max="7134" width="27.28515625" style="362" customWidth="1"/>
    <col min="7135" max="7135" width="20.5703125" style="362" customWidth="1"/>
    <col min="7136" max="7137" width="9.140625" style="362"/>
    <col min="7138" max="7138" width="11.5703125" style="362" bestFit="1" customWidth="1"/>
    <col min="7139" max="7169" width="9.140625" style="362"/>
    <col min="7170" max="7170" width="28.7109375" style="362" customWidth="1"/>
    <col min="7171" max="7171" width="42.85546875" style="362" customWidth="1"/>
    <col min="7172" max="7172" width="26.28515625" style="362" customWidth="1"/>
    <col min="7173" max="7173" width="17.42578125" style="362" customWidth="1"/>
    <col min="7174" max="7387" width="9.140625" style="362"/>
    <col min="7388" max="7388" width="28" style="362" customWidth="1"/>
    <col min="7389" max="7389" width="52" style="362" customWidth="1"/>
    <col min="7390" max="7390" width="27.28515625" style="362" customWidth="1"/>
    <col min="7391" max="7391" width="20.5703125" style="362" customWidth="1"/>
    <col min="7392" max="7393" width="9.140625" style="362"/>
    <col min="7394" max="7394" width="11.5703125" style="362" bestFit="1" customWidth="1"/>
    <col min="7395" max="7425" width="9.140625" style="362"/>
    <col min="7426" max="7426" width="28.7109375" style="362" customWidth="1"/>
    <col min="7427" max="7427" width="42.85546875" style="362" customWidth="1"/>
    <col min="7428" max="7428" width="26.28515625" style="362" customWidth="1"/>
    <col min="7429" max="7429" width="17.42578125" style="362" customWidth="1"/>
    <col min="7430" max="7643" width="9.140625" style="362"/>
    <col min="7644" max="7644" width="28" style="362" customWidth="1"/>
    <col min="7645" max="7645" width="52" style="362" customWidth="1"/>
    <col min="7646" max="7646" width="27.28515625" style="362" customWidth="1"/>
    <col min="7647" max="7647" width="20.5703125" style="362" customWidth="1"/>
    <col min="7648" max="7649" width="9.140625" style="362"/>
    <col min="7650" max="7650" width="11.5703125" style="362" bestFit="1" customWidth="1"/>
    <col min="7651" max="7681" width="9.140625" style="362"/>
    <col min="7682" max="7682" width="28.7109375" style="362" customWidth="1"/>
    <col min="7683" max="7683" width="42.85546875" style="362" customWidth="1"/>
    <col min="7684" max="7684" width="26.28515625" style="362" customWidth="1"/>
    <col min="7685" max="7685" width="17.42578125" style="362" customWidth="1"/>
    <col min="7686" max="7899" width="9.140625" style="362"/>
    <col min="7900" max="7900" width="28" style="362" customWidth="1"/>
    <col min="7901" max="7901" width="52" style="362" customWidth="1"/>
    <col min="7902" max="7902" width="27.28515625" style="362" customWidth="1"/>
    <col min="7903" max="7903" width="20.5703125" style="362" customWidth="1"/>
    <col min="7904" max="7905" width="9.140625" style="362"/>
    <col min="7906" max="7906" width="11.5703125" style="362" bestFit="1" customWidth="1"/>
    <col min="7907" max="7937" width="9.140625" style="362"/>
    <col min="7938" max="7938" width="28.7109375" style="362" customWidth="1"/>
    <col min="7939" max="7939" width="42.85546875" style="362" customWidth="1"/>
    <col min="7940" max="7940" width="26.28515625" style="362" customWidth="1"/>
    <col min="7941" max="7941" width="17.42578125" style="362" customWidth="1"/>
    <col min="7942" max="8155" width="9.140625" style="362"/>
    <col min="8156" max="8156" width="28" style="362" customWidth="1"/>
    <col min="8157" max="8157" width="52" style="362" customWidth="1"/>
    <col min="8158" max="8158" width="27.28515625" style="362" customWidth="1"/>
    <col min="8159" max="8159" width="20.5703125" style="362" customWidth="1"/>
    <col min="8160" max="8161" width="9.140625" style="362"/>
    <col min="8162" max="8162" width="11.5703125" style="362" bestFit="1" customWidth="1"/>
    <col min="8163" max="8193" width="9.140625" style="362"/>
    <col min="8194" max="8194" width="28.7109375" style="362" customWidth="1"/>
    <col min="8195" max="8195" width="42.85546875" style="362" customWidth="1"/>
    <col min="8196" max="8196" width="26.28515625" style="362" customWidth="1"/>
    <col min="8197" max="8197" width="17.42578125" style="362" customWidth="1"/>
    <col min="8198" max="8411" width="9.140625" style="362"/>
    <col min="8412" max="8412" width="28" style="362" customWidth="1"/>
    <col min="8413" max="8413" width="52" style="362" customWidth="1"/>
    <col min="8414" max="8414" width="27.28515625" style="362" customWidth="1"/>
    <col min="8415" max="8415" width="20.5703125" style="362" customWidth="1"/>
    <col min="8416" max="8417" width="9.140625" style="362"/>
    <col min="8418" max="8418" width="11.5703125" style="362" bestFit="1" customWidth="1"/>
    <col min="8419" max="8449" width="9.140625" style="362"/>
    <col min="8450" max="8450" width="28.7109375" style="362" customWidth="1"/>
    <col min="8451" max="8451" width="42.85546875" style="362" customWidth="1"/>
    <col min="8452" max="8452" width="26.28515625" style="362" customWidth="1"/>
    <col min="8453" max="8453" width="17.42578125" style="362" customWidth="1"/>
    <col min="8454" max="8667" width="9.140625" style="362"/>
    <col min="8668" max="8668" width="28" style="362" customWidth="1"/>
    <col min="8669" max="8669" width="52" style="362" customWidth="1"/>
    <col min="8670" max="8670" width="27.28515625" style="362" customWidth="1"/>
    <col min="8671" max="8671" width="20.5703125" style="362" customWidth="1"/>
    <col min="8672" max="8673" width="9.140625" style="362"/>
    <col min="8674" max="8674" width="11.5703125" style="362" bestFit="1" customWidth="1"/>
    <col min="8675" max="8705" width="9.140625" style="362"/>
    <col min="8706" max="8706" width="28.7109375" style="362" customWidth="1"/>
    <col min="8707" max="8707" width="42.85546875" style="362" customWidth="1"/>
    <col min="8708" max="8708" width="26.28515625" style="362" customWidth="1"/>
    <col min="8709" max="8709" width="17.42578125" style="362" customWidth="1"/>
    <col min="8710" max="8923" width="9.140625" style="362"/>
    <col min="8924" max="8924" width="28" style="362" customWidth="1"/>
    <col min="8925" max="8925" width="52" style="362" customWidth="1"/>
    <col min="8926" max="8926" width="27.28515625" style="362" customWidth="1"/>
    <col min="8927" max="8927" width="20.5703125" style="362" customWidth="1"/>
    <col min="8928" max="8929" width="9.140625" style="362"/>
    <col min="8930" max="8930" width="11.5703125" style="362" bestFit="1" customWidth="1"/>
    <col min="8931" max="8961" width="9.140625" style="362"/>
    <col min="8962" max="8962" width="28.7109375" style="362" customWidth="1"/>
    <col min="8963" max="8963" width="42.85546875" style="362" customWidth="1"/>
    <col min="8964" max="8964" width="26.28515625" style="362" customWidth="1"/>
    <col min="8965" max="8965" width="17.42578125" style="362" customWidth="1"/>
    <col min="8966" max="9179" width="9.140625" style="362"/>
    <col min="9180" max="9180" width="28" style="362" customWidth="1"/>
    <col min="9181" max="9181" width="52" style="362" customWidth="1"/>
    <col min="9182" max="9182" width="27.28515625" style="362" customWidth="1"/>
    <col min="9183" max="9183" width="20.5703125" style="362" customWidth="1"/>
    <col min="9184" max="9185" width="9.140625" style="362"/>
    <col min="9186" max="9186" width="11.5703125" style="362" bestFit="1" customWidth="1"/>
    <col min="9187" max="9217" width="9.140625" style="362"/>
    <col min="9218" max="9218" width="28.7109375" style="362" customWidth="1"/>
    <col min="9219" max="9219" width="42.85546875" style="362" customWidth="1"/>
    <col min="9220" max="9220" width="26.28515625" style="362" customWidth="1"/>
    <col min="9221" max="9221" width="17.42578125" style="362" customWidth="1"/>
    <col min="9222" max="9435" width="9.140625" style="362"/>
    <col min="9436" max="9436" width="28" style="362" customWidth="1"/>
    <col min="9437" max="9437" width="52" style="362" customWidth="1"/>
    <col min="9438" max="9438" width="27.28515625" style="362" customWidth="1"/>
    <col min="9439" max="9439" width="20.5703125" style="362" customWidth="1"/>
    <col min="9440" max="9441" width="9.140625" style="362"/>
    <col min="9442" max="9442" width="11.5703125" style="362" bestFit="1" customWidth="1"/>
    <col min="9443" max="9473" width="9.140625" style="362"/>
    <col min="9474" max="9474" width="28.7109375" style="362" customWidth="1"/>
    <col min="9475" max="9475" width="42.85546875" style="362" customWidth="1"/>
    <col min="9476" max="9476" width="26.28515625" style="362" customWidth="1"/>
    <col min="9477" max="9477" width="17.42578125" style="362" customWidth="1"/>
    <col min="9478" max="9691" width="9.140625" style="362"/>
    <col min="9692" max="9692" width="28" style="362" customWidth="1"/>
    <col min="9693" max="9693" width="52" style="362" customWidth="1"/>
    <col min="9694" max="9694" width="27.28515625" style="362" customWidth="1"/>
    <col min="9695" max="9695" width="20.5703125" style="362" customWidth="1"/>
    <col min="9696" max="9697" width="9.140625" style="362"/>
    <col min="9698" max="9698" width="11.5703125" style="362" bestFit="1" customWidth="1"/>
    <col min="9699" max="9729" width="9.140625" style="362"/>
    <col min="9730" max="9730" width="28.7109375" style="362" customWidth="1"/>
    <col min="9731" max="9731" width="42.85546875" style="362" customWidth="1"/>
    <col min="9732" max="9732" width="26.28515625" style="362" customWidth="1"/>
    <col min="9733" max="9733" width="17.42578125" style="362" customWidth="1"/>
    <col min="9734" max="9947" width="9.140625" style="362"/>
    <col min="9948" max="9948" width="28" style="362" customWidth="1"/>
    <col min="9949" max="9949" width="52" style="362" customWidth="1"/>
    <col min="9950" max="9950" width="27.28515625" style="362" customWidth="1"/>
    <col min="9951" max="9951" width="20.5703125" style="362" customWidth="1"/>
    <col min="9952" max="9953" width="9.140625" style="362"/>
    <col min="9954" max="9954" width="11.5703125" style="362" bestFit="1" customWidth="1"/>
    <col min="9955" max="9985" width="9.140625" style="362"/>
    <col min="9986" max="9986" width="28.7109375" style="362" customWidth="1"/>
    <col min="9987" max="9987" width="42.85546875" style="362" customWidth="1"/>
    <col min="9988" max="9988" width="26.28515625" style="362" customWidth="1"/>
    <col min="9989" max="9989" width="17.42578125" style="362" customWidth="1"/>
    <col min="9990" max="10203" width="9.140625" style="362"/>
    <col min="10204" max="10204" width="28" style="362" customWidth="1"/>
    <col min="10205" max="10205" width="52" style="362" customWidth="1"/>
    <col min="10206" max="10206" width="27.28515625" style="362" customWidth="1"/>
    <col min="10207" max="10207" width="20.5703125" style="362" customWidth="1"/>
    <col min="10208" max="10209" width="9.140625" style="362"/>
    <col min="10210" max="10210" width="11.5703125" style="362" bestFit="1" customWidth="1"/>
    <col min="10211" max="10241" width="9.140625" style="362"/>
    <col min="10242" max="10242" width="28.7109375" style="362" customWidth="1"/>
    <col min="10243" max="10243" width="42.85546875" style="362" customWidth="1"/>
    <col min="10244" max="10244" width="26.28515625" style="362" customWidth="1"/>
    <col min="10245" max="10245" width="17.42578125" style="362" customWidth="1"/>
    <col min="10246" max="10459" width="9.140625" style="362"/>
    <col min="10460" max="10460" width="28" style="362" customWidth="1"/>
    <col min="10461" max="10461" width="52" style="362" customWidth="1"/>
    <col min="10462" max="10462" width="27.28515625" style="362" customWidth="1"/>
    <col min="10463" max="10463" width="20.5703125" style="362" customWidth="1"/>
    <col min="10464" max="10465" width="9.140625" style="362"/>
    <col min="10466" max="10466" width="11.5703125" style="362" bestFit="1" customWidth="1"/>
    <col min="10467" max="10497" width="9.140625" style="362"/>
    <col min="10498" max="10498" width="28.7109375" style="362" customWidth="1"/>
    <col min="10499" max="10499" width="42.85546875" style="362" customWidth="1"/>
    <col min="10500" max="10500" width="26.28515625" style="362" customWidth="1"/>
    <col min="10501" max="10501" width="17.42578125" style="362" customWidth="1"/>
    <col min="10502" max="10715" width="9.140625" style="362"/>
    <col min="10716" max="10716" width="28" style="362" customWidth="1"/>
    <col min="10717" max="10717" width="52" style="362" customWidth="1"/>
    <col min="10718" max="10718" width="27.28515625" style="362" customWidth="1"/>
    <col min="10719" max="10719" width="20.5703125" style="362" customWidth="1"/>
    <col min="10720" max="10721" width="9.140625" style="362"/>
    <col min="10722" max="10722" width="11.5703125" style="362" bestFit="1" customWidth="1"/>
    <col min="10723" max="10753" width="9.140625" style="362"/>
    <col min="10754" max="10754" width="28.7109375" style="362" customWidth="1"/>
    <col min="10755" max="10755" width="42.85546875" style="362" customWidth="1"/>
    <col min="10756" max="10756" width="26.28515625" style="362" customWidth="1"/>
    <col min="10757" max="10757" width="17.42578125" style="362" customWidth="1"/>
    <col min="10758" max="10971" width="9.140625" style="362"/>
    <col min="10972" max="10972" width="28" style="362" customWidth="1"/>
    <col min="10973" max="10973" width="52" style="362" customWidth="1"/>
    <col min="10974" max="10974" width="27.28515625" style="362" customWidth="1"/>
    <col min="10975" max="10975" width="20.5703125" style="362" customWidth="1"/>
    <col min="10976" max="10977" width="9.140625" style="362"/>
    <col min="10978" max="10978" width="11.5703125" style="362" bestFit="1" customWidth="1"/>
    <col min="10979" max="11009" width="9.140625" style="362"/>
    <col min="11010" max="11010" width="28.7109375" style="362" customWidth="1"/>
    <col min="11011" max="11011" width="42.85546875" style="362" customWidth="1"/>
    <col min="11012" max="11012" width="26.28515625" style="362" customWidth="1"/>
    <col min="11013" max="11013" width="17.42578125" style="362" customWidth="1"/>
    <col min="11014" max="11227" width="9.140625" style="362"/>
    <col min="11228" max="11228" width="28" style="362" customWidth="1"/>
    <col min="11229" max="11229" width="52" style="362" customWidth="1"/>
    <col min="11230" max="11230" width="27.28515625" style="362" customWidth="1"/>
    <col min="11231" max="11231" width="20.5703125" style="362" customWidth="1"/>
    <col min="11232" max="11233" width="9.140625" style="362"/>
    <col min="11234" max="11234" width="11.5703125" style="362" bestFit="1" customWidth="1"/>
    <col min="11235" max="11265" width="9.140625" style="362"/>
    <col min="11266" max="11266" width="28.7109375" style="362" customWidth="1"/>
    <col min="11267" max="11267" width="42.85546875" style="362" customWidth="1"/>
    <col min="11268" max="11268" width="26.28515625" style="362" customWidth="1"/>
    <col min="11269" max="11269" width="17.42578125" style="362" customWidth="1"/>
    <col min="11270" max="11483" width="9.140625" style="362"/>
    <col min="11484" max="11484" width="28" style="362" customWidth="1"/>
    <col min="11485" max="11485" width="52" style="362" customWidth="1"/>
    <col min="11486" max="11486" width="27.28515625" style="362" customWidth="1"/>
    <col min="11487" max="11487" width="20.5703125" style="362" customWidth="1"/>
    <col min="11488" max="11489" width="9.140625" style="362"/>
    <col min="11490" max="11490" width="11.5703125" style="362" bestFit="1" customWidth="1"/>
    <col min="11491" max="11521" width="9.140625" style="362"/>
    <col min="11522" max="11522" width="28.7109375" style="362" customWidth="1"/>
    <col min="11523" max="11523" width="42.85546875" style="362" customWidth="1"/>
    <col min="11524" max="11524" width="26.28515625" style="362" customWidth="1"/>
    <col min="11525" max="11525" width="17.42578125" style="362" customWidth="1"/>
    <col min="11526" max="11739" width="9.140625" style="362"/>
    <col min="11740" max="11740" width="28" style="362" customWidth="1"/>
    <col min="11741" max="11741" width="52" style="362" customWidth="1"/>
    <col min="11742" max="11742" width="27.28515625" style="362" customWidth="1"/>
    <col min="11743" max="11743" width="20.5703125" style="362" customWidth="1"/>
    <col min="11744" max="11745" width="9.140625" style="362"/>
    <col min="11746" max="11746" width="11.5703125" style="362" bestFit="1" customWidth="1"/>
    <col min="11747" max="11777" width="9.140625" style="362"/>
    <col min="11778" max="11778" width="28.7109375" style="362" customWidth="1"/>
    <col min="11779" max="11779" width="42.85546875" style="362" customWidth="1"/>
    <col min="11780" max="11780" width="26.28515625" style="362" customWidth="1"/>
    <col min="11781" max="11781" width="17.42578125" style="362" customWidth="1"/>
    <col min="11782" max="11995" width="9.140625" style="362"/>
    <col min="11996" max="11996" width="28" style="362" customWidth="1"/>
    <col min="11997" max="11997" width="52" style="362" customWidth="1"/>
    <col min="11998" max="11998" width="27.28515625" style="362" customWidth="1"/>
    <col min="11999" max="11999" width="20.5703125" style="362" customWidth="1"/>
    <col min="12000" max="12001" width="9.140625" style="362"/>
    <col min="12002" max="12002" width="11.5703125" style="362" bestFit="1" customWidth="1"/>
    <col min="12003" max="12033" width="9.140625" style="362"/>
    <col min="12034" max="12034" width="28.7109375" style="362" customWidth="1"/>
    <col min="12035" max="12035" width="42.85546875" style="362" customWidth="1"/>
    <col min="12036" max="12036" width="26.28515625" style="362" customWidth="1"/>
    <col min="12037" max="12037" width="17.42578125" style="362" customWidth="1"/>
    <col min="12038" max="12251" width="9.140625" style="362"/>
    <col min="12252" max="12252" width="28" style="362" customWidth="1"/>
    <col min="12253" max="12253" width="52" style="362" customWidth="1"/>
    <col min="12254" max="12254" width="27.28515625" style="362" customWidth="1"/>
    <col min="12255" max="12255" width="20.5703125" style="362" customWidth="1"/>
    <col min="12256" max="12257" width="9.140625" style="362"/>
    <col min="12258" max="12258" width="11.5703125" style="362" bestFit="1" customWidth="1"/>
    <col min="12259" max="12289" width="9.140625" style="362"/>
    <col min="12290" max="12290" width="28.7109375" style="362" customWidth="1"/>
    <col min="12291" max="12291" width="42.85546875" style="362" customWidth="1"/>
    <col min="12292" max="12292" width="26.28515625" style="362" customWidth="1"/>
    <col min="12293" max="12293" width="17.42578125" style="362" customWidth="1"/>
    <col min="12294" max="12507" width="9.140625" style="362"/>
    <col min="12508" max="12508" width="28" style="362" customWidth="1"/>
    <col min="12509" max="12509" width="52" style="362" customWidth="1"/>
    <col min="12510" max="12510" width="27.28515625" style="362" customWidth="1"/>
    <col min="12511" max="12511" width="20.5703125" style="362" customWidth="1"/>
    <col min="12512" max="12513" width="9.140625" style="362"/>
    <col min="12514" max="12514" width="11.5703125" style="362" bestFit="1" customWidth="1"/>
    <col min="12515" max="12545" width="9.140625" style="362"/>
    <col min="12546" max="12546" width="28.7109375" style="362" customWidth="1"/>
    <col min="12547" max="12547" width="42.85546875" style="362" customWidth="1"/>
    <col min="12548" max="12548" width="26.28515625" style="362" customWidth="1"/>
    <col min="12549" max="12549" width="17.42578125" style="362" customWidth="1"/>
    <col min="12550" max="12763" width="9.140625" style="362"/>
    <col min="12764" max="12764" width="28" style="362" customWidth="1"/>
    <col min="12765" max="12765" width="52" style="362" customWidth="1"/>
    <col min="12766" max="12766" width="27.28515625" style="362" customWidth="1"/>
    <col min="12767" max="12767" width="20.5703125" style="362" customWidth="1"/>
    <col min="12768" max="12769" width="9.140625" style="362"/>
    <col min="12770" max="12770" width="11.5703125" style="362" bestFit="1" customWidth="1"/>
    <col min="12771" max="12801" width="9.140625" style="362"/>
    <col min="12802" max="12802" width="28.7109375" style="362" customWidth="1"/>
    <col min="12803" max="12803" width="42.85546875" style="362" customWidth="1"/>
    <col min="12804" max="12804" width="26.28515625" style="362" customWidth="1"/>
    <col min="12805" max="12805" width="17.42578125" style="362" customWidth="1"/>
    <col min="12806" max="13019" width="9.140625" style="362"/>
    <col min="13020" max="13020" width="28" style="362" customWidth="1"/>
    <col min="13021" max="13021" width="52" style="362" customWidth="1"/>
    <col min="13022" max="13022" width="27.28515625" style="362" customWidth="1"/>
    <col min="13023" max="13023" width="20.5703125" style="362" customWidth="1"/>
    <col min="13024" max="13025" width="9.140625" style="362"/>
    <col min="13026" max="13026" width="11.5703125" style="362" bestFit="1" customWidth="1"/>
    <col min="13027" max="13057" width="9.140625" style="362"/>
    <col min="13058" max="13058" width="28.7109375" style="362" customWidth="1"/>
    <col min="13059" max="13059" width="42.85546875" style="362" customWidth="1"/>
    <col min="13060" max="13060" width="26.28515625" style="362" customWidth="1"/>
    <col min="13061" max="13061" width="17.42578125" style="362" customWidth="1"/>
    <col min="13062" max="13275" width="9.140625" style="362"/>
    <col min="13276" max="13276" width="28" style="362" customWidth="1"/>
    <col min="13277" max="13277" width="52" style="362" customWidth="1"/>
    <col min="13278" max="13278" width="27.28515625" style="362" customWidth="1"/>
    <col min="13279" max="13279" width="20.5703125" style="362" customWidth="1"/>
    <col min="13280" max="13281" width="9.140625" style="362"/>
    <col min="13282" max="13282" width="11.5703125" style="362" bestFit="1" customWidth="1"/>
    <col min="13283" max="13313" width="9.140625" style="362"/>
    <col min="13314" max="13314" width="28.7109375" style="362" customWidth="1"/>
    <col min="13315" max="13315" width="42.85546875" style="362" customWidth="1"/>
    <col min="13316" max="13316" width="26.28515625" style="362" customWidth="1"/>
    <col min="13317" max="13317" width="17.42578125" style="362" customWidth="1"/>
    <col min="13318" max="13531" width="9.140625" style="362"/>
    <col min="13532" max="13532" width="28" style="362" customWidth="1"/>
    <col min="13533" max="13533" width="52" style="362" customWidth="1"/>
    <col min="13534" max="13534" width="27.28515625" style="362" customWidth="1"/>
    <col min="13535" max="13535" width="20.5703125" style="362" customWidth="1"/>
    <col min="13536" max="13537" width="9.140625" style="362"/>
    <col min="13538" max="13538" width="11.5703125" style="362" bestFit="1" customWidth="1"/>
    <col min="13539" max="13569" width="9.140625" style="362"/>
    <col min="13570" max="13570" width="28.7109375" style="362" customWidth="1"/>
    <col min="13571" max="13571" width="42.85546875" style="362" customWidth="1"/>
    <col min="13572" max="13572" width="26.28515625" style="362" customWidth="1"/>
    <col min="13573" max="13573" width="17.42578125" style="362" customWidth="1"/>
    <col min="13574" max="13787" width="9.140625" style="362"/>
    <col min="13788" max="13788" width="28" style="362" customWidth="1"/>
    <col min="13789" max="13789" width="52" style="362" customWidth="1"/>
    <col min="13790" max="13790" width="27.28515625" style="362" customWidth="1"/>
    <col min="13791" max="13791" width="20.5703125" style="362" customWidth="1"/>
    <col min="13792" max="13793" width="9.140625" style="362"/>
    <col min="13794" max="13794" width="11.5703125" style="362" bestFit="1" customWidth="1"/>
    <col min="13795" max="13825" width="9.140625" style="362"/>
    <col min="13826" max="13826" width="28.7109375" style="362" customWidth="1"/>
    <col min="13827" max="13827" width="42.85546875" style="362" customWidth="1"/>
    <col min="13828" max="13828" width="26.28515625" style="362" customWidth="1"/>
    <col min="13829" max="13829" width="17.42578125" style="362" customWidth="1"/>
    <col min="13830" max="14043" width="9.140625" style="362"/>
    <col min="14044" max="14044" width="28" style="362" customWidth="1"/>
    <col min="14045" max="14045" width="52" style="362" customWidth="1"/>
    <col min="14046" max="14046" width="27.28515625" style="362" customWidth="1"/>
    <col min="14047" max="14047" width="20.5703125" style="362" customWidth="1"/>
    <col min="14048" max="14049" width="9.140625" style="362"/>
    <col min="14050" max="14050" width="11.5703125" style="362" bestFit="1" customWidth="1"/>
    <col min="14051" max="14081" width="9.140625" style="362"/>
    <col min="14082" max="14082" width="28.7109375" style="362" customWidth="1"/>
    <col min="14083" max="14083" width="42.85546875" style="362" customWidth="1"/>
    <col min="14084" max="14084" width="26.28515625" style="362" customWidth="1"/>
    <col min="14085" max="14085" width="17.42578125" style="362" customWidth="1"/>
    <col min="14086" max="14299" width="9.140625" style="362"/>
    <col min="14300" max="14300" width="28" style="362" customWidth="1"/>
    <col min="14301" max="14301" width="52" style="362" customWidth="1"/>
    <col min="14302" max="14302" width="27.28515625" style="362" customWidth="1"/>
    <col min="14303" max="14303" width="20.5703125" style="362" customWidth="1"/>
    <col min="14304" max="14305" width="9.140625" style="362"/>
    <col min="14306" max="14306" width="11.5703125" style="362" bestFit="1" customWidth="1"/>
    <col min="14307" max="14337" width="9.140625" style="362"/>
    <col min="14338" max="14338" width="28.7109375" style="362" customWidth="1"/>
    <col min="14339" max="14339" width="42.85546875" style="362" customWidth="1"/>
    <col min="14340" max="14340" width="26.28515625" style="362" customWidth="1"/>
    <col min="14341" max="14341" width="17.42578125" style="362" customWidth="1"/>
    <col min="14342" max="14555" width="9.140625" style="362"/>
    <col min="14556" max="14556" width="28" style="362" customWidth="1"/>
    <col min="14557" max="14557" width="52" style="362" customWidth="1"/>
    <col min="14558" max="14558" width="27.28515625" style="362" customWidth="1"/>
    <col min="14559" max="14559" width="20.5703125" style="362" customWidth="1"/>
    <col min="14560" max="14561" width="9.140625" style="362"/>
    <col min="14562" max="14562" width="11.5703125" style="362" bestFit="1" customWidth="1"/>
    <col min="14563" max="14593" width="9.140625" style="362"/>
    <col min="14594" max="14594" width="28.7109375" style="362" customWidth="1"/>
    <col min="14595" max="14595" width="42.85546875" style="362" customWidth="1"/>
    <col min="14596" max="14596" width="26.28515625" style="362" customWidth="1"/>
    <col min="14597" max="14597" width="17.42578125" style="362" customWidth="1"/>
    <col min="14598" max="14811" width="9.140625" style="362"/>
    <col min="14812" max="14812" width="28" style="362" customWidth="1"/>
    <col min="14813" max="14813" width="52" style="362" customWidth="1"/>
    <col min="14814" max="14814" width="27.28515625" style="362" customWidth="1"/>
    <col min="14815" max="14815" width="20.5703125" style="362" customWidth="1"/>
    <col min="14816" max="14817" width="9.140625" style="362"/>
    <col min="14818" max="14818" width="11.5703125" style="362" bestFit="1" customWidth="1"/>
    <col min="14819" max="14849" width="9.140625" style="362"/>
    <col min="14850" max="14850" width="28.7109375" style="362" customWidth="1"/>
    <col min="14851" max="14851" width="42.85546875" style="362" customWidth="1"/>
    <col min="14852" max="14852" width="26.28515625" style="362" customWidth="1"/>
    <col min="14853" max="14853" width="17.42578125" style="362" customWidth="1"/>
    <col min="14854" max="15067" width="9.140625" style="362"/>
    <col min="15068" max="15068" width="28" style="362" customWidth="1"/>
    <col min="15069" max="15069" width="52" style="362" customWidth="1"/>
    <col min="15070" max="15070" width="27.28515625" style="362" customWidth="1"/>
    <col min="15071" max="15071" width="20.5703125" style="362" customWidth="1"/>
    <col min="15072" max="15073" width="9.140625" style="362"/>
    <col min="15074" max="15074" width="11.5703125" style="362" bestFit="1" customWidth="1"/>
    <col min="15075" max="15105" width="9.140625" style="362"/>
    <col min="15106" max="15106" width="28.7109375" style="362" customWidth="1"/>
    <col min="15107" max="15107" width="42.85546875" style="362" customWidth="1"/>
    <col min="15108" max="15108" width="26.28515625" style="362" customWidth="1"/>
    <col min="15109" max="15109" width="17.42578125" style="362" customWidth="1"/>
    <col min="15110" max="15323" width="9.140625" style="362"/>
    <col min="15324" max="15324" width="28" style="362" customWidth="1"/>
    <col min="15325" max="15325" width="52" style="362" customWidth="1"/>
    <col min="15326" max="15326" width="27.28515625" style="362" customWidth="1"/>
    <col min="15327" max="15327" width="20.5703125" style="362" customWidth="1"/>
    <col min="15328" max="15329" width="9.140625" style="362"/>
    <col min="15330" max="15330" width="11.5703125" style="362" bestFit="1" customWidth="1"/>
    <col min="15331" max="15361" width="9.140625" style="362"/>
    <col min="15362" max="15362" width="28.7109375" style="362" customWidth="1"/>
    <col min="15363" max="15363" width="42.85546875" style="362" customWidth="1"/>
    <col min="15364" max="15364" width="26.28515625" style="362" customWidth="1"/>
    <col min="15365" max="15365" width="17.42578125" style="362" customWidth="1"/>
    <col min="15366" max="15579" width="9.140625" style="362"/>
    <col min="15580" max="15580" width="28" style="362" customWidth="1"/>
    <col min="15581" max="15581" width="52" style="362" customWidth="1"/>
    <col min="15582" max="15582" width="27.28515625" style="362" customWidth="1"/>
    <col min="15583" max="15583" width="20.5703125" style="362" customWidth="1"/>
    <col min="15584" max="15585" width="9.140625" style="362"/>
    <col min="15586" max="15586" width="11.5703125" style="362" bestFit="1" customWidth="1"/>
    <col min="15587" max="15617" width="9.140625" style="362"/>
    <col min="15618" max="15618" width="28.7109375" style="362" customWidth="1"/>
    <col min="15619" max="15619" width="42.85546875" style="362" customWidth="1"/>
    <col min="15620" max="15620" width="26.28515625" style="362" customWidth="1"/>
    <col min="15621" max="15621" width="17.42578125" style="362" customWidth="1"/>
    <col min="15622" max="15835" width="9.140625" style="362"/>
    <col min="15836" max="15836" width="28" style="362" customWidth="1"/>
    <col min="15837" max="15837" width="52" style="362" customWidth="1"/>
    <col min="15838" max="15838" width="27.28515625" style="362" customWidth="1"/>
    <col min="15839" max="15839" width="20.5703125" style="362" customWidth="1"/>
    <col min="15840" max="15841" width="9.140625" style="362"/>
    <col min="15842" max="15842" width="11.5703125" style="362" bestFit="1" customWidth="1"/>
    <col min="15843" max="15873" width="9.140625" style="362"/>
    <col min="15874" max="15874" width="28.7109375" style="362" customWidth="1"/>
    <col min="15875" max="15875" width="42.85546875" style="362" customWidth="1"/>
    <col min="15876" max="15876" width="26.28515625" style="362" customWidth="1"/>
    <col min="15877" max="15877" width="17.42578125" style="362" customWidth="1"/>
    <col min="15878" max="16091" width="9.140625" style="362"/>
    <col min="16092" max="16092" width="28" style="362" customWidth="1"/>
    <col min="16093" max="16093" width="52" style="362" customWidth="1"/>
    <col min="16094" max="16094" width="27.28515625" style="362" customWidth="1"/>
    <col min="16095" max="16095" width="20.5703125" style="362" customWidth="1"/>
    <col min="16096" max="16097" width="9.140625" style="362"/>
    <col min="16098" max="16098" width="11.5703125" style="362" bestFit="1" customWidth="1"/>
    <col min="16099" max="16129" width="9.140625" style="362"/>
    <col min="16130" max="16130" width="28.7109375" style="362" customWidth="1"/>
    <col min="16131" max="16131" width="42.85546875" style="362" customWidth="1"/>
    <col min="16132" max="16132" width="26.28515625" style="362" customWidth="1"/>
    <col min="16133" max="16133" width="17.42578125" style="362" customWidth="1"/>
    <col min="16134" max="16347" width="9.140625" style="362"/>
    <col min="16348" max="16348" width="28" style="362" customWidth="1"/>
    <col min="16349" max="16349" width="52" style="362" customWidth="1"/>
    <col min="16350" max="16350" width="27.28515625" style="362" customWidth="1"/>
    <col min="16351" max="16351" width="20.5703125" style="362" customWidth="1"/>
    <col min="16352" max="16353" width="9.140625" style="362"/>
    <col min="16354" max="16354" width="11.5703125" style="362" bestFit="1" customWidth="1"/>
    <col min="16355" max="16384" width="9.140625" style="362"/>
  </cols>
  <sheetData>
    <row r="1" spans="1:256" x14ac:dyDescent="0.2">
      <c r="A1" s="365"/>
      <c r="B1" s="366"/>
      <c r="C1" s="367"/>
      <c r="D1" s="368"/>
      <c r="E1" s="369" t="s">
        <v>1310</v>
      </c>
      <c r="F1" s="368"/>
      <c r="G1" s="370"/>
      <c r="H1" s="368"/>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c r="BJ1" s="371"/>
      <c r="BK1" s="371"/>
      <c r="BL1" s="371"/>
      <c r="BM1" s="371"/>
      <c r="BN1" s="371"/>
      <c r="BO1" s="371"/>
      <c r="BP1" s="371"/>
      <c r="BQ1" s="371"/>
      <c r="BR1" s="371"/>
      <c r="BS1" s="371"/>
      <c r="BT1" s="371"/>
      <c r="BU1" s="371"/>
      <c r="BV1" s="371"/>
      <c r="BW1" s="371"/>
      <c r="BX1" s="371"/>
      <c r="BY1" s="371"/>
      <c r="BZ1" s="371"/>
      <c r="CA1" s="371"/>
      <c r="CB1" s="371"/>
      <c r="CC1" s="371"/>
      <c r="CD1" s="371"/>
      <c r="CE1" s="371"/>
      <c r="CF1" s="371"/>
      <c r="CG1" s="371"/>
      <c r="CH1" s="371"/>
      <c r="CI1" s="371"/>
      <c r="CJ1" s="371"/>
      <c r="CK1" s="371"/>
      <c r="CL1" s="371"/>
      <c r="CM1" s="371"/>
      <c r="CN1" s="371"/>
      <c r="CO1" s="371"/>
      <c r="CP1" s="371"/>
      <c r="CQ1" s="371"/>
      <c r="CR1" s="371"/>
      <c r="CS1" s="371"/>
      <c r="CT1" s="371"/>
      <c r="CU1" s="371"/>
      <c r="CV1" s="371"/>
      <c r="CW1" s="371"/>
      <c r="CX1" s="371"/>
      <c r="CY1" s="371"/>
      <c r="CZ1" s="371"/>
      <c r="DA1" s="371"/>
      <c r="DB1" s="371"/>
      <c r="DC1" s="371"/>
      <c r="DD1" s="371"/>
      <c r="DE1" s="371"/>
      <c r="DF1" s="371"/>
      <c r="DG1" s="371"/>
      <c r="DH1" s="371"/>
      <c r="DI1" s="371"/>
      <c r="DJ1" s="371"/>
      <c r="DK1" s="371"/>
      <c r="DL1" s="371"/>
      <c r="DM1" s="371"/>
      <c r="DN1" s="371"/>
      <c r="DO1" s="371"/>
      <c r="DP1" s="371"/>
      <c r="DQ1" s="371"/>
      <c r="DR1" s="371"/>
      <c r="DS1" s="371"/>
      <c r="DT1" s="371"/>
      <c r="DU1" s="371"/>
      <c r="DV1" s="371"/>
      <c r="DW1" s="371"/>
      <c r="DX1" s="371"/>
      <c r="DY1" s="371"/>
      <c r="DZ1" s="371"/>
      <c r="EA1" s="371"/>
      <c r="EB1" s="371"/>
      <c r="EC1" s="371"/>
      <c r="ED1" s="371"/>
      <c r="EE1" s="371"/>
      <c r="EF1" s="371"/>
      <c r="EG1" s="371"/>
      <c r="EH1" s="371"/>
      <c r="EI1" s="371"/>
      <c r="EJ1" s="371"/>
      <c r="EK1" s="371"/>
      <c r="EL1" s="371"/>
      <c r="EM1" s="371"/>
      <c r="EN1" s="371"/>
      <c r="EO1" s="371"/>
      <c r="EP1" s="371"/>
      <c r="EQ1" s="371"/>
      <c r="ER1" s="371"/>
      <c r="ES1" s="371"/>
      <c r="ET1" s="371"/>
      <c r="EU1" s="371"/>
      <c r="EV1" s="371"/>
      <c r="EW1" s="371"/>
      <c r="EX1" s="371"/>
      <c r="EY1" s="371"/>
      <c r="EZ1" s="371"/>
      <c r="FA1" s="371"/>
      <c r="FB1" s="371"/>
      <c r="FC1" s="371"/>
      <c r="FD1" s="371"/>
      <c r="FE1" s="371"/>
      <c r="FF1" s="371"/>
      <c r="FG1" s="371"/>
      <c r="FH1" s="371"/>
      <c r="FI1" s="371"/>
      <c r="FJ1" s="371"/>
      <c r="FK1" s="371"/>
      <c r="FL1" s="371"/>
      <c r="FM1" s="371"/>
      <c r="FN1" s="371"/>
      <c r="FO1" s="371"/>
      <c r="FP1" s="371"/>
      <c r="FQ1" s="371"/>
      <c r="FR1" s="371"/>
      <c r="FS1" s="371"/>
      <c r="FT1" s="371"/>
      <c r="FU1" s="371"/>
      <c r="FV1" s="371"/>
      <c r="FW1" s="371"/>
      <c r="FX1" s="371"/>
      <c r="FY1" s="371"/>
      <c r="FZ1" s="371"/>
      <c r="GA1" s="371"/>
      <c r="GB1" s="371"/>
      <c r="GC1" s="371"/>
      <c r="GD1" s="371"/>
      <c r="GE1" s="371"/>
      <c r="GF1" s="371"/>
      <c r="GG1" s="371"/>
      <c r="GH1" s="371"/>
      <c r="GI1" s="371"/>
      <c r="GJ1" s="371"/>
      <c r="GK1" s="371"/>
      <c r="GL1" s="371"/>
      <c r="GM1" s="371"/>
      <c r="GN1" s="371"/>
      <c r="GO1" s="371"/>
      <c r="GP1" s="371"/>
      <c r="GQ1" s="371"/>
      <c r="GR1" s="371"/>
      <c r="GS1" s="371"/>
      <c r="GT1" s="371"/>
      <c r="GU1" s="371"/>
      <c r="GV1" s="371"/>
      <c r="GW1" s="371"/>
      <c r="GX1" s="371"/>
      <c r="GY1" s="371"/>
      <c r="GZ1" s="371"/>
      <c r="HA1" s="371"/>
      <c r="HB1" s="371"/>
      <c r="HC1" s="371"/>
      <c r="HD1" s="371"/>
      <c r="HE1" s="371"/>
      <c r="HF1" s="371"/>
      <c r="HG1" s="371"/>
      <c r="HH1" s="371"/>
      <c r="HI1" s="371"/>
      <c r="HJ1" s="371"/>
      <c r="HK1" s="371"/>
      <c r="HL1" s="371"/>
      <c r="HM1" s="371"/>
      <c r="HN1" s="371"/>
      <c r="HO1" s="371"/>
      <c r="HP1" s="371"/>
      <c r="HQ1" s="371"/>
      <c r="HR1" s="371"/>
      <c r="HS1" s="371"/>
      <c r="HT1" s="371"/>
      <c r="HU1" s="371"/>
      <c r="HV1" s="371"/>
      <c r="HW1" s="371"/>
      <c r="HX1" s="371"/>
      <c r="HY1" s="371"/>
      <c r="HZ1" s="371"/>
      <c r="IA1" s="371"/>
      <c r="IB1" s="371"/>
      <c r="IC1" s="371"/>
      <c r="ID1" s="371"/>
      <c r="IE1" s="371"/>
      <c r="IF1" s="371"/>
      <c r="IG1" s="371"/>
      <c r="IH1" s="371"/>
      <c r="II1" s="371"/>
      <c r="IJ1" s="371"/>
      <c r="IK1" s="371"/>
      <c r="IL1" s="371"/>
      <c r="IM1" s="371"/>
      <c r="IN1" s="371"/>
      <c r="IO1" s="371"/>
      <c r="IP1" s="371"/>
      <c r="IQ1" s="371"/>
      <c r="IR1" s="371"/>
      <c r="IS1" s="371"/>
      <c r="IT1" s="371"/>
      <c r="IU1" s="371"/>
      <c r="IV1" s="371"/>
    </row>
    <row r="2" spans="1:256" x14ac:dyDescent="0.2">
      <c r="A2" s="365"/>
      <c r="B2" s="368"/>
      <c r="D2" s="368"/>
      <c r="E2" s="372"/>
      <c r="F2" s="368"/>
      <c r="G2" s="370"/>
      <c r="H2" s="368"/>
      <c r="I2" s="370"/>
      <c r="J2" s="371"/>
      <c r="K2" s="371"/>
      <c r="L2" s="371"/>
      <c r="M2" s="371"/>
      <c r="N2" s="371"/>
      <c r="O2" s="371"/>
      <c r="P2" s="371"/>
      <c r="Q2" s="371"/>
      <c r="R2" s="371"/>
      <c r="S2" s="371"/>
      <c r="T2" s="371"/>
      <c r="U2" s="371"/>
      <c r="V2" s="371"/>
      <c r="W2" s="371"/>
      <c r="X2" s="371"/>
      <c r="Y2" s="371"/>
      <c r="Z2" s="371"/>
      <c r="AA2" s="371"/>
      <c r="AB2" s="371"/>
      <c r="AC2" s="371"/>
      <c r="AD2" s="371"/>
      <c r="AE2" s="371"/>
      <c r="AF2" s="371"/>
      <c r="AG2" s="371"/>
      <c r="AH2" s="371"/>
      <c r="AI2" s="371"/>
      <c r="AJ2" s="371"/>
      <c r="AK2" s="371"/>
      <c r="AL2" s="371"/>
      <c r="AM2" s="371"/>
      <c r="AN2" s="371"/>
      <c r="AO2" s="371"/>
      <c r="AP2" s="371"/>
      <c r="AQ2" s="371"/>
      <c r="AR2" s="371"/>
      <c r="AS2" s="371"/>
      <c r="AT2" s="371"/>
      <c r="AU2" s="371"/>
      <c r="AV2" s="371"/>
      <c r="AW2" s="371"/>
      <c r="AX2" s="371"/>
      <c r="AY2" s="371"/>
      <c r="AZ2" s="371"/>
      <c r="BA2" s="371"/>
      <c r="BB2" s="371"/>
      <c r="BC2" s="371"/>
      <c r="BD2" s="371"/>
      <c r="BE2" s="371"/>
      <c r="BF2" s="371"/>
      <c r="BG2" s="371"/>
      <c r="BH2" s="371"/>
      <c r="BI2" s="371"/>
      <c r="BJ2" s="371"/>
      <c r="BK2" s="371"/>
      <c r="BL2" s="371"/>
      <c r="BM2" s="371"/>
      <c r="BN2" s="371"/>
      <c r="BO2" s="371"/>
      <c r="BP2" s="371"/>
      <c r="BQ2" s="371"/>
      <c r="BR2" s="371"/>
      <c r="BS2" s="371"/>
      <c r="BT2" s="371"/>
      <c r="BU2" s="371"/>
      <c r="BV2" s="371"/>
      <c r="BW2" s="371"/>
      <c r="BX2" s="371"/>
      <c r="BY2" s="371"/>
      <c r="BZ2" s="371"/>
      <c r="CA2" s="371"/>
      <c r="CB2" s="371"/>
      <c r="CC2" s="371"/>
      <c r="CD2" s="371"/>
      <c r="CE2" s="371"/>
      <c r="CF2" s="371"/>
      <c r="CG2" s="371"/>
      <c r="CH2" s="371"/>
      <c r="CI2" s="371"/>
      <c r="CJ2" s="371"/>
      <c r="CK2" s="371"/>
      <c r="CL2" s="371"/>
      <c r="CM2" s="371"/>
      <c r="CN2" s="371"/>
      <c r="CO2" s="371"/>
      <c r="CP2" s="371"/>
      <c r="CQ2" s="371"/>
      <c r="CR2" s="371"/>
      <c r="CS2" s="371"/>
      <c r="CT2" s="371"/>
      <c r="CU2" s="371"/>
      <c r="CV2" s="371"/>
      <c r="CW2" s="371"/>
      <c r="CX2" s="371"/>
      <c r="CY2" s="371"/>
      <c r="CZ2" s="371"/>
      <c r="DA2" s="371"/>
      <c r="DB2" s="371"/>
      <c r="DC2" s="371"/>
      <c r="DD2" s="371"/>
      <c r="DE2" s="371"/>
      <c r="DF2" s="371"/>
      <c r="DG2" s="371"/>
      <c r="DH2" s="371"/>
      <c r="DI2" s="371"/>
      <c r="DJ2" s="371"/>
      <c r="DK2" s="371"/>
      <c r="DL2" s="371"/>
      <c r="DM2" s="371"/>
      <c r="DN2" s="371"/>
      <c r="DO2" s="371"/>
      <c r="DP2" s="371"/>
      <c r="DQ2" s="371"/>
      <c r="DR2" s="371"/>
      <c r="DS2" s="371"/>
      <c r="DT2" s="371"/>
      <c r="DU2" s="371"/>
      <c r="DV2" s="371"/>
      <c r="DW2" s="371"/>
      <c r="DX2" s="371"/>
      <c r="DY2" s="371"/>
      <c r="DZ2" s="371"/>
      <c r="EA2" s="371"/>
      <c r="EB2" s="371"/>
      <c r="EC2" s="371"/>
      <c r="ED2" s="371"/>
      <c r="EE2" s="371"/>
      <c r="EF2" s="371"/>
      <c r="EG2" s="371"/>
      <c r="EH2" s="371"/>
      <c r="EI2" s="371"/>
      <c r="EJ2" s="371"/>
      <c r="EK2" s="371"/>
      <c r="EL2" s="371"/>
      <c r="EM2" s="371"/>
      <c r="EN2" s="371"/>
      <c r="EO2" s="371"/>
      <c r="EP2" s="371"/>
      <c r="EQ2" s="371"/>
      <c r="ER2" s="371"/>
      <c r="ES2" s="371"/>
      <c r="ET2" s="371"/>
      <c r="EU2" s="371"/>
      <c r="EV2" s="371"/>
      <c r="EW2" s="371"/>
      <c r="EX2" s="371"/>
      <c r="EY2" s="371"/>
      <c r="EZ2" s="371"/>
      <c r="FA2" s="371"/>
      <c r="FB2" s="371"/>
      <c r="FC2" s="371"/>
      <c r="FD2" s="371"/>
      <c r="FE2" s="371"/>
      <c r="FF2" s="371"/>
      <c r="FG2" s="371"/>
      <c r="FH2" s="371"/>
      <c r="FI2" s="371"/>
      <c r="FJ2" s="371"/>
      <c r="FK2" s="371"/>
      <c r="FL2" s="371"/>
      <c r="FM2" s="371"/>
      <c r="FN2" s="371"/>
      <c r="FO2" s="371"/>
      <c r="FP2" s="371"/>
      <c r="FQ2" s="371"/>
      <c r="FR2" s="371"/>
      <c r="FS2" s="371"/>
      <c r="FT2" s="371"/>
      <c r="FU2" s="371"/>
      <c r="FV2" s="371"/>
      <c r="FW2" s="371"/>
      <c r="FX2" s="371"/>
      <c r="FY2" s="371"/>
      <c r="FZ2" s="371"/>
      <c r="GA2" s="371"/>
      <c r="GB2" s="371"/>
      <c r="GC2" s="371"/>
      <c r="GD2" s="371"/>
      <c r="GE2" s="371"/>
      <c r="GF2" s="371"/>
      <c r="GG2" s="371"/>
      <c r="GH2" s="371"/>
      <c r="GI2" s="371"/>
      <c r="GJ2" s="371"/>
      <c r="GK2" s="371"/>
      <c r="GL2" s="371"/>
      <c r="GM2" s="371"/>
      <c r="GN2" s="371"/>
      <c r="GO2" s="371"/>
      <c r="GP2" s="371"/>
      <c r="GQ2" s="371"/>
      <c r="GR2" s="371"/>
      <c r="GS2" s="371"/>
      <c r="GT2" s="371"/>
      <c r="GU2" s="371"/>
      <c r="GV2" s="371"/>
      <c r="GW2" s="371"/>
      <c r="GX2" s="371"/>
      <c r="GY2" s="371"/>
      <c r="GZ2" s="371"/>
      <c r="HA2" s="371"/>
      <c r="HB2" s="371"/>
      <c r="HC2" s="371"/>
      <c r="HD2" s="371"/>
      <c r="HE2" s="371"/>
      <c r="HF2" s="371"/>
      <c r="HG2" s="371"/>
      <c r="HH2" s="371"/>
      <c r="HI2" s="371"/>
      <c r="HJ2" s="371"/>
      <c r="HK2" s="371"/>
      <c r="HL2" s="371"/>
      <c r="HM2" s="371"/>
      <c r="HN2" s="371"/>
      <c r="HO2" s="371"/>
      <c r="HP2" s="371"/>
      <c r="HQ2" s="371"/>
      <c r="HR2" s="371"/>
      <c r="HS2" s="371"/>
      <c r="HT2" s="371"/>
      <c r="HU2" s="371"/>
      <c r="HV2" s="371"/>
      <c r="HW2" s="371"/>
      <c r="HX2" s="371"/>
      <c r="HY2" s="371"/>
      <c r="HZ2" s="371"/>
      <c r="IA2" s="371"/>
      <c r="IB2" s="371"/>
      <c r="IC2" s="371"/>
      <c r="ID2" s="371"/>
      <c r="IE2" s="371"/>
      <c r="IF2" s="371"/>
      <c r="IG2" s="371"/>
      <c r="IH2" s="371"/>
      <c r="II2" s="371"/>
      <c r="IJ2" s="371"/>
      <c r="IK2" s="371"/>
      <c r="IL2" s="371"/>
      <c r="IM2" s="371"/>
      <c r="IN2" s="371"/>
      <c r="IO2" s="371"/>
      <c r="IP2" s="371"/>
      <c r="IQ2" s="371"/>
      <c r="IR2" s="371"/>
      <c r="IS2" s="371"/>
      <c r="IT2" s="371"/>
      <c r="IU2" s="371"/>
      <c r="IV2" s="371"/>
    </row>
    <row r="3" spans="1:256" x14ac:dyDescent="0.2">
      <c r="A3" s="793" t="s">
        <v>1411</v>
      </c>
      <c r="B3" s="793"/>
      <c r="C3" s="793"/>
      <c r="D3" s="793"/>
      <c r="E3" s="793"/>
      <c r="F3" s="373"/>
      <c r="G3" s="373"/>
      <c r="H3" s="373"/>
      <c r="I3" s="373"/>
      <c r="J3" s="371"/>
      <c r="K3" s="371"/>
      <c r="L3" s="371"/>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O3" s="371"/>
      <c r="AP3" s="371"/>
      <c r="AQ3" s="371"/>
      <c r="AR3" s="371"/>
      <c r="AS3" s="371"/>
      <c r="AT3" s="371"/>
      <c r="AU3" s="371"/>
      <c r="AV3" s="371"/>
      <c r="AW3" s="371"/>
      <c r="AX3" s="371"/>
      <c r="AY3" s="371"/>
      <c r="AZ3" s="371"/>
      <c r="BA3" s="371"/>
      <c r="BB3" s="371"/>
      <c r="BC3" s="371"/>
      <c r="BD3" s="371"/>
      <c r="BE3" s="371"/>
      <c r="BF3" s="371"/>
      <c r="BG3" s="371"/>
      <c r="BH3" s="371"/>
      <c r="BI3" s="371"/>
      <c r="BJ3" s="371"/>
      <c r="BK3" s="371"/>
      <c r="BL3" s="371"/>
      <c r="BM3" s="371"/>
      <c r="BN3" s="371"/>
      <c r="BO3" s="371"/>
      <c r="BP3" s="371"/>
      <c r="BQ3" s="371"/>
      <c r="BR3" s="371"/>
      <c r="BS3" s="371"/>
      <c r="BT3" s="371"/>
      <c r="BU3" s="371"/>
      <c r="BV3" s="371"/>
      <c r="BW3" s="371"/>
      <c r="BX3" s="371"/>
      <c r="BY3" s="371"/>
      <c r="BZ3" s="371"/>
      <c r="CA3" s="371"/>
      <c r="CB3" s="371"/>
      <c r="CC3" s="371"/>
      <c r="CD3" s="371"/>
      <c r="CE3" s="371"/>
      <c r="CF3" s="371"/>
      <c r="CG3" s="371"/>
      <c r="CH3" s="371"/>
      <c r="CI3" s="371"/>
      <c r="CJ3" s="371"/>
      <c r="CK3" s="371"/>
      <c r="CL3" s="371"/>
      <c r="CM3" s="371"/>
      <c r="CN3" s="371"/>
      <c r="CO3" s="371"/>
      <c r="CP3" s="371"/>
      <c r="CQ3" s="371"/>
      <c r="CR3" s="371"/>
      <c r="CS3" s="371"/>
      <c r="CT3" s="371"/>
      <c r="CU3" s="371"/>
      <c r="CV3" s="371"/>
      <c r="CW3" s="371"/>
      <c r="CX3" s="371"/>
      <c r="CY3" s="371"/>
      <c r="CZ3" s="371"/>
      <c r="DA3" s="371"/>
      <c r="DB3" s="371"/>
      <c r="DC3" s="371"/>
      <c r="DD3" s="371"/>
      <c r="DE3" s="371"/>
      <c r="DF3" s="371"/>
      <c r="DG3" s="371"/>
      <c r="DH3" s="371"/>
      <c r="DI3" s="371"/>
      <c r="DJ3" s="371"/>
      <c r="DK3" s="371"/>
      <c r="DL3" s="371"/>
      <c r="DM3" s="371"/>
      <c r="DN3" s="371"/>
      <c r="DO3" s="371"/>
      <c r="DP3" s="371"/>
      <c r="DQ3" s="371"/>
      <c r="DR3" s="371"/>
      <c r="DS3" s="371"/>
      <c r="DT3" s="371"/>
      <c r="DU3" s="371"/>
      <c r="DV3" s="371"/>
      <c r="DW3" s="371"/>
      <c r="DX3" s="371"/>
      <c r="DY3" s="371"/>
      <c r="DZ3" s="371"/>
      <c r="EA3" s="371"/>
      <c r="EB3" s="371"/>
      <c r="EC3" s="371"/>
      <c r="ED3" s="371"/>
      <c r="EE3" s="371"/>
      <c r="EF3" s="371"/>
      <c r="EG3" s="371"/>
      <c r="EH3" s="371"/>
      <c r="EI3" s="371"/>
      <c r="EJ3" s="371"/>
      <c r="EK3" s="371"/>
      <c r="EL3" s="371"/>
      <c r="EM3" s="371"/>
      <c r="EN3" s="371"/>
      <c r="EO3" s="371"/>
      <c r="EP3" s="371"/>
      <c r="EQ3" s="371"/>
      <c r="ER3" s="371"/>
      <c r="ES3" s="371"/>
      <c r="ET3" s="371"/>
      <c r="EU3" s="371"/>
      <c r="EV3" s="371"/>
      <c r="EW3" s="371"/>
      <c r="EX3" s="371"/>
      <c r="EY3" s="371"/>
      <c r="EZ3" s="371"/>
      <c r="FA3" s="371"/>
      <c r="FB3" s="371"/>
      <c r="FC3" s="371"/>
      <c r="FD3" s="371"/>
      <c r="FE3" s="371"/>
      <c r="FF3" s="371"/>
      <c r="FG3" s="371"/>
      <c r="FH3" s="371"/>
      <c r="FI3" s="371"/>
      <c r="FJ3" s="371"/>
      <c r="FK3" s="371"/>
      <c r="FL3" s="371"/>
      <c r="FM3" s="371"/>
      <c r="FN3" s="371"/>
      <c r="FO3" s="371"/>
      <c r="FP3" s="371"/>
      <c r="FQ3" s="371"/>
      <c r="FR3" s="371"/>
      <c r="FS3" s="371"/>
      <c r="FT3" s="371"/>
      <c r="FU3" s="371"/>
      <c r="FV3" s="371"/>
      <c r="FW3" s="371"/>
      <c r="FX3" s="371"/>
      <c r="FY3" s="371"/>
      <c r="FZ3" s="371"/>
      <c r="GA3" s="371"/>
      <c r="GB3" s="371"/>
      <c r="GC3" s="371"/>
      <c r="GD3" s="371"/>
      <c r="GE3" s="371"/>
      <c r="GF3" s="371"/>
      <c r="GG3" s="371"/>
      <c r="GH3" s="371"/>
      <c r="GI3" s="371"/>
      <c r="GJ3" s="371"/>
      <c r="GK3" s="371"/>
      <c r="GL3" s="371"/>
      <c r="GM3" s="371"/>
      <c r="GN3" s="371"/>
      <c r="GO3" s="371"/>
      <c r="GP3" s="371"/>
      <c r="GQ3" s="371"/>
      <c r="GR3" s="371"/>
      <c r="GS3" s="371"/>
      <c r="GT3" s="371"/>
      <c r="GU3" s="371"/>
      <c r="GV3" s="371"/>
      <c r="GW3" s="371"/>
      <c r="GX3" s="371"/>
      <c r="GY3" s="371"/>
      <c r="GZ3" s="371"/>
      <c r="HA3" s="371"/>
      <c r="HB3" s="371"/>
      <c r="HC3" s="371"/>
      <c r="HD3" s="371"/>
      <c r="HE3" s="371"/>
      <c r="HF3" s="371"/>
      <c r="HG3" s="371"/>
      <c r="HH3" s="371"/>
      <c r="HI3" s="371"/>
      <c r="HJ3" s="371"/>
      <c r="HK3" s="371"/>
      <c r="HL3" s="371"/>
      <c r="HM3" s="371"/>
      <c r="HN3" s="371"/>
      <c r="HO3" s="371"/>
      <c r="HP3" s="371"/>
      <c r="HQ3" s="371"/>
      <c r="HR3" s="371"/>
      <c r="HS3" s="371"/>
      <c r="HT3" s="371"/>
      <c r="HU3" s="371"/>
      <c r="HV3" s="371"/>
      <c r="HW3" s="371"/>
      <c r="HX3" s="371"/>
      <c r="HY3" s="371"/>
      <c r="HZ3" s="371"/>
      <c r="IA3" s="371"/>
      <c r="IB3" s="371"/>
      <c r="IC3" s="371"/>
      <c r="ID3" s="371"/>
      <c r="IE3" s="371"/>
      <c r="IF3" s="371"/>
      <c r="IG3" s="371"/>
      <c r="IH3" s="371"/>
      <c r="II3" s="371"/>
      <c r="IJ3" s="371"/>
      <c r="IK3" s="371"/>
      <c r="IL3" s="371"/>
      <c r="IM3" s="371"/>
      <c r="IN3" s="371"/>
      <c r="IO3" s="371"/>
      <c r="IP3" s="371"/>
      <c r="IQ3" s="371"/>
      <c r="IR3" s="371"/>
      <c r="IS3" s="371"/>
      <c r="IT3" s="371"/>
      <c r="IU3" s="371"/>
      <c r="IV3" s="371"/>
    </row>
    <row r="4" spans="1:256" x14ac:dyDescent="0.2">
      <c r="A4" s="794" t="s">
        <v>1312</v>
      </c>
      <c r="B4" s="794"/>
      <c r="C4" s="794"/>
      <c r="D4" s="794"/>
      <c r="E4" s="794"/>
      <c r="F4" s="374"/>
      <c r="G4" s="374"/>
      <c r="H4" s="374"/>
      <c r="I4" s="374"/>
      <c r="J4" s="371"/>
      <c r="K4" s="371"/>
      <c r="L4" s="371"/>
      <c r="M4" s="371"/>
      <c r="N4" s="371"/>
      <c r="O4" s="371"/>
      <c r="P4" s="371"/>
      <c r="Q4" s="371"/>
      <c r="R4" s="371"/>
      <c r="S4" s="371"/>
      <c r="T4" s="371"/>
      <c r="U4" s="371"/>
      <c r="V4" s="371"/>
      <c r="W4" s="371"/>
      <c r="X4" s="371"/>
      <c r="Y4" s="371"/>
      <c r="Z4" s="371"/>
      <c r="AA4" s="371"/>
      <c r="AB4" s="371"/>
      <c r="AC4" s="371"/>
      <c r="AD4" s="371"/>
      <c r="AE4" s="371"/>
      <c r="AF4" s="371"/>
      <c r="AG4" s="371"/>
      <c r="AH4" s="371"/>
      <c r="AI4" s="371"/>
      <c r="AJ4" s="371"/>
      <c r="AK4" s="371"/>
      <c r="AL4" s="371"/>
      <c r="AM4" s="371"/>
      <c r="AN4" s="371"/>
      <c r="AO4" s="371"/>
      <c r="AP4" s="371"/>
      <c r="AQ4" s="371"/>
      <c r="AR4" s="371"/>
      <c r="AS4" s="371"/>
      <c r="AT4" s="371"/>
      <c r="AU4" s="371"/>
      <c r="AV4" s="371"/>
      <c r="AW4" s="371"/>
      <c r="AX4" s="371"/>
      <c r="AY4" s="371"/>
      <c r="AZ4" s="371"/>
      <c r="BA4" s="371"/>
      <c r="BB4" s="371"/>
      <c r="BC4" s="371"/>
      <c r="BD4" s="371"/>
      <c r="BE4" s="371"/>
      <c r="BF4" s="371"/>
      <c r="BG4" s="371"/>
      <c r="BH4" s="371"/>
      <c r="BI4" s="371"/>
      <c r="BJ4" s="371"/>
      <c r="BK4" s="371"/>
      <c r="BL4" s="371"/>
      <c r="BM4" s="371"/>
      <c r="BN4" s="371"/>
      <c r="BO4" s="371"/>
      <c r="BP4" s="371"/>
      <c r="BQ4" s="371"/>
      <c r="BR4" s="371"/>
      <c r="BS4" s="371"/>
      <c r="BT4" s="371"/>
      <c r="BU4" s="371"/>
      <c r="BV4" s="371"/>
      <c r="BW4" s="371"/>
      <c r="BX4" s="371"/>
      <c r="BY4" s="371"/>
      <c r="BZ4" s="371"/>
      <c r="CA4" s="371"/>
      <c r="CB4" s="371"/>
      <c r="CC4" s="371"/>
      <c r="CD4" s="371"/>
      <c r="CE4" s="371"/>
      <c r="CF4" s="371"/>
      <c r="CG4" s="371"/>
      <c r="CH4" s="371"/>
      <c r="CI4" s="371"/>
      <c r="CJ4" s="371"/>
      <c r="CK4" s="371"/>
      <c r="CL4" s="371"/>
      <c r="CM4" s="371"/>
      <c r="CN4" s="371"/>
      <c r="CO4" s="371"/>
      <c r="CP4" s="371"/>
      <c r="CQ4" s="371"/>
      <c r="CR4" s="371"/>
      <c r="CS4" s="371"/>
      <c r="CT4" s="371"/>
      <c r="CU4" s="371"/>
      <c r="CV4" s="371"/>
      <c r="CW4" s="371"/>
      <c r="CX4" s="371"/>
      <c r="CY4" s="371"/>
      <c r="CZ4" s="371"/>
      <c r="DA4" s="371"/>
      <c r="DB4" s="371"/>
      <c r="DC4" s="371"/>
      <c r="DD4" s="371"/>
      <c r="DE4" s="371"/>
      <c r="DF4" s="371"/>
      <c r="DG4" s="371"/>
      <c r="DH4" s="371"/>
      <c r="DI4" s="371"/>
      <c r="DJ4" s="371"/>
      <c r="DK4" s="371"/>
      <c r="DL4" s="371"/>
      <c r="DM4" s="371"/>
      <c r="DN4" s="371"/>
      <c r="DO4" s="371"/>
      <c r="DP4" s="371"/>
      <c r="DQ4" s="371"/>
      <c r="DR4" s="371"/>
      <c r="DS4" s="371"/>
      <c r="DT4" s="371"/>
      <c r="DU4" s="371"/>
      <c r="DV4" s="371"/>
      <c r="DW4" s="371"/>
      <c r="DX4" s="371"/>
      <c r="DY4" s="371"/>
      <c r="DZ4" s="371"/>
      <c r="EA4" s="371"/>
      <c r="EB4" s="371"/>
      <c r="EC4" s="371"/>
      <c r="ED4" s="371"/>
      <c r="EE4" s="371"/>
      <c r="EF4" s="371"/>
      <c r="EG4" s="371"/>
      <c r="EH4" s="371"/>
      <c r="EI4" s="371"/>
      <c r="EJ4" s="371"/>
      <c r="EK4" s="371"/>
      <c r="EL4" s="371"/>
      <c r="EM4" s="371"/>
      <c r="EN4" s="371"/>
      <c r="EO4" s="371"/>
      <c r="EP4" s="371"/>
      <c r="EQ4" s="371"/>
      <c r="ER4" s="371"/>
      <c r="ES4" s="371"/>
      <c r="ET4" s="371"/>
      <c r="EU4" s="371"/>
      <c r="EV4" s="371"/>
      <c r="EW4" s="371"/>
      <c r="EX4" s="371"/>
      <c r="EY4" s="371"/>
      <c r="EZ4" s="371"/>
      <c r="FA4" s="371"/>
      <c r="FB4" s="371"/>
      <c r="FC4" s="371"/>
      <c r="FD4" s="371"/>
      <c r="FE4" s="371"/>
      <c r="FF4" s="371"/>
      <c r="FG4" s="371"/>
      <c r="FH4" s="371"/>
      <c r="FI4" s="371"/>
      <c r="FJ4" s="371"/>
      <c r="FK4" s="371"/>
      <c r="FL4" s="371"/>
      <c r="FM4" s="371"/>
      <c r="FN4" s="371"/>
      <c r="FO4" s="371"/>
      <c r="FP4" s="371"/>
      <c r="FQ4" s="371"/>
      <c r="FR4" s="371"/>
      <c r="FS4" s="371"/>
      <c r="FT4" s="371"/>
      <c r="FU4" s="371"/>
      <c r="FV4" s="371"/>
      <c r="FW4" s="371"/>
      <c r="FX4" s="371"/>
      <c r="FY4" s="371"/>
      <c r="FZ4" s="371"/>
      <c r="GA4" s="371"/>
      <c r="GB4" s="371"/>
      <c r="GC4" s="371"/>
      <c r="GD4" s="371"/>
      <c r="GE4" s="371"/>
      <c r="GF4" s="371"/>
      <c r="GG4" s="371"/>
      <c r="GH4" s="371"/>
      <c r="GI4" s="371"/>
      <c r="GJ4" s="371"/>
      <c r="GK4" s="371"/>
      <c r="GL4" s="371"/>
      <c r="GM4" s="371"/>
      <c r="GN4" s="371"/>
      <c r="GO4" s="371"/>
      <c r="GP4" s="371"/>
      <c r="GQ4" s="371"/>
      <c r="GR4" s="371"/>
      <c r="GS4" s="371"/>
      <c r="GT4" s="371"/>
      <c r="GU4" s="371"/>
      <c r="GV4" s="371"/>
      <c r="GW4" s="371"/>
      <c r="GX4" s="371"/>
      <c r="GY4" s="371"/>
      <c r="GZ4" s="371"/>
      <c r="HA4" s="371"/>
      <c r="HB4" s="371"/>
      <c r="HC4" s="371"/>
      <c r="HD4" s="371"/>
      <c r="HE4" s="371"/>
      <c r="HF4" s="371"/>
      <c r="HG4" s="371"/>
      <c r="HH4" s="371"/>
      <c r="HI4" s="371"/>
      <c r="HJ4" s="371"/>
      <c r="HK4" s="371"/>
      <c r="HL4" s="371"/>
      <c r="HM4" s="371"/>
      <c r="HN4" s="371"/>
      <c r="HO4" s="371"/>
      <c r="HP4" s="371"/>
      <c r="HQ4" s="371"/>
      <c r="HR4" s="371"/>
      <c r="HS4" s="371"/>
      <c r="HT4" s="371"/>
      <c r="HU4" s="371"/>
      <c r="HV4" s="371"/>
      <c r="HW4" s="371"/>
      <c r="HX4" s="371"/>
      <c r="HY4" s="371"/>
      <c r="HZ4" s="371"/>
      <c r="IA4" s="371"/>
      <c r="IB4" s="371"/>
      <c r="IC4" s="371"/>
      <c r="ID4" s="371"/>
      <c r="IE4" s="371"/>
      <c r="IF4" s="371"/>
      <c r="IG4" s="371"/>
      <c r="IH4" s="371"/>
      <c r="II4" s="371"/>
      <c r="IJ4" s="371"/>
      <c r="IK4" s="371"/>
      <c r="IL4" s="371"/>
      <c r="IM4" s="371"/>
      <c r="IN4" s="371"/>
      <c r="IO4" s="371"/>
      <c r="IP4" s="371"/>
      <c r="IQ4" s="371"/>
      <c r="IR4" s="371"/>
      <c r="IS4" s="371"/>
      <c r="IT4" s="371"/>
      <c r="IU4" s="371"/>
      <c r="IV4" s="371"/>
    </row>
    <row r="5" spans="1:256" x14ac:dyDescent="0.2">
      <c r="A5" s="365"/>
      <c r="B5" s="368"/>
      <c r="C5" s="368"/>
      <c r="D5" s="368"/>
      <c r="E5" s="372"/>
      <c r="F5" s="368"/>
      <c r="G5" s="370"/>
      <c r="H5" s="368"/>
      <c r="I5" s="370"/>
      <c r="J5" s="371"/>
      <c r="K5" s="371"/>
      <c r="L5" s="371"/>
      <c r="M5" s="371"/>
      <c r="N5" s="371"/>
      <c r="O5" s="371"/>
      <c r="P5" s="371"/>
      <c r="Q5" s="371"/>
      <c r="R5" s="371"/>
      <c r="S5" s="371"/>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row>
    <row r="6" spans="1:256" ht="25.5" x14ac:dyDescent="0.2">
      <c r="A6" s="365"/>
      <c r="B6" s="375" t="s">
        <v>1313</v>
      </c>
      <c r="C6" s="795" t="str">
        <f>СВОД!B42</f>
        <v>Сети связи и сигнализации</v>
      </c>
      <c r="D6" s="795"/>
      <c r="E6" s="795"/>
      <c r="F6" s="376"/>
      <c r="G6" s="376"/>
      <c r="H6" s="376"/>
      <c r="I6" s="376"/>
      <c r="J6" s="371"/>
      <c r="K6" s="371"/>
      <c r="L6" s="371"/>
      <c r="M6" s="371"/>
      <c r="N6" s="371"/>
      <c r="O6" s="371"/>
      <c r="P6" s="371"/>
      <c r="Q6" s="371"/>
      <c r="R6" s="371"/>
      <c r="S6" s="371"/>
      <c r="T6" s="371"/>
      <c r="U6" s="371"/>
      <c r="V6" s="371"/>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71"/>
      <c r="BF6" s="371"/>
      <c r="BG6" s="371"/>
      <c r="BH6" s="371"/>
      <c r="BI6" s="371"/>
      <c r="BJ6" s="371"/>
      <c r="BK6" s="371"/>
      <c r="BL6" s="371"/>
      <c r="BM6" s="371"/>
      <c r="BN6" s="371"/>
      <c r="BO6" s="371"/>
      <c r="BP6" s="371"/>
      <c r="BQ6" s="371"/>
      <c r="BR6" s="371"/>
      <c r="BS6" s="371"/>
      <c r="BT6" s="371"/>
      <c r="BU6" s="371"/>
      <c r="BV6" s="371"/>
      <c r="BW6" s="371"/>
      <c r="BX6" s="371"/>
      <c r="BY6" s="371"/>
      <c r="BZ6" s="371"/>
      <c r="CA6" s="371"/>
      <c r="CB6" s="371"/>
      <c r="CC6" s="371"/>
      <c r="CD6" s="371"/>
      <c r="CE6" s="371"/>
      <c r="CF6" s="371"/>
      <c r="CG6" s="371"/>
      <c r="CH6" s="371"/>
      <c r="CI6" s="371"/>
      <c r="CJ6" s="371"/>
      <c r="CK6" s="371"/>
      <c r="CL6" s="371"/>
      <c r="CM6" s="371"/>
      <c r="CN6" s="371"/>
      <c r="CO6" s="371"/>
      <c r="CP6" s="371"/>
      <c r="CQ6" s="371"/>
      <c r="CR6" s="371"/>
      <c r="CS6" s="371"/>
      <c r="CT6" s="371"/>
      <c r="CU6" s="371"/>
      <c r="CV6" s="371"/>
      <c r="CW6" s="371"/>
      <c r="CX6" s="371"/>
      <c r="CY6" s="371"/>
      <c r="CZ6" s="371"/>
      <c r="DA6" s="371"/>
      <c r="DB6" s="371"/>
      <c r="DC6" s="371"/>
      <c r="DD6" s="371"/>
      <c r="DE6" s="371"/>
      <c r="DF6" s="371"/>
      <c r="DG6" s="371"/>
      <c r="DH6" s="371"/>
      <c r="DI6" s="371"/>
      <c r="DJ6" s="371"/>
      <c r="DK6" s="371"/>
      <c r="DL6" s="371"/>
      <c r="DM6" s="371"/>
      <c r="DN6" s="371"/>
      <c r="DO6" s="371"/>
      <c r="DP6" s="371"/>
      <c r="DQ6" s="371"/>
      <c r="DR6" s="371"/>
      <c r="DS6" s="371"/>
      <c r="DT6" s="371"/>
      <c r="DU6" s="371"/>
      <c r="DV6" s="371"/>
      <c r="DW6" s="371"/>
      <c r="DX6" s="371"/>
      <c r="DY6" s="371"/>
      <c r="DZ6" s="371"/>
      <c r="EA6" s="371"/>
      <c r="EB6" s="371"/>
      <c r="EC6" s="371"/>
      <c r="ED6" s="371"/>
      <c r="EE6" s="371"/>
      <c r="EF6" s="371"/>
      <c r="EG6" s="371"/>
      <c r="EH6" s="371"/>
      <c r="EI6" s="371"/>
      <c r="EJ6" s="371"/>
      <c r="EK6" s="371"/>
      <c r="EL6" s="371"/>
      <c r="EM6" s="371"/>
      <c r="EN6" s="371"/>
      <c r="EO6" s="371"/>
      <c r="EP6" s="371"/>
      <c r="EQ6" s="371"/>
      <c r="ER6" s="371"/>
      <c r="ES6" s="371"/>
      <c r="ET6" s="371"/>
      <c r="EU6" s="371"/>
      <c r="EV6" s="371"/>
      <c r="EW6" s="371"/>
      <c r="EX6" s="371"/>
      <c r="EY6" s="371"/>
      <c r="EZ6" s="371"/>
      <c r="FA6" s="371"/>
      <c r="FB6" s="371"/>
      <c r="FC6" s="371"/>
      <c r="FD6" s="371"/>
      <c r="FE6" s="371"/>
      <c r="FF6" s="371"/>
      <c r="FG6" s="371"/>
      <c r="FH6" s="371"/>
      <c r="FI6" s="371"/>
      <c r="FJ6" s="371"/>
      <c r="FK6" s="371"/>
      <c r="FL6" s="371"/>
      <c r="FM6" s="371"/>
      <c r="FN6" s="371"/>
      <c r="FO6" s="371"/>
      <c r="FP6" s="371"/>
      <c r="FQ6" s="371"/>
      <c r="FR6" s="371"/>
      <c r="FS6" s="371"/>
      <c r="FT6" s="371"/>
      <c r="FU6" s="371"/>
      <c r="FV6" s="371"/>
      <c r="FW6" s="371"/>
      <c r="FX6" s="371"/>
      <c r="FY6" s="371"/>
      <c r="FZ6" s="371"/>
      <c r="GA6" s="371"/>
      <c r="GB6" s="371"/>
      <c r="GC6" s="371"/>
      <c r="GD6" s="371"/>
      <c r="GE6" s="371"/>
      <c r="GF6" s="371"/>
      <c r="GG6" s="371"/>
      <c r="GH6" s="371"/>
      <c r="GI6" s="371"/>
      <c r="GJ6" s="371"/>
      <c r="GK6" s="371"/>
      <c r="GL6" s="371"/>
      <c r="GM6" s="371"/>
      <c r="GN6" s="371"/>
      <c r="GO6" s="371"/>
      <c r="GP6" s="371"/>
      <c r="GQ6" s="371"/>
      <c r="GR6" s="371"/>
      <c r="GS6" s="371"/>
      <c r="GT6" s="371"/>
      <c r="GU6" s="371"/>
      <c r="GV6" s="371"/>
      <c r="GW6" s="371"/>
      <c r="GX6" s="371"/>
      <c r="GY6" s="371"/>
      <c r="GZ6" s="371"/>
      <c r="HA6" s="371"/>
      <c r="HB6" s="371"/>
      <c r="HC6" s="371"/>
      <c r="HD6" s="371"/>
      <c r="HE6" s="371"/>
      <c r="HF6" s="371"/>
      <c r="HG6" s="371"/>
      <c r="HH6" s="371"/>
      <c r="HI6" s="371"/>
      <c r="HJ6" s="371"/>
      <c r="HK6" s="371"/>
      <c r="HL6" s="371"/>
      <c r="HM6" s="371"/>
      <c r="HN6" s="371"/>
      <c r="HO6" s="371"/>
      <c r="HP6" s="371"/>
      <c r="HQ6" s="371"/>
      <c r="HR6" s="371"/>
      <c r="HS6" s="371"/>
      <c r="HT6" s="371"/>
      <c r="HU6" s="371"/>
      <c r="HV6" s="371"/>
      <c r="HW6" s="371"/>
      <c r="HX6" s="371"/>
      <c r="HY6" s="371"/>
      <c r="HZ6" s="371"/>
      <c r="IA6" s="371"/>
      <c r="IB6" s="371"/>
      <c r="IC6" s="371"/>
      <c r="ID6" s="371"/>
      <c r="IE6" s="371"/>
      <c r="IF6" s="371"/>
      <c r="IG6" s="371"/>
      <c r="IH6" s="371"/>
      <c r="II6" s="371"/>
      <c r="IJ6" s="371"/>
      <c r="IK6" s="371"/>
      <c r="IL6" s="371"/>
      <c r="IM6" s="371"/>
      <c r="IN6" s="371"/>
      <c r="IO6" s="371"/>
      <c r="IP6" s="371"/>
      <c r="IQ6" s="371"/>
      <c r="IR6" s="371"/>
      <c r="IS6" s="371"/>
      <c r="IT6" s="371"/>
      <c r="IU6" s="371"/>
      <c r="IV6" s="371"/>
    </row>
    <row r="7" spans="1:256" x14ac:dyDescent="0.2">
      <c r="A7" s="365"/>
      <c r="B7" s="377"/>
      <c r="C7" s="378" t="s">
        <v>1412</v>
      </c>
      <c r="D7" s="377"/>
      <c r="E7" s="379"/>
      <c r="F7" s="378"/>
      <c r="G7" s="378"/>
      <c r="H7" s="378"/>
      <c r="I7" s="378"/>
      <c r="J7" s="380"/>
      <c r="K7" s="380"/>
      <c r="L7" s="380"/>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0"/>
      <c r="CH7" s="380"/>
      <c r="CI7" s="380"/>
      <c r="CJ7" s="380"/>
      <c r="CK7" s="380"/>
      <c r="CL7" s="380"/>
      <c r="CM7" s="380"/>
      <c r="CN7" s="380"/>
      <c r="CO7" s="380"/>
      <c r="CP7" s="380"/>
      <c r="CQ7" s="380"/>
      <c r="CR7" s="380"/>
      <c r="CS7" s="380"/>
      <c r="CT7" s="380"/>
      <c r="CU7" s="380"/>
      <c r="CV7" s="380"/>
      <c r="CW7" s="380"/>
      <c r="CX7" s="380"/>
      <c r="CY7" s="380"/>
      <c r="CZ7" s="380"/>
      <c r="DA7" s="380"/>
      <c r="DB7" s="380"/>
      <c r="DC7" s="380"/>
      <c r="DD7" s="380"/>
      <c r="DE7" s="380"/>
      <c r="DF7" s="380"/>
      <c r="DG7" s="380"/>
      <c r="DH7" s="380"/>
      <c r="DI7" s="380"/>
      <c r="DJ7" s="380"/>
      <c r="DK7" s="380"/>
      <c r="DL7" s="380"/>
      <c r="DM7" s="380"/>
      <c r="DN7" s="380"/>
      <c r="DO7" s="380"/>
      <c r="DP7" s="380"/>
      <c r="DQ7" s="380"/>
      <c r="DR7" s="380"/>
      <c r="DS7" s="380"/>
      <c r="DT7" s="380"/>
      <c r="DU7" s="380"/>
      <c r="DV7" s="380"/>
      <c r="DW7" s="380"/>
      <c r="DX7" s="380"/>
      <c r="DY7" s="380"/>
      <c r="DZ7" s="380"/>
      <c r="EA7" s="380"/>
      <c r="EB7" s="380"/>
      <c r="EC7" s="380"/>
      <c r="ED7" s="380"/>
      <c r="EE7" s="380"/>
      <c r="EF7" s="380"/>
      <c r="EG7" s="380"/>
      <c r="EH7" s="380"/>
      <c r="EI7" s="380"/>
      <c r="EJ7" s="380"/>
      <c r="EK7" s="380"/>
      <c r="EL7" s="380"/>
      <c r="EM7" s="380"/>
      <c r="EN7" s="380"/>
      <c r="EO7" s="380"/>
      <c r="EP7" s="380"/>
      <c r="EQ7" s="380"/>
      <c r="ER7" s="380"/>
      <c r="ES7" s="380"/>
      <c r="ET7" s="380"/>
      <c r="EU7" s="380"/>
      <c r="EV7" s="380"/>
      <c r="EW7" s="380"/>
      <c r="EX7" s="380"/>
      <c r="EY7" s="380"/>
      <c r="EZ7" s="380"/>
      <c r="FA7" s="380"/>
      <c r="FB7" s="380"/>
      <c r="FC7" s="380"/>
      <c r="FD7" s="380"/>
      <c r="FE7" s="380"/>
      <c r="FF7" s="380"/>
      <c r="FG7" s="380"/>
      <c r="FH7" s="380"/>
      <c r="FI7" s="380"/>
      <c r="FJ7" s="380"/>
      <c r="FK7" s="380"/>
      <c r="FL7" s="380"/>
      <c r="FM7" s="380"/>
      <c r="FN7" s="380"/>
      <c r="FO7" s="380"/>
      <c r="FP7" s="380"/>
      <c r="FQ7" s="380"/>
      <c r="FR7" s="380"/>
      <c r="FS7" s="380"/>
      <c r="FT7" s="380"/>
      <c r="FU7" s="380"/>
      <c r="FV7" s="380"/>
      <c r="FW7" s="380"/>
      <c r="FX7" s="380"/>
      <c r="FY7" s="380"/>
      <c r="FZ7" s="380"/>
      <c r="GA7" s="380"/>
      <c r="GB7" s="380"/>
      <c r="GC7" s="380"/>
      <c r="GD7" s="380"/>
      <c r="GE7" s="380"/>
      <c r="GF7" s="380"/>
      <c r="GG7" s="380"/>
      <c r="GH7" s="380"/>
      <c r="GI7" s="380"/>
      <c r="GJ7" s="380"/>
      <c r="GK7" s="380"/>
      <c r="GL7" s="380"/>
      <c r="GM7" s="380"/>
      <c r="GN7" s="380"/>
      <c r="GO7" s="380"/>
      <c r="GP7" s="380"/>
      <c r="GQ7" s="380"/>
      <c r="GR7" s="380"/>
      <c r="GS7" s="380"/>
      <c r="GT7" s="380"/>
      <c r="GU7" s="380"/>
      <c r="GV7" s="380"/>
      <c r="GW7" s="380"/>
      <c r="GX7" s="380"/>
      <c r="GY7" s="380"/>
      <c r="GZ7" s="380"/>
      <c r="HA7" s="380"/>
      <c r="HB7" s="380"/>
      <c r="HC7" s="380"/>
      <c r="HD7" s="380"/>
      <c r="HE7" s="380"/>
      <c r="HF7" s="380"/>
      <c r="HG7" s="380"/>
      <c r="HH7" s="380"/>
      <c r="HI7" s="380"/>
      <c r="HJ7" s="380"/>
      <c r="HK7" s="380"/>
      <c r="HL7" s="380"/>
      <c r="HM7" s="380"/>
      <c r="HN7" s="380"/>
      <c r="HO7" s="380"/>
      <c r="HP7" s="380"/>
      <c r="HQ7" s="380"/>
      <c r="HR7" s="380"/>
      <c r="HS7" s="380"/>
      <c r="HT7" s="380"/>
      <c r="HU7" s="380"/>
      <c r="HV7" s="380"/>
      <c r="HW7" s="380"/>
      <c r="HX7" s="380"/>
      <c r="HY7" s="380"/>
      <c r="HZ7" s="380"/>
      <c r="IA7" s="380"/>
      <c r="IB7" s="380"/>
      <c r="IC7" s="380"/>
      <c r="ID7" s="380"/>
      <c r="IE7" s="380"/>
      <c r="IF7" s="380"/>
      <c r="IG7" s="380"/>
      <c r="IH7" s="380"/>
      <c r="II7" s="380"/>
      <c r="IJ7" s="380"/>
      <c r="IK7" s="380"/>
      <c r="IL7" s="380"/>
      <c r="IM7" s="380"/>
      <c r="IN7" s="380"/>
      <c r="IO7" s="380"/>
      <c r="IP7" s="380"/>
      <c r="IQ7" s="380"/>
      <c r="IR7" s="380"/>
      <c r="IS7" s="380"/>
      <c r="IT7" s="380"/>
      <c r="IU7" s="380"/>
      <c r="IV7" s="380"/>
    </row>
    <row r="8" spans="1:256" x14ac:dyDescent="0.2">
      <c r="A8" s="365"/>
      <c r="B8" s="381" t="s">
        <v>1314</v>
      </c>
      <c r="C8" s="377" t="str">
        <f>СВОД!D14</f>
        <v>Определяется по итогам конкурентных процедур</v>
      </c>
      <c r="D8" s="377"/>
      <c r="E8" s="382"/>
      <c r="F8" s="383"/>
      <c r="G8" s="384"/>
      <c r="H8" s="377"/>
      <c r="I8" s="385"/>
      <c r="J8" s="371"/>
      <c r="K8" s="371"/>
      <c r="L8" s="371"/>
      <c r="M8" s="371"/>
      <c r="N8" s="371"/>
      <c r="O8" s="371"/>
      <c r="P8" s="371"/>
      <c r="Q8" s="371"/>
      <c r="R8" s="371"/>
      <c r="S8" s="371"/>
      <c r="T8" s="371"/>
      <c r="U8" s="371"/>
      <c r="V8" s="371"/>
      <c r="W8" s="371"/>
      <c r="X8" s="371"/>
      <c r="Y8" s="371"/>
      <c r="Z8" s="371"/>
      <c r="AA8" s="371"/>
      <c r="AB8" s="371"/>
      <c r="AC8" s="371"/>
      <c r="AD8" s="371"/>
      <c r="AE8" s="371"/>
      <c r="AF8" s="371"/>
      <c r="AG8" s="371"/>
      <c r="AH8" s="371"/>
      <c r="AI8" s="371"/>
      <c r="AJ8" s="371"/>
      <c r="AK8" s="371"/>
      <c r="AL8" s="371"/>
      <c r="AM8" s="371"/>
      <c r="AN8" s="371"/>
      <c r="AO8" s="371"/>
      <c r="AP8" s="371"/>
      <c r="AQ8" s="371"/>
      <c r="AR8" s="371"/>
      <c r="AS8" s="371"/>
      <c r="AT8" s="371"/>
      <c r="AU8" s="371"/>
      <c r="AV8" s="371"/>
      <c r="AW8" s="371"/>
      <c r="AX8" s="371"/>
      <c r="AY8" s="371"/>
      <c r="AZ8" s="371"/>
      <c r="BA8" s="371"/>
      <c r="BB8" s="371"/>
      <c r="BC8" s="371"/>
      <c r="BD8" s="371"/>
      <c r="BE8" s="371"/>
      <c r="BF8" s="371"/>
      <c r="BG8" s="371"/>
      <c r="BH8" s="371"/>
      <c r="BI8" s="371"/>
      <c r="BJ8" s="371"/>
      <c r="BK8" s="371"/>
      <c r="BL8" s="371"/>
      <c r="BM8" s="371"/>
      <c r="BN8" s="371"/>
      <c r="BO8" s="371"/>
      <c r="BP8" s="371"/>
      <c r="BQ8" s="371"/>
      <c r="BR8" s="371"/>
      <c r="BS8" s="371"/>
      <c r="BT8" s="371"/>
      <c r="BU8" s="371"/>
      <c r="BV8" s="371"/>
      <c r="BW8" s="371"/>
      <c r="BX8" s="371"/>
      <c r="BY8" s="371"/>
      <c r="BZ8" s="371"/>
      <c r="CA8" s="371"/>
      <c r="CB8" s="371"/>
      <c r="CC8" s="371"/>
      <c r="CD8" s="371"/>
      <c r="CE8" s="371"/>
      <c r="CF8" s="371"/>
      <c r="CG8" s="371"/>
      <c r="CH8" s="371"/>
      <c r="CI8" s="371"/>
      <c r="CJ8" s="371"/>
      <c r="CK8" s="371"/>
      <c r="CL8" s="371"/>
      <c r="CM8" s="371"/>
      <c r="CN8" s="371"/>
      <c r="CO8" s="371"/>
      <c r="CP8" s="371"/>
      <c r="CQ8" s="371"/>
      <c r="CR8" s="371"/>
      <c r="CS8" s="371"/>
      <c r="CT8" s="371"/>
      <c r="CU8" s="371"/>
      <c r="CV8" s="371"/>
      <c r="CW8" s="371"/>
      <c r="CX8" s="371"/>
      <c r="CY8" s="371"/>
      <c r="CZ8" s="371"/>
      <c r="DA8" s="371"/>
      <c r="DB8" s="371"/>
      <c r="DC8" s="371"/>
      <c r="DD8" s="371"/>
      <c r="DE8" s="371"/>
      <c r="DF8" s="371"/>
      <c r="DG8" s="371"/>
      <c r="DH8" s="371"/>
      <c r="DI8" s="371"/>
      <c r="DJ8" s="371"/>
      <c r="DK8" s="371"/>
      <c r="DL8" s="371"/>
      <c r="DM8" s="371"/>
      <c r="DN8" s="371"/>
      <c r="DO8" s="371"/>
      <c r="DP8" s="371"/>
      <c r="DQ8" s="371"/>
      <c r="DR8" s="371"/>
      <c r="DS8" s="371"/>
      <c r="DT8" s="371"/>
      <c r="DU8" s="371"/>
      <c r="DV8" s="371"/>
      <c r="DW8" s="371"/>
      <c r="DX8" s="371"/>
      <c r="DY8" s="371"/>
      <c r="DZ8" s="371"/>
      <c r="EA8" s="371"/>
      <c r="EB8" s="371"/>
      <c r="EC8" s="371"/>
      <c r="ED8" s="371"/>
      <c r="EE8" s="371"/>
      <c r="EF8" s="371"/>
      <c r="EG8" s="371"/>
      <c r="EH8" s="371"/>
      <c r="EI8" s="371"/>
      <c r="EJ8" s="371"/>
      <c r="EK8" s="371"/>
      <c r="EL8" s="371"/>
      <c r="EM8" s="371"/>
      <c r="EN8" s="371"/>
      <c r="EO8" s="371"/>
      <c r="EP8" s="371"/>
      <c r="EQ8" s="371"/>
      <c r="ER8" s="371"/>
      <c r="ES8" s="371"/>
      <c r="ET8" s="371"/>
      <c r="EU8" s="371"/>
      <c r="EV8" s="371"/>
      <c r="EW8" s="371"/>
      <c r="EX8" s="371"/>
      <c r="EY8" s="371"/>
      <c r="EZ8" s="371"/>
      <c r="FA8" s="371"/>
      <c r="FB8" s="371"/>
      <c r="FC8" s="371"/>
      <c r="FD8" s="371"/>
      <c r="FE8" s="371"/>
      <c r="FF8" s="371"/>
      <c r="FG8" s="371"/>
      <c r="FH8" s="371"/>
      <c r="FI8" s="371"/>
      <c r="FJ8" s="371"/>
      <c r="FK8" s="371"/>
      <c r="FL8" s="371"/>
      <c r="FM8" s="371"/>
      <c r="FN8" s="371"/>
      <c r="FO8" s="371"/>
      <c r="FP8" s="371"/>
      <c r="FQ8" s="371"/>
      <c r="FR8" s="371"/>
      <c r="FS8" s="371"/>
      <c r="FT8" s="371"/>
      <c r="FU8" s="371"/>
      <c r="FV8" s="371"/>
      <c r="FW8" s="371"/>
      <c r="FX8" s="371"/>
      <c r="FY8" s="371"/>
      <c r="FZ8" s="371"/>
      <c r="GA8" s="371"/>
      <c r="GB8" s="371"/>
      <c r="GC8" s="371"/>
      <c r="GD8" s="371"/>
      <c r="GE8" s="371"/>
      <c r="GF8" s="371"/>
      <c r="GG8" s="371"/>
      <c r="GH8" s="371"/>
      <c r="GI8" s="371"/>
      <c r="GJ8" s="371"/>
      <c r="GK8" s="371"/>
      <c r="GL8" s="371"/>
      <c r="GM8" s="371"/>
      <c r="GN8" s="371"/>
      <c r="GO8" s="371"/>
      <c r="GP8" s="371"/>
      <c r="GQ8" s="371"/>
      <c r="GR8" s="371"/>
      <c r="GS8" s="371"/>
      <c r="GT8" s="371"/>
      <c r="GU8" s="371"/>
      <c r="GV8" s="371"/>
      <c r="GW8" s="371"/>
      <c r="GX8" s="371"/>
      <c r="GY8" s="371"/>
      <c r="GZ8" s="371"/>
      <c r="HA8" s="371"/>
      <c r="HB8" s="371"/>
      <c r="HC8" s="371"/>
      <c r="HD8" s="371"/>
      <c r="HE8" s="371"/>
      <c r="HF8" s="371"/>
      <c r="HG8" s="371"/>
      <c r="HH8" s="371"/>
      <c r="HI8" s="371"/>
      <c r="HJ8" s="371"/>
      <c r="HK8" s="371"/>
      <c r="HL8" s="371"/>
      <c r="HM8" s="371"/>
      <c r="HN8" s="371"/>
      <c r="HO8" s="371"/>
      <c r="HP8" s="371"/>
      <c r="HQ8" s="371"/>
      <c r="HR8" s="371"/>
      <c r="HS8" s="371"/>
      <c r="HT8" s="371"/>
      <c r="HU8" s="371"/>
      <c r="HV8" s="371"/>
      <c r="HW8" s="371"/>
      <c r="HX8" s="371"/>
      <c r="HY8" s="371"/>
      <c r="HZ8" s="371"/>
      <c r="IA8" s="371"/>
      <c r="IB8" s="371"/>
      <c r="IC8" s="371"/>
      <c r="ID8" s="371"/>
      <c r="IE8" s="371"/>
      <c r="IF8" s="371"/>
      <c r="IG8" s="371"/>
      <c r="IH8" s="371"/>
      <c r="II8" s="371"/>
      <c r="IJ8" s="371"/>
      <c r="IK8" s="371"/>
      <c r="IL8" s="371"/>
      <c r="IM8" s="371"/>
      <c r="IN8" s="371"/>
      <c r="IO8" s="371"/>
      <c r="IP8" s="371"/>
      <c r="IQ8" s="371"/>
      <c r="IR8" s="371"/>
      <c r="IS8" s="371"/>
      <c r="IT8" s="371"/>
      <c r="IU8" s="371"/>
      <c r="IV8" s="371"/>
    </row>
    <row r="9" spans="1:256" x14ac:dyDescent="0.2">
      <c r="A9" s="365"/>
      <c r="B9" s="381" t="s">
        <v>1315</v>
      </c>
      <c r="C9" s="368"/>
      <c r="D9" s="377"/>
      <c r="E9" s="382"/>
      <c r="F9" s="383"/>
      <c r="G9" s="386"/>
      <c r="H9" s="387"/>
      <c r="I9" s="386"/>
      <c r="J9" s="371"/>
      <c r="K9" s="371"/>
      <c r="L9" s="371"/>
      <c r="M9" s="371"/>
      <c r="N9" s="371"/>
      <c r="O9" s="371"/>
      <c r="P9" s="371"/>
      <c r="Q9" s="371"/>
      <c r="R9" s="371"/>
      <c r="S9" s="371"/>
      <c r="T9" s="371"/>
      <c r="U9" s="371"/>
      <c r="V9" s="371"/>
      <c r="W9" s="371"/>
      <c r="X9" s="371"/>
      <c r="Y9" s="371"/>
      <c r="Z9" s="371"/>
      <c r="AA9" s="371"/>
      <c r="AB9" s="371"/>
      <c r="AC9" s="371"/>
      <c r="AD9" s="371"/>
      <c r="AE9" s="371"/>
      <c r="AF9" s="371"/>
      <c r="AG9" s="371"/>
      <c r="AH9" s="371"/>
      <c r="AI9" s="371"/>
      <c r="AJ9" s="371"/>
      <c r="AK9" s="371"/>
      <c r="AL9" s="371"/>
      <c r="AM9" s="371"/>
      <c r="AN9" s="371"/>
      <c r="AO9" s="371"/>
      <c r="AP9" s="371"/>
      <c r="AQ9" s="371"/>
      <c r="AR9" s="371"/>
      <c r="AS9" s="371"/>
      <c r="AT9" s="371"/>
      <c r="AU9" s="371"/>
      <c r="AV9" s="371"/>
      <c r="AW9" s="371"/>
      <c r="AX9" s="371"/>
      <c r="AY9" s="371"/>
      <c r="AZ9" s="371"/>
      <c r="BA9" s="371"/>
      <c r="BB9" s="371"/>
      <c r="BC9" s="371"/>
      <c r="BD9" s="371"/>
      <c r="BE9" s="371"/>
      <c r="BF9" s="371"/>
      <c r="BG9" s="371"/>
      <c r="BH9" s="371"/>
      <c r="BI9" s="371"/>
      <c r="BJ9" s="371"/>
      <c r="BK9" s="371"/>
      <c r="BL9" s="371"/>
      <c r="BM9" s="371"/>
      <c r="BN9" s="371"/>
      <c r="BO9" s="371"/>
      <c r="BP9" s="371"/>
      <c r="BQ9" s="371"/>
      <c r="BR9" s="371"/>
      <c r="BS9" s="371"/>
      <c r="BT9" s="371"/>
      <c r="BU9" s="371"/>
      <c r="BV9" s="371"/>
      <c r="BW9" s="371"/>
      <c r="BX9" s="371"/>
      <c r="BY9" s="371"/>
      <c r="BZ9" s="371"/>
      <c r="CA9" s="371"/>
      <c r="CB9" s="371"/>
      <c r="CC9" s="371"/>
      <c r="CD9" s="371"/>
      <c r="CE9" s="371"/>
      <c r="CF9" s="371"/>
      <c r="CG9" s="371"/>
      <c r="CH9" s="371"/>
      <c r="CI9" s="371"/>
      <c r="CJ9" s="371"/>
      <c r="CK9" s="371"/>
      <c r="CL9" s="371"/>
      <c r="CM9" s="371"/>
      <c r="CN9" s="371"/>
      <c r="CO9" s="371"/>
      <c r="CP9" s="371"/>
      <c r="CQ9" s="371"/>
      <c r="CR9" s="371"/>
      <c r="CS9" s="371"/>
      <c r="CT9" s="371"/>
      <c r="CU9" s="371"/>
      <c r="CV9" s="371"/>
      <c r="CW9" s="371"/>
      <c r="CX9" s="371"/>
      <c r="CY9" s="371"/>
      <c r="CZ9" s="371"/>
      <c r="DA9" s="371"/>
      <c r="DB9" s="371"/>
      <c r="DC9" s="371"/>
      <c r="DD9" s="371"/>
      <c r="DE9" s="371"/>
      <c r="DF9" s="371"/>
      <c r="DG9" s="371"/>
      <c r="DH9" s="371"/>
      <c r="DI9" s="371"/>
      <c r="DJ9" s="371"/>
      <c r="DK9" s="371"/>
      <c r="DL9" s="371"/>
      <c r="DM9" s="371"/>
      <c r="DN9" s="371"/>
      <c r="DO9" s="371"/>
      <c r="DP9" s="371"/>
      <c r="DQ9" s="371"/>
      <c r="DR9" s="371"/>
      <c r="DS9" s="371"/>
      <c r="DT9" s="371"/>
      <c r="DU9" s="371"/>
      <c r="DV9" s="371"/>
      <c r="DW9" s="371"/>
      <c r="DX9" s="371"/>
      <c r="DY9" s="371"/>
      <c r="DZ9" s="371"/>
      <c r="EA9" s="371"/>
      <c r="EB9" s="371"/>
      <c r="EC9" s="371"/>
      <c r="ED9" s="371"/>
      <c r="EE9" s="371"/>
      <c r="EF9" s="371"/>
      <c r="EG9" s="371"/>
      <c r="EH9" s="371"/>
      <c r="EI9" s="371"/>
      <c r="EJ9" s="371"/>
      <c r="EK9" s="371"/>
      <c r="EL9" s="371"/>
      <c r="EM9" s="371"/>
      <c r="EN9" s="371"/>
      <c r="EO9" s="371"/>
      <c r="EP9" s="371"/>
      <c r="EQ9" s="371"/>
      <c r="ER9" s="371"/>
      <c r="ES9" s="371"/>
      <c r="ET9" s="371"/>
      <c r="EU9" s="371"/>
      <c r="EV9" s="371"/>
      <c r="EW9" s="371"/>
      <c r="EX9" s="371"/>
      <c r="EY9" s="371"/>
      <c r="EZ9" s="371"/>
      <c r="FA9" s="371"/>
      <c r="FB9" s="371"/>
      <c r="FC9" s="371"/>
      <c r="FD9" s="371"/>
      <c r="FE9" s="371"/>
      <c r="FF9" s="371"/>
      <c r="FG9" s="371"/>
      <c r="FH9" s="371"/>
      <c r="FI9" s="371"/>
      <c r="FJ9" s="371"/>
      <c r="FK9" s="371"/>
      <c r="FL9" s="371"/>
      <c r="FM9" s="371"/>
      <c r="FN9" s="371"/>
      <c r="FO9" s="371"/>
      <c r="FP9" s="371"/>
      <c r="FQ9" s="371"/>
      <c r="FR9" s="371"/>
      <c r="FS9" s="371"/>
      <c r="FT9" s="371"/>
      <c r="FU9" s="371"/>
      <c r="FV9" s="371"/>
      <c r="FW9" s="371"/>
      <c r="FX9" s="371"/>
      <c r="FY9" s="371"/>
      <c r="FZ9" s="371"/>
      <c r="GA9" s="371"/>
      <c r="GB9" s="371"/>
      <c r="GC9" s="371"/>
      <c r="GD9" s="371"/>
      <c r="GE9" s="371"/>
      <c r="GF9" s="371"/>
      <c r="GG9" s="371"/>
      <c r="GH9" s="371"/>
      <c r="GI9" s="371"/>
      <c r="GJ9" s="371"/>
      <c r="GK9" s="371"/>
      <c r="GL9" s="371"/>
      <c r="GM9" s="371"/>
      <c r="GN9" s="371"/>
      <c r="GO9" s="371"/>
      <c r="GP9" s="371"/>
      <c r="GQ9" s="371"/>
      <c r="GR9" s="371"/>
      <c r="GS9" s="371"/>
      <c r="GT9" s="371"/>
      <c r="GU9" s="371"/>
      <c r="GV9" s="371"/>
      <c r="GW9" s="371"/>
      <c r="GX9" s="371"/>
      <c r="GY9" s="371"/>
      <c r="GZ9" s="371"/>
      <c r="HA9" s="371"/>
      <c r="HB9" s="371"/>
      <c r="HC9" s="371"/>
      <c r="HD9" s="371"/>
      <c r="HE9" s="371"/>
      <c r="HF9" s="371"/>
      <c r="HG9" s="371"/>
      <c r="HH9" s="371"/>
      <c r="HI9" s="371"/>
      <c r="HJ9" s="371"/>
      <c r="HK9" s="371"/>
      <c r="HL9" s="371"/>
      <c r="HM9" s="371"/>
      <c r="HN9" s="371"/>
      <c r="HO9" s="371"/>
      <c r="HP9" s="371"/>
      <c r="HQ9" s="371"/>
      <c r="HR9" s="371"/>
      <c r="HS9" s="371"/>
      <c r="HT9" s="371"/>
      <c r="HU9" s="371"/>
      <c r="HV9" s="371"/>
      <c r="HW9" s="371"/>
      <c r="HX9" s="371"/>
      <c r="HY9" s="371"/>
      <c r="HZ9" s="371"/>
      <c r="IA9" s="371"/>
      <c r="IB9" s="371"/>
      <c r="IC9" s="371"/>
      <c r="ID9" s="371"/>
      <c r="IE9" s="371"/>
      <c r="IF9" s="371"/>
      <c r="IG9" s="371"/>
      <c r="IH9" s="371"/>
      <c r="II9" s="371"/>
      <c r="IJ9" s="371"/>
      <c r="IK9" s="371"/>
      <c r="IL9" s="371"/>
      <c r="IM9" s="371"/>
      <c r="IN9" s="371"/>
      <c r="IO9" s="371"/>
      <c r="IP9" s="371"/>
      <c r="IQ9" s="371"/>
      <c r="IR9" s="371"/>
      <c r="IS9" s="371"/>
      <c r="IT9" s="371"/>
      <c r="IU9" s="371"/>
      <c r="IV9" s="371"/>
    </row>
    <row r="10" spans="1:256" x14ac:dyDescent="0.2">
      <c r="A10" s="365"/>
      <c r="B10" s="381"/>
      <c r="C10" s="377"/>
      <c r="D10" s="377"/>
      <c r="E10" s="382"/>
      <c r="F10" s="383"/>
      <c r="G10" s="386"/>
      <c r="H10" s="387"/>
      <c r="I10" s="386"/>
      <c r="J10" s="371"/>
      <c r="K10" s="371"/>
      <c r="L10" s="371"/>
      <c r="M10" s="371"/>
      <c r="N10" s="371"/>
      <c r="O10" s="371"/>
      <c r="P10" s="371"/>
      <c r="Q10" s="371"/>
      <c r="R10" s="371"/>
      <c r="S10" s="371"/>
      <c r="T10" s="371"/>
      <c r="U10" s="371"/>
      <c r="V10" s="371"/>
      <c r="W10" s="371"/>
      <c r="X10" s="371"/>
      <c r="Y10" s="371"/>
      <c r="Z10" s="371"/>
      <c r="AA10" s="371"/>
      <c r="AB10" s="371"/>
      <c r="AC10" s="371"/>
      <c r="AD10" s="371"/>
      <c r="AE10" s="371"/>
      <c r="AF10" s="371"/>
      <c r="AG10" s="371"/>
      <c r="AH10" s="371"/>
      <c r="AI10" s="371"/>
      <c r="AJ10" s="371"/>
      <c r="AK10" s="371"/>
      <c r="AL10" s="371"/>
      <c r="AM10" s="371"/>
      <c r="AN10" s="371"/>
      <c r="AO10" s="371"/>
      <c r="AP10" s="371"/>
      <c r="AQ10" s="371"/>
      <c r="AR10" s="371"/>
      <c r="AS10" s="371"/>
      <c r="AT10" s="371"/>
      <c r="AU10" s="371"/>
      <c r="AV10" s="371"/>
      <c r="AW10" s="371"/>
      <c r="AX10" s="371"/>
      <c r="AY10" s="371"/>
      <c r="AZ10" s="371"/>
      <c r="BA10" s="371"/>
      <c r="BB10" s="371"/>
      <c r="BC10" s="371"/>
      <c r="BD10" s="371"/>
      <c r="BE10" s="371"/>
      <c r="BF10" s="371"/>
      <c r="BG10" s="371"/>
      <c r="BH10" s="371"/>
      <c r="BI10" s="371"/>
      <c r="BJ10" s="371"/>
      <c r="BK10" s="371"/>
      <c r="BL10" s="371"/>
      <c r="BM10" s="371"/>
      <c r="BN10" s="371"/>
      <c r="BO10" s="371"/>
      <c r="BP10" s="371"/>
      <c r="BQ10" s="371"/>
      <c r="BR10" s="371"/>
      <c r="BS10" s="371"/>
      <c r="BT10" s="371"/>
      <c r="BU10" s="371"/>
      <c r="BV10" s="371"/>
      <c r="BW10" s="371"/>
      <c r="BX10" s="371"/>
      <c r="BY10" s="371"/>
      <c r="BZ10" s="371"/>
      <c r="CA10" s="371"/>
      <c r="CB10" s="371"/>
      <c r="CC10" s="371"/>
      <c r="CD10" s="371"/>
      <c r="CE10" s="371"/>
      <c r="CF10" s="371"/>
      <c r="CG10" s="371"/>
      <c r="CH10" s="371"/>
      <c r="CI10" s="371"/>
      <c r="CJ10" s="371"/>
      <c r="CK10" s="371"/>
      <c r="CL10" s="371"/>
      <c r="CM10" s="371"/>
      <c r="CN10" s="371"/>
      <c r="CO10" s="371"/>
      <c r="CP10" s="371"/>
      <c r="CQ10" s="371"/>
      <c r="CR10" s="371"/>
      <c r="CS10" s="371"/>
      <c r="CT10" s="371"/>
      <c r="CU10" s="371"/>
      <c r="CV10" s="371"/>
      <c r="CW10" s="371"/>
      <c r="CX10" s="371"/>
      <c r="CY10" s="371"/>
      <c r="CZ10" s="371"/>
      <c r="DA10" s="371"/>
      <c r="DB10" s="371"/>
      <c r="DC10" s="371"/>
      <c r="DD10" s="371"/>
      <c r="DE10" s="371"/>
      <c r="DF10" s="371"/>
      <c r="DG10" s="371"/>
      <c r="DH10" s="371"/>
      <c r="DI10" s="371"/>
      <c r="DJ10" s="371"/>
      <c r="DK10" s="371"/>
      <c r="DL10" s="371"/>
      <c r="DM10" s="371"/>
      <c r="DN10" s="371"/>
      <c r="DO10" s="371"/>
      <c r="DP10" s="371"/>
      <c r="DQ10" s="371"/>
      <c r="DR10" s="371"/>
      <c r="DS10" s="371"/>
      <c r="DT10" s="371"/>
      <c r="DU10" s="371"/>
      <c r="DV10" s="371"/>
      <c r="DW10" s="371"/>
      <c r="DX10" s="371"/>
      <c r="DY10" s="371"/>
      <c r="DZ10" s="371"/>
      <c r="EA10" s="371"/>
      <c r="EB10" s="371"/>
      <c r="EC10" s="371"/>
      <c r="ED10" s="371"/>
      <c r="EE10" s="371"/>
      <c r="EF10" s="371"/>
      <c r="EG10" s="371"/>
      <c r="EH10" s="371"/>
      <c r="EI10" s="371"/>
      <c r="EJ10" s="371"/>
      <c r="EK10" s="371"/>
      <c r="EL10" s="371"/>
      <c r="EM10" s="371"/>
      <c r="EN10" s="371"/>
      <c r="EO10" s="371"/>
      <c r="EP10" s="371"/>
      <c r="EQ10" s="371"/>
      <c r="ER10" s="371"/>
      <c r="ES10" s="371"/>
      <c r="ET10" s="371"/>
      <c r="EU10" s="371"/>
      <c r="EV10" s="371"/>
      <c r="EW10" s="371"/>
      <c r="EX10" s="371"/>
      <c r="EY10" s="371"/>
      <c r="EZ10" s="371"/>
      <c r="FA10" s="371"/>
      <c r="FB10" s="371"/>
      <c r="FC10" s="371"/>
      <c r="FD10" s="371"/>
      <c r="FE10" s="371"/>
      <c r="FF10" s="371"/>
      <c r="FG10" s="371"/>
      <c r="FH10" s="371"/>
      <c r="FI10" s="371"/>
      <c r="FJ10" s="371"/>
      <c r="FK10" s="371"/>
      <c r="FL10" s="371"/>
      <c r="FM10" s="371"/>
      <c r="FN10" s="371"/>
      <c r="FO10" s="371"/>
      <c r="FP10" s="371"/>
      <c r="FQ10" s="371"/>
      <c r="FR10" s="371"/>
      <c r="FS10" s="371"/>
      <c r="FT10" s="371"/>
      <c r="FU10" s="371"/>
      <c r="FV10" s="371"/>
      <c r="FW10" s="371"/>
      <c r="FX10" s="371"/>
      <c r="FY10" s="371"/>
      <c r="FZ10" s="371"/>
      <c r="GA10" s="371"/>
      <c r="GB10" s="371"/>
      <c r="GC10" s="371"/>
      <c r="GD10" s="371"/>
      <c r="GE10" s="371"/>
      <c r="GF10" s="371"/>
      <c r="GG10" s="371"/>
      <c r="GH10" s="371"/>
      <c r="GI10" s="371"/>
      <c r="GJ10" s="371"/>
      <c r="GK10" s="371"/>
      <c r="GL10" s="371"/>
      <c r="GM10" s="371"/>
      <c r="GN10" s="371"/>
      <c r="GO10" s="371"/>
      <c r="GP10" s="371"/>
      <c r="GQ10" s="371"/>
      <c r="GR10" s="371"/>
      <c r="GS10" s="371"/>
      <c r="GT10" s="371"/>
      <c r="GU10" s="371"/>
      <c r="GV10" s="371"/>
      <c r="GW10" s="371"/>
      <c r="GX10" s="371"/>
      <c r="GY10" s="371"/>
      <c r="GZ10" s="371"/>
      <c r="HA10" s="371"/>
      <c r="HB10" s="371"/>
      <c r="HC10" s="371"/>
      <c r="HD10" s="371"/>
      <c r="HE10" s="371"/>
      <c r="HF10" s="371"/>
      <c r="HG10" s="371"/>
      <c r="HH10" s="371"/>
      <c r="HI10" s="371"/>
      <c r="HJ10" s="371"/>
      <c r="HK10" s="371"/>
      <c r="HL10" s="371"/>
      <c r="HM10" s="371"/>
      <c r="HN10" s="371"/>
      <c r="HO10" s="371"/>
      <c r="HP10" s="371"/>
      <c r="HQ10" s="371"/>
      <c r="HR10" s="371"/>
      <c r="HS10" s="371"/>
      <c r="HT10" s="371"/>
      <c r="HU10" s="371"/>
      <c r="HV10" s="371"/>
      <c r="HW10" s="371"/>
      <c r="HX10" s="371"/>
      <c r="HY10" s="371"/>
      <c r="HZ10" s="371"/>
      <c r="IA10" s="371"/>
      <c r="IB10" s="371"/>
      <c r="IC10" s="371"/>
      <c r="ID10" s="371"/>
      <c r="IE10" s="371"/>
      <c r="IF10" s="371"/>
      <c r="IG10" s="371"/>
      <c r="IH10" s="371"/>
      <c r="II10" s="371"/>
      <c r="IJ10" s="371"/>
      <c r="IK10" s="371"/>
      <c r="IL10" s="371"/>
      <c r="IM10" s="371"/>
      <c r="IN10" s="371"/>
      <c r="IO10" s="371"/>
      <c r="IP10" s="371"/>
      <c r="IQ10" s="371"/>
      <c r="IR10" s="371"/>
      <c r="IS10" s="371"/>
      <c r="IT10" s="371"/>
      <c r="IU10" s="371"/>
      <c r="IV10" s="371"/>
    </row>
    <row r="11" spans="1:256" x14ac:dyDescent="0.2">
      <c r="A11" s="365"/>
      <c r="B11" s="388" t="s">
        <v>1316</v>
      </c>
      <c r="C11" s="377" t="str">
        <f>СВОД!D16</f>
        <v>ООО «Газпром проектирование»</v>
      </c>
      <c r="D11" s="377"/>
      <c r="E11" s="382"/>
      <c r="F11" s="387"/>
      <c r="G11" s="386"/>
      <c r="H11" s="387"/>
      <c r="I11" s="386"/>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1"/>
      <c r="BR11" s="371"/>
      <c r="BS11" s="371"/>
      <c r="BT11" s="371"/>
      <c r="BU11" s="371"/>
      <c r="BV11" s="371"/>
      <c r="BW11" s="371"/>
      <c r="BX11" s="371"/>
      <c r="BY11" s="371"/>
      <c r="BZ11" s="371"/>
      <c r="CA11" s="371"/>
      <c r="CB11" s="371"/>
      <c r="CC11" s="371"/>
      <c r="CD11" s="371"/>
      <c r="CE11" s="371"/>
      <c r="CF11" s="371"/>
      <c r="CG11" s="371"/>
      <c r="CH11" s="371"/>
      <c r="CI11" s="371"/>
      <c r="CJ11" s="371"/>
      <c r="CK11" s="371"/>
      <c r="CL11" s="371"/>
      <c r="CM11" s="371"/>
      <c r="CN11" s="371"/>
      <c r="CO11" s="371"/>
      <c r="CP11" s="371"/>
      <c r="CQ11" s="371"/>
      <c r="CR11" s="371"/>
      <c r="CS11" s="371"/>
      <c r="CT11" s="371"/>
      <c r="CU11" s="371"/>
      <c r="CV11" s="371"/>
      <c r="CW11" s="371"/>
      <c r="CX11" s="371"/>
      <c r="CY11" s="371"/>
      <c r="CZ11" s="371"/>
      <c r="DA11" s="371"/>
      <c r="DB11" s="371"/>
      <c r="DC11" s="371"/>
      <c r="DD11" s="371"/>
      <c r="DE11" s="371"/>
      <c r="DF11" s="371"/>
      <c r="DG11" s="371"/>
      <c r="DH11" s="371"/>
      <c r="DI11" s="371"/>
      <c r="DJ11" s="371"/>
      <c r="DK11" s="371"/>
      <c r="DL11" s="371"/>
      <c r="DM11" s="371"/>
      <c r="DN11" s="371"/>
      <c r="DO11" s="371"/>
      <c r="DP11" s="371"/>
      <c r="DQ11" s="371"/>
      <c r="DR11" s="371"/>
      <c r="DS11" s="371"/>
      <c r="DT11" s="371"/>
      <c r="DU11" s="371"/>
      <c r="DV11" s="371"/>
      <c r="DW11" s="371"/>
      <c r="DX11" s="371"/>
      <c r="DY11" s="371"/>
      <c r="DZ11" s="371"/>
      <c r="EA11" s="371"/>
      <c r="EB11" s="371"/>
      <c r="EC11" s="371"/>
      <c r="ED11" s="371"/>
      <c r="EE11" s="371"/>
      <c r="EF11" s="371"/>
      <c r="EG11" s="371"/>
      <c r="EH11" s="371"/>
      <c r="EI11" s="371"/>
      <c r="EJ11" s="371"/>
      <c r="EK11" s="371"/>
      <c r="EL11" s="371"/>
      <c r="EM11" s="371"/>
      <c r="EN11" s="371"/>
      <c r="EO11" s="371"/>
      <c r="EP11" s="371"/>
      <c r="EQ11" s="371"/>
      <c r="ER11" s="371"/>
      <c r="ES11" s="371"/>
      <c r="ET11" s="371"/>
      <c r="EU11" s="371"/>
      <c r="EV11" s="371"/>
      <c r="EW11" s="371"/>
      <c r="EX11" s="371"/>
      <c r="EY11" s="371"/>
      <c r="EZ11" s="371"/>
      <c r="FA11" s="371"/>
      <c r="FB11" s="371"/>
      <c r="FC11" s="371"/>
      <c r="FD11" s="371"/>
      <c r="FE11" s="371"/>
      <c r="FF11" s="371"/>
      <c r="FG11" s="371"/>
      <c r="FH11" s="371"/>
      <c r="FI11" s="371"/>
      <c r="FJ11" s="371"/>
      <c r="FK11" s="371"/>
      <c r="FL11" s="371"/>
      <c r="FM11" s="371"/>
      <c r="FN11" s="371"/>
      <c r="FO11" s="371"/>
      <c r="FP11" s="371"/>
      <c r="FQ11" s="371"/>
      <c r="FR11" s="371"/>
      <c r="FS11" s="371"/>
      <c r="FT11" s="371"/>
      <c r="FU11" s="371"/>
      <c r="FV11" s="371"/>
      <c r="FW11" s="371"/>
      <c r="FX11" s="371"/>
      <c r="FY11" s="371"/>
      <c r="FZ11" s="371"/>
      <c r="GA11" s="371"/>
      <c r="GB11" s="371"/>
      <c r="GC11" s="371"/>
      <c r="GD11" s="371"/>
      <c r="GE11" s="371"/>
      <c r="GF11" s="371"/>
      <c r="GG11" s="371"/>
      <c r="GH11" s="371"/>
      <c r="GI11" s="371"/>
      <c r="GJ11" s="371"/>
      <c r="GK11" s="371"/>
      <c r="GL11" s="371"/>
      <c r="GM11" s="371"/>
      <c r="GN11" s="371"/>
      <c r="GO11" s="371"/>
      <c r="GP11" s="371"/>
      <c r="GQ11" s="371"/>
      <c r="GR11" s="371"/>
      <c r="GS11" s="371"/>
      <c r="GT11" s="371"/>
      <c r="GU11" s="371"/>
      <c r="GV11" s="371"/>
      <c r="GW11" s="371"/>
      <c r="GX11" s="371"/>
      <c r="GY11" s="371"/>
      <c r="GZ11" s="371"/>
      <c r="HA11" s="371"/>
      <c r="HB11" s="371"/>
      <c r="HC11" s="371"/>
      <c r="HD11" s="371"/>
      <c r="HE11" s="371"/>
      <c r="HF11" s="371"/>
      <c r="HG11" s="371"/>
      <c r="HH11" s="371"/>
      <c r="HI11" s="371"/>
      <c r="HJ11" s="371"/>
      <c r="HK11" s="371"/>
      <c r="HL11" s="371"/>
      <c r="HM11" s="371"/>
      <c r="HN11" s="371"/>
      <c r="HO11" s="371"/>
      <c r="HP11" s="371"/>
      <c r="HQ11" s="371"/>
      <c r="HR11" s="371"/>
      <c r="HS11" s="371"/>
      <c r="HT11" s="371"/>
      <c r="HU11" s="371"/>
      <c r="HV11" s="371"/>
      <c r="HW11" s="371"/>
      <c r="HX11" s="371"/>
      <c r="HY11" s="371"/>
      <c r="HZ11" s="371"/>
      <c r="IA11" s="371"/>
      <c r="IB11" s="371"/>
      <c r="IC11" s="371"/>
      <c r="ID11" s="371"/>
      <c r="IE11" s="371"/>
      <c r="IF11" s="371"/>
      <c r="IG11" s="371"/>
      <c r="IH11" s="371"/>
      <c r="II11" s="371"/>
      <c r="IJ11" s="371"/>
      <c r="IK11" s="371"/>
      <c r="IL11" s="371"/>
      <c r="IM11" s="371"/>
      <c r="IN11" s="371"/>
      <c r="IO11" s="371"/>
      <c r="IP11" s="371"/>
      <c r="IQ11" s="371"/>
      <c r="IR11" s="371"/>
      <c r="IS11" s="371"/>
      <c r="IT11" s="371"/>
      <c r="IU11" s="371"/>
      <c r="IV11" s="371"/>
    </row>
    <row r="12" spans="1:256" x14ac:dyDescent="0.2">
      <c r="A12" s="365"/>
      <c r="B12" s="388" t="s">
        <v>1317</v>
      </c>
      <c r="C12" s="377"/>
      <c r="D12" s="377"/>
      <c r="E12" s="389"/>
      <c r="F12" s="387"/>
      <c r="G12" s="386"/>
      <c r="H12" s="387"/>
      <c r="I12" s="386"/>
      <c r="J12" s="371"/>
      <c r="K12" s="371"/>
      <c r="L12" s="371"/>
      <c r="M12" s="371"/>
      <c r="N12" s="371"/>
      <c r="O12" s="371"/>
      <c r="P12" s="371"/>
      <c r="Q12" s="371"/>
      <c r="R12" s="371"/>
      <c r="S12" s="371"/>
      <c r="T12" s="371"/>
      <c r="U12" s="371"/>
      <c r="V12" s="371"/>
      <c r="W12" s="371"/>
      <c r="X12" s="371"/>
      <c r="Y12" s="371"/>
      <c r="Z12" s="371"/>
      <c r="AA12" s="371"/>
      <c r="AB12" s="371"/>
      <c r="AC12" s="371"/>
      <c r="AD12" s="371"/>
      <c r="AE12" s="371"/>
      <c r="AF12" s="371"/>
      <c r="AG12" s="371"/>
      <c r="AH12" s="371"/>
      <c r="AI12" s="371"/>
      <c r="AJ12" s="371"/>
      <c r="AK12" s="371"/>
      <c r="AL12" s="371"/>
      <c r="AM12" s="371"/>
      <c r="AN12" s="371"/>
      <c r="AO12" s="371"/>
      <c r="AP12" s="371"/>
      <c r="AQ12" s="371"/>
      <c r="AR12" s="371"/>
      <c r="AS12" s="371"/>
      <c r="AT12" s="371"/>
      <c r="AU12" s="371"/>
      <c r="AV12" s="371"/>
      <c r="AW12" s="371"/>
      <c r="AX12" s="371"/>
      <c r="AY12" s="371"/>
      <c r="AZ12" s="371"/>
      <c r="BA12" s="371"/>
      <c r="BB12" s="371"/>
      <c r="BC12" s="371"/>
      <c r="BD12" s="371"/>
      <c r="BE12" s="371"/>
      <c r="BF12" s="371"/>
      <c r="BG12" s="371"/>
      <c r="BH12" s="371"/>
      <c r="BI12" s="371"/>
      <c r="BJ12" s="371"/>
      <c r="BK12" s="371"/>
      <c r="BL12" s="371"/>
      <c r="BM12" s="371"/>
      <c r="BN12" s="371"/>
      <c r="BO12" s="371"/>
      <c r="BP12" s="371"/>
      <c r="BQ12" s="371"/>
      <c r="BR12" s="371"/>
      <c r="BS12" s="371"/>
      <c r="BT12" s="371"/>
      <c r="BU12" s="371"/>
      <c r="BV12" s="371"/>
      <c r="BW12" s="371"/>
      <c r="BX12" s="371"/>
      <c r="BY12" s="371"/>
      <c r="BZ12" s="371"/>
      <c r="CA12" s="371"/>
      <c r="CB12" s="371"/>
      <c r="CC12" s="371"/>
      <c r="CD12" s="371"/>
      <c r="CE12" s="371"/>
      <c r="CF12" s="371"/>
      <c r="CG12" s="371"/>
      <c r="CH12" s="371"/>
      <c r="CI12" s="371"/>
      <c r="CJ12" s="371"/>
      <c r="CK12" s="371"/>
      <c r="CL12" s="371"/>
      <c r="CM12" s="371"/>
      <c r="CN12" s="371"/>
      <c r="CO12" s="371"/>
      <c r="CP12" s="371"/>
      <c r="CQ12" s="371"/>
      <c r="CR12" s="371"/>
      <c r="CS12" s="371"/>
      <c r="CT12" s="371"/>
      <c r="CU12" s="371"/>
      <c r="CV12" s="371"/>
      <c r="CW12" s="371"/>
      <c r="CX12" s="371"/>
      <c r="CY12" s="371"/>
      <c r="CZ12" s="371"/>
      <c r="DA12" s="371"/>
      <c r="DB12" s="371"/>
      <c r="DC12" s="371"/>
      <c r="DD12" s="371"/>
      <c r="DE12" s="371"/>
      <c r="DF12" s="371"/>
      <c r="DG12" s="371"/>
      <c r="DH12" s="371"/>
      <c r="DI12" s="371"/>
      <c r="DJ12" s="371"/>
      <c r="DK12" s="371"/>
      <c r="DL12" s="371"/>
      <c r="DM12" s="371"/>
      <c r="DN12" s="371"/>
      <c r="DO12" s="371"/>
      <c r="DP12" s="371"/>
      <c r="DQ12" s="371"/>
      <c r="DR12" s="371"/>
      <c r="DS12" s="371"/>
      <c r="DT12" s="371"/>
      <c r="DU12" s="371"/>
      <c r="DV12" s="371"/>
      <c r="DW12" s="371"/>
      <c r="DX12" s="371"/>
      <c r="DY12" s="371"/>
      <c r="DZ12" s="371"/>
      <c r="EA12" s="371"/>
      <c r="EB12" s="371"/>
      <c r="EC12" s="371"/>
      <c r="ED12" s="371"/>
      <c r="EE12" s="371"/>
      <c r="EF12" s="371"/>
      <c r="EG12" s="371"/>
      <c r="EH12" s="371"/>
      <c r="EI12" s="371"/>
      <c r="EJ12" s="371"/>
      <c r="EK12" s="371"/>
      <c r="EL12" s="371"/>
      <c r="EM12" s="371"/>
      <c r="EN12" s="371"/>
      <c r="EO12" s="371"/>
      <c r="EP12" s="371"/>
      <c r="EQ12" s="371"/>
      <c r="ER12" s="371"/>
      <c r="ES12" s="371"/>
      <c r="ET12" s="371"/>
      <c r="EU12" s="371"/>
      <c r="EV12" s="371"/>
      <c r="EW12" s="371"/>
      <c r="EX12" s="371"/>
      <c r="EY12" s="371"/>
      <c r="EZ12" s="371"/>
      <c r="FA12" s="371"/>
      <c r="FB12" s="371"/>
      <c r="FC12" s="371"/>
      <c r="FD12" s="371"/>
      <c r="FE12" s="371"/>
      <c r="FF12" s="371"/>
      <c r="FG12" s="371"/>
      <c r="FH12" s="371"/>
      <c r="FI12" s="371"/>
      <c r="FJ12" s="371"/>
      <c r="FK12" s="371"/>
      <c r="FL12" s="371"/>
      <c r="FM12" s="371"/>
      <c r="FN12" s="371"/>
      <c r="FO12" s="371"/>
      <c r="FP12" s="371"/>
      <c r="FQ12" s="371"/>
      <c r="FR12" s="371"/>
      <c r="FS12" s="371"/>
      <c r="FT12" s="371"/>
      <c r="FU12" s="371"/>
      <c r="FV12" s="371"/>
      <c r="FW12" s="371"/>
      <c r="FX12" s="371"/>
      <c r="FY12" s="371"/>
      <c r="FZ12" s="371"/>
      <c r="GA12" s="371"/>
      <c r="GB12" s="371"/>
      <c r="GC12" s="371"/>
      <c r="GD12" s="371"/>
      <c r="GE12" s="371"/>
      <c r="GF12" s="371"/>
      <c r="GG12" s="371"/>
      <c r="GH12" s="371"/>
      <c r="GI12" s="371"/>
      <c r="GJ12" s="371"/>
      <c r="GK12" s="371"/>
      <c r="GL12" s="371"/>
      <c r="GM12" s="371"/>
      <c r="GN12" s="371"/>
      <c r="GO12" s="371"/>
      <c r="GP12" s="371"/>
      <c r="GQ12" s="371"/>
      <c r="GR12" s="371"/>
      <c r="GS12" s="371"/>
      <c r="GT12" s="371"/>
      <c r="GU12" s="371"/>
      <c r="GV12" s="371"/>
      <c r="GW12" s="371"/>
      <c r="GX12" s="371"/>
      <c r="GY12" s="371"/>
      <c r="GZ12" s="371"/>
      <c r="HA12" s="371"/>
      <c r="HB12" s="371"/>
      <c r="HC12" s="371"/>
      <c r="HD12" s="371"/>
      <c r="HE12" s="371"/>
      <c r="HF12" s="371"/>
      <c r="HG12" s="371"/>
      <c r="HH12" s="371"/>
      <c r="HI12" s="371"/>
      <c r="HJ12" s="371"/>
      <c r="HK12" s="371"/>
      <c r="HL12" s="371"/>
      <c r="HM12" s="371"/>
      <c r="HN12" s="371"/>
      <c r="HO12" s="371"/>
      <c r="HP12" s="371"/>
      <c r="HQ12" s="371"/>
      <c r="HR12" s="371"/>
      <c r="HS12" s="371"/>
      <c r="HT12" s="371"/>
      <c r="HU12" s="371"/>
      <c r="HV12" s="371"/>
      <c r="HW12" s="371"/>
      <c r="HX12" s="371"/>
      <c r="HY12" s="371"/>
      <c r="HZ12" s="371"/>
      <c r="IA12" s="371"/>
      <c r="IB12" s="371"/>
      <c r="IC12" s="371"/>
      <c r="ID12" s="371"/>
      <c r="IE12" s="371"/>
      <c r="IF12" s="371"/>
      <c r="IG12" s="371"/>
      <c r="IH12" s="371"/>
      <c r="II12" s="371"/>
      <c r="IJ12" s="371"/>
      <c r="IK12" s="371"/>
      <c r="IL12" s="371"/>
      <c r="IM12" s="371"/>
      <c r="IN12" s="371"/>
      <c r="IO12" s="371"/>
      <c r="IP12" s="371"/>
      <c r="IQ12" s="371"/>
      <c r="IR12" s="371"/>
      <c r="IS12" s="371"/>
      <c r="IT12" s="371"/>
      <c r="IU12" s="371"/>
      <c r="IV12" s="371"/>
    </row>
    <row r="13" spans="1:256" x14ac:dyDescent="0.2">
      <c r="A13" s="365"/>
      <c r="B13" s="390" t="s">
        <v>15</v>
      </c>
      <c r="C13" s="368"/>
      <c r="D13" s="368"/>
      <c r="E13" s="372"/>
      <c r="F13" s="368"/>
      <c r="G13" s="390"/>
      <c r="H13" s="370"/>
      <c r="I13" s="370"/>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371"/>
      <c r="AN13" s="371"/>
      <c r="AO13" s="371"/>
      <c r="AP13" s="371"/>
      <c r="AQ13" s="371"/>
      <c r="AR13" s="371"/>
      <c r="AS13" s="371"/>
      <c r="AT13" s="371"/>
      <c r="AU13" s="371"/>
      <c r="AV13" s="371"/>
      <c r="AW13" s="371"/>
      <c r="AX13" s="371"/>
      <c r="AY13" s="371"/>
      <c r="AZ13" s="371"/>
      <c r="BA13" s="371"/>
      <c r="BB13" s="371"/>
      <c r="BC13" s="371"/>
      <c r="BD13" s="371"/>
      <c r="BE13" s="371"/>
      <c r="BF13" s="371"/>
      <c r="BG13" s="371"/>
      <c r="BH13" s="371"/>
      <c r="BI13" s="371"/>
      <c r="BJ13" s="371"/>
      <c r="BK13" s="371"/>
      <c r="BL13" s="371"/>
      <c r="BM13" s="371"/>
      <c r="BN13" s="371"/>
      <c r="BO13" s="371"/>
      <c r="BP13" s="371"/>
      <c r="BQ13" s="371"/>
      <c r="BR13" s="371"/>
      <c r="BS13" s="371"/>
      <c r="BT13" s="371"/>
      <c r="BU13" s="371"/>
      <c r="BV13" s="371"/>
      <c r="BW13" s="371"/>
      <c r="BX13" s="371"/>
      <c r="BY13" s="371"/>
      <c r="BZ13" s="371"/>
      <c r="CA13" s="371"/>
      <c r="CB13" s="371"/>
      <c r="CC13" s="371"/>
      <c r="CD13" s="371"/>
      <c r="CE13" s="371"/>
      <c r="CF13" s="371"/>
      <c r="CG13" s="371"/>
      <c r="CH13" s="371"/>
      <c r="CI13" s="371"/>
      <c r="CJ13" s="371"/>
      <c r="CK13" s="371"/>
      <c r="CL13" s="371"/>
      <c r="CM13" s="371"/>
      <c r="CN13" s="371"/>
      <c r="CO13" s="371"/>
      <c r="CP13" s="371"/>
      <c r="CQ13" s="371"/>
      <c r="CR13" s="371"/>
      <c r="CS13" s="371"/>
      <c r="CT13" s="371"/>
      <c r="CU13" s="371"/>
      <c r="CV13" s="371"/>
      <c r="CW13" s="371"/>
      <c r="CX13" s="371"/>
      <c r="CY13" s="371"/>
      <c r="CZ13" s="371"/>
      <c r="DA13" s="371"/>
      <c r="DB13" s="371"/>
      <c r="DC13" s="371"/>
      <c r="DD13" s="371"/>
      <c r="DE13" s="371"/>
      <c r="DF13" s="371"/>
      <c r="DG13" s="371"/>
      <c r="DH13" s="371"/>
      <c r="DI13" s="371"/>
      <c r="DJ13" s="371"/>
      <c r="DK13" s="371"/>
      <c r="DL13" s="371"/>
      <c r="DM13" s="371"/>
      <c r="DN13" s="371"/>
      <c r="DO13" s="371"/>
      <c r="DP13" s="371"/>
      <c r="DQ13" s="371"/>
      <c r="DR13" s="371"/>
      <c r="DS13" s="371"/>
      <c r="DT13" s="371"/>
      <c r="DU13" s="371"/>
      <c r="DV13" s="371"/>
      <c r="DW13" s="371"/>
      <c r="DX13" s="371"/>
      <c r="DY13" s="371"/>
      <c r="DZ13" s="371"/>
      <c r="EA13" s="371"/>
      <c r="EB13" s="371"/>
      <c r="EC13" s="371"/>
      <c r="ED13" s="371"/>
      <c r="EE13" s="371"/>
      <c r="EF13" s="371"/>
      <c r="EG13" s="371"/>
      <c r="EH13" s="371"/>
      <c r="EI13" s="371"/>
      <c r="EJ13" s="371"/>
      <c r="EK13" s="371"/>
      <c r="EL13" s="371"/>
      <c r="EM13" s="371"/>
      <c r="EN13" s="371"/>
      <c r="EO13" s="371"/>
      <c r="EP13" s="371"/>
      <c r="EQ13" s="371"/>
      <c r="ER13" s="371"/>
      <c r="ES13" s="371"/>
      <c r="ET13" s="371"/>
      <c r="EU13" s="371"/>
      <c r="EV13" s="371"/>
      <c r="EW13" s="371"/>
      <c r="EX13" s="371"/>
      <c r="EY13" s="371"/>
      <c r="EZ13" s="371"/>
      <c r="FA13" s="371"/>
      <c r="FB13" s="371"/>
      <c r="FC13" s="371"/>
      <c r="FD13" s="371"/>
      <c r="FE13" s="371"/>
      <c r="FF13" s="371"/>
      <c r="FG13" s="371"/>
      <c r="FH13" s="371"/>
      <c r="FI13" s="371"/>
      <c r="FJ13" s="371"/>
      <c r="FK13" s="371"/>
      <c r="FL13" s="371"/>
      <c r="FM13" s="371"/>
      <c r="FN13" s="371"/>
      <c r="FO13" s="371"/>
      <c r="FP13" s="371"/>
      <c r="FQ13" s="371"/>
      <c r="FR13" s="371"/>
      <c r="FS13" s="371"/>
      <c r="FT13" s="371"/>
      <c r="FU13" s="371"/>
      <c r="FV13" s="371"/>
      <c r="FW13" s="371"/>
      <c r="FX13" s="371"/>
      <c r="FY13" s="371"/>
      <c r="FZ13" s="371"/>
      <c r="GA13" s="371"/>
      <c r="GB13" s="371"/>
      <c r="GC13" s="371"/>
      <c r="GD13" s="371"/>
      <c r="GE13" s="371"/>
      <c r="GF13" s="371"/>
      <c r="GG13" s="371"/>
      <c r="GH13" s="371"/>
      <c r="GI13" s="371"/>
      <c r="GJ13" s="371"/>
      <c r="GK13" s="371"/>
      <c r="GL13" s="371"/>
      <c r="GM13" s="371"/>
      <c r="GN13" s="371"/>
      <c r="GO13" s="371"/>
      <c r="GP13" s="371"/>
      <c r="GQ13" s="371"/>
      <c r="GR13" s="371"/>
      <c r="GS13" s="371"/>
      <c r="GT13" s="371"/>
      <c r="GU13" s="371"/>
      <c r="GV13" s="371"/>
      <c r="GW13" s="371"/>
      <c r="GX13" s="371"/>
      <c r="GY13" s="371"/>
      <c r="GZ13" s="371"/>
      <c r="HA13" s="371"/>
      <c r="HB13" s="371"/>
      <c r="HC13" s="371"/>
      <c r="HD13" s="371"/>
      <c r="HE13" s="371"/>
      <c r="HF13" s="371"/>
      <c r="HG13" s="371"/>
      <c r="HH13" s="371"/>
      <c r="HI13" s="371"/>
      <c r="HJ13" s="371"/>
      <c r="HK13" s="371"/>
      <c r="HL13" s="371"/>
      <c r="HM13" s="371"/>
      <c r="HN13" s="371"/>
      <c r="HO13" s="371"/>
      <c r="HP13" s="371"/>
      <c r="HQ13" s="371"/>
      <c r="HR13" s="371"/>
      <c r="HS13" s="371"/>
      <c r="HT13" s="371"/>
      <c r="HU13" s="371"/>
      <c r="HV13" s="371"/>
      <c r="HW13" s="371"/>
      <c r="HX13" s="371"/>
      <c r="HY13" s="371"/>
      <c r="HZ13" s="371"/>
      <c r="IA13" s="371"/>
      <c r="IB13" s="371"/>
      <c r="IC13" s="371"/>
      <c r="ID13" s="371"/>
      <c r="IE13" s="371"/>
      <c r="IF13" s="371"/>
      <c r="IG13" s="371"/>
      <c r="IH13" s="371"/>
      <c r="II13" s="371"/>
      <c r="IJ13" s="371"/>
      <c r="IK13" s="371"/>
      <c r="IL13" s="371"/>
      <c r="IM13" s="371"/>
      <c r="IN13" s="371"/>
      <c r="IO13" s="371"/>
      <c r="IP13" s="371"/>
      <c r="IQ13" s="371"/>
      <c r="IR13" s="371"/>
      <c r="IS13" s="371"/>
      <c r="IT13" s="371"/>
      <c r="IU13" s="371"/>
      <c r="IV13" s="371"/>
    </row>
    <row r="14" spans="1:256" ht="70.5" customHeight="1" x14ac:dyDescent="0.2">
      <c r="A14" s="391" t="s">
        <v>1318</v>
      </c>
      <c r="B14" s="392" t="s">
        <v>1319</v>
      </c>
      <c r="C14" s="392" t="s">
        <v>1320</v>
      </c>
      <c r="D14" s="392" t="s">
        <v>1321</v>
      </c>
      <c r="E14" s="393" t="s">
        <v>13</v>
      </c>
      <c r="F14" s="394"/>
      <c r="G14" s="394"/>
      <c r="H14" s="394"/>
      <c r="I14" s="394"/>
      <c r="J14" s="394"/>
      <c r="K14" s="394"/>
      <c r="L14" s="394"/>
      <c r="M14" s="394"/>
      <c r="N14" s="394"/>
      <c r="O14" s="394"/>
      <c r="P14" s="394"/>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4"/>
      <c r="AX14" s="394"/>
      <c r="AY14" s="394"/>
      <c r="AZ14" s="394"/>
      <c r="BA14" s="394"/>
      <c r="BB14" s="394"/>
      <c r="BC14" s="394"/>
      <c r="BD14" s="394"/>
      <c r="BE14" s="394"/>
      <c r="BF14" s="394"/>
      <c r="BG14" s="394"/>
      <c r="BH14" s="394"/>
      <c r="BI14" s="394"/>
      <c r="BJ14" s="394"/>
      <c r="BK14" s="394"/>
      <c r="BL14" s="394"/>
      <c r="BM14" s="394"/>
      <c r="BN14" s="394"/>
      <c r="BO14" s="394"/>
      <c r="BP14" s="394"/>
      <c r="BQ14" s="394"/>
      <c r="BR14" s="394"/>
      <c r="BS14" s="394"/>
      <c r="BT14" s="394"/>
      <c r="BU14" s="394"/>
      <c r="BV14" s="394"/>
      <c r="BW14" s="394"/>
      <c r="BX14" s="394"/>
      <c r="BY14" s="394"/>
      <c r="BZ14" s="394"/>
      <c r="CA14" s="394"/>
      <c r="CB14" s="394"/>
      <c r="CC14" s="394"/>
      <c r="CD14" s="394"/>
      <c r="CE14" s="394"/>
      <c r="CF14" s="394"/>
      <c r="CG14" s="394"/>
      <c r="CH14" s="394"/>
      <c r="CI14" s="394"/>
      <c r="CJ14" s="394"/>
      <c r="CK14" s="394"/>
      <c r="CL14" s="394"/>
      <c r="CM14" s="394"/>
      <c r="CN14" s="394"/>
      <c r="CO14" s="394"/>
      <c r="CP14" s="394"/>
      <c r="CQ14" s="394"/>
      <c r="CR14" s="394"/>
      <c r="CS14" s="394"/>
      <c r="CT14" s="394"/>
      <c r="CU14" s="394"/>
      <c r="CV14" s="394"/>
      <c r="CW14" s="394"/>
      <c r="CX14" s="394"/>
      <c r="CY14" s="394"/>
      <c r="CZ14" s="394"/>
      <c r="DA14" s="394"/>
      <c r="DB14" s="394"/>
      <c r="DC14" s="394"/>
      <c r="DD14" s="394"/>
      <c r="DE14" s="394"/>
      <c r="DF14" s="394"/>
      <c r="DG14" s="394"/>
      <c r="DH14" s="394"/>
      <c r="DI14" s="394"/>
      <c r="DJ14" s="394"/>
      <c r="DK14" s="394"/>
      <c r="DL14" s="394"/>
      <c r="DM14" s="394"/>
      <c r="DN14" s="394"/>
      <c r="DO14" s="394"/>
      <c r="DP14" s="394"/>
      <c r="DQ14" s="394"/>
      <c r="DR14" s="394"/>
      <c r="DS14" s="394"/>
      <c r="DT14" s="394"/>
      <c r="DU14" s="394"/>
      <c r="DV14" s="394"/>
      <c r="DW14" s="394"/>
      <c r="DX14" s="394"/>
      <c r="DY14" s="394"/>
      <c r="DZ14" s="394"/>
      <c r="EA14" s="394"/>
      <c r="EB14" s="394"/>
      <c r="EC14" s="394"/>
      <c r="ED14" s="394"/>
      <c r="EE14" s="394"/>
      <c r="EF14" s="394"/>
      <c r="EG14" s="394"/>
      <c r="EH14" s="394"/>
      <c r="EI14" s="394"/>
      <c r="EJ14" s="394"/>
      <c r="EK14" s="394"/>
      <c r="EL14" s="394"/>
      <c r="EM14" s="394"/>
      <c r="EN14" s="394"/>
      <c r="EO14" s="394"/>
      <c r="EP14" s="394"/>
      <c r="EQ14" s="394"/>
      <c r="ER14" s="394"/>
      <c r="ES14" s="394"/>
      <c r="ET14" s="394"/>
      <c r="EU14" s="394"/>
      <c r="EV14" s="394"/>
      <c r="EW14" s="394"/>
      <c r="EX14" s="394"/>
      <c r="EY14" s="394"/>
      <c r="EZ14" s="394"/>
      <c r="FA14" s="394"/>
      <c r="FB14" s="394"/>
      <c r="FC14" s="394"/>
      <c r="FD14" s="394"/>
      <c r="FE14" s="394"/>
      <c r="FF14" s="394"/>
      <c r="FG14" s="394"/>
      <c r="FH14" s="394"/>
      <c r="FI14" s="394"/>
      <c r="FJ14" s="394"/>
      <c r="FK14" s="394"/>
      <c r="FL14" s="394"/>
      <c r="FM14" s="394"/>
      <c r="FN14" s="394"/>
      <c r="FO14" s="394"/>
      <c r="FP14" s="394"/>
      <c r="FQ14" s="394"/>
      <c r="FR14" s="394"/>
      <c r="FS14" s="394"/>
      <c r="FT14" s="394"/>
      <c r="FU14" s="394"/>
      <c r="FV14" s="394"/>
      <c r="FW14" s="394"/>
      <c r="FX14" s="394"/>
      <c r="FY14" s="394"/>
      <c r="FZ14" s="394"/>
      <c r="GA14" s="394"/>
      <c r="GB14" s="394"/>
      <c r="GC14" s="394"/>
      <c r="GD14" s="394"/>
      <c r="GE14" s="394"/>
      <c r="GF14" s="394"/>
      <c r="GG14" s="394"/>
      <c r="GH14" s="394"/>
      <c r="GI14" s="394"/>
      <c r="GJ14" s="394"/>
      <c r="GK14" s="394"/>
      <c r="GL14" s="394"/>
      <c r="GM14" s="394"/>
      <c r="GN14" s="394"/>
      <c r="GO14" s="394"/>
      <c r="GP14" s="394"/>
      <c r="GQ14" s="394"/>
      <c r="GR14" s="394"/>
      <c r="GS14" s="394"/>
      <c r="GT14" s="394"/>
      <c r="GU14" s="394"/>
      <c r="GV14" s="394"/>
      <c r="GW14" s="394"/>
      <c r="GX14" s="394"/>
      <c r="GY14" s="394"/>
      <c r="GZ14" s="394"/>
      <c r="HA14" s="394"/>
      <c r="HB14" s="394"/>
      <c r="HC14" s="394"/>
      <c r="HD14" s="394"/>
      <c r="HE14" s="394"/>
      <c r="HF14" s="394"/>
      <c r="HG14" s="394"/>
      <c r="HH14" s="394"/>
      <c r="HI14" s="394"/>
      <c r="HJ14" s="394"/>
      <c r="HK14" s="394"/>
      <c r="HL14" s="394"/>
      <c r="HM14" s="394"/>
      <c r="HN14" s="394"/>
      <c r="HO14" s="394"/>
      <c r="HP14" s="394"/>
      <c r="HQ14" s="394"/>
      <c r="HR14" s="394"/>
      <c r="HS14" s="394"/>
      <c r="HT14" s="394"/>
      <c r="HU14" s="394"/>
      <c r="HV14" s="394"/>
      <c r="HW14" s="394"/>
      <c r="HX14" s="394"/>
      <c r="HY14" s="394"/>
      <c r="HZ14" s="394"/>
      <c r="IA14" s="394"/>
      <c r="IB14" s="394"/>
      <c r="IC14" s="394"/>
      <c r="ID14" s="394"/>
      <c r="IE14" s="394"/>
      <c r="IF14" s="394"/>
      <c r="IG14" s="394"/>
      <c r="IH14" s="394"/>
      <c r="II14" s="394"/>
      <c r="IJ14" s="394"/>
      <c r="IK14" s="394"/>
      <c r="IL14" s="394"/>
      <c r="IM14" s="394"/>
      <c r="IN14" s="394"/>
      <c r="IO14" s="394"/>
      <c r="IP14" s="394"/>
      <c r="IQ14" s="394"/>
      <c r="IR14" s="394"/>
      <c r="IS14" s="394"/>
      <c r="IT14" s="394"/>
      <c r="IU14" s="394"/>
      <c r="IV14" s="394"/>
    </row>
    <row r="15" spans="1:256" x14ac:dyDescent="0.2">
      <c r="A15" s="395">
        <v>1</v>
      </c>
      <c r="B15" s="395">
        <v>2</v>
      </c>
      <c r="C15" s="395">
        <v>3</v>
      </c>
      <c r="D15" s="395">
        <v>4</v>
      </c>
      <c r="E15" s="395">
        <v>5</v>
      </c>
      <c r="F15" s="394"/>
      <c r="G15" s="394"/>
      <c r="H15" s="394"/>
      <c r="I15" s="394"/>
      <c r="J15" s="394"/>
      <c r="K15" s="394"/>
      <c r="L15" s="394"/>
      <c r="M15" s="394"/>
      <c r="N15" s="394"/>
      <c r="O15" s="394"/>
      <c r="P15" s="394"/>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4"/>
      <c r="BK15" s="394"/>
      <c r="BL15" s="394"/>
      <c r="BM15" s="394"/>
      <c r="BN15" s="394"/>
      <c r="BO15" s="394"/>
      <c r="BP15" s="394"/>
      <c r="BQ15" s="394"/>
      <c r="BR15" s="394"/>
      <c r="BS15" s="394"/>
      <c r="BT15" s="394"/>
      <c r="BU15" s="394"/>
      <c r="BV15" s="394"/>
      <c r="BW15" s="394"/>
      <c r="BX15" s="394"/>
      <c r="BY15" s="394"/>
      <c r="BZ15" s="394"/>
      <c r="CA15" s="394"/>
      <c r="CB15" s="394"/>
      <c r="CC15" s="394"/>
      <c r="CD15" s="394"/>
      <c r="CE15" s="394"/>
      <c r="CF15" s="394"/>
      <c r="CG15" s="394"/>
      <c r="CH15" s="394"/>
      <c r="CI15" s="394"/>
      <c r="CJ15" s="394"/>
      <c r="CK15" s="394"/>
      <c r="CL15" s="394"/>
      <c r="CM15" s="394"/>
      <c r="CN15" s="394"/>
      <c r="CO15" s="394"/>
      <c r="CP15" s="394"/>
      <c r="CQ15" s="394"/>
      <c r="CR15" s="394"/>
      <c r="CS15" s="394"/>
      <c r="CT15" s="394"/>
      <c r="CU15" s="394"/>
      <c r="CV15" s="394"/>
      <c r="CW15" s="394"/>
      <c r="CX15" s="394"/>
      <c r="CY15" s="394"/>
      <c r="CZ15" s="394"/>
      <c r="DA15" s="394"/>
      <c r="DB15" s="394"/>
      <c r="DC15" s="394"/>
      <c r="DD15" s="394"/>
      <c r="DE15" s="394"/>
      <c r="DF15" s="394"/>
      <c r="DG15" s="394"/>
      <c r="DH15" s="394"/>
      <c r="DI15" s="394"/>
      <c r="DJ15" s="394"/>
      <c r="DK15" s="394"/>
      <c r="DL15" s="394"/>
      <c r="DM15" s="394"/>
      <c r="DN15" s="394"/>
      <c r="DO15" s="394"/>
      <c r="DP15" s="394"/>
      <c r="DQ15" s="394"/>
      <c r="DR15" s="394"/>
      <c r="DS15" s="394"/>
      <c r="DT15" s="394"/>
      <c r="DU15" s="394"/>
      <c r="DV15" s="394"/>
      <c r="DW15" s="394"/>
      <c r="DX15" s="394"/>
      <c r="DY15" s="394"/>
      <c r="DZ15" s="394"/>
      <c r="EA15" s="394"/>
      <c r="EB15" s="394"/>
      <c r="EC15" s="394"/>
      <c r="ED15" s="394"/>
      <c r="EE15" s="394"/>
      <c r="EF15" s="394"/>
      <c r="EG15" s="394"/>
      <c r="EH15" s="394"/>
      <c r="EI15" s="394"/>
      <c r="EJ15" s="394"/>
      <c r="EK15" s="394"/>
      <c r="EL15" s="394"/>
      <c r="EM15" s="394"/>
      <c r="EN15" s="394"/>
      <c r="EO15" s="394"/>
      <c r="EP15" s="394"/>
      <c r="EQ15" s="394"/>
      <c r="ER15" s="394"/>
      <c r="ES15" s="394"/>
      <c r="ET15" s="394"/>
      <c r="EU15" s="394"/>
      <c r="EV15" s="394"/>
      <c r="EW15" s="394"/>
      <c r="EX15" s="394"/>
      <c r="EY15" s="394"/>
      <c r="EZ15" s="394"/>
      <c r="FA15" s="394"/>
      <c r="FB15" s="394"/>
      <c r="FC15" s="394"/>
      <c r="FD15" s="394"/>
      <c r="FE15" s="394"/>
      <c r="FF15" s="394"/>
      <c r="FG15" s="394"/>
      <c r="FH15" s="394"/>
      <c r="FI15" s="394"/>
      <c r="FJ15" s="394"/>
      <c r="FK15" s="394"/>
      <c r="FL15" s="394"/>
      <c r="FM15" s="394"/>
      <c r="FN15" s="394"/>
      <c r="FO15" s="394"/>
      <c r="FP15" s="394"/>
      <c r="FQ15" s="394"/>
      <c r="FR15" s="394"/>
      <c r="FS15" s="394"/>
      <c r="FT15" s="394"/>
      <c r="FU15" s="394"/>
      <c r="FV15" s="394"/>
      <c r="FW15" s="394"/>
      <c r="FX15" s="394"/>
      <c r="FY15" s="394"/>
      <c r="FZ15" s="394"/>
      <c r="GA15" s="394"/>
      <c r="GB15" s="394"/>
      <c r="GC15" s="394"/>
      <c r="GD15" s="394"/>
      <c r="GE15" s="394"/>
      <c r="GF15" s="394"/>
      <c r="GG15" s="394"/>
      <c r="GH15" s="394"/>
      <c r="GI15" s="394"/>
      <c r="GJ15" s="394"/>
      <c r="GK15" s="394"/>
      <c r="GL15" s="394"/>
      <c r="GM15" s="394"/>
      <c r="GN15" s="394"/>
      <c r="GO15" s="394"/>
      <c r="GP15" s="394"/>
      <c r="GQ15" s="394"/>
      <c r="GR15" s="394"/>
      <c r="GS15" s="394"/>
      <c r="GT15" s="394"/>
      <c r="GU15" s="394"/>
      <c r="GV15" s="394"/>
      <c r="GW15" s="394"/>
      <c r="GX15" s="394"/>
      <c r="GY15" s="394"/>
      <c r="GZ15" s="394"/>
      <c r="HA15" s="394"/>
      <c r="HB15" s="394"/>
      <c r="HC15" s="394"/>
      <c r="HD15" s="394"/>
      <c r="HE15" s="394"/>
      <c r="HF15" s="394"/>
      <c r="HG15" s="394"/>
      <c r="HH15" s="394"/>
      <c r="HI15" s="394"/>
      <c r="HJ15" s="394"/>
      <c r="HK15" s="394"/>
      <c r="HL15" s="394"/>
      <c r="HM15" s="394"/>
      <c r="HN15" s="394"/>
      <c r="HO15" s="394"/>
      <c r="HP15" s="394"/>
      <c r="HQ15" s="394"/>
      <c r="HR15" s="394"/>
      <c r="HS15" s="394"/>
      <c r="HT15" s="394"/>
      <c r="HU15" s="394"/>
      <c r="HV15" s="394"/>
      <c r="HW15" s="394"/>
      <c r="HX15" s="394"/>
      <c r="HY15" s="394"/>
      <c r="HZ15" s="394"/>
      <c r="IA15" s="394"/>
      <c r="IB15" s="394"/>
      <c r="IC15" s="394"/>
      <c r="ID15" s="394"/>
      <c r="IE15" s="394"/>
      <c r="IF15" s="394"/>
      <c r="IG15" s="394"/>
      <c r="IH15" s="394"/>
      <c r="II15" s="394"/>
      <c r="IJ15" s="394"/>
      <c r="IK15" s="394"/>
      <c r="IL15" s="394"/>
      <c r="IM15" s="394"/>
      <c r="IN15" s="394"/>
      <c r="IO15" s="394"/>
      <c r="IP15" s="394"/>
      <c r="IQ15" s="394"/>
      <c r="IR15" s="394"/>
      <c r="IS15" s="394"/>
      <c r="IT15" s="394"/>
      <c r="IU15" s="394"/>
      <c r="IV15" s="394"/>
    </row>
    <row r="16" spans="1:256" ht="3.75" customHeight="1" x14ac:dyDescent="0.2">
      <c r="A16" s="396"/>
      <c r="B16" s="396"/>
      <c r="C16" s="397"/>
      <c r="D16" s="397"/>
      <c r="E16" s="398"/>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4"/>
      <c r="BK16" s="394"/>
      <c r="BL16" s="394"/>
      <c r="BM16" s="394"/>
      <c r="BN16" s="394"/>
      <c r="BO16" s="394"/>
      <c r="BP16" s="394"/>
      <c r="BQ16" s="394"/>
      <c r="BR16" s="394"/>
      <c r="BS16" s="394"/>
      <c r="BT16" s="394"/>
      <c r="BU16" s="394"/>
      <c r="BV16" s="394"/>
      <c r="BW16" s="394"/>
      <c r="BX16" s="394"/>
      <c r="BY16" s="394"/>
      <c r="BZ16" s="394"/>
      <c r="CA16" s="394"/>
      <c r="CB16" s="394"/>
      <c r="CC16" s="394"/>
      <c r="CD16" s="394"/>
      <c r="CE16" s="394"/>
      <c r="CF16" s="394"/>
      <c r="CG16" s="394"/>
      <c r="CH16" s="394"/>
      <c r="CI16" s="394"/>
      <c r="CJ16" s="394"/>
      <c r="CK16" s="394"/>
      <c r="CL16" s="394"/>
      <c r="CM16" s="394"/>
      <c r="CN16" s="394"/>
      <c r="CO16" s="394"/>
      <c r="CP16" s="394"/>
      <c r="CQ16" s="394"/>
      <c r="CR16" s="394"/>
      <c r="CS16" s="394"/>
      <c r="CT16" s="394"/>
      <c r="CU16" s="394"/>
      <c r="CV16" s="394"/>
      <c r="CW16" s="394"/>
      <c r="CX16" s="394"/>
      <c r="CY16" s="394"/>
      <c r="CZ16" s="394"/>
      <c r="DA16" s="394"/>
      <c r="DB16" s="394"/>
      <c r="DC16" s="394"/>
      <c r="DD16" s="394"/>
      <c r="DE16" s="394"/>
      <c r="DF16" s="394"/>
      <c r="DG16" s="394"/>
      <c r="DH16" s="394"/>
      <c r="DI16" s="394"/>
      <c r="DJ16" s="394"/>
      <c r="DK16" s="394"/>
      <c r="DL16" s="394"/>
      <c r="DM16" s="394"/>
      <c r="DN16" s="394"/>
      <c r="DO16" s="394"/>
      <c r="DP16" s="394"/>
      <c r="DQ16" s="394"/>
      <c r="DR16" s="394"/>
      <c r="DS16" s="394"/>
      <c r="DT16" s="394"/>
      <c r="DU16" s="394"/>
      <c r="DV16" s="394"/>
      <c r="DW16" s="394"/>
      <c r="DX16" s="394"/>
      <c r="DY16" s="394"/>
      <c r="DZ16" s="394"/>
      <c r="EA16" s="394"/>
      <c r="EB16" s="394"/>
      <c r="EC16" s="394"/>
      <c r="ED16" s="394"/>
      <c r="EE16" s="394"/>
      <c r="EF16" s="394"/>
      <c r="EG16" s="394"/>
      <c r="EH16" s="394"/>
      <c r="EI16" s="394"/>
      <c r="EJ16" s="394"/>
      <c r="EK16" s="394"/>
      <c r="EL16" s="394"/>
      <c r="EM16" s="394"/>
      <c r="EN16" s="394"/>
      <c r="EO16" s="394"/>
      <c r="EP16" s="394"/>
      <c r="EQ16" s="394"/>
      <c r="ER16" s="394"/>
      <c r="ES16" s="394"/>
      <c r="ET16" s="394"/>
      <c r="EU16" s="394"/>
      <c r="EV16" s="394"/>
      <c r="EW16" s="394"/>
      <c r="EX16" s="394"/>
      <c r="EY16" s="394"/>
      <c r="EZ16" s="394"/>
      <c r="FA16" s="394"/>
      <c r="FB16" s="394"/>
      <c r="FC16" s="394"/>
      <c r="FD16" s="394"/>
      <c r="FE16" s="394"/>
      <c r="FF16" s="394"/>
      <c r="FG16" s="394"/>
      <c r="FH16" s="394"/>
      <c r="FI16" s="394"/>
      <c r="FJ16" s="394"/>
      <c r="FK16" s="394"/>
      <c r="FL16" s="394"/>
      <c r="FM16" s="394"/>
      <c r="FN16" s="394"/>
      <c r="FO16" s="394"/>
      <c r="FP16" s="394"/>
      <c r="FQ16" s="394"/>
      <c r="FR16" s="394"/>
      <c r="FS16" s="394"/>
      <c r="FT16" s="394"/>
      <c r="FU16" s="394"/>
      <c r="FV16" s="394"/>
      <c r="FW16" s="394"/>
      <c r="FX16" s="394"/>
      <c r="FY16" s="394"/>
      <c r="FZ16" s="394"/>
      <c r="GA16" s="394"/>
      <c r="GB16" s="394"/>
      <c r="GC16" s="394"/>
      <c r="GD16" s="394"/>
      <c r="GE16" s="394"/>
      <c r="GF16" s="394"/>
      <c r="GG16" s="394"/>
      <c r="GH16" s="394"/>
      <c r="GI16" s="394"/>
      <c r="GJ16" s="394"/>
      <c r="GK16" s="394"/>
      <c r="GL16" s="394"/>
      <c r="GM16" s="394"/>
      <c r="GN16" s="394"/>
      <c r="GO16" s="394"/>
      <c r="GP16" s="394"/>
      <c r="GQ16" s="394"/>
      <c r="GR16" s="394"/>
      <c r="GS16" s="394"/>
      <c r="GT16" s="394"/>
      <c r="GU16" s="394"/>
      <c r="GV16" s="394"/>
      <c r="GW16" s="394"/>
      <c r="GX16" s="394"/>
      <c r="GY16" s="394"/>
      <c r="GZ16" s="394"/>
      <c r="HA16" s="394"/>
      <c r="HB16" s="394"/>
      <c r="HC16" s="394"/>
      <c r="HD16" s="394"/>
      <c r="HE16" s="394"/>
      <c r="HF16" s="394"/>
      <c r="HG16" s="394"/>
      <c r="HH16" s="394"/>
      <c r="HI16" s="394"/>
      <c r="HJ16" s="394"/>
      <c r="HK16" s="394"/>
      <c r="HL16" s="394"/>
      <c r="HM16" s="394"/>
      <c r="HN16" s="394"/>
      <c r="HO16" s="394"/>
      <c r="HP16" s="394"/>
      <c r="HQ16" s="394"/>
      <c r="HR16" s="394"/>
      <c r="HS16" s="394"/>
      <c r="HT16" s="394"/>
      <c r="HU16" s="394"/>
      <c r="HV16" s="394"/>
      <c r="HW16" s="394"/>
      <c r="HX16" s="394"/>
      <c r="HY16" s="394"/>
      <c r="HZ16" s="394"/>
      <c r="IA16" s="394"/>
      <c r="IB16" s="394"/>
      <c r="IC16" s="394"/>
      <c r="ID16" s="394"/>
      <c r="IE16" s="394"/>
      <c r="IF16" s="394"/>
      <c r="IG16" s="394"/>
      <c r="IH16" s="394"/>
      <c r="II16" s="394"/>
      <c r="IJ16" s="394"/>
      <c r="IK16" s="394"/>
      <c r="IL16" s="394"/>
      <c r="IM16" s="394"/>
      <c r="IN16" s="394"/>
      <c r="IO16" s="394"/>
      <c r="IP16" s="394"/>
      <c r="IQ16" s="394"/>
      <c r="IR16" s="394"/>
      <c r="IS16" s="394"/>
      <c r="IT16" s="394"/>
      <c r="IU16" s="394"/>
      <c r="IV16" s="399"/>
    </row>
    <row r="17" spans="1:5" x14ac:dyDescent="0.2">
      <c r="A17" s="811" t="s">
        <v>1413</v>
      </c>
      <c r="B17" s="812"/>
      <c r="C17" s="812"/>
      <c r="D17" s="812"/>
      <c r="E17" s="813"/>
    </row>
    <row r="18" spans="1:5" ht="25.5" x14ac:dyDescent="0.2">
      <c r="A18" s="796">
        <v>1</v>
      </c>
      <c r="B18" s="799" t="s">
        <v>1414</v>
      </c>
      <c r="C18" s="420" t="s">
        <v>1415</v>
      </c>
      <c r="D18" s="796" t="s">
        <v>1416</v>
      </c>
      <c r="E18" s="802">
        <f>972*0.6*55.26*1.5*1.2*1.1*1.3</f>
        <v>82953.924767999983</v>
      </c>
    </row>
    <row r="19" spans="1:5" x14ac:dyDescent="0.2">
      <c r="A19" s="797"/>
      <c r="B19" s="800"/>
      <c r="C19" s="420" t="s">
        <v>1325</v>
      </c>
      <c r="D19" s="797"/>
      <c r="E19" s="803"/>
    </row>
    <row r="20" spans="1:5" x14ac:dyDescent="0.2">
      <c r="A20" s="797"/>
      <c r="B20" s="800"/>
      <c r="C20" s="420" t="s">
        <v>1326</v>
      </c>
      <c r="D20" s="797"/>
      <c r="E20" s="803"/>
    </row>
    <row r="21" spans="1:5" x14ac:dyDescent="0.2">
      <c r="A21" s="797"/>
      <c r="B21" s="800"/>
      <c r="C21" s="420" t="s">
        <v>1327</v>
      </c>
      <c r="D21" s="797"/>
      <c r="E21" s="803"/>
    </row>
    <row r="22" spans="1:5" x14ac:dyDescent="0.2">
      <c r="A22" s="797"/>
      <c r="B22" s="800"/>
      <c r="C22" s="420" t="s">
        <v>1328</v>
      </c>
      <c r="D22" s="797"/>
      <c r="E22" s="803"/>
    </row>
    <row r="23" spans="1:5" x14ac:dyDescent="0.2">
      <c r="A23" s="797"/>
      <c r="B23" s="800"/>
      <c r="C23" s="420" t="s">
        <v>1329</v>
      </c>
      <c r="D23" s="797"/>
      <c r="E23" s="803"/>
    </row>
    <row r="24" spans="1:5" x14ac:dyDescent="0.2">
      <c r="A24" s="798"/>
      <c r="B24" s="801"/>
      <c r="C24" s="422" t="s">
        <v>1330</v>
      </c>
      <c r="D24" s="798"/>
      <c r="E24" s="804"/>
    </row>
    <row r="25" spans="1:5" ht="25.5" x14ac:dyDescent="0.2">
      <c r="A25" s="796">
        <v>2</v>
      </c>
      <c r="B25" s="799" t="s">
        <v>1417</v>
      </c>
      <c r="C25" s="420" t="s">
        <v>1418</v>
      </c>
      <c r="D25" s="796">
        <f>778*0.6*55.26*1.4*1.1*1.3</f>
        <v>51642.326735999988</v>
      </c>
      <c r="E25" s="802">
        <f>778*0.6*55.26*1.4*1.1*1.3</f>
        <v>51642.326735999988</v>
      </c>
    </row>
    <row r="26" spans="1:5" x14ac:dyDescent="0.2">
      <c r="A26" s="797"/>
      <c r="B26" s="800"/>
      <c r="C26" s="420" t="s">
        <v>1325</v>
      </c>
      <c r="D26" s="797"/>
      <c r="E26" s="803"/>
    </row>
    <row r="27" spans="1:5" x14ac:dyDescent="0.2">
      <c r="A27" s="797"/>
      <c r="B27" s="800"/>
      <c r="C27" s="420" t="s">
        <v>1326</v>
      </c>
      <c r="D27" s="797"/>
      <c r="E27" s="803"/>
    </row>
    <row r="28" spans="1:5" x14ac:dyDescent="0.2">
      <c r="A28" s="797"/>
      <c r="B28" s="800"/>
      <c r="C28" s="420" t="s">
        <v>1334</v>
      </c>
      <c r="D28" s="797"/>
      <c r="E28" s="803"/>
    </row>
    <row r="29" spans="1:5" x14ac:dyDescent="0.2">
      <c r="A29" s="797"/>
      <c r="B29" s="800"/>
      <c r="C29" s="420" t="s">
        <v>1329</v>
      </c>
      <c r="D29" s="797"/>
      <c r="E29" s="803"/>
    </row>
    <row r="30" spans="1:5" x14ac:dyDescent="0.2">
      <c r="A30" s="798"/>
      <c r="B30" s="801"/>
      <c r="C30" s="422" t="s">
        <v>1335</v>
      </c>
      <c r="D30" s="798"/>
      <c r="E30" s="804"/>
    </row>
    <row r="31" spans="1:5" ht="25.5" x14ac:dyDescent="0.2">
      <c r="A31" s="796">
        <v>3</v>
      </c>
      <c r="B31" s="799" t="s">
        <v>1419</v>
      </c>
      <c r="C31" s="420" t="s">
        <v>1355</v>
      </c>
      <c r="D31" s="796">
        <f>(25980+4623*5)*0.58*7.22</f>
        <v>205590.22199999998</v>
      </c>
      <c r="E31" s="802">
        <f>(25980+4623*5)*0.58*7.22</f>
        <v>205590.22199999998</v>
      </c>
    </row>
    <row r="32" spans="1:5" x14ac:dyDescent="0.2">
      <c r="A32" s="797"/>
      <c r="B32" s="800"/>
      <c r="C32" s="420" t="s">
        <v>1357</v>
      </c>
      <c r="D32" s="797"/>
      <c r="E32" s="803"/>
    </row>
    <row r="33" spans="1:5" x14ac:dyDescent="0.2">
      <c r="A33" s="798"/>
      <c r="B33" s="801"/>
      <c r="C33" s="422" t="s">
        <v>1340</v>
      </c>
      <c r="D33" s="798"/>
      <c r="E33" s="804"/>
    </row>
    <row r="34" spans="1:5" x14ac:dyDescent="0.2">
      <c r="A34" s="421"/>
      <c r="B34" s="422" t="s">
        <v>1420</v>
      </c>
      <c r="C34" s="422"/>
      <c r="D34" s="423"/>
      <c r="E34" s="424">
        <f>E31+E25+E18</f>
        <v>340186.47350399994</v>
      </c>
    </row>
    <row r="35" spans="1:5" ht="8.25" customHeight="1" x14ac:dyDescent="0.2">
      <c r="A35" s="805" t="s">
        <v>1421</v>
      </c>
      <c r="B35" s="806"/>
      <c r="C35" s="806"/>
      <c r="D35" s="806"/>
      <c r="E35" s="807"/>
    </row>
    <row r="36" spans="1:5" ht="8.25" customHeight="1" x14ac:dyDescent="0.2">
      <c r="A36" s="808"/>
      <c r="B36" s="809"/>
      <c r="C36" s="809"/>
      <c r="D36" s="809"/>
      <c r="E36" s="810"/>
    </row>
    <row r="37" spans="1:5" ht="25.5" x14ac:dyDescent="0.2">
      <c r="A37" s="796">
        <v>4</v>
      </c>
      <c r="B37" s="799" t="s">
        <v>1422</v>
      </c>
      <c r="C37" s="420" t="s">
        <v>1323</v>
      </c>
      <c r="D37" s="796" t="s">
        <v>1324</v>
      </c>
      <c r="E37" s="802">
        <f>1152*0.6*55.26*1.5*1.2*1.1*1.3</f>
        <v>98315.762687999973</v>
      </c>
    </row>
    <row r="38" spans="1:5" x14ac:dyDescent="0.2">
      <c r="A38" s="797"/>
      <c r="B38" s="800"/>
      <c r="C38" s="420" t="s">
        <v>1325</v>
      </c>
      <c r="D38" s="797"/>
      <c r="E38" s="803"/>
    </row>
    <row r="39" spans="1:5" x14ac:dyDescent="0.2">
      <c r="A39" s="797"/>
      <c r="B39" s="800"/>
      <c r="C39" s="420" t="s">
        <v>1326</v>
      </c>
      <c r="D39" s="797"/>
      <c r="E39" s="803"/>
    </row>
    <row r="40" spans="1:5" x14ac:dyDescent="0.2">
      <c r="A40" s="797"/>
      <c r="B40" s="800"/>
      <c r="C40" s="420" t="s">
        <v>1327</v>
      </c>
      <c r="D40" s="797"/>
      <c r="E40" s="803"/>
    </row>
    <row r="41" spans="1:5" x14ac:dyDescent="0.2">
      <c r="A41" s="797"/>
      <c r="B41" s="800"/>
      <c r="C41" s="420" t="s">
        <v>1328</v>
      </c>
      <c r="D41" s="797"/>
      <c r="E41" s="803"/>
    </row>
    <row r="42" spans="1:5" x14ac:dyDescent="0.2">
      <c r="A42" s="797"/>
      <c r="B42" s="800"/>
      <c r="C42" s="420" t="s">
        <v>1329</v>
      </c>
      <c r="D42" s="797"/>
      <c r="E42" s="803"/>
    </row>
    <row r="43" spans="1:5" x14ac:dyDescent="0.2">
      <c r="A43" s="798"/>
      <c r="B43" s="801"/>
      <c r="C43" s="422" t="s">
        <v>1330</v>
      </c>
      <c r="D43" s="798"/>
      <c r="E43" s="804"/>
    </row>
    <row r="44" spans="1:5" ht="25.5" x14ac:dyDescent="0.2">
      <c r="A44" s="796">
        <v>5</v>
      </c>
      <c r="B44" s="799" t="s">
        <v>1423</v>
      </c>
      <c r="C44" s="420" t="s">
        <v>1332</v>
      </c>
      <c r="D44" s="796" t="s">
        <v>1333</v>
      </c>
      <c r="E44" s="802">
        <f>922*0.6*55.26*1.4*1.1*1.3</f>
        <v>61200.803663999992</v>
      </c>
    </row>
    <row r="45" spans="1:5" x14ac:dyDescent="0.2">
      <c r="A45" s="797"/>
      <c r="B45" s="800"/>
      <c r="C45" s="420" t="s">
        <v>1325</v>
      </c>
      <c r="D45" s="797"/>
      <c r="E45" s="803"/>
    </row>
    <row r="46" spans="1:5" x14ac:dyDescent="0.2">
      <c r="A46" s="797"/>
      <c r="B46" s="800"/>
      <c r="C46" s="420" t="s">
        <v>1326</v>
      </c>
      <c r="D46" s="797"/>
      <c r="E46" s="803"/>
    </row>
    <row r="47" spans="1:5" x14ac:dyDescent="0.2">
      <c r="A47" s="797"/>
      <c r="B47" s="800"/>
      <c r="C47" s="420" t="s">
        <v>1334</v>
      </c>
      <c r="D47" s="797"/>
      <c r="E47" s="803"/>
    </row>
    <row r="48" spans="1:5" x14ac:dyDescent="0.2">
      <c r="A48" s="797"/>
      <c r="B48" s="800"/>
      <c r="C48" s="420" t="s">
        <v>1329</v>
      </c>
      <c r="D48" s="797"/>
      <c r="E48" s="803"/>
    </row>
    <row r="49" spans="1:5" x14ac:dyDescent="0.2">
      <c r="A49" s="798"/>
      <c r="B49" s="801"/>
      <c r="C49" s="422" t="s">
        <v>1335</v>
      </c>
      <c r="D49" s="798"/>
      <c r="E49" s="804"/>
    </row>
    <row r="50" spans="1:5" ht="25.5" x14ac:dyDescent="0.2">
      <c r="A50" s="796">
        <v>6</v>
      </c>
      <c r="B50" s="799" t="s">
        <v>1336</v>
      </c>
      <c r="C50" s="420" t="s">
        <v>1337</v>
      </c>
      <c r="D50" s="796" t="s">
        <v>1338</v>
      </c>
      <c r="E50" s="802">
        <f>(1020+15*5)*0.52*7.22</f>
        <v>4111.0679999999993</v>
      </c>
    </row>
    <row r="51" spans="1:5" x14ac:dyDescent="0.2">
      <c r="A51" s="797"/>
      <c r="B51" s="800"/>
      <c r="C51" s="420" t="s">
        <v>1339</v>
      </c>
      <c r="D51" s="797"/>
      <c r="E51" s="803"/>
    </row>
    <row r="52" spans="1:5" x14ac:dyDescent="0.2">
      <c r="A52" s="798"/>
      <c r="B52" s="801"/>
      <c r="C52" s="422" t="s">
        <v>1340</v>
      </c>
      <c r="D52" s="798"/>
      <c r="E52" s="804"/>
    </row>
    <row r="53" spans="1:5" ht="25.5" x14ac:dyDescent="0.2">
      <c r="A53" s="796">
        <v>7</v>
      </c>
      <c r="B53" s="799" t="s">
        <v>1341</v>
      </c>
      <c r="C53" s="420" t="s">
        <v>1342</v>
      </c>
      <c r="D53" s="796" t="s">
        <v>1343</v>
      </c>
      <c r="E53" s="802">
        <f>(1650+76*5)*0.52*7.22</f>
        <v>7621.4320000000007</v>
      </c>
    </row>
    <row r="54" spans="1:5" x14ac:dyDescent="0.2">
      <c r="A54" s="797"/>
      <c r="B54" s="800"/>
      <c r="C54" s="420" t="s">
        <v>1339</v>
      </c>
      <c r="D54" s="797"/>
      <c r="E54" s="803"/>
    </row>
    <row r="55" spans="1:5" x14ac:dyDescent="0.2">
      <c r="A55" s="798"/>
      <c r="B55" s="801"/>
      <c r="C55" s="422" t="s">
        <v>1340</v>
      </c>
      <c r="D55" s="798"/>
      <c r="E55" s="804"/>
    </row>
    <row r="56" spans="1:5" ht="25.5" x14ac:dyDescent="0.2">
      <c r="A56" s="796">
        <v>8</v>
      </c>
      <c r="B56" s="799" t="s">
        <v>1344</v>
      </c>
      <c r="C56" s="420" t="s">
        <v>1345</v>
      </c>
      <c r="D56" s="796" t="s">
        <v>1424</v>
      </c>
      <c r="E56" s="802">
        <f>(1950+19*5)*0.52*7.22</f>
        <v>7677.7480000000005</v>
      </c>
    </row>
    <row r="57" spans="1:5" x14ac:dyDescent="0.2">
      <c r="A57" s="797"/>
      <c r="B57" s="800"/>
      <c r="C57" s="420" t="s">
        <v>1339</v>
      </c>
      <c r="D57" s="797"/>
      <c r="E57" s="803"/>
    </row>
    <row r="58" spans="1:5" x14ac:dyDescent="0.2">
      <c r="A58" s="798"/>
      <c r="B58" s="801"/>
      <c r="C58" s="422" t="s">
        <v>1340</v>
      </c>
      <c r="D58" s="798"/>
      <c r="E58" s="804"/>
    </row>
    <row r="59" spans="1:5" ht="25.5" x14ac:dyDescent="0.2">
      <c r="A59" s="796">
        <v>9</v>
      </c>
      <c r="B59" s="799" t="s">
        <v>1347</v>
      </c>
      <c r="C59" s="420" t="s">
        <v>1348</v>
      </c>
      <c r="D59" s="796" t="s">
        <v>1349</v>
      </c>
      <c r="E59" s="802">
        <f>(2450+3680*1)*0.5*7.22</f>
        <v>22129.3</v>
      </c>
    </row>
    <row r="60" spans="1:5" x14ac:dyDescent="0.2">
      <c r="A60" s="797"/>
      <c r="B60" s="800"/>
      <c r="C60" s="420" t="s">
        <v>1350</v>
      </c>
      <c r="D60" s="797"/>
      <c r="E60" s="803"/>
    </row>
    <row r="61" spans="1:5" x14ac:dyDescent="0.2">
      <c r="A61" s="798"/>
      <c r="B61" s="801"/>
      <c r="C61" s="422" t="s">
        <v>1340</v>
      </c>
      <c r="D61" s="798"/>
      <c r="E61" s="804"/>
    </row>
    <row r="62" spans="1:5" ht="25.5" x14ac:dyDescent="0.2">
      <c r="A62" s="796">
        <v>10</v>
      </c>
      <c r="B62" s="799" t="s">
        <v>1351</v>
      </c>
      <c r="C62" s="420" t="s">
        <v>1352</v>
      </c>
      <c r="D62" s="796" t="s">
        <v>1353</v>
      </c>
      <c r="E62" s="802">
        <f>(2450+3680*5)*0.5*7.22</f>
        <v>75268.5</v>
      </c>
    </row>
    <row r="63" spans="1:5" x14ac:dyDescent="0.2">
      <c r="A63" s="797"/>
      <c r="B63" s="800"/>
      <c r="C63" s="420" t="s">
        <v>1350</v>
      </c>
      <c r="D63" s="797"/>
      <c r="E63" s="803"/>
    </row>
    <row r="64" spans="1:5" x14ac:dyDescent="0.2">
      <c r="A64" s="798"/>
      <c r="B64" s="801"/>
      <c r="C64" s="422" t="s">
        <v>1340</v>
      </c>
      <c r="D64" s="798"/>
      <c r="E64" s="804"/>
    </row>
    <row r="65" spans="1:5" ht="25.5" x14ac:dyDescent="0.2">
      <c r="A65" s="796">
        <v>11</v>
      </c>
      <c r="B65" s="799" t="s">
        <v>1354</v>
      </c>
      <c r="C65" s="420" t="s">
        <v>1355</v>
      </c>
      <c r="D65" s="796" t="s">
        <v>1370</v>
      </c>
      <c r="E65" s="802">
        <f>(25980+4623*10)*0.58*7.22</f>
        <v>302386.59599999996</v>
      </c>
    </row>
    <row r="66" spans="1:5" x14ac:dyDescent="0.2">
      <c r="A66" s="797"/>
      <c r="B66" s="800"/>
      <c r="C66" s="420" t="s">
        <v>1357</v>
      </c>
      <c r="D66" s="797"/>
      <c r="E66" s="803"/>
    </row>
    <row r="67" spans="1:5" x14ac:dyDescent="0.2">
      <c r="A67" s="798"/>
      <c r="B67" s="801"/>
      <c r="C67" s="422" t="s">
        <v>1340</v>
      </c>
      <c r="D67" s="798"/>
      <c r="E67" s="804"/>
    </row>
    <row r="68" spans="1:5" ht="38.25" x14ac:dyDescent="0.2">
      <c r="A68" s="421"/>
      <c r="B68" s="422" t="s">
        <v>1425</v>
      </c>
      <c r="C68" s="422"/>
      <c r="D68" s="423"/>
      <c r="E68" s="424">
        <f>SUM(E37:E67)</f>
        <v>578711.21035199985</v>
      </c>
    </row>
    <row r="69" spans="1:5" ht="9.75" customHeight="1" x14ac:dyDescent="0.2">
      <c r="A69" s="805" t="s">
        <v>1277</v>
      </c>
      <c r="B69" s="806"/>
      <c r="C69" s="806"/>
      <c r="D69" s="806"/>
      <c r="E69" s="807"/>
    </row>
    <row r="70" spans="1:5" ht="9.75" customHeight="1" x14ac:dyDescent="0.2">
      <c r="A70" s="808"/>
      <c r="B70" s="809"/>
      <c r="C70" s="809"/>
      <c r="D70" s="809"/>
      <c r="E70" s="810"/>
    </row>
    <row r="71" spans="1:5" ht="25.5" x14ac:dyDescent="0.2">
      <c r="A71" s="796">
        <v>12</v>
      </c>
      <c r="B71" s="799" t="s">
        <v>1374</v>
      </c>
      <c r="C71" s="420" t="s">
        <v>1375</v>
      </c>
      <c r="D71" s="796" t="s">
        <v>1376</v>
      </c>
      <c r="E71" s="796">
        <f>820*0.6*55.26*1.5*1.2</f>
        <v>48938.255999999994</v>
      </c>
    </row>
    <row r="72" spans="1:5" x14ac:dyDescent="0.2">
      <c r="A72" s="797"/>
      <c r="B72" s="800"/>
      <c r="C72" s="420" t="s">
        <v>1325</v>
      </c>
      <c r="D72" s="797"/>
      <c r="E72" s="797"/>
    </row>
    <row r="73" spans="1:5" x14ac:dyDescent="0.2">
      <c r="A73" s="797"/>
      <c r="B73" s="800"/>
      <c r="C73" s="420" t="s">
        <v>1326</v>
      </c>
      <c r="D73" s="797"/>
      <c r="E73" s="797"/>
    </row>
    <row r="74" spans="1:5" x14ac:dyDescent="0.2">
      <c r="A74" s="797"/>
      <c r="B74" s="800"/>
      <c r="C74" s="420" t="s">
        <v>1327</v>
      </c>
      <c r="D74" s="797"/>
      <c r="E74" s="797"/>
    </row>
    <row r="75" spans="1:5" x14ac:dyDescent="0.2">
      <c r="A75" s="798"/>
      <c r="B75" s="801"/>
      <c r="C75" s="422" t="s">
        <v>1328</v>
      </c>
      <c r="D75" s="798"/>
      <c r="E75" s="798"/>
    </row>
    <row r="76" spans="1:5" ht="25.5" x14ac:dyDescent="0.2">
      <c r="A76" s="796">
        <v>13</v>
      </c>
      <c r="B76" s="799" t="s">
        <v>1426</v>
      </c>
      <c r="C76" s="420" t="s">
        <v>1378</v>
      </c>
      <c r="D76" s="796" t="s">
        <v>1427</v>
      </c>
      <c r="E76" s="796">
        <f>(2290+5510*15)*0.62*7.22</f>
        <v>380225.41600000003</v>
      </c>
    </row>
    <row r="77" spans="1:5" x14ac:dyDescent="0.2">
      <c r="A77" s="797"/>
      <c r="B77" s="800"/>
      <c r="C77" s="420" t="s">
        <v>1380</v>
      </c>
      <c r="D77" s="797"/>
      <c r="E77" s="797"/>
    </row>
    <row r="78" spans="1:5" x14ac:dyDescent="0.2">
      <c r="A78" s="798"/>
      <c r="B78" s="801"/>
      <c r="C78" s="422" t="s">
        <v>1340</v>
      </c>
      <c r="D78" s="798"/>
      <c r="E78" s="798"/>
    </row>
    <row r="79" spans="1:5" ht="25.5" x14ac:dyDescent="0.2">
      <c r="A79" s="796">
        <v>14</v>
      </c>
      <c r="B79" s="799" t="s">
        <v>1381</v>
      </c>
      <c r="C79" s="420" t="s">
        <v>1355</v>
      </c>
      <c r="D79" s="796" t="s">
        <v>1370</v>
      </c>
      <c r="E79" s="796">
        <f>(25980+4623*10)*0.58*7.22</f>
        <v>302386.59599999996</v>
      </c>
    </row>
    <row r="80" spans="1:5" x14ac:dyDescent="0.2">
      <c r="A80" s="797"/>
      <c r="B80" s="800"/>
      <c r="C80" s="420" t="s">
        <v>1357</v>
      </c>
      <c r="D80" s="797"/>
      <c r="E80" s="797"/>
    </row>
    <row r="81" spans="1:5" x14ac:dyDescent="0.2">
      <c r="A81" s="798"/>
      <c r="B81" s="801"/>
      <c r="C81" s="422" t="s">
        <v>1340</v>
      </c>
      <c r="D81" s="798"/>
      <c r="E81" s="798"/>
    </row>
    <row r="82" spans="1:5" ht="25.5" x14ac:dyDescent="0.2">
      <c r="A82" s="796">
        <v>15</v>
      </c>
      <c r="B82" s="799" t="s">
        <v>1428</v>
      </c>
      <c r="C82" s="420" t="s">
        <v>1378</v>
      </c>
      <c r="D82" s="796" t="s">
        <v>1427</v>
      </c>
      <c r="E82" s="796">
        <f>(2290+5510*15)*0.62*7.22</f>
        <v>380225.41600000003</v>
      </c>
    </row>
    <row r="83" spans="1:5" x14ac:dyDescent="0.2">
      <c r="A83" s="797"/>
      <c r="B83" s="800"/>
      <c r="C83" s="420" t="s">
        <v>1380</v>
      </c>
      <c r="D83" s="797"/>
      <c r="E83" s="797"/>
    </row>
    <row r="84" spans="1:5" x14ac:dyDescent="0.2">
      <c r="A84" s="798"/>
      <c r="B84" s="801"/>
      <c r="C84" s="422" t="s">
        <v>1340</v>
      </c>
      <c r="D84" s="798"/>
      <c r="E84" s="798"/>
    </row>
    <row r="85" spans="1:5" ht="25.5" x14ac:dyDescent="0.2">
      <c r="A85" s="796">
        <v>16</v>
      </c>
      <c r="B85" s="799" t="s">
        <v>1429</v>
      </c>
      <c r="C85" s="420" t="s">
        <v>1430</v>
      </c>
      <c r="D85" s="796" t="s">
        <v>1431</v>
      </c>
      <c r="E85" s="796">
        <f>109850*0.5*7.22</f>
        <v>396558.5</v>
      </c>
    </row>
    <row r="86" spans="1:5" x14ac:dyDescent="0.2">
      <c r="A86" s="797"/>
      <c r="B86" s="800"/>
      <c r="C86" s="420" t="s">
        <v>1350</v>
      </c>
      <c r="D86" s="797"/>
      <c r="E86" s="797"/>
    </row>
    <row r="87" spans="1:5" x14ac:dyDescent="0.2">
      <c r="A87" s="798"/>
      <c r="B87" s="801"/>
      <c r="C87" s="422" t="s">
        <v>1340</v>
      </c>
      <c r="D87" s="798"/>
      <c r="E87" s="798"/>
    </row>
    <row r="88" spans="1:5" ht="25.5" x14ac:dyDescent="0.2">
      <c r="A88" s="796">
        <v>17</v>
      </c>
      <c r="B88" s="799" t="s">
        <v>1432</v>
      </c>
      <c r="C88" s="420" t="s">
        <v>1433</v>
      </c>
      <c r="D88" s="796" t="s">
        <v>1434</v>
      </c>
      <c r="E88" s="796">
        <f>(7790+628*34)*0.5*7.22</f>
        <v>105202.62</v>
      </c>
    </row>
    <row r="89" spans="1:5" x14ac:dyDescent="0.2">
      <c r="A89" s="797"/>
      <c r="B89" s="800"/>
      <c r="C89" s="420" t="s">
        <v>1350</v>
      </c>
      <c r="D89" s="797"/>
      <c r="E89" s="797"/>
    </row>
    <row r="90" spans="1:5" x14ac:dyDescent="0.2">
      <c r="A90" s="798"/>
      <c r="B90" s="801"/>
      <c r="C90" s="422" t="s">
        <v>1340</v>
      </c>
      <c r="D90" s="798"/>
      <c r="E90" s="798"/>
    </row>
    <row r="91" spans="1:5" ht="25.5" x14ac:dyDescent="0.2">
      <c r="A91" s="796">
        <v>18</v>
      </c>
      <c r="B91" s="799" t="s">
        <v>1435</v>
      </c>
      <c r="C91" s="420" t="s">
        <v>1436</v>
      </c>
      <c r="D91" s="796" t="s">
        <v>1437</v>
      </c>
      <c r="E91" s="796">
        <f>24880*0.5*7.22</f>
        <v>89816.8</v>
      </c>
    </row>
    <row r="92" spans="1:5" x14ac:dyDescent="0.2">
      <c r="A92" s="797"/>
      <c r="B92" s="800"/>
      <c r="C92" s="420" t="s">
        <v>1350</v>
      </c>
      <c r="D92" s="797"/>
      <c r="E92" s="797"/>
    </row>
    <row r="93" spans="1:5" x14ac:dyDescent="0.2">
      <c r="A93" s="798"/>
      <c r="B93" s="801"/>
      <c r="C93" s="422" t="s">
        <v>1340</v>
      </c>
      <c r="D93" s="798"/>
      <c r="E93" s="798"/>
    </row>
    <row r="94" spans="1:5" ht="25.5" x14ac:dyDescent="0.2">
      <c r="A94" s="796">
        <v>19</v>
      </c>
      <c r="B94" s="799" t="s">
        <v>1438</v>
      </c>
      <c r="C94" s="420" t="s">
        <v>1439</v>
      </c>
      <c r="D94" s="796" t="s">
        <v>1440</v>
      </c>
      <c r="E94" s="796">
        <f>6400*1*7.22</f>
        <v>46208</v>
      </c>
    </row>
    <row r="95" spans="1:5" x14ac:dyDescent="0.2">
      <c r="A95" s="797"/>
      <c r="B95" s="800"/>
      <c r="C95" s="420" t="s">
        <v>1441</v>
      </c>
      <c r="D95" s="797"/>
      <c r="E95" s="797"/>
    </row>
    <row r="96" spans="1:5" x14ac:dyDescent="0.2">
      <c r="A96" s="798"/>
      <c r="B96" s="801"/>
      <c r="C96" s="422" t="s">
        <v>1340</v>
      </c>
      <c r="D96" s="798"/>
      <c r="E96" s="798"/>
    </row>
    <row r="97" spans="1:5" ht="25.5" x14ac:dyDescent="0.2">
      <c r="A97" s="796">
        <v>20</v>
      </c>
      <c r="B97" s="799" t="s">
        <v>1442</v>
      </c>
      <c r="C97" s="420" t="s">
        <v>1443</v>
      </c>
      <c r="D97" s="796" t="s">
        <v>1444</v>
      </c>
      <c r="E97" s="796">
        <f>9060*1*1.08*1*7.22</f>
        <v>70646.256000000008</v>
      </c>
    </row>
    <row r="98" spans="1:5" x14ac:dyDescent="0.2">
      <c r="A98" s="797"/>
      <c r="B98" s="800"/>
      <c r="C98" s="420" t="s">
        <v>1387</v>
      </c>
      <c r="D98" s="797"/>
      <c r="E98" s="797"/>
    </row>
    <row r="99" spans="1:5" x14ac:dyDescent="0.2">
      <c r="A99" s="797"/>
      <c r="B99" s="800"/>
      <c r="C99" s="420" t="s">
        <v>1445</v>
      </c>
      <c r="D99" s="797"/>
      <c r="E99" s="797"/>
    </row>
    <row r="100" spans="1:5" x14ac:dyDescent="0.2">
      <c r="A100" s="797"/>
      <c r="B100" s="800"/>
      <c r="C100" s="420" t="s">
        <v>1441</v>
      </c>
      <c r="D100" s="797"/>
      <c r="E100" s="797"/>
    </row>
    <row r="101" spans="1:5" x14ac:dyDescent="0.2">
      <c r="A101" s="798"/>
      <c r="B101" s="801"/>
      <c r="C101" s="422" t="s">
        <v>1340</v>
      </c>
      <c r="D101" s="798"/>
      <c r="E101" s="798"/>
    </row>
    <row r="102" spans="1:5" ht="25.5" x14ac:dyDescent="0.2">
      <c r="A102" s="796">
        <v>21</v>
      </c>
      <c r="B102" s="799" t="s">
        <v>1446</v>
      </c>
      <c r="C102" s="420" t="s">
        <v>1447</v>
      </c>
      <c r="D102" s="796" t="s">
        <v>1448</v>
      </c>
      <c r="E102" s="796">
        <f>8340*1.7*1*6.53</f>
        <v>92582.34</v>
      </c>
    </row>
    <row r="103" spans="1:5" x14ac:dyDescent="0.2">
      <c r="A103" s="797"/>
      <c r="B103" s="800"/>
      <c r="C103" s="420" t="s">
        <v>1441</v>
      </c>
      <c r="D103" s="797"/>
      <c r="E103" s="797"/>
    </row>
    <row r="104" spans="1:5" x14ac:dyDescent="0.2">
      <c r="A104" s="798"/>
      <c r="B104" s="801"/>
      <c r="C104" s="422" t="s">
        <v>1340</v>
      </c>
      <c r="D104" s="798"/>
      <c r="E104" s="798"/>
    </row>
    <row r="105" spans="1:5" ht="25.5" x14ac:dyDescent="0.2">
      <c r="A105" s="796">
        <v>22</v>
      </c>
      <c r="B105" s="799" t="s">
        <v>1449</v>
      </c>
      <c r="C105" s="420" t="s">
        <v>1450</v>
      </c>
      <c r="D105" s="796" t="s">
        <v>1451</v>
      </c>
      <c r="E105" s="796">
        <f>3280*1*7.22</f>
        <v>23681.599999999999</v>
      </c>
    </row>
    <row r="106" spans="1:5" x14ac:dyDescent="0.2">
      <c r="A106" s="797"/>
      <c r="B106" s="800"/>
      <c r="C106" s="420" t="s">
        <v>1441</v>
      </c>
      <c r="D106" s="797"/>
      <c r="E106" s="797"/>
    </row>
    <row r="107" spans="1:5" x14ac:dyDescent="0.2">
      <c r="A107" s="798"/>
      <c r="B107" s="801"/>
      <c r="C107" s="422" t="s">
        <v>1340</v>
      </c>
      <c r="D107" s="798"/>
      <c r="E107" s="798"/>
    </row>
    <row r="108" spans="1:5" ht="25.5" x14ac:dyDescent="0.2">
      <c r="A108" s="796">
        <v>23</v>
      </c>
      <c r="B108" s="799" t="s">
        <v>1452</v>
      </c>
      <c r="C108" s="420" t="s">
        <v>1453</v>
      </c>
      <c r="D108" s="796" t="s">
        <v>1454</v>
      </c>
      <c r="E108" s="796">
        <f>9650*0.6*7.22</f>
        <v>41803.799999999996</v>
      </c>
    </row>
    <row r="109" spans="1:5" x14ac:dyDescent="0.2">
      <c r="A109" s="797"/>
      <c r="B109" s="800"/>
      <c r="C109" s="420" t="s">
        <v>1455</v>
      </c>
      <c r="D109" s="797"/>
      <c r="E109" s="797"/>
    </row>
    <row r="110" spans="1:5" x14ac:dyDescent="0.2">
      <c r="A110" s="798"/>
      <c r="B110" s="801"/>
      <c r="C110" s="422" t="s">
        <v>1340</v>
      </c>
      <c r="D110" s="798"/>
      <c r="E110" s="798"/>
    </row>
    <row r="111" spans="1:5" ht="25.5" x14ac:dyDescent="0.2">
      <c r="A111" s="796">
        <v>24</v>
      </c>
      <c r="B111" s="799" t="s">
        <v>1456</v>
      </c>
      <c r="C111" s="420" t="s">
        <v>1430</v>
      </c>
      <c r="D111" s="796" t="s">
        <v>1431</v>
      </c>
      <c r="E111" s="796">
        <f>109850*0.5*7.22</f>
        <v>396558.5</v>
      </c>
    </row>
    <row r="112" spans="1:5" x14ac:dyDescent="0.2">
      <c r="A112" s="797"/>
      <c r="B112" s="800"/>
      <c r="C112" s="420" t="s">
        <v>1350</v>
      </c>
      <c r="D112" s="797"/>
      <c r="E112" s="797"/>
    </row>
    <row r="113" spans="1:5" x14ac:dyDescent="0.2">
      <c r="A113" s="798"/>
      <c r="B113" s="801"/>
      <c r="C113" s="422" t="s">
        <v>1340</v>
      </c>
      <c r="D113" s="798"/>
      <c r="E113" s="798"/>
    </row>
    <row r="114" spans="1:5" ht="25.5" x14ac:dyDescent="0.2">
      <c r="A114" s="796">
        <v>25</v>
      </c>
      <c r="B114" s="799" t="s">
        <v>1457</v>
      </c>
      <c r="C114" s="420" t="s">
        <v>1348</v>
      </c>
      <c r="D114" s="796" t="s">
        <v>1353</v>
      </c>
      <c r="E114" s="796">
        <f>(2450+3680*5)*0.5*7.22</f>
        <v>75268.5</v>
      </c>
    </row>
    <row r="115" spans="1:5" x14ac:dyDescent="0.2">
      <c r="A115" s="797"/>
      <c r="B115" s="800"/>
      <c r="C115" s="420" t="s">
        <v>1458</v>
      </c>
      <c r="D115" s="797"/>
      <c r="E115" s="797"/>
    </row>
    <row r="116" spans="1:5" x14ac:dyDescent="0.2">
      <c r="A116" s="798"/>
      <c r="B116" s="801"/>
      <c r="C116" s="422" t="s">
        <v>1340</v>
      </c>
      <c r="D116" s="798"/>
      <c r="E116" s="798"/>
    </row>
    <row r="117" spans="1:5" x14ac:dyDescent="0.2">
      <c r="A117" s="421">
        <v>26</v>
      </c>
      <c r="B117" s="422" t="s">
        <v>1399</v>
      </c>
      <c r="C117" s="422"/>
      <c r="D117" s="423"/>
      <c r="E117" s="424">
        <f>SUM(E71:E116)</f>
        <v>2450102.6000000006</v>
      </c>
    </row>
    <row r="118" spans="1:5" ht="38.25" x14ac:dyDescent="0.2">
      <c r="A118" s="421">
        <v>27</v>
      </c>
      <c r="B118" s="422" t="s">
        <v>1459</v>
      </c>
      <c r="C118" s="422"/>
      <c r="D118" s="423"/>
      <c r="E118" s="425">
        <f>E117+E68+E34</f>
        <v>3369000.2838560003</v>
      </c>
    </row>
    <row r="119" spans="1:5" ht="51" x14ac:dyDescent="0.2">
      <c r="A119" s="403">
        <v>28</v>
      </c>
      <c r="B119" s="408" t="s">
        <v>1401</v>
      </c>
      <c r="C119" s="408" t="s">
        <v>1402</v>
      </c>
      <c r="D119" s="408" t="s">
        <v>1403</v>
      </c>
      <c r="E119" s="409">
        <f>E118*0.8</f>
        <v>2695200.2270848006</v>
      </c>
    </row>
    <row r="120" spans="1:5" ht="25.5" x14ac:dyDescent="0.2">
      <c r="A120" s="403">
        <v>29</v>
      </c>
      <c r="B120" s="505" t="s">
        <v>2317</v>
      </c>
      <c r="C120" s="505" t="s">
        <v>2314</v>
      </c>
      <c r="D120" s="507" t="s">
        <v>2318</v>
      </c>
      <c r="E120" s="409">
        <f>E119*0.7</f>
        <v>1886640.1589593603</v>
      </c>
    </row>
    <row r="121" spans="1:5" ht="12.75" customHeight="1" x14ac:dyDescent="0.2">
      <c r="A121" s="787" t="s">
        <v>252</v>
      </c>
      <c r="B121" s="788"/>
      <c r="C121" s="788"/>
      <c r="D121" s="789"/>
      <c r="E121" s="508">
        <f>E120</f>
        <v>1886640.1589593603</v>
      </c>
    </row>
    <row r="122" spans="1:5" x14ac:dyDescent="0.2">
      <c r="A122" s="411"/>
      <c r="B122" s="411"/>
      <c r="C122" s="411"/>
      <c r="D122" s="411"/>
      <c r="E122" s="412"/>
    </row>
  </sheetData>
  <mergeCells count="107">
    <mergeCell ref="A3:E3"/>
    <mergeCell ref="A4:E4"/>
    <mergeCell ref="C6:E6"/>
    <mergeCell ref="A17:E17"/>
    <mergeCell ref="A18:A24"/>
    <mergeCell ref="B18:B24"/>
    <mergeCell ref="D18:D24"/>
    <mergeCell ref="E18:E24"/>
    <mergeCell ref="A25:A30"/>
    <mergeCell ref="B25:B30"/>
    <mergeCell ref="D25:D30"/>
    <mergeCell ref="E25:E30"/>
    <mergeCell ref="A31:A33"/>
    <mergeCell ref="B31:B33"/>
    <mergeCell ref="D31:D33"/>
    <mergeCell ref="E31:E33"/>
    <mergeCell ref="A35:E36"/>
    <mergeCell ref="A37:A43"/>
    <mergeCell ref="B37:B43"/>
    <mergeCell ref="D37:D43"/>
    <mergeCell ref="E37:E43"/>
    <mergeCell ref="A44:A49"/>
    <mergeCell ref="B44:B49"/>
    <mergeCell ref="D44:D49"/>
    <mergeCell ref="E44:E49"/>
    <mergeCell ref="A50:A52"/>
    <mergeCell ref="B50:B52"/>
    <mergeCell ref="D50:D52"/>
    <mergeCell ref="E50:E52"/>
    <mergeCell ref="A53:A55"/>
    <mergeCell ref="B53:B55"/>
    <mergeCell ref="D53:D55"/>
    <mergeCell ref="E53:E55"/>
    <mergeCell ref="A56:A58"/>
    <mergeCell ref="B56:B58"/>
    <mergeCell ref="D56:D58"/>
    <mergeCell ref="E56:E58"/>
    <mergeCell ref="A59:A61"/>
    <mergeCell ref="B59:B61"/>
    <mergeCell ref="D59:D61"/>
    <mergeCell ref="E59:E61"/>
    <mergeCell ref="A62:A64"/>
    <mergeCell ref="B62:B64"/>
    <mergeCell ref="D62:D64"/>
    <mergeCell ref="E62:E64"/>
    <mergeCell ref="A65:A67"/>
    <mergeCell ref="B65:B67"/>
    <mergeCell ref="D65:D67"/>
    <mergeCell ref="E65:E67"/>
    <mergeCell ref="A69:E70"/>
    <mergeCell ref="A71:A75"/>
    <mergeCell ref="B71:B75"/>
    <mergeCell ref="D71:D75"/>
    <mergeCell ref="E71:E75"/>
    <mergeCell ref="A76:A78"/>
    <mergeCell ref="B76:B78"/>
    <mergeCell ref="D76:D78"/>
    <mergeCell ref="E76:E78"/>
    <mergeCell ref="A79:A81"/>
    <mergeCell ref="B79:B81"/>
    <mergeCell ref="D79:D81"/>
    <mergeCell ref="E79:E81"/>
    <mergeCell ref="A82:A84"/>
    <mergeCell ref="B82:B84"/>
    <mergeCell ref="D82:D84"/>
    <mergeCell ref="E82:E84"/>
    <mergeCell ref="A85:A87"/>
    <mergeCell ref="B85:B87"/>
    <mergeCell ref="D85:D87"/>
    <mergeCell ref="E85:E87"/>
    <mergeCell ref="A88:A90"/>
    <mergeCell ref="B88:B90"/>
    <mergeCell ref="D88:D90"/>
    <mergeCell ref="E88:E90"/>
    <mergeCell ref="A91:A93"/>
    <mergeCell ref="B91:B93"/>
    <mergeCell ref="D91:D93"/>
    <mergeCell ref="E91:E93"/>
    <mergeCell ref="A94:A96"/>
    <mergeCell ref="B94:B96"/>
    <mergeCell ref="D94:D96"/>
    <mergeCell ref="E94:E96"/>
    <mergeCell ref="A97:A101"/>
    <mergeCell ref="B97:B101"/>
    <mergeCell ref="D97:D101"/>
    <mergeCell ref="E97:E101"/>
    <mergeCell ref="A102:A104"/>
    <mergeCell ref="B102:B104"/>
    <mergeCell ref="D102:D104"/>
    <mergeCell ref="E102:E104"/>
    <mergeCell ref="A114:A116"/>
    <mergeCell ref="B114:B116"/>
    <mergeCell ref="D114:D116"/>
    <mergeCell ref="E114:E116"/>
    <mergeCell ref="A121:D121"/>
    <mergeCell ref="A105:A107"/>
    <mergeCell ref="B105:B107"/>
    <mergeCell ref="D105:D107"/>
    <mergeCell ref="E105:E107"/>
    <mergeCell ref="A108:A110"/>
    <mergeCell ref="B108:B110"/>
    <mergeCell ref="D108:D110"/>
    <mergeCell ref="E108:E110"/>
    <mergeCell ref="A111:A113"/>
    <mergeCell ref="B111:B113"/>
    <mergeCell ref="D111:D113"/>
    <mergeCell ref="E111:E113"/>
  </mergeCells>
  <conditionalFormatting sqref="C1 C122:C65091 C3:C16">
    <cfRule type="containsText" dxfId="39" priority="2" operator="containsText" text="стадия Р">
      <formula>NOT(ISERROR(SEARCH("стадия Р",C1)))</formula>
    </cfRule>
  </conditionalFormatting>
  <conditionalFormatting sqref="C121">
    <cfRule type="containsText" dxfId="38" priority="1" operator="containsText" text="стадия Р">
      <formula>NOT(ISERROR(SEARCH("стадия Р",C121)))</formula>
    </cfRule>
  </conditionalFormatting>
  <pageMargins left="0.23622047244094491" right="0.23622047244094491" top="0.74803149606299213" bottom="0.74803149606299213" header="0.31496062992125984" footer="0.31496062992125984"/>
  <pageSetup paperSize="9" scale="79" fitToHeight="0" orientation="portrait" verticalDpi="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pageSetUpPr fitToPage="1"/>
  </sheetPr>
  <dimension ref="A1:IV49"/>
  <sheetViews>
    <sheetView topLeftCell="A28" zoomScale="85" workbookViewId="0">
      <selection activeCell="A47" sqref="A47:E48"/>
    </sheetView>
  </sheetViews>
  <sheetFormatPr defaultColWidth="9.140625" defaultRowHeight="12.75" x14ac:dyDescent="0.2"/>
  <cols>
    <col min="1" max="1" width="9.140625" style="362"/>
    <col min="2" max="2" width="34.85546875" style="362" customWidth="1"/>
    <col min="3" max="3" width="42.85546875" style="363" customWidth="1"/>
    <col min="4" max="4" width="26.5703125" style="364" customWidth="1"/>
    <col min="5" max="5" width="17.42578125" style="364" customWidth="1"/>
    <col min="6" max="219" width="9.140625" style="362"/>
    <col min="220" max="220" width="28" style="362" customWidth="1"/>
    <col min="221" max="221" width="52" style="362" customWidth="1"/>
    <col min="222" max="222" width="27.28515625" style="362" customWidth="1"/>
    <col min="223" max="223" width="20.5703125" style="362" customWidth="1"/>
    <col min="224" max="225" width="9.140625" style="362"/>
    <col min="226" max="226" width="11.5703125" style="362" bestFit="1" customWidth="1"/>
    <col min="227" max="257" width="9.140625" style="362"/>
    <col min="258" max="258" width="28.7109375" style="362" customWidth="1"/>
    <col min="259" max="259" width="42.85546875" style="362" customWidth="1"/>
    <col min="260" max="260" width="26.28515625" style="362" customWidth="1"/>
    <col min="261" max="261" width="17.42578125" style="362" customWidth="1"/>
    <col min="262" max="475" width="9.140625" style="362"/>
    <col min="476" max="476" width="28" style="362" customWidth="1"/>
    <col min="477" max="477" width="52" style="362" customWidth="1"/>
    <col min="478" max="478" width="27.28515625" style="362" customWidth="1"/>
    <col min="479" max="479" width="20.5703125" style="362" customWidth="1"/>
    <col min="480" max="481" width="9.140625" style="362"/>
    <col min="482" max="482" width="11.5703125" style="362" bestFit="1" customWidth="1"/>
    <col min="483" max="513" width="9.140625" style="362"/>
    <col min="514" max="514" width="28.7109375" style="362" customWidth="1"/>
    <col min="515" max="515" width="42.85546875" style="362" customWidth="1"/>
    <col min="516" max="516" width="26.28515625" style="362" customWidth="1"/>
    <col min="517" max="517" width="17.42578125" style="362" customWidth="1"/>
    <col min="518" max="731" width="9.140625" style="362"/>
    <col min="732" max="732" width="28" style="362" customWidth="1"/>
    <col min="733" max="733" width="52" style="362" customWidth="1"/>
    <col min="734" max="734" width="27.28515625" style="362" customWidth="1"/>
    <col min="735" max="735" width="20.5703125" style="362" customWidth="1"/>
    <col min="736" max="737" width="9.140625" style="362"/>
    <col min="738" max="738" width="11.5703125" style="362" bestFit="1" customWidth="1"/>
    <col min="739" max="769" width="9.140625" style="362"/>
    <col min="770" max="770" width="28.7109375" style="362" customWidth="1"/>
    <col min="771" max="771" width="42.85546875" style="362" customWidth="1"/>
    <col min="772" max="772" width="26.28515625" style="362" customWidth="1"/>
    <col min="773" max="773" width="17.42578125" style="362" customWidth="1"/>
    <col min="774" max="987" width="9.140625" style="362"/>
    <col min="988" max="988" width="28" style="362" customWidth="1"/>
    <col min="989" max="989" width="52" style="362" customWidth="1"/>
    <col min="990" max="990" width="27.28515625" style="362" customWidth="1"/>
    <col min="991" max="991" width="20.5703125" style="362" customWidth="1"/>
    <col min="992" max="993" width="9.140625" style="362"/>
    <col min="994" max="994" width="11.5703125" style="362" bestFit="1" customWidth="1"/>
    <col min="995" max="1025" width="9.140625" style="362"/>
    <col min="1026" max="1026" width="28.7109375" style="362" customWidth="1"/>
    <col min="1027" max="1027" width="42.85546875" style="362" customWidth="1"/>
    <col min="1028" max="1028" width="26.28515625" style="362" customWidth="1"/>
    <col min="1029" max="1029" width="17.42578125" style="362" customWidth="1"/>
    <col min="1030" max="1243" width="9.140625" style="362"/>
    <col min="1244" max="1244" width="28" style="362" customWidth="1"/>
    <col min="1245" max="1245" width="52" style="362" customWidth="1"/>
    <col min="1246" max="1246" width="27.28515625" style="362" customWidth="1"/>
    <col min="1247" max="1247" width="20.5703125" style="362" customWidth="1"/>
    <col min="1248" max="1249" width="9.140625" style="362"/>
    <col min="1250" max="1250" width="11.5703125" style="362" bestFit="1" customWidth="1"/>
    <col min="1251" max="1281" width="9.140625" style="362"/>
    <col min="1282" max="1282" width="28.7109375" style="362" customWidth="1"/>
    <col min="1283" max="1283" width="42.85546875" style="362" customWidth="1"/>
    <col min="1284" max="1284" width="26.28515625" style="362" customWidth="1"/>
    <col min="1285" max="1285" width="17.42578125" style="362" customWidth="1"/>
    <col min="1286" max="1499" width="9.140625" style="362"/>
    <col min="1500" max="1500" width="28" style="362" customWidth="1"/>
    <col min="1501" max="1501" width="52" style="362" customWidth="1"/>
    <col min="1502" max="1502" width="27.28515625" style="362" customWidth="1"/>
    <col min="1503" max="1503" width="20.5703125" style="362" customWidth="1"/>
    <col min="1504" max="1505" width="9.140625" style="362"/>
    <col min="1506" max="1506" width="11.5703125" style="362" bestFit="1" customWidth="1"/>
    <col min="1507" max="1537" width="9.140625" style="362"/>
    <col min="1538" max="1538" width="28.7109375" style="362" customWidth="1"/>
    <col min="1539" max="1539" width="42.85546875" style="362" customWidth="1"/>
    <col min="1540" max="1540" width="26.28515625" style="362" customWidth="1"/>
    <col min="1541" max="1541" width="17.42578125" style="362" customWidth="1"/>
    <col min="1542" max="1755" width="9.140625" style="362"/>
    <col min="1756" max="1756" width="28" style="362" customWidth="1"/>
    <col min="1757" max="1757" width="52" style="362" customWidth="1"/>
    <col min="1758" max="1758" width="27.28515625" style="362" customWidth="1"/>
    <col min="1759" max="1759" width="20.5703125" style="362" customWidth="1"/>
    <col min="1760" max="1761" width="9.140625" style="362"/>
    <col min="1762" max="1762" width="11.5703125" style="362" bestFit="1" customWidth="1"/>
    <col min="1763" max="1793" width="9.140625" style="362"/>
    <col min="1794" max="1794" width="28.7109375" style="362" customWidth="1"/>
    <col min="1795" max="1795" width="42.85546875" style="362" customWidth="1"/>
    <col min="1796" max="1796" width="26.28515625" style="362" customWidth="1"/>
    <col min="1797" max="1797" width="17.42578125" style="362" customWidth="1"/>
    <col min="1798" max="2011" width="9.140625" style="362"/>
    <col min="2012" max="2012" width="28" style="362" customWidth="1"/>
    <col min="2013" max="2013" width="52" style="362" customWidth="1"/>
    <col min="2014" max="2014" width="27.28515625" style="362" customWidth="1"/>
    <col min="2015" max="2015" width="20.5703125" style="362" customWidth="1"/>
    <col min="2016" max="2017" width="9.140625" style="362"/>
    <col min="2018" max="2018" width="11.5703125" style="362" bestFit="1" customWidth="1"/>
    <col min="2019" max="2049" width="9.140625" style="362"/>
    <col min="2050" max="2050" width="28.7109375" style="362" customWidth="1"/>
    <col min="2051" max="2051" width="42.85546875" style="362" customWidth="1"/>
    <col min="2052" max="2052" width="26.28515625" style="362" customWidth="1"/>
    <col min="2053" max="2053" width="17.42578125" style="362" customWidth="1"/>
    <col min="2054" max="2267" width="9.140625" style="362"/>
    <col min="2268" max="2268" width="28" style="362" customWidth="1"/>
    <col min="2269" max="2269" width="52" style="362" customWidth="1"/>
    <col min="2270" max="2270" width="27.28515625" style="362" customWidth="1"/>
    <col min="2271" max="2271" width="20.5703125" style="362" customWidth="1"/>
    <col min="2272" max="2273" width="9.140625" style="362"/>
    <col min="2274" max="2274" width="11.5703125" style="362" bestFit="1" customWidth="1"/>
    <col min="2275" max="2305" width="9.140625" style="362"/>
    <col min="2306" max="2306" width="28.7109375" style="362" customWidth="1"/>
    <col min="2307" max="2307" width="42.85546875" style="362" customWidth="1"/>
    <col min="2308" max="2308" width="26.28515625" style="362" customWidth="1"/>
    <col min="2309" max="2309" width="17.42578125" style="362" customWidth="1"/>
    <col min="2310" max="2523" width="9.140625" style="362"/>
    <col min="2524" max="2524" width="28" style="362" customWidth="1"/>
    <col min="2525" max="2525" width="52" style="362" customWidth="1"/>
    <col min="2526" max="2526" width="27.28515625" style="362" customWidth="1"/>
    <col min="2527" max="2527" width="20.5703125" style="362" customWidth="1"/>
    <col min="2528" max="2529" width="9.140625" style="362"/>
    <col min="2530" max="2530" width="11.5703125" style="362" bestFit="1" customWidth="1"/>
    <col min="2531" max="2561" width="9.140625" style="362"/>
    <col min="2562" max="2562" width="28.7109375" style="362" customWidth="1"/>
    <col min="2563" max="2563" width="42.85546875" style="362" customWidth="1"/>
    <col min="2564" max="2564" width="26.28515625" style="362" customWidth="1"/>
    <col min="2565" max="2565" width="17.42578125" style="362" customWidth="1"/>
    <col min="2566" max="2779" width="9.140625" style="362"/>
    <col min="2780" max="2780" width="28" style="362" customWidth="1"/>
    <col min="2781" max="2781" width="52" style="362" customWidth="1"/>
    <col min="2782" max="2782" width="27.28515625" style="362" customWidth="1"/>
    <col min="2783" max="2783" width="20.5703125" style="362" customWidth="1"/>
    <col min="2784" max="2785" width="9.140625" style="362"/>
    <col min="2786" max="2786" width="11.5703125" style="362" bestFit="1" customWidth="1"/>
    <col min="2787" max="2817" width="9.140625" style="362"/>
    <col min="2818" max="2818" width="28.7109375" style="362" customWidth="1"/>
    <col min="2819" max="2819" width="42.85546875" style="362" customWidth="1"/>
    <col min="2820" max="2820" width="26.28515625" style="362" customWidth="1"/>
    <col min="2821" max="2821" width="17.42578125" style="362" customWidth="1"/>
    <col min="2822" max="3035" width="9.140625" style="362"/>
    <col min="3036" max="3036" width="28" style="362" customWidth="1"/>
    <col min="3037" max="3037" width="52" style="362" customWidth="1"/>
    <col min="3038" max="3038" width="27.28515625" style="362" customWidth="1"/>
    <col min="3039" max="3039" width="20.5703125" style="362" customWidth="1"/>
    <col min="3040" max="3041" width="9.140625" style="362"/>
    <col min="3042" max="3042" width="11.5703125" style="362" bestFit="1" customWidth="1"/>
    <col min="3043" max="3073" width="9.140625" style="362"/>
    <col min="3074" max="3074" width="28.7109375" style="362" customWidth="1"/>
    <col min="3075" max="3075" width="42.85546875" style="362" customWidth="1"/>
    <col min="3076" max="3076" width="26.28515625" style="362" customWidth="1"/>
    <col min="3077" max="3077" width="17.42578125" style="362" customWidth="1"/>
    <col min="3078" max="3291" width="9.140625" style="362"/>
    <col min="3292" max="3292" width="28" style="362" customWidth="1"/>
    <col min="3293" max="3293" width="52" style="362" customWidth="1"/>
    <col min="3294" max="3294" width="27.28515625" style="362" customWidth="1"/>
    <col min="3295" max="3295" width="20.5703125" style="362" customWidth="1"/>
    <col min="3296" max="3297" width="9.140625" style="362"/>
    <col min="3298" max="3298" width="11.5703125" style="362" bestFit="1" customWidth="1"/>
    <col min="3299" max="3329" width="9.140625" style="362"/>
    <col min="3330" max="3330" width="28.7109375" style="362" customWidth="1"/>
    <col min="3331" max="3331" width="42.85546875" style="362" customWidth="1"/>
    <col min="3332" max="3332" width="26.28515625" style="362" customWidth="1"/>
    <col min="3333" max="3333" width="17.42578125" style="362" customWidth="1"/>
    <col min="3334" max="3547" width="9.140625" style="362"/>
    <col min="3548" max="3548" width="28" style="362" customWidth="1"/>
    <col min="3549" max="3549" width="52" style="362" customWidth="1"/>
    <col min="3550" max="3550" width="27.28515625" style="362" customWidth="1"/>
    <col min="3551" max="3551" width="20.5703125" style="362" customWidth="1"/>
    <col min="3552" max="3553" width="9.140625" style="362"/>
    <col min="3554" max="3554" width="11.5703125" style="362" bestFit="1" customWidth="1"/>
    <col min="3555" max="3585" width="9.140625" style="362"/>
    <col min="3586" max="3586" width="28.7109375" style="362" customWidth="1"/>
    <col min="3587" max="3587" width="42.85546875" style="362" customWidth="1"/>
    <col min="3588" max="3588" width="26.28515625" style="362" customWidth="1"/>
    <col min="3589" max="3589" width="17.42578125" style="362" customWidth="1"/>
    <col min="3590" max="3803" width="9.140625" style="362"/>
    <col min="3804" max="3804" width="28" style="362" customWidth="1"/>
    <col min="3805" max="3805" width="52" style="362" customWidth="1"/>
    <col min="3806" max="3806" width="27.28515625" style="362" customWidth="1"/>
    <col min="3807" max="3807" width="20.5703125" style="362" customWidth="1"/>
    <col min="3808" max="3809" width="9.140625" style="362"/>
    <col min="3810" max="3810" width="11.5703125" style="362" bestFit="1" customWidth="1"/>
    <col min="3811" max="3841" width="9.140625" style="362"/>
    <col min="3842" max="3842" width="28.7109375" style="362" customWidth="1"/>
    <col min="3843" max="3843" width="42.85546875" style="362" customWidth="1"/>
    <col min="3844" max="3844" width="26.28515625" style="362" customWidth="1"/>
    <col min="3845" max="3845" width="17.42578125" style="362" customWidth="1"/>
    <col min="3846" max="4059" width="9.140625" style="362"/>
    <col min="4060" max="4060" width="28" style="362" customWidth="1"/>
    <col min="4061" max="4061" width="52" style="362" customWidth="1"/>
    <col min="4062" max="4062" width="27.28515625" style="362" customWidth="1"/>
    <col min="4063" max="4063" width="20.5703125" style="362" customWidth="1"/>
    <col min="4064" max="4065" width="9.140625" style="362"/>
    <col min="4066" max="4066" width="11.5703125" style="362" bestFit="1" customWidth="1"/>
    <col min="4067" max="4097" width="9.140625" style="362"/>
    <col min="4098" max="4098" width="28.7109375" style="362" customWidth="1"/>
    <col min="4099" max="4099" width="42.85546875" style="362" customWidth="1"/>
    <col min="4100" max="4100" width="26.28515625" style="362" customWidth="1"/>
    <col min="4101" max="4101" width="17.42578125" style="362" customWidth="1"/>
    <col min="4102" max="4315" width="9.140625" style="362"/>
    <col min="4316" max="4316" width="28" style="362" customWidth="1"/>
    <col min="4317" max="4317" width="52" style="362" customWidth="1"/>
    <col min="4318" max="4318" width="27.28515625" style="362" customWidth="1"/>
    <col min="4319" max="4319" width="20.5703125" style="362" customWidth="1"/>
    <col min="4320" max="4321" width="9.140625" style="362"/>
    <col min="4322" max="4322" width="11.5703125" style="362" bestFit="1" customWidth="1"/>
    <col min="4323" max="4353" width="9.140625" style="362"/>
    <col min="4354" max="4354" width="28.7109375" style="362" customWidth="1"/>
    <col min="4355" max="4355" width="42.85546875" style="362" customWidth="1"/>
    <col min="4356" max="4356" width="26.28515625" style="362" customWidth="1"/>
    <col min="4357" max="4357" width="17.42578125" style="362" customWidth="1"/>
    <col min="4358" max="4571" width="9.140625" style="362"/>
    <col min="4572" max="4572" width="28" style="362" customWidth="1"/>
    <col min="4573" max="4573" width="52" style="362" customWidth="1"/>
    <col min="4574" max="4574" width="27.28515625" style="362" customWidth="1"/>
    <col min="4575" max="4575" width="20.5703125" style="362" customWidth="1"/>
    <col min="4576" max="4577" width="9.140625" style="362"/>
    <col min="4578" max="4578" width="11.5703125" style="362" bestFit="1" customWidth="1"/>
    <col min="4579" max="4609" width="9.140625" style="362"/>
    <col min="4610" max="4610" width="28.7109375" style="362" customWidth="1"/>
    <col min="4611" max="4611" width="42.85546875" style="362" customWidth="1"/>
    <col min="4612" max="4612" width="26.28515625" style="362" customWidth="1"/>
    <col min="4613" max="4613" width="17.42578125" style="362" customWidth="1"/>
    <col min="4614" max="4827" width="9.140625" style="362"/>
    <col min="4828" max="4828" width="28" style="362" customWidth="1"/>
    <col min="4829" max="4829" width="52" style="362" customWidth="1"/>
    <col min="4830" max="4830" width="27.28515625" style="362" customWidth="1"/>
    <col min="4831" max="4831" width="20.5703125" style="362" customWidth="1"/>
    <col min="4832" max="4833" width="9.140625" style="362"/>
    <col min="4834" max="4834" width="11.5703125" style="362" bestFit="1" customWidth="1"/>
    <col min="4835" max="4865" width="9.140625" style="362"/>
    <col min="4866" max="4866" width="28.7109375" style="362" customWidth="1"/>
    <col min="4867" max="4867" width="42.85546875" style="362" customWidth="1"/>
    <col min="4868" max="4868" width="26.28515625" style="362" customWidth="1"/>
    <col min="4869" max="4869" width="17.42578125" style="362" customWidth="1"/>
    <col min="4870" max="5083" width="9.140625" style="362"/>
    <col min="5084" max="5084" width="28" style="362" customWidth="1"/>
    <col min="5085" max="5085" width="52" style="362" customWidth="1"/>
    <col min="5086" max="5086" width="27.28515625" style="362" customWidth="1"/>
    <col min="5087" max="5087" width="20.5703125" style="362" customWidth="1"/>
    <col min="5088" max="5089" width="9.140625" style="362"/>
    <col min="5090" max="5090" width="11.5703125" style="362" bestFit="1" customWidth="1"/>
    <col min="5091" max="5121" width="9.140625" style="362"/>
    <col min="5122" max="5122" width="28.7109375" style="362" customWidth="1"/>
    <col min="5123" max="5123" width="42.85546875" style="362" customWidth="1"/>
    <col min="5124" max="5124" width="26.28515625" style="362" customWidth="1"/>
    <col min="5125" max="5125" width="17.42578125" style="362" customWidth="1"/>
    <col min="5126" max="5339" width="9.140625" style="362"/>
    <col min="5340" max="5340" width="28" style="362" customWidth="1"/>
    <col min="5341" max="5341" width="52" style="362" customWidth="1"/>
    <col min="5342" max="5342" width="27.28515625" style="362" customWidth="1"/>
    <col min="5343" max="5343" width="20.5703125" style="362" customWidth="1"/>
    <col min="5344" max="5345" width="9.140625" style="362"/>
    <col min="5346" max="5346" width="11.5703125" style="362" bestFit="1" customWidth="1"/>
    <col min="5347" max="5377" width="9.140625" style="362"/>
    <col min="5378" max="5378" width="28.7109375" style="362" customWidth="1"/>
    <col min="5379" max="5379" width="42.85546875" style="362" customWidth="1"/>
    <col min="5380" max="5380" width="26.28515625" style="362" customWidth="1"/>
    <col min="5381" max="5381" width="17.42578125" style="362" customWidth="1"/>
    <col min="5382" max="5595" width="9.140625" style="362"/>
    <col min="5596" max="5596" width="28" style="362" customWidth="1"/>
    <col min="5597" max="5597" width="52" style="362" customWidth="1"/>
    <col min="5598" max="5598" width="27.28515625" style="362" customWidth="1"/>
    <col min="5599" max="5599" width="20.5703125" style="362" customWidth="1"/>
    <col min="5600" max="5601" width="9.140625" style="362"/>
    <col min="5602" max="5602" width="11.5703125" style="362" bestFit="1" customWidth="1"/>
    <col min="5603" max="5633" width="9.140625" style="362"/>
    <col min="5634" max="5634" width="28.7109375" style="362" customWidth="1"/>
    <col min="5635" max="5635" width="42.85546875" style="362" customWidth="1"/>
    <col min="5636" max="5636" width="26.28515625" style="362" customWidth="1"/>
    <col min="5637" max="5637" width="17.42578125" style="362" customWidth="1"/>
    <col min="5638" max="5851" width="9.140625" style="362"/>
    <col min="5852" max="5852" width="28" style="362" customWidth="1"/>
    <col min="5853" max="5853" width="52" style="362" customWidth="1"/>
    <col min="5854" max="5854" width="27.28515625" style="362" customWidth="1"/>
    <col min="5855" max="5855" width="20.5703125" style="362" customWidth="1"/>
    <col min="5856" max="5857" width="9.140625" style="362"/>
    <col min="5858" max="5858" width="11.5703125" style="362" bestFit="1" customWidth="1"/>
    <col min="5859" max="5889" width="9.140625" style="362"/>
    <col min="5890" max="5890" width="28.7109375" style="362" customWidth="1"/>
    <col min="5891" max="5891" width="42.85546875" style="362" customWidth="1"/>
    <col min="5892" max="5892" width="26.28515625" style="362" customWidth="1"/>
    <col min="5893" max="5893" width="17.42578125" style="362" customWidth="1"/>
    <col min="5894" max="6107" width="9.140625" style="362"/>
    <col min="6108" max="6108" width="28" style="362" customWidth="1"/>
    <col min="6109" max="6109" width="52" style="362" customWidth="1"/>
    <col min="6110" max="6110" width="27.28515625" style="362" customWidth="1"/>
    <col min="6111" max="6111" width="20.5703125" style="362" customWidth="1"/>
    <col min="6112" max="6113" width="9.140625" style="362"/>
    <col min="6114" max="6114" width="11.5703125" style="362" bestFit="1" customWidth="1"/>
    <col min="6115" max="6145" width="9.140625" style="362"/>
    <col min="6146" max="6146" width="28.7109375" style="362" customWidth="1"/>
    <col min="6147" max="6147" width="42.85546875" style="362" customWidth="1"/>
    <col min="6148" max="6148" width="26.28515625" style="362" customWidth="1"/>
    <col min="6149" max="6149" width="17.42578125" style="362" customWidth="1"/>
    <col min="6150" max="6363" width="9.140625" style="362"/>
    <col min="6364" max="6364" width="28" style="362" customWidth="1"/>
    <col min="6365" max="6365" width="52" style="362" customWidth="1"/>
    <col min="6366" max="6366" width="27.28515625" style="362" customWidth="1"/>
    <col min="6367" max="6367" width="20.5703125" style="362" customWidth="1"/>
    <col min="6368" max="6369" width="9.140625" style="362"/>
    <col min="6370" max="6370" width="11.5703125" style="362" bestFit="1" customWidth="1"/>
    <col min="6371" max="6401" width="9.140625" style="362"/>
    <col min="6402" max="6402" width="28.7109375" style="362" customWidth="1"/>
    <col min="6403" max="6403" width="42.85546875" style="362" customWidth="1"/>
    <col min="6404" max="6404" width="26.28515625" style="362" customWidth="1"/>
    <col min="6405" max="6405" width="17.42578125" style="362" customWidth="1"/>
    <col min="6406" max="6619" width="9.140625" style="362"/>
    <col min="6620" max="6620" width="28" style="362" customWidth="1"/>
    <col min="6621" max="6621" width="52" style="362" customWidth="1"/>
    <col min="6622" max="6622" width="27.28515625" style="362" customWidth="1"/>
    <col min="6623" max="6623" width="20.5703125" style="362" customWidth="1"/>
    <col min="6624" max="6625" width="9.140625" style="362"/>
    <col min="6626" max="6626" width="11.5703125" style="362" bestFit="1" customWidth="1"/>
    <col min="6627" max="6657" width="9.140625" style="362"/>
    <col min="6658" max="6658" width="28.7109375" style="362" customWidth="1"/>
    <col min="6659" max="6659" width="42.85546875" style="362" customWidth="1"/>
    <col min="6660" max="6660" width="26.28515625" style="362" customWidth="1"/>
    <col min="6661" max="6661" width="17.42578125" style="362" customWidth="1"/>
    <col min="6662" max="6875" width="9.140625" style="362"/>
    <col min="6876" max="6876" width="28" style="362" customWidth="1"/>
    <col min="6877" max="6877" width="52" style="362" customWidth="1"/>
    <col min="6878" max="6878" width="27.28515625" style="362" customWidth="1"/>
    <col min="6879" max="6879" width="20.5703125" style="362" customWidth="1"/>
    <col min="6880" max="6881" width="9.140625" style="362"/>
    <col min="6882" max="6882" width="11.5703125" style="362" bestFit="1" customWidth="1"/>
    <col min="6883" max="6913" width="9.140625" style="362"/>
    <col min="6914" max="6914" width="28.7109375" style="362" customWidth="1"/>
    <col min="6915" max="6915" width="42.85546875" style="362" customWidth="1"/>
    <col min="6916" max="6916" width="26.28515625" style="362" customWidth="1"/>
    <col min="6917" max="6917" width="17.42578125" style="362" customWidth="1"/>
    <col min="6918" max="7131" width="9.140625" style="362"/>
    <col min="7132" max="7132" width="28" style="362" customWidth="1"/>
    <col min="7133" max="7133" width="52" style="362" customWidth="1"/>
    <col min="7134" max="7134" width="27.28515625" style="362" customWidth="1"/>
    <col min="7135" max="7135" width="20.5703125" style="362" customWidth="1"/>
    <col min="7136" max="7137" width="9.140625" style="362"/>
    <col min="7138" max="7138" width="11.5703125" style="362" bestFit="1" customWidth="1"/>
    <col min="7139" max="7169" width="9.140625" style="362"/>
    <col min="7170" max="7170" width="28.7109375" style="362" customWidth="1"/>
    <col min="7171" max="7171" width="42.85546875" style="362" customWidth="1"/>
    <col min="7172" max="7172" width="26.28515625" style="362" customWidth="1"/>
    <col min="7173" max="7173" width="17.42578125" style="362" customWidth="1"/>
    <col min="7174" max="7387" width="9.140625" style="362"/>
    <col min="7388" max="7388" width="28" style="362" customWidth="1"/>
    <col min="7389" max="7389" width="52" style="362" customWidth="1"/>
    <col min="7390" max="7390" width="27.28515625" style="362" customWidth="1"/>
    <col min="7391" max="7391" width="20.5703125" style="362" customWidth="1"/>
    <col min="7392" max="7393" width="9.140625" style="362"/>
    <col min="7394" max="7394" width="11.5703125" style="362" bestFit="1" customWidth="1"/>
    <col min="7395" max="7425" width="9.140625" style="362"/>
    <col min="7426" max="7426" width="28.7109375" style="362" customWidth="1"/>
    <col min="7427" max="7427" width="42.85546875" style="362" customWidth="1"/>
    <col min="7428" max="7428" width="26.28515625" style="362" customWidth="1"/>
    <col min="7429" max="7429" width="17.42578125" style="362" customWidth="1"/>
    <col min="7430" max="7643" width="9.140625" style="362"/>
    <col min="7644" max="7644" width="28" style="362" customWidth="1"/>
    <col min="7645" max="7645" width="52" style="362" customWidth="1"/>
    <col min="7646" max="7646" width="27.28515625" style="362" customWidth="1"/>
    <col min="7647" max="7647" width="20.5703125" style="362" customWidth="1"/>
    <col min="7648" max="7649" width="9.140625" style="362"/>
    <col min="7650" max="7650" width="11.5703125" style="362" bestFit="1" customWidth="1"/>
    <col min="7651" max="7681" width="9.140625" style="362"/>
    <col min="7682" max="7682" width="28.7109375" style="362" customWidth="1"/>
    <col min="7683" max="7683" width="42.85546875" style="362" customWidth="1"/>
    <col min="7684" max="7684" width="26.28515625" style="362" customWidth="1"/>
    <col min="7685" max="7685" width="17.42578125" style="362" customWidth="1"/>
    <col min="7686" max="7899" width="9.140625" style="362"/>
    <col min="7900" max="7900" width="28" style="362" customWidth="1"/>
    <col min="7901" max="7901" width="52" style="362" customWidth="1"/>
    <col min="7902" max="7902" width="27.28515625" style="362" customWidth="1"/>
    <col min="7903" max="7903" width="20.5703125" style="362" customWidth="1"/>
    <col min="7904" max="7905" width="9.140625" style="362"/>
    <col min="7906" max="7906" width="11.5703125" style="362" bestFit="1" customWidth="1"/>
    <col min="7907" max="7937" width="9.140625" style="362"/>
    <col min="7938" max="7938" width="28.7109375" style="362" customWidth="1"/>
    <col min="7939" max="7939" width="42.85546875" style="362" customWidth="1"/>
    <col min="7940" max="7940" width="26.28515625" style="362" customWidth="1"/>
    <col min="7941" max="7941" width="17.42578125" style="362" customWidth="1"/>
    <col min="7942" max="8155" width="9.140625" style="362"/>
    <col min="8156" max="8156" width="28" style="362" customWidth="1"/>
    <col min="8157" max="8157" width="52" style="362" customWidth="1"/>
    <col min="8158" max="8158" width="27.28515625" style="362" customWidth="1"/>
    <col min="8159" max="8159" width="20.5703125" style="362" customWidth="1"/>
    <col min="8160" max="8161" width="9.140625" style="362"/>
    <col min="8162" max="8162" width="11.5703125" style="362" bestFit="1" customWidth="1"/>
    <col min="8163" max="8193" width="9.140625" style="362"/>
    <col min="8194" max="8194" width="28.7109375" style="362" customWidth="1"/>
    <col min="8195" max="8195" width="42.85546875" style="362" customWidth="1"/>
    <col min="8196" max="8196" width="26.28515625" style="362" customWidth="1"/>
    <col min="8197" max="8197" width="17.42578125" style="362" customWidth="1"/>
    <col min="8198" max="8411" width="9.140625" style="362"/>
    <col min="8412" max="8412" width="28" style="362" customWidth="1"/>
    <col min="8413" max="8413" width="52" style="362" customWidth="1"/>
    <col min="8414" max="8414" width="27.28515625" style="362" customWidth="1"/>
    <col min="8415" max="8415" width="20.5703125" style="362" customWidth="1"/>
    <col min="8416" max="8417" width="9.140625" style="362"/>
    <col min="8418" max="8418" width="11.5703125" style="362" bestFit="1" customWidth="1"/>
    <col min="8419" max="8449" width="9.140625" style="362"/>
    <col min="8450" max="8450" width="28.7109375" style="362" customWidth="1"/>
    <col min="8451" max="8451" width="42.85546875" style="362" customWidth="1"/>
    <col min="8452" max="8452" width="26.28515625" style="362" customWidth="1"/>
    <col min="8453" max="8453" width="17.42578125" style="362" customWidth="1"/>
    <col min="8454" max="8667" width="9.140625" style="362"/>
    <col min="8668" max="8668" width="28" style="362" customWidth="1"/>
    <col min="8669" max="8669" width="52" style="362" customWidth="1"/>
    <col min="8670" max="8670" width="27.28515625" style="362" customWidth="1"/>
    <col min="8671" max="8671" width="20.5703125" style="362" customWidth="1"/>
    <col min="8672" max="8673" width="9.140625" style="362"/>
    <col min="8674" max="8674" width="11.5703125" style="362" bestFit="1" customWidth="1"/>
    <col min="8675" max="8705" width="9.140625" style="362"/>
    <col min="8706" max="8706" width="28.7109375" style="362" customWidth="1"/>
    <col min="8707" max="8707" width="42.85546875" style="362" customWidth="1"/>
    <col min="8708" max="8708" width="26.28515625" style="362" customWidth="1"/>
    <col min="8709" max="8709" width="17.42578125" style="362" customWidth="1"/>
    <col min="8710" max="8923" width="9.140625" style="362"/>
    <col min="8924" max="8924" width="28" style="362" customWidth="1"/>
    <col min="8925" max="8925" width="52" style="362" customWidth="1"/>
    <col min="8926" max="8926" width="27.28515625" style="362" customWidth="1"/>
    <col min="8927" max="8927" width="20.5703125" style="362" customWidth="1"/>
    <col min="8928" max="8929" width="9.140625" style="362"/>
    <col min="8930" max="8930" width="11.5703125" style="362" bestFit="1" customWidth="1"/>
    <col min="8931" max="8961" width="9.140625" style="362"/>
    <col min="8962" max="8962" width="28.7109375" style="362" customWidth="1"/>
    <col min="8963" max="8963" width="42.85546875" style="362" customWidth="1"/>
    <col min="8964" max="8964" width="26.28515625" style="362" customWidth="1"/>
    <col min="8965" max="8965" width="17.42578125" style="362" customWidth="1"/>
    <col min="8966" max="9179" width="9.140625" style="362"/>
    <col min="9180" max="9180" width="28" style="362" customWidth="1"/>
    <col min="9181" max="9181" width="52" style="362" customWidth="1"/>
    <col min="9182" max="9182" width="27.28515625" style="362" customWidth="1"/>
    <col min="9183" max="9183" width="20.5703125" style="362" customWidth="1"/>
    <col min="9184" max="9185" width="9.140625" style="362"/>
    <col min="9186" max="9186" width="11.5703125" style="362" bestFit="1" customWidth="1"/>
    <col min="9187" max="9217" width="9.140625" style="362"/>
    <col min="9218" max="9218" width="28.7109375" style="362" customWidth="1"/>
    <col min="9219" max="9219" width="42.85546875" style="362" customWidth="1"/>
    <col min="9220" max="9220" width="26.28515625" style="362" customWidth="1"/>
    <col min="9221" max="9221" width="17.42578125" style="362" customWidth="1"/>
    <col min="9222" max="9435" width="9.140625" style="362"/>
    <col min="9436" max="9436" width="28" style="362" customWidth="1"/>
    <col min="9437" max="9437" width="52" style="362" customWidth="1"/>
    <col min="9438" max="9438" width="27.28515625" style="362" customWidth="1"/>
    <col min="9439" max="9439" width="20.5703125" style="362" customWidth="1"/>
    <col min="9440" max="9441" width="9.140625" style="362"/>
    <col min="9442" max="9442" width="11.5703125" style="362" bestFit="1" customWidth="1"/>
    <col min="9443" max="9473" width="9.140625" style="362"/>
    <col min="9474" max="9474" width="28.7109375" style="362" customWidth="1"/>
    <col min="9475" max="9475" width="42.85546875" style="362" customWidth="1"/>
    <col min="9476" max="9476" width="26.28515625" style="362" customWidth="1"/>
    <col min="9477" max="9477" width="17.42578125" style="362" customWidth="1"/>
    <col min="9478" max="9691" width="9.140625" style="362"/>
    <col min="9692" max="9692" width="28" style="362" customWidth="1"/>
    <col min="9693" max="9693" width="52" style="362" customWidth="1"/>
    <col min="9694" max="9694" width="27.28515625" style="362" customWidth="1"/>
    <col min="9695" max="9695" width="20.5703125" style="362" customWidth="1"/>
    <col min="9696" max="9697" width="9.140625" style="362"/>
    <col min="9698" max="9698" width="11.5703125" style="362" bestFit="1" customWidth="1"/>
    <col min="9699" max="9729" width="9.140625" style="362"/>
    <col min="9730" max="9730" width="28.7109375" style="362" customWidth="1"/>
    <col min="9731" max="9731" width="42.85546875" style="362" customWidth="1"/>
    <col min="9732" max="9732" width="26.28515625" style="362" customWidth="1"/>
    <col min="9733" max="9733" width="17.42578125" style="362" customWidth="1"/>
    <col min="9734" max="9947" width="9.140625" style="362"/>
    <col min="9948" max="9948" width="28" style="362" customWidth="1"/>
    <col min="9949" max="9949" width="52" style="362" customWidth="1"/>
    <col min="9950" max="9950" width="27.28515625" style="362" customWidth="1"/>
    <col min="9951" max="9951" width="20.5703125" style="362" customWidth="1"/>
    <col min="9952" max="9953" width="9.140625" style="362"/>
    <col min="9954" max="9954" width="11.5703125" style="362" bestFit="1" customWidth="1"/>
    <col min="9955" max="9985" width="9.140625" style="362"/>
    <col min="9986" max="9986" width="28.7109375" style="362" customWidth="1"/>
    <col min="9987" max="9987" width="42.85546875" style="362" customWidth="1"/>
    <col min="9988" max="9988" width="26.28515625" style="362" customWidth="1"/>
    <col min="9989" max="9989" width="17.42578125" style="362" customWidth="1"/>
    <col min="9990" max="10203" width="9.140625" style="362"/>
    <col min="10204" max="10204" width="28" style="362" customWidth="1"/>
    <col min="10205" max="10205" width="52" style="362" customWidth="1"/>
    <col min="10206" max="10206" width="27.28515625" style="362" customWidth="1"/>
    <col min="10207" max="10207" width="20.5703125" style="362" customWidth="1"/>
    <col min="10208" max="10209" width="9.140625" style="362"/>
    <col min="10210" max="10210" width="11.5703125" style="362" bestFit="1" customWidth="1"/>
    <col min="10211" max="10241" width="9.140625" style="362"/>
    <col min="10242" max="10242" width="28.7109375" style="362" customWidth="1"/>
    <col min="10243" max="10243" width="42.85546875" style="362" customWidth="1"/>
    <col min="10244" max="10244" width="26.28515625" style="362" customWidth="1"/>
    <col min="10245" max="10245" width="17.42578125" style="362" customWidth="1"/>
    <col min="10246" max="10459" width="9.140625" style="362"/>
    <col min="10460" max="10460" width="28" style="362" customWidth="1"/>
    <col min="10461" max="10461" width="52" style="362" customWidth="1"/>
    <col min="10462" max="10462" width="27.28515625" style="362" customWidth="1"/>
    <col min="10463" max="10463" width="20.5703125" style="362" customWidth="1"/>
    <col min="10464" max="10465" width="9.140625" style="362"/>
    <col min="10466" max="10466" width="11.5703125" style="362" bestFit="1" customWidth="1"/>
    <col min="10467" max="10497" width="9.140625" style="362"/>
    <col min="10498" max="10498" width="28.7109375" style="362" customWidth="1"/>
    <col min="10499" max="10499" width="42.85546875" style="362" customWidth="1"/>
    <col min="10500" max="10500" width="26.28515625" style="362" customWidth="1"/>
    <col min="10501" max="10501" width="17.42578125" style="362" customWidth="1"/>
    <col min="10502" max="10715" width="9.140625" style="362"/>
    <col min="10716" max="10716" width="28" style="362" customWidth="1"/>
    <col min="10717" max="10717" width="52" style="362" customWidth="1"/>
    <col min="10718" max="10718" width="27.28515625" style="362" customWidth="1"/>
    <col min="10719" max="10719" width="20.5703125" style="362" customWidth="1"/>
    <col min="10720" max="10721" width="9.140625" style="362"/>
    <col min="10722" max="10722" width="11.5703125" style="362" bestFit="1" customWidth="1"/>
    <col min="10723" max="10753" width="9.140625" style="362"/>
    <col min="10754" max="10754" width="28.7109375" style="362" customWidth="1"/>
    <col min="10755" max="10755" width="42.85546875" style="362" customWidth="1"/>
    <col min="10756" max="10756" width="26.28515625" style="362" customWidth="1"/>
    <col min="10757" max="10757" width="17.42578125" style="362" customWidth="1"/>
    <col min="10758" max="10971" width="9.140625" style="362"/>
    <col min="10972" max="10972" width="28" style="362" customWidth="1"/>
    <col min="10973" max="10973" width="52" style="362" customWidth="1"/>
    <col min="10974" max="10974" width="27.28515625" style="362" customWidth="1"/>
    <col min="10975" max="10975" width="20.5703125" style="362" customWidth="1"/>
    <col min="10976" max="10977" width="9.140625" style="362"/>
    <col min="10978" max="10978" width="11.5703125" style="362" bestFit="1" customWidth="1"/>
    <col min="10979" max="11009" width="9.140625" style="362"/>
    <col min="11010" max="11010" width="28.7109375" style="362" customWidth="1"/>
    <col min="11011" max="11011" width="42.85546875" style="362" customWidth="1"/>
    <col min="11012" max="11012" width="26.28515625" style="362" customWidth="1"/>
    <col min="11013" max="11013" width="17.42578125" style="362" customWidth="1"/>
    <col min="11014" max="11227" width="9.140625" style="362"/>
    <col min="11228" max="11228" width="28" style="362" customWidth="1"/>
    <col min="11229" max="11229" width="52" style="362" customWidth="1"/>
    <col min="11230" max="11230" width="27.28515625" style="362" customWidth="1"/>
    <col min="11231" max="11231" width="20.5703125" style="362" customWidth="1"/>
    <col min="11232" max="11233" width="9.140625" style="362"/>
    <col min="11234" max="11234" width="11.5703125" style="362" bestFit="1" customWidth="1"/>
    <col min="11235" max="11265" width="9.140625" style="362"/>
    <col min="11266" max="11266" width="28.7109375" style="362" customWidth="1"/>
    <col min="11267" max="11267" width="42.85546875" style="362" customWidth="1"/>
    <col min="11268" max="11268" width="26.28515625" style="362" customWidth="1"/>
    <col min="11269" max="11269" width="17.42578125" style="362" customWidth="1"/>
    <col min="11270" max="11483" width="9.140625" style="362"/>
    <col min="11484" max="11484" width="28" style="362" customWidth="1"/>
    <col min="11485" max="11485" width="52" style="362" customWidth="1"/>
    <col min="11486" max="11486" width="27.28515625" style="362" customWidth="1"/>
    <col min="11487" max="11487" width="20.5703125" style="362" customWidth="1"/>
    <col min="11488" max="11489" width="9.140625" style="362"/>
    <col min="11490" max="11490" width="11.5703125" style="362" bestFit="1" customWidth="1"/>
    <col min="11491" max="11521" width="9.140625" style="362"/>
    <col min="11522" max="11522" width="28.7109375" style="362" customWidth="1"/>
    <col min="11523" max="11523" width="42.85546875" style="362" customWidth="1"/>
    <col min="11524" max="11524" width="26.28515625" style="362" customWidth="1"/>
    <col min="11525" max="11525" width="17.42578125" style="362" customWidth="1"/>
    <col min="11526" max="11739" width="9.140625" style="362"/>
    <col min="11740" max="11740" width="28" style="362" customWidth="1"/>
    <col min="11741" max="11741" width="52" style="362" customWidth="1"/>
    <col min="11742" max="11742" width="27.28515625" style="362" customWidth="1"/>
    <col min="11743" max="11743" width="20.5703125" style="362" customWidth="1"/>
    <col min="11744" max="11745" width="9.140625" style="362"/>
    <col min="11746" max="11746" width="11.5703125" style="362" bestFit="1" customWidth="1"/>
    <col min="11747" max="11777" width="9.140625" style="362"/>
    <col min="11778" max="11778" width="28.7109375" style="362" customWidth="1"/>
    <col min="11779" max="11779" width="42.85546875" style="362" customWidth="1"/>
    <col min="11780" max="11780" width="26.28515625" style="362" customWidth="1"/>
    <col min="11781" max="11781" width="17.42578125" style="362" customWidth="1"/>
    <col min="11782" max="11995" width="9.140625" style="362"/>
    <col min="11996" max="11996" width="28" style="362" customWidth="1"/>
    <col min="11997" max="11997" width="52" style="362" customWidth="1"/>
    <col min="11998" max="11998" width="27.28515625" style="362" customWidth="1"/>
    <col min="11999" max="11999" width="20.5703125" style="362" customWidth="1"/>
    <col min="12000" max="12001" width="9.140625" style="362"/>
    <col min="12002" max="12002" width="11.5703125" style="362" bestFit="1" customWidth="1"/>
    <col min="12003" max="12033" width="9.140625" style="362"/>
    <col min="12034" max="12034" width="28.7109375" style="362" customWidth="1"/>
    <col min="12035" max="12035" width="42.85546875" style="362" customWidth="1"/>
    <col min="12036" max="12036" width="26.28515625" style="362" customWidth="1"/>
    <col min="12037" max="12037" width="17.42578125" style="362" customWidth="1"/>
    <col min="12038" max="12251" width="9.140625" style="362"/>
    <col min="12252" max="12252" width="28" style="362" customWidth="1"/>
    <col min="12253" max="12253" width="52" style="362" customWidth="1"/>
    <col min="12254" max="12254" width="27.28515625" style="362" customWidth="1"/>
    <col min="12255" max="12255" width="20.5703125" style="362" customWidth="1"/>
    <col min="12256" max="12257" width="9.140625" style="362"/>
    <col min="12258" max="12258" width="11.5703125" style="362" bestFit="1" customWidth="1"/>
    <col min="12259" max="12289" width="9.140625" style="362"/>
    <col min="12290" max="12290" width="28.7109375" style="362" customWidth="1"/>
    <col min="12291" max="12291" width="42.85546875" style="362" customWidth="1"/>
    <col min="12292" max="12292" width="26.28515625" style="362" customWidth="1"/>
    <col min="12293" max="12293" width="17.42578125" style="362" customWidth="1"/>
    <col min="12294" max="12507" width="9.140625" style="362"/>
    <col min="12508" max="12508" width="28" style="362" customWidth="1"/>
    <col min="12509" max="12509" width="52" style="362" customWidth="1"/>
    <col min="12510" max="12510" width="27.28515625" style="362" customWidth="1"/>
    <col min="12511" max="12511" width="20.5703125" style="362" customWidth="1"/>
    <col min="12512" max="12513" width="9.140625" style="362"/>
    <col min="12514" max="12514" width="11.5703125" style="362" bestFit="1" customWidth="1"/>
    <col min="12515" max="12545" width="9.140625" style="362"/>
    <col min="12546" max="12546" width="28.7109375" style="362" customWidth="1"/>
    <col min="12547" max="12547" width="42.85546875" style="362" customWidth="1"/>
    <col min="12548" max="12548" width="26.28515625" style="362" customWidth="1"/>
    <col min="12549" max="12549" width="17.42578125" style="362" customWidth="1"/>
    <col min="12550" max="12763" width="9.140625" style="362"/>
    <col min="12764" max="12764" width="28" style="362" customWidth="1"/>
    <col min="12765" max="12765" width="52" style="362" customWidth="1"/>
    <col min="12766" max="12766" width="27.28515625" style="362" customWidth="1"/>
    <col min="12767" max="12767" width="20.5703125" style="362" customWidth="1"/>
    <col min="12768" max="12769" width="9.140625" style="362"/>
    <col min="12770" max="12770" width="11.5703125" style="362" bestFit="1" customWidth="1"/>
    <col min="12771" max="12801" width="9.140625" style="362"/>
    <col min="12802" max="12802" width="28.7109375" style="362" customWidth="1"/>
    <col min="12803" max="12803" width="42.85546875" style="362" customWidth="1"/>
    <col min="12804" max="12804" width="26.28515625" style="362" customWidth="1"/>
    <col min="12805" max="12805" width="17.42578125" style="362" customWidth="1"/>
    <col min="12806" max="13019" width="9.140625" style="362"/>
    <col min="13020" max="13020" width="28" style="362" customWidth="1"/>
    <col min="13021" max="13021" width="52" style="362" customWidth="1"/>
    <col min="13022" max="13022" width="27.28515625" style="362" customWidth="1"/>
    <col min="13023" max="13023" width="20.5703125" style="362" customWidth="1"/>
    <col min="13024" max="13025" width="9.140625" style="362"/>
    <col min="13026" max="13026" width="11.5703125" style="362" bestFit="1" customWidth="1"/>
    <col min="13027" max="13057" width="9.140625" style="362"/>
    <col min="13058" max="13058" width="28.7109375" style="362" customWidth="1"/>
    <col min="13059" max="13059" width="42.85546875" style="362" customWidth="1"/>
    <col min="13060" max="13060" width="26.28515625" style="362" customWidth="1"/>
    <col min="13061" max="13061" width="17.42578125" style="362" customWidth="1"/>
    <col min="13062" max="13275" width="9.140625" style="362"/>
    <col min="13276" max="13276" width="28" style="362" customWidth="1"/>
    <col min="13277" max="13277" width="52" style="362" customWidth="1"/>
    <col min="13278" max="13278" width="27.28515625" style="362" customWidth="1"/>
    <col min="13279" max="13279" width="20.5703125" style="362" customWidth="1"/>
    <col min="13280" max="13281" width="9.140625" style="362"/>
    <col min="13282" max="13282" width="11.5703125" style="362" bestFit="1" customWidth="1"/>
    <col min="13283" max="13313" width="9.140625" style="362"/>
    <col min="13314" max="13314" width="28.7109375" style="362" customWidth="1"/>
    <col min="13315" max="13315" width="42.85546875" style="362" customWidth="1"/>
    <col min="13316" max="13316" width="26.28515625" style="362" customWidth="1"/>
    <col min="13317" max="13317" width="17.42578125" style="362" customWidth="1"/>
    <col min="13318" max="13531" width="9.140625" style="362"/>
    <col min="13532" max="13532" width="28" style="362" customWidth="1"/>
    <col min="13533" max="13533" width="52" style="362" customWidth="1"/>
    <col min="13534" max="13534" width="27.28515625" style="362" customWidth="1"/>
    <col min="13535" max="13535" width="20.5703125" style="362" customWidth="1"/>
    <col min="13536" max="13537" width="9.140625" style="362"/>
    <col min="13538" max="13538" width="11.5703125" style="362" bestFit="1" customWidth="1"/>
    <col min="13539" max="13569" width="9.140625" style="362"/>
    <col min="13570" max="13570" width="28.7109375" style="362" customWidth="1"/>
    <col min="13571" max="13571" width="42.85546875" style="362" customWidth="1"/>
    <col min="13572" max="13572" width="26.28515625" style="362" customWidth="1"/>
    <col min="13573" max="13573" width="17.42578125" style="362" customWidth="1"/>
    <col min="13574" max="13787" width="9.140625" style="362"/>
    <col min="13788" max="13788" width="28" style="362" customWidth="1"/>
    <col min="13789" max="13789" width="52" style="362" customWidth="1"/>
    <col min="13790" max="13790" width="27.28515625" style="362" customWidth="1"/>
    <col min="13791" max="13791" width="20.5703125" style="362" customWidth="1"/>
    <col min="13792" max="13793" width="9.140625" style="362"/>
    <col min="13794" max="13794" width="11.5703125" style="362" bestFit="1" customWidth="1"/>
    <col min="13795" max="13825" width="9.140625" style="362"/>
    <col min="13826" max="13826" width="28.7109375" style="362" customWidth="1"/>
    <col min="13827" max="13827" width="42.85546875" style="362" customWidth="1"/>
    <col min="13828" max="13828" width="26.28515625" style="362" customWidth="1"/>
    <col min="13829" max="13829" width="17.42578125" style="362" customWidth="1"/>
    <col min="13830" max="14043" width="9.140625" style="362"/>
    <col min="14044" max="14044" width="28" style="362" customWidth="1"/>
    <col min="14045" max="14045" width="52" style="362" customWidth="1"/>
    <col min="14046" max="14046" width="27.28515625" style="362" customWidth="1"/>
    <col min="14047" max="14047" width="20.5703125" style="362" customWidth="1"/>
    <col min="14048" max="14049" width="9.140625" style="362"/>
    <col min="14050" max="14050" width="11.5703125" style="362" bestFit="1" customWidth="1"/>
    <col min="14051" max="14081" width="9.140625" style="362"/>
    <col min="14082" max="14082" width="28.7109375" style="362" customWidth="1"/>
    <col min="14083" max="14083" width="42.85546875" style="362" customWidth="1"/>
    <col min="14084" max="14084" width="26.28515625" style="362" customWidth="1"/>
    <col min="14085" max="14085" width="17.42578125" style="362" customWidth="1"/>
    <col min="14086" max="14299" width="9.140625" style="362"/>
    <col min="14300" max="14300" width="28" style="362" customWidth="1"/>
    <col min="14301" max="14301" width="52" style="362" customWidth="1"/>
    <col min="14302" max="14302" width="27.28515625" style="362" customWidth="1"/>
    <col min="14303" max="14303" width="20.5703125" style="362" customWidth="1"/>
    <col min="14304" max="14305" width="9.140625" style="362"/>
    <col min="14306" max="14306" width="11.5703125" style="362" bestFit="1" customWidth="1"/>
    <col min="14307" max="14337" width="9.140625" style="362"/>
    <col min="14338" max="14338" width="28.7109375" style="362" customWidth="1"/>
    <col min="14339" max="14339" width="42.85546875" style="362" customWidth="1"/>
    <col min="14340" max="14340" width="26.28515625" style="362" customWidth="1"/>
    <col min="14341" max="14341" width="17.42578125" style="362" customWidth="1"/>
    <col min="14342" max="14555" width="9.140625" style="362"/>
    <col min="14556" max="14556" width="28" style="362" customWidth="1"/>
    <col min="14557" max="14557" width="52" style="362" customWidth="1"/>
    <col min="14558" max="14558" width="27.28515625" style="362" customWidth="1"/>
    <col min="14559" max="14559" width="20.5703125" style="362" customWidth="1"/>
    <col min="14560" max="14561" width="9.140625" style="362"/>
    <col min="14562" max="14562" width="11.5703125" style="362" bestFit="1" customWidth="1"/>
    <col min="14563" max="14593" width="9.140625" style="362"/>
    <col min="14594" max="14594" width="28.7109375" style="362" customWidth="1"/>
    <col min="14595" max="14595" width="42.85546875" style="362" customWidth="1"/>
    <col min="14596" max="14596" width="26.28515625" style="362" customWidth="1"/>
    <col min="14597" max="14597" width="17.42578125" style="362" customWidth="1"/>
    <col min="14598" max="14811" width="9.140625" style="362"/>
    <col min="14812" max="14812" width="28" style="362" customWidth="1"/>
    <col min="14813" max="14813" width="52" style="362" customWidth="1"/>
    <col min="14814" max="14814" width="27.28515625" style="362" customWidth="1"/>
    <col min="14815" max="14815" width="20.5703125" style="362" customWidth="1"/>
    <col min="14816" max="14817" width="9.140625" style="362"/>
    <col min="14818" max="14818" width="11.5703125" style="362" bestFit="1" customWidth="1"/>
    <col min="14819" max="14849" width="9.140625" style="362"/>
    <col min="14850" max="14850" width="28.7109375" style="362" customWidth="1"/>
    <col min="14851" max="14851" width="42.85546875" style="362" customWidth="1"/>
    <col min="14852" max="14852" width="26.28515625" style="362" customWidth="1"/>
    <col min="14853" max="14853" width="17.42578125" style="362" customWidth="1"/>
    <col min="14854" max="15067" width="9.140625" style="362"/>
    <col min="15068" max="15068" width="28" style="362" customWidth="1"/>
    <col min="15069" max="15069" width="52" style="362" customWidth="1"/>
    <col min="15070" max="15070" width="27.28515625" style="362" customWidth="1"/>
    <col min="15071" max="15071" width="20.5703125" style="362" customWidth="1"/>
    <col min="15072" max="15073" width="9.140625" style="362"/>
    <col min="15074" max="15074" width="11.5703125" style="362" bestFit="1" customWidth="1"/>
    <col min="15075" max="15105" width="9.140625" style="362"/>
    <col min="15106" max="15106" width="28.7109375" style="362" customWidth="1"/>
    <col min="15107" max="15107" width="42.85546875" style="362" customWidth="1"/>
    <col min="15108" max="15108" width="26.28515625" style="362" customWidth="1"/>
    <col min="15109" max="15109" width="17.42578125" style="362" customWidth="1"/>
    <col min="15110" max="15323" width="9.140625" style="362"/>
    <col min="15324" max="15324" width="28" style="362" customWidth="1"/>
    <col min="15325" max="15325" width="52" style="362" customWidth="1"/>
    <col min="15326" max="15326" width="27.28515625" style="362" customWidth="1"/>
    <col min="15327" max="15327" width="20.5703125" style="362" customWidth="1"/>
    <col min="15328" max="15329" width="9.140625" style="362"/>
    <col min="15330" max="15330" width="11.5703125" style="362" bestFit="1" customWidth="1"/>
    <col min="15331" max="15361" width="9.140625" style="362"/>
    <col min="15362" max="15362" width="28.7109375" style="362" customWidth="1"/>
    <col min="15363" max="15363" width="42.85546875" style="362" customWidth="1"/>
    <col min="15364" max="15364" width="26.28515625" style="362" customWidth="1"/>
    <col min="15365" max="15365" width="17.42578125" style="362" customWidth="1"/>
    <col min="15366" max="15579" width="9.140625" style="362"/>
    <col min="15580" max="15580" width="28" style="362" customWidth="1"/>
    <col min="15581" max="15581" width="52" style="362" customWidth="1"/>
    <col min="15582" max="15582" width="27.28515625" style="362" customWidth="1"/>
    <col min="15583" max="15583" width="20.5703125" style="362" customWidth="1"/>
    <col min="15584" max="15585" width="9.140625" style="362"/>
    <col min="15586" max="15586" width="11.5703125" style="362" bestFit="1" customWidth="1"/>
    <col min="15587" max="15617" width="9.140625" style="362"/>
    <col min="15618" max="15618" width="28.7109375" style="362" customWidth="1"/>
    <col min="15619" max="15619" width="42.85546875" style="362" customWidth="1"/>
    <col min="15620" max="15620" width="26.28515625" style="362" customWidth="1"/>
    <col min="15621" max="15621" width="17.42578125" style="362" customWidth="1"/>
    <col min="15622" max="15835" width="9.140625" style="362"/>
    <col min="15836" max="15836" width="28" style="362" customWidth="1"/>
    <col min="15837" max="15837" width="52" style="362" customWidth="1"/>
    <col min="15838" max="15838" width="27.28515625" style="362" customWidth="1"/>
    <col min="15839" max="15839" width="20.5703125" style="362" customWidth="1"/>
    <col min="15840" max="15841" width="9.140625" style="362"/>
    <col min="15842" max="15842" width="11.5703125" style="362" bestFit="1" customWidth="1"/>
    <col min="15843" max="15873" width="9.140625" style="362"/>
    <col min="15874" max="15874" width="28.7109375" style="362" customWidth="1"/>
    <col min="15875" max="15875" width="42.85546875" style="362" customWidth="1"/>
    <col min="15876" max="15876" width="26.28515625" style="362" customWidth="1"/>
    <col min="15877" max="15877" width="17.42578125" style="362" customWidth="1"/>
    <col min="15878" max="16091" width="9.140625" style="362"/>
    <col min="16092" max="16092" width="28" style="362" customWidth="1"/>
    <col min="16093" max="16093" width="52" style="362" customWidth="1"/>
    <col min="16094" max="16094" width="27.28515625" style="362" customWidth="1"/>
    <col min="16095" max="16095" width="20.5703125" style="362" customWidth="1"/>
    <col min="16096" max="16097" width="9.140625" style="362"/>
    <col min="16098" max="16098" width="11.5703125" style="362" bestFit="1" customWidth="1"/>
    <col min="16099" max="16129" width="9.140625" style="362"/>
    <col min="16130" max="16130" width="28.7109375" style="362" customWidth="1"/>
    <col min="16131" max="16131" width="42.85546875" style="362" customWidth="1"/>
    <col min="16132" max="16132" width="26.28515625" style="362" customWidth="1"/>
    <col min="16133" max="16133" width="17.42578125" style="362" customWidth="1"/>
    <col min="16134" max="16347" width="9.140625" style="362"/>
    <col min="16348" max="16348" width="28" style="362" customWidth="1"/>
    <col min="16349" max="16349" width="52" style="362" customWidth="1"/>
    <col min="16350" max="16350" width="27.28515625" style="362" customWidth="1"/>
    <col min="16351" max="16351" width="20.5703125" style="362" customWidth="1"/>
    <col min="16352" max="16353" width="9.140625" style="362"/>
    <col min="16354" max="16354" width="11.5703125" style="362" bestFit="1" customWidth="1"/>
    <col min="16355" max="16384" width="9.140625" style="362"/>
  </cols>
  <sheetData>
    <row r="1" spans="1:256" x14ac:dyDescent="0.2">
      <c r="A1" s="365"/>
      <c r="B1" s="366"/>
      <c r="C1" s="367"/>
      <c r="D1" s="368"/>
      <c r="E1" s="369" t="s">
        <v>1310</v>
      </c>
      <c r="F1" s="368"/>
      <c r="G1" s="370"/>
      <c r="H1" s="368"/>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c r="BJ1" s="371"/>
      <c r="BK1" s="371"/>
      <c r="BL1" s="371"/>
      <c r="BM1" s="371"/>
      <c r="BN1" s="371"/>
      <c r="BO1" s="371"/>
      <c r="BP1" s="371"/>
      <c r="BQ1" s="371"/>
      <c r="BR1" s="371"/>
      <c r="BS1" s="371"/>
      <c r="BT1" s="371"/>
      <c r="BU1" s="371"/>
      <c r="BV1" s="371"/>
      <c r="BW1" s="371"/>
      <c r="BX1" s="371"/>
      <c r="BY1" s="371"/>
      <c r="BZ1" s="371"/>
      <c r="CA1" s="371"/>
      <c r="CB1" s="371"/>
      <c r="CC1" s="371"/>
      <c r="CD1" s="371"/>
      <c r="CE1" s="371"/>
      <c r="CF1" s="371"/>
      <c r="CG1" s="371"/>
      <c r="CH1" s="371"/>
      <c r="CI1" s="371"/>
      <c r="CJ1" s="371"/>
      <c r="CK1" s="371"/>
      <c r="CL1" s="371"/>
      <c r="CM1" s="371"/>
      <c r="CN1" s="371"/>
      <c r="CO1" s="371"/>
      <c r="CP1" s="371"/>
      <c r="CQ1" s="371"/>
      <c r="CR1" s="371"/>
      <c r="CS1" s="371"/>
      <c r="CT1" s="371"/>
      <c r="CU1" s="371"/>
      <c r="CV1" s="371"/>
      <c r="CW1" s="371"/>
      <c r="CX1" s="371"/>
      <c r="CY1" s="371"/>
      <c r="CZ1" s="371"/>
      <c r="DA1" s="371"/>
      <c r="DB1" s="371"/>
      <c r="DC1" s="371"/>
      <c r="DD1" s="371"/>
      <c r="DE1" s="371"/>
      <c r="DF1" s="371"/>
      <c r="DG1" s="371"/>
      <c r="DH1" s="371"/>
      <c r="DI1" s="371"/>
      <c r="DJ1" s="371"/>
      <c r="DK1" s="371"/>
      <c r="DL1" s="371"/>
      <c r="DM1" s="371"/>
      <c r="DN1" s="371"/>
      <c r="DO1" s="371"/>
      <c r="DP1" s="371"/>
      <c r="DQ1" s="371"/>
      <c r="DR1" s="371"/>
      <c r="DS1" s="371"/>
      <c r="DT1" s="371"/>
      <c r="DU1" s="371"/>
      <c r="DV1" s="371"/>
      <c r="DW1" s="371"/>
      <c r="DX1" s="371"/>
      <c r="DY1" s="371"/>
      <c r="DZ1" s="371"/>
      <c r="EA1" s="371"/>
      <c r="EB1" s="371"/>
      <c r="EC1" s="371"/>
      <c r="ED1" s="371"/>
      <c r="EE1" s="371"/>
      <c r="EF1" s="371"/>
      <c r="EG1" s="371"/>
      <c r="EH1" s="371"/>
      <c r="EI1" s="371"/>
      <c r="EJ1" s="371"/>
      <c r="EK1" s="371"/>
      <c r="EL1" s="371"/>
      <c r="EM1" s="371"/>
      <c r="EN1" s="371"/>
      <c r="EO1" s="371"/>
      <c r="EP1" s="371"/>
      <c r="EQ1" s="371"/>
      <c r="ER1" s="371"/>
      <c r="ES1" s="371"/>
      <c r="ET1" s="371"/>
      <c r="EU1" s="371"/>
      <c r="EV1" s="371"/>
      <c r="EW1" s="371"/>
      <c r="EX1" s="371"/>
      <c r="EY1" s="371"/>
      <c r="EZ1" s="371"/>
      <c r="FA1" s="371"/>
      <c r="FB1" s="371"/>
      <c r="FC1" s="371"/>
      <c r="FD1" s="371"/>
      <c r="FE1" s="371"/>
      <c r="FF1" s="371"/>
      <c r="FG1" s="371"/>
      <c r="FH1" s="371"/>
      <c r="FI1" s="371"/>
      <c r="FJ1" s="371"/>
      <c r="FK1" s="371"/>
      <c r="FL1" s="371"/>
      <c r="FM1" s="371"/>
      <c r="FN1" s="371"/>
      <c r="FO1" s="371"/>
      <c r="FP1" s="371"/>
      <c r="FQ1" s="371"/>
      <c r="FR1" s="371"/>
      <c r="FS1" s="371"/>
      <c r="FT1" s="371"/>
      <c r="FU1" s="371"/>
      <c r="FV1" s="371"/>
      <c r="FW1" s="371"/>
      <c r="FX1" s="371"/>
      <c r="FY1" s="371"/>
      <c r="FZ1" s="371"/>
      <c r="GA1" s="371"/>
      <c r="GB1" s="371"/>
      <c r="GC1" s="371"/>
      <c r="GD1" s="371"/>
      <c r="GE1" s="371"/>
      <c r="GF1" s="371"/>
      <c r="GG1" s="371"/>
      <c r="GH1" s="371"/>
      <c r="GI1" s="371"/>
      <c r="GJ1" s="371"/>
      <c r="GK1" s="371"/>
      <c r="GL1" s="371"/>
      <c r="GM1" s="371"/>
      <c r="GN1" s="371"/>
      <c r="GO1" s="371"/>
      <c r="GP1" s="371"/>
      <c r="GQ1" s="371"/>
      <c r="GR1" s="371"/>
      <c r="GS1" s="371"/>
      <c r="GT1" s="371"/>
      <c r="GU1" s="371"/>
      <c r="GV1" s="371"/>
      <c r="GW1" s="371"/>
      <c r="GX1" s="371"/>
      <c r="GY1" s="371"/>
      <c r="GZ1" s="371"/>
      <c r="HA1" s="371"/>
      <c r="HB1" s="371"/>
      <c r="HC1" s="371"/>
      <c r="HD1" s="371"/>
      <c r="HE1" s="371"/>
      <c r="HF1" s="371"/>
      <c r="HG1" s="371"/>
      <c r="HH1" s="371"/>
      <c r="HI1" s="371"/>
      <c r="HJ1" s="371"/>
      <c r="HK1" s="371"/>
      <c r="HL1" s="371"/>
      <c r="HM1" s="371"/>
      <c r="HN1" s="371"/>
      <c r="HO1" s="371"/>
      <c r="HP1" s="371"/>
      <c r="HQ1" s="371"/>
      <c r="HR1" s="371"/>
      <c r="HS1" s="371"/>
      <c r="HT1" s="371"/>
      <c r="HU1" s="371"/>
      <c r="HV1" s="371"/>
      <c r="HW1" s="371"/>
      <c r="HX1" s="371"/>
      <c r="HY1" s="371"/>
      <c r="HZ1" s="371"/>
      <c r="IA1" s="371"/>
      <c r="IB1" s="371"/>
      <c r="IC1" s="371"/>
      <c r="ID1" s="371"/>
      <c r="IE1" s="371"/>
      <c r="IF1" s="371"/>
      <c r="IG1" s="371"/>
      <c r="IH1" s="371"/>
      <c r="II1" s="371"/>
      <c r="IJ1" s="371"/>
      <c r="IK1" s="371"/>
      <c r="IL1" s="371"/>
      <c r="IM1" s="371"/>
      <c r="IN1" s="371"/>
      <c r="IO1" s="371"/>
      <c r="IP1" s="371"/>
      <c r="IQ1" s="371"/>
      <c r="IR1" s="371"/>
      <c r="IS1" s="371"/>
      <c r="IT1" s="371"/>
      <c r="IU1" s="371"/>
      <c r="IV1" s="371"/>
    </row>
    <row r="2" spans="1:256" x14ac:dyDescent="0.2">
      <c r="A2" s="365"/>
      <c r="B2" s="368"/>
      <c r="D2" s="368"/>
      <c r="E2" s="372"/>
      <c r="F2" s="368"/>
      <c r="G2" s="370"/>
      <c r="H2" s="368"/>
      <c r="I2" s="370"/>
      <c r="J2" s="371"/>
      <c r="K2" s="371"/>
      <c r="L2" s="371"/>
      <c r="M2" s="371"/>
      <c r="N2" s="371"/>
      <c r="O2" s="371"/>
      <c r="P2" s="371"/>
      <c r="Q2" s="371"/>
      <c r="R2" s="371"/>
      <c r="S2" s="371"/>
      <c r="T2" s="371"/>
      <c r="U2" s="371"/>
      <c r="V2" s="371"/>
      <c r="W2" s="371"/>
      <c r="X2" s="371"/>
      <c r="Y2" s="371"/>
      <c r="Z2" s="371"/>
      <c r="AA2" s="371"/>
      <c r="AB2" s="371"/>
      <c r="AC2" s="371"/>
      <c r="AD2" s="371"/>
      <c r="AE2" s="371"/>
      <c r="AF2" s="371"/>
      <c r="AG2" s="371"/>
      <c r="AH2" s="371"/>
      <c r="AI2" s="371"/>
      <c r="AJ2" s="371"/>
      <c r="AK2" s="371"/>
      <c r="AL2" s="371"/>
      <c r="AM2" s="371"/>
      <c r="AN2" s="371"/>
      <c r="AO2" s="371"/>
      <c r="AP2" s="371"/>
      <c r="AQ2" s="371"/>
      <c r="AR2" s="371"/>
      <c r="AS2" s="371"/>
      <c r="AT2" s="371"/>
      <c r="AU2" s="371"/>
      <c r="AV2" s="371"/>
      <c r="AW2" s="371"/>
      <c r="AX2" s="371"/>
      <c r="AY2" s="371"/>
      <c r="AZ2" s="371"/>
      <c r="BA2" s="371"/>
      <c r="BB2" s="371"/>
      <c r="BC2" s="371"/>
      <c r="BD2" s="371"/>
      <c r="BE2" s="371"/>
      <c r="BF2" s="371"/>
      <c r="BG2" s="371"/>
      <c r="BH2" s="371"/>
      <c r="BI2" s="371"/>
      <c r="BJ2" s="371"/>
      <c r="BK2" s="371"/>
      <c r="BL2" s="371"/>
      <c r="BM2" s="371"/>
      <c r="BN2" s="371"/>
      <c r="BO2" s="371"/>
      <c r="BP2" s="371"/>
      <c r="BQ2" s="371"/>
      <c r="BR2" s="371"/>
      <c r="BS2" s="371"/>
      <c r="BT2" s="371"/>
      <c r="BU2" s="371"/>
      <c r="BV2" s="371"/>
      <c r="BW2" s="371"/>
      <c r="BX2" s="371"/>
      <c r="BY2" s="371"/>
      <c r="BZ2" s="371"/>
      <c r="CA2" s="371"/>
      <c r="CB2" s="371"/>
      <c r="CC2" s="371"/>
      <c r="CD2" s="371"/>
      <c r="CE2" s="371"/>
      <c r="CF2" s="371"/>
      <c r="CG2" s="371"/>
      <c r="CH2" s="371"/>
      <c r="CI2" s="371"/>
      <c r="CJ2" s="371"/>
      <c r="CK2" s="371"/>
      <c r="CL2" s="371"/>
      <c r="CM2" s="371"/>
      <c r="CN2" s="371"/>
      <c r="CO2" s="371"/>
      <c r="CP2" s="371"/>
      <c r="CQ2" s="371"/>
      <c r="CR2" s="371"/>
      <c r="CS2" s="371"/>
      <c r="CT2" s="371"/>
      <c r="CU2" s="371"/>
      <c r="CV2" s="371"/>
      <c r="CW2" s="371"/>
      <c r="CX2" s="371"/>
      <c r="CY2" s="371"/>
      <c r="CZ2" s="371"/>
      <c r="DA2" s="371"/>
      <c r="DB2" s="371"/>
      <c r="DC2" s="371"/>
      <c r="DD2" s="371"/>
      <c r="DE2" s="371"/>
      <c r="DF2" s="371"/>
      <c r="DG2" s="371"/>
      <c r="DH2" s="371"/>
      <c r="DI2" s="371"/>
      <c r="DJ2" s="371"/>
      <c r="DK2" s="371"/>
      <c r="DL2" s="371"/>
      <c r="DM2" s="371"/>
      <c r="DN2" s="371"/>
      <c r="DO2" s="371"/>
      <c r="DP2" s="371"/>
      <c r="DQ2" s="371"/>
      <c r="DR2" s="371"/>
      <c r="DS2" s="371"/>
      <c r="DT2" s="371"/>
      <c r="DU2" s="371"/>
      <c r="DV2" s="371"/>
      <c r="DW2" s="371"/>
      <c r="DX2" s="371"/>
      <c r="DY2" s="371"/>
      <c r="DZ2" s="371"/>
      <c r="EA2" s="371"/>
      <c r="EB2" s="371"/>
      <c r="EC2" s="371"/>
      <c r="ED2" s="371"/>
      <c r="EE2" s="371"/>
      <c r="EF2" s="371"/>
      <c r="EG2" s="371"/>
      <c r="EH2" s="371"/>
      <c r="EI2" s="371"/>
      <c r="EJ2" s="371"/>
      <c r="EK2" s="371"/>
      <c r="EL2" s="371"/>
      <c r="EM2" s="371"/>
      <c r="EN2" s="371"/>
      <c r="EO2" s="371"/>
      <c r="EP2" s="371"/>
      <c r="EQ2" s="371"/>
      <c r="ER2" s="371"/>
      <c r="ES2" s="371"/>
      <c r="ET2" s="371"/>
      <c r="EU2" s="371"/>
      <c r="EV2" s="371"/>
      <c r="EW2" s="371"/>
      <c r="EX2" s="371"/>
      <c r="EY2" s="371"/>
      <c r="EZ2" s="371"/>
      <c r="FA2" s="371"/>
      <c r="FB2" s="371"/>
      <c r="FC2" s="371"/>
      <c r="FD2" s="371"/>
      <c r="FE2" s="371"/>
      <c r="FF2" s="371"/>
      <c r="FG2" s="371"/>
      <c r="FH2" s="371"/>
      <c r="FI2" s="371"/>
      <c r="FJ2" s="371"/>
      <c r="FK2" s="371"/>
      <c r="FL2" s="371"/>
      <c r="FM2" s="371"/>
      <c r="FN2" s="371"/>
      <c r="FO2" s="371"/>
      <c r="FP2" s="371"/>
      <c r="FQ2" s="371"/>
      <c r="FR2" s="371"/>
      <c r="FS2" s="371"/>
      <c r="FT2" s="371"/>
      <c r="FU2" s="371"/>
      <c r="FV2" s="371"/>
      <c r="FW2" s="371"/>
      <c r="FX2" s="371"/>
      <c r="FY2" s="371"/>
      <c r="FZ2" s="371"/>
      <c r="GA2" s="371"/>
      <c r="GB2" s="371"/>
      <c r="GC2" s="371"/>
      <c r="GD2" s="371"/>
      <c r="GE2" s="371"/>
      <c r="GF2" s="371"/>
      <c r="GG2" s="371"/>
      <c r="GH2" s="371"/>
      <c r="GI2" s="371"/>
      <c r="GJ2" s="371"/>
      <c r="GK2" s="371"/>
      <c r="GL2" s="371"/>
      <c r="GM2" s="371"/>
      <c r="GN2" s="371"/>
      <c r="GO2" s="371"/>
      <c r="GP2" s="371"/>
      <c r="GQ2" s="371"/>
      <c r="GR2" s="371"/>
      <c r="GS2" s="371"/>
      <c r="GT2" s="371"/>
      <c r="GU2" s="371"/>
      <c r="GV2" s="371"/>
      <c r="GW2" s="371"/>
      <c r="GX2" s="371"/>
      <c r="GY2" s="371"/>
      <c r="GZ2" s="371"/>
      <c r="HA2" s="371"/>
      <c r="HB2" s="371"/>
      <c r="HC2" s="371"/>
      <c r="HD2" s="371"/>
      <c r="HE2" s="371"/>
      <c r="HF2" s="371"/>
      <c r="HG2" s="371"/>
      <c r="HH2" s="371"/>
      <c r="HI2" s="371"/>
      <c r="HJ2" s="371"/>
      <c r="HK2" s="371"/>
      <c r="HL2" s="371"/>
      <c r="HM2" s="371"/>
      <c r="HN2" s="371"/>
      <c r="HO2" s="371"/>
      <c r="HP2" s="371"/>
      <c r="HQ2" s="371"/>
      <c r="HR2" s="371"/>
      <c r="HS2" s="371"/>
      <c r="HT2" s="371"/>
      <c r="HU2" s="371"/>
      <c r="HV2" s="371"/>
      <c r="HW2" s="371"/>
      <c r="HX2" s="371"/>
      <c r="HY2" s="371"/>
      <c r="HZ2" s="371"/>
      <c r="IA2" s="371"/>
      <c r="IB2" s="371"/>
      <c r="IC2" s="371"/>
      <c r="ID2" s="371"/>
      <c r="IE2" s="371"/>
      <c r="IF2" s="371"/>
      <c r="IG2" s="371"/>
      <c r="IH2" s="371"/>
      <c r="II2" s="371"/>
      <c r="IJ2" s="371"/>
      <c r="IK2" s="371"/>
      <c r="IL2" s="371"/>
      <c r="IM2" s="371"/>
      <c r="IN2" s="371"/>
      <c r="IO2" s="371"/>
      <c r="IP2" s="371"/>
      <c r="IQ2" s="371"/>
      <c r="IR2" s="371"/>
      <c r="IS2" s="371"/>
      <c r="IT2" s="371"/>
      <c r="IU2" s="371"/>
      <c r="IV2" s="371"/>
    </row>
    <row r="3" spans="1:256" x14ac:dyDescent="0.2">
      <c r="A3" s="793" t="s">
        <v>1460</v>
      </c>
      <c r="B3" s="793"/>
      <c r="C3" s="793"/>
      <c r="D3" s="793"/>
      <c r="E3" s="793"/>
      <c r="F3" s="373"/>
      <c r="G3" s="373"/>
      <c r="H3" s="373"/>
      <c r="I3" s="373"/>
      <c r="J3" s="371"/>
      <c r="K3" s="371"/>
      <c r="L3" s="371"/>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O3" s="371"/>
      <c r="AP3" s="371"/>
      <c r="AQ3" s="371"/>
      <c r="AR3" s="371"/>
      <c r="AS3" s="371"/>
      <c r="AT3" s="371"/>
      <c r="AU3" s="371"/>
      <c r="AV3" s="371"/>
      <c r="AW3" s="371"/>
      <c r="AX3" s="371"/>
      <c r="AY3" s="371"/>
      <c r="AZ3" s="371"/>
      <c r="BA3" s="371"/>
      <c r="BB3" s="371"/>
      <c r="BC3" s="371"/>
      <c r="BD3" s="371"/>
      <c r="BE3" s="371"/>
      <c r="BF3" s="371"/>
      <c r="BG3" s="371"/>
      <c r="BH3" s="371"/>
      <c r="BI3" s="371"/>
      <c r="BJ3" s="371"/>
      <c r="BK3" s="371"/>
      <c r="BL3" s="371"/>
      <c r="BM3" s="371"/>
      <c r="BN3" s="371"/>
      <c r="BO3" s="371"/>
      <c r="BP3" s="371"/>
      <c r="BQ3" s="371"/>
      <c r="BR3" s="371"/>
      <c r="BS3" s="371"/>
      <c r="BT3" s="371"/>
      <c r="BU3" s="371"/>
      <c r="BV3" s="371"/>
      <c r="BW3" s="371"/>
      <c r="BX3" s="371"/>
      <c r="BY3" s="371"/>
      <c r="BZ3" s="371"/>
      <c r="CA3" s="371"/>
      <c r="CB3" s="371"/>
      <c r="CC3" s="371"/>
      <c r="CD3" s="371"/>
      <c r="CE3" s="371"/>
      <c r="CF3" s="371"/>
      <c r="CG3" s="371"/>
      <c r="CH3" s="371"/>
      <c r="CI3" s="371"/>
      <c r="CJ3" s="371"/>
      <c r="CK3" s="371"/>
      <c r="CL3" s="371"/>
      <c r="CM3" s="371"/>
      <c r="CN3" s="371"/>
      <c r="CO3" s="371"/>
      <c r="CP3" s="371"/>
      <c r="CQ3" s="371"/>
      <c r="CR3" s="371"/>
      <c r="CS3" s="371"/>
      <c r="CT3" s="371"/>
      <c r="CU3" s="371"/>
      <c r="CV3" s="371"/>
      <c r="CW3" s="371"/>
      <c r="CX3" s="371"/>
      <c r="CY3" s="371"/>
      <c r="CZ3" s="371"/>
      <c r="DA3" s="371"/>
      <c r="DB3" s="371"/>
      <c r="DC3" s="371"/>
      <c r="DD3" s="371"/>
      <c r="DE3" s="371"/>
      <c r="DF3" s="371"/>
      <c r="DG3" s="371"/>
      <c r="DH3" s="371"/>
      <c r="DI3" s="371"/>
      <c r="DJ3" s="371"/>
      <c r="DK3" s="371"/>
      <c r="DL3" s="371"/>
      <c r="DM3" s="371"/>
      <c r="DN3" s="371"/>
      <c r="DO3" s="371"/>
      <c r="DP3" s="371"/>
      <c r="DQ3" s="371"/>
      <c r="DR3" s="371"/>
      <c r="DS3" s="371"/>
      <c r="DT3" s="371"/>
      <c r="DU3" s="371"/>
      <c r="DV3" s="371"/>
      <c r="DW3" s="371"/>
      <c r="DX3" s="371"/>
      <c r="DY3" s="371"/>
      <c r="DZ3" s="371"/>
      <c r="EA3" s="371"/>
      <c r="EB3" s="371"/>
      <c r="EC3" s="371"/>
      <c r="ED3" s="371"/>
      <c r="EE3" s="371"/>
      <c r="EF3" s="371"/>
      <c r="EG3" s="371"/>
      <c r="EH3" s="371"/>
      <c r="EI3" s="371"/>
      <c r="EJ3" s="371"/>
      <c r="EK3" s="371"/>
      <c r="EL3" s="371"/>
      <c r="EM3" s="371"/>
      <c r="EN3" s="371"/>
      <c r="EO3" s="371"/>
      <c r="EP3" s="371"/>
      <c r="EQ3" s="371"/>
      <c r="ER3" s="371"/>
      <c r="ES3" s="371"/>
      <c r="ET3" s="371"/>
      <c r="EU3" s="371"/>
      <c r="EV3" s="371"/>
      <c r="EW3" s="371"/>
      <c r="EX3" s="371"/>
      <c r="EY3" s="371"/>
      <c r="EZ3" s="371"/>
      <c r="FA3" s="371"/>
      <c r="FB3" s="371"/>
      <c r="FC3" s="371"/>
      <c r="FD3" s="371"/>
      <c r="FE3" s="371"/>
      <c r="FF3" s="371"/>
      <c r="FG3" s="371"/>
      <c r="FH3" s="371"/>
      <c r="FI3" s="371"/>
      <c r="FJ3" s="371"/>
      <c r="FK3" s="371"/>
      <c r="FL3" s="371"/>
      <c r="FM3" s="371"/>
      <c r="FN3" s="371"/>
      <c r="FO3" s="371"/>
      <c r="FP3" s="371"/>
      <c r="FQ3" s="371"/>
      <c r="FR3" s="371"/>
      <c r="FS3" s="371"/>
      <c r="FT3" s="371"/>
      <c r="FU3" s="371"/>
      <c r="FV3" s="371"/>
      <c r="FW3" s="371"/>
      <c r="FX3" s="371"/>
      <c r="FY3" s="371"/>
      <c r="FZ3" s="371"/>
      <c r="GA3" s="371"/>
      <c r="GB3" s="371"/>
      <c r="GC3" s="371"/>
      <c r="GD3" s="371"/>
      <c r="GE3" s="371"/>
      <c r="GF3" s="371"/>
      <c r="GG3" s="371"/>
      <c r="GH3" s="371"/>
      <c r="GI3" s="371"/>
      <c r="GJ3" s="371"/>
      <c r="GK3" s="371"/>
      <c r="GL3" s="371"/>
      <c r="GM3" s="371"/>
      <c r="GN3" s="371"/>
      <c r="GO3" s="371"/>
      <c r="GP3" s="371"/>
      <c r="GQ3" s="371"/>
      <c r="GR3" s="371"/>
      <c r="GS3" s="371"/>
      <c r="GT3" s="371"/>
      <c r="GU3" s="371"/>
      <c r="GV3" s="371"/>
      <c r="GW3" s="371"/>
      <c r="GX3" s="371"/>
      <c r="GY3" s="371"/>
      <c r="GZ3" s="371"/>
      <c r="HA3" s="371"/>
      <c r="HB3" s="371"/>
      <c r="HC3" s="371"/>
      <c r="HD3" s="371"/>
      <c r="HE3" s="371"/>
      <c r="HF3" s="371"/>
      <c r="HG3" s="371"/>
      <c r="HH3" s="371"/>
      <c r="HI3" s="371"/>
      <c r="HJ3" s="371"/>
      <c r="HK3" s="371"/>
      <c r="HL3" s="371"/>
      <c r="HM3" s="371"/>
      <c r="HN3" s="371"/>
      <c r="HO3" s="371"/>
      <c r="HP3" s="371"/>
      <c r="HQ3" s="371"/>
      <c r="HR3" s="371"/>
      <c r="HS3" s="371"/>
      <c r="HT3" s="371"/>
      <c r="HU3" s="371"/>
      <c r="HV3" s="371"/>
      <c r="HW3" s="371"/>
      <c r="HX3" s="371"/>
      <c r="HY3" s="371"/>
      <c r="HZ3" s="371"/>
      <c r="IA3" s="371"/>
      <c r="IB3" s="371"/>
      <c r="IC3" s="371"/>
      <c r="ID3" s="371"/>
      <c r="IE3" s="371"/>
      <c r="IF3" s="371"/>
      <c r="IG3" s="371"/>
      <c r="IH3" s="371"/>
      <c r="II3" s="371"/>
      <c r="IJ3" s="371"/>
      <c r="IK3" s="371"/>
      <c r="IL3" s="371"/>
      <c r="IM3" s="371"/>
      <c r="IN3" s="371"/>
      <c r="IO3" s="371"/>
      <c r="IP3" s="371"/>
      <c r="IQ3" s="371"/>
      <c r="IR3" s="371"/>
      <c r="IS3" s="371"/>
      <c r="IT3" s="371"/>
      <c r="IU3" s="371"/>
      <c r="IV3" s="371"/>
    </row>
    <row r="4" spans="1:256" x14ac:dyDescent="0.2">
      <c r="A4" s="794" t="s">
        <v>1312</v>
      </c>
      <c r="B4" s="794"/>
      <c r="C4" s="794"/>
      <c r="D4" s="794"/>
      <c r="E4" s="794"/>
      <c r="F4" s="374"/>
      <c r="G4" s="374"/>
      <c r="H4" s="374"/>
      <c r="I4" s="374"/>
      <c r="J4" s="371"/>
      <c r="K4" s="371"/>
      <c r="L4" s="371"/>
      <c r="M4" s="371"/>
      <c r="N4" s="371"/>
      <c r="O4" s="371"/>
      <c r="P4" s="371"/>
      <c r="Q4" s="371"/>
      <c r="R4" s="371"/>
      <c r="S4" s="371"/>
      <c r="T4" s="371"/>
      <c r="U4" s="371"/>
      <c r="V4" s="371"/>
      <c r="W4" s="371"/>
      <c r="X4" s="371"/>
      <c r="Y4" s="371"/>
      <c r="Z4" s="371"/>
      <c r="AA4" s="371"/>
      <c r="AB4" s="371"/>
      <c r="AC4" s="371"/>
      <c r="AD4" s="371"/>
      <c r="AE4" s="371"/>
      <c r="AF4" s="371"/>
      <c r="AG4" s="371"/>
      <c r="AH4" s="371"/>
      <c r="AI4" s="371"/>
      <c r="AJ4" s="371"/>
      <c r="AK4" s="371"/>
      <c r="AL4" s="371"/>
      <c r="AM4" s="371"/>
      <c r="AN4" s="371"/>
      <c r="AO4" s="371"/>
      <c r="AP4" s="371"/>
      <c r="AQ4" s="371"/>
      <c r="AR4" s="371"/>
      <c r="AS4" s="371"/>
      <c r="AT4" s="371"/>
      <c r="AU4" s="371"/>
      <c r="AV4" s="371"/>
      <c r="AW4" s="371"/>
      <c r="AX4" s="371"/>
      <c r="AY4" s="371"/>
      <c r="AZ4" s="371"/>
      <c r="BA4" s="371"/>
      <c r="BB4" s="371"/>
      <c r="BC4" s="371"/>
      <c r="BD4" s="371"/>
      <c r="BE4" s="371"/>
      <c r="BF4" s="371"/>
      <c r="BG4" s="371"/>
      <c r="BH4" s="371"/>
      <c r="BI4" s="371"/>
      <c r="BJ4" s="371"/>
      <c r="BK4" s="371"/>
      <c r="BL4" s="371"/>
      <c r="BM4" s="371"/>
      <c r="BN4" s="371"/>
      <c r="BO4" s="371"/>
      <c r="BP4" s="371"/>
      <c r="BQ4" s="371"/>
      <c r="BR4" s="371"/>
      <c r="BS4" s="371"/>
      <c r="BT4" s="371"/>
      <c r="BU4" s="371"/>
      <c r="BV4" s="371"/>
      <c r="BW4" s="371"/>
      <c r="BX4" s="371"/>
      <c r="BY4" s="371"/>
      <c r="BZ4" s="371"/>
      <c r="CA4" s="371"/>
      <c r="CB4" s="371"/>
      <c r="CC4" s="371"/>
      <c r="CD4" s="371"/>
      <c r="CE4" s="371"/>
      <c r="CF4" s="371"/>
      <c r="CG4" s="371"/>
      <c r="CH4" s="371"/>
      <c r="CI4" s="371"/>
      <c r="CJ4" s="371"/>
      <c r="CK4" s="371"/>
      <c r="CL4" s="371"/>
      <c r="CM4" s="371"/>
      <c r="CN4" s="371"/>
      <c r="CO4" s="371"/>
      <c r="CP4" s="371"/>
      <c r="CQ4" s="371"/>
      <c r="CR4" s="371"/>
      <c r="CS4" s="371"/>
      <c r="CT4" s="371"/>
      <c r="CU4" s="371"/>
      <c r="CV4" s="371"/>
      <c r="CW4" s="371"/>
      <c r="CX4" s="371"/>
      <c r="CY4" s="371"/>
      <c r="CZ4" s="371"/>
      <c r="DA4" s="371"/>
      <c r="DB4" s="371"/>
      <c r="DC4" s="371"/>
      <c r="DD4" s="371"/>
      <c r="DE4" s="371"/>
      <c r="DF4" s="371"/>
      <c r="DG4" s="371"/>
      <c r="DH4" s="371"/>
      <c r="DI4" s="371"/>
      <c r="DJ4" s="371"/>
      <c r="DK4" s="371"/>
      <c r="DL4" s="371"/>
      <c r="DM4" s="371"/>
      <c r="DN4" s="371"/>
      <c r="DO4" s="371"/>
      <c r="DP4" s="371"/>
      <c r="DQ4" s="371"/>
      <c r="DR4" s="371"/>
      <c r="DS4" s="371"/>
      <c r="DT4" s="371"/>
      <c r="DU4" s="371"/>
      <c r="DV4" s="371"/>
      <c r="DW4" s="371"/>
      <c r="DX4" s="371"/>
      <c r="DY4" s="371"/>
      <c r="DZ4" s="371"/>
      <c r="EA4" s="371"/>
      <c r="EB4" s="371"/>
      <c r="EC4" s="371"/>
      <c r="ED4" s="371"/>
      <c r="EE4" s="371"/>
      <c r="EF4" s="371"/>
      <c r="EG4" s="371"/>
      <c r="EH4" s="371"/>
      <c r="EI4" s="371"/>
      <c r="EJ4" s="371"/>
      <c r="EK4" s="371"/>
      <c r="EL4" s="371"/>
      <c r="EM4" s="371"/>
      <c r="EN4" s="371"/>
      <c r="EO4" s="371"/>
      <c r="EP4" s="371"/>
      <c r="EQ4" s="371"/>
      <c r="ER4" s="371"/>
      <c r="ES4" s="371"/>
      <c r="ET4" s="371"/>
      <c r="EU4" s="371"/>
      <c r="EV4" s="371"/>
      <c r="EW4" s="371"/>
      <c r="EX4" s="371"/>
      <c r="EY4" s="371"/>
      <c r="EZ4" s="371"/>
      <c r="FA4" s="371"/>
      <c r="FB4" s="371"/>
      <c r="FC4" s="371"/>
      <c r="FD4" s="371"/>
      <c r="FE4" s="371"/>
      <c r="FF4" s="371"/>
      <c r="FG4" s="371"/>
      <c r="FH4" s="371"/>
      <c r="FI4" s="371"/>
      <c r="FJ4" s="371"/>
      <c r="FK4" s="371"/>
      <c r="FL4" s="371"/>
      <c r="FM4" s="371"/>
      <c r="FN4" s="371"/>
      <c r="FO4" s="371"/>
      <c r="FP4" s="371"/>
      <c r="FQ4" s="371"/>
      <c r="FR4" s="371"/>
      <c r="FS4" s="371"/>
      <c r="FT4" s="371"/>
      <c r="FU4" s="371"/>
      <c r="FV4" s="371"/>
      <c r="FW4" s="371"/>
      <c r="FX4" s="371"/>
      <c r="FY4" s="371"/>
      <c r="FZ4" s="371"/>
      <c r="GA4" s="371"/>
      <c r="GB4" s="371"/>
      <c r="GC4" s="371"/>
      <c r="GD4" s="371"/>
      <c r="GE4" s="371"/>
      <c r="GF4" s="371"/>
      <c r="GG4" s="371"/>
      <c r="GH4" s="371"/>
      <c r="GI4" s="371"/>
      <c r="GJ4" s="371"/>
      <c r="GK4" s="371"/>
      <c r="GL4" s="371"/>
      <c r="GM4" s="371"/>
      <c r="GN4" s="371"/>
      <c r="GO4" s="371"/>
      <c r="GP4" s="371"/>
      <c r="GQ4" s="371"/>
      <c r="GR4" s="371"/>
      <c r="GS4" s="371"/>
      <c r="GT4" s="371"/>
      <c r="GU4" s="371"/>
      <c r="GV4" s="371"/>
      <c r="GW4" s="371"/>
      <c r="GX4" s="371"/>
      <c r="GY4" s="371"/>
      <c r="GZ4" s="371"/>
      <c r="HA4" s="371"/>
      <c r="HB4" s="371"/>
      <c r="HC4" s="371"/>
      <c r="HD4" s="371"/>
      <c r="HE4" s="371"/>
      <c r="HF4" s="371"/>
      <c r="HG4" s="371"/>
      <c r="HH4" s="371"/>
      <c r="HI4" s="371"/>
      <c r="HJ4" s="371"/>
      <c r="HK4" s="371"/>
      <c r="HL4" s="371"/>
      <c r="HM4" s="371"/>
      <c r="HN4" s="371"/>
      <c r="HO4" s="371"/>
      <c r="HP4" s="371"/>
      <c r="HQ4" s="371"/>
      <c r="HR4" s="371"/>
      <c r="HS4" s="371"/>
      <c r="HT4" s="371"/>
      <c r="HU4" s="371"/>
      <c r="HV4" s="371"/>
      <c r="HW4" s="371"/>
      <c r="HX4" s="371"/>
      <c r="HY4" s="371"/>
      <c r="HZ4" s="371"/>
      <c r="IA4" s="371"/>
      <c r="IB4" s="371"/>
      <c r="IC4" s="371"/>
      <c r="ID4" s="371"/>
      <c r="IE4" s="371"/>
      <c r="IF4" s="371"/>
      <c r="IG4" s="371"/>
      <c r="IH4" s="371"/>
      <c r="II4" s="371"/>
      <c r="IJ4" s="371"/>
      <c r="IK4" s="371"/>
      <c r="IL4" s="371"/>
      <c r="IM4" s="371"/>
      <c r="IN4" s="371"/>
      <c r="IO4" s="371"/>
      <c r="IP4" s="371"/>
      <c r="IQ4" s="371"/>
      <c r="IR4" s="371"/>
      <c r="IS4" s="371"/>
      <c r="IT4" s="371"/>
      <c r="IU4" s="371"/>
      <c r="IV4" s="371"/>
    </row>
    <row r="5" spans="1:256" x14ac:dyDescent="0.2">
      <c r="A5" s="365"/>
      <c r="B5" s="368"/>
      <c r="C5" s="368"/>
      <c r="D5" s="368"/>
      <c r="E5" s="372"/>
      <c r="F5" s="368"/>
      <c r="G5" s="370"/>
      <c r="H5" s="368"/>
      <c r="I5" s="370"/>
      <c r="J5" s="371"/>
      <c r="K5" s="371"/>
      <c r="L5" s="371"/>
      <c r="M5" s="371"/>
      <c r="N5" s="371"/>
      <c r="O5" s="371"/>
      <c r="P5" s="371"/>
      <c r="Q5" s="371"/>
      <c r="R5" s="371"/>
      <c r="S5" s="371"/>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row>
    <row r="6" spans="1:256" ht="25.5" x14ac:dyDescent="0.2">
      <c r="A6" s="365"/>
      <c r="B6" s="375" t="s">
        <v>1313</v>
      </c>
      <c r="C6" s="795" t="str">
        <f>СВОД!B42</f>
        <v>Сети связи и сигнализации</v>
      </c>
      <c r="D6" s="795"/>
      <c r="E6" s="795"/>
      <c r="F6" s="376"/>
      <c r="G6" s="376"/>
      <c r="H6" s="376"/>
      <c r="I6" s="376"/>
      <c r="J6" s="371"/>
      <c r="K6" s="371"/>
      <c r="L6" s="371"/>
      <c r="M6" s="371"/>
      <c r="N6" s="371"/>
      <c r="O6" s="371"/>
      <c r="P6" s="371"/>
      <c r="Q6" s="371"/>
      <c r="R6" s="371"/>
      <c r="S6" s="371"/>
      <c r="T6" s="371"/>
      <c r="U6" s="371"/>
      <c r="V6" s="371"/>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71"/>
      <c r="BF6" s="371"/>
      <c r="BG6" s="371"/>
      <c r="BH6" s="371"/>
      <c r="BI6" s="371"/>
      <c r="BJ6" s="371"/>
      <c r="BK6" s="371"/>
      <c r="BL6" s="371"/>
      <c r="BM6" s="371"/>
      <c r="BN6" s="371"/>
      <c r="BO6" s="371"/>
      <c r="BP6" s="371"/>
      <c r="BQ6" s="371"/>
      <c r="BR6" s="371"/>
      <c r="BS6" s="371"/>
      <c r="BT6" s="371"/>
      <c r="BU6" s="371"/>
      <c r="BV6" s="371"/>
      <c r="BW6" s="371"/>
      <c r="BX6" s="371"/>
      <c r="BY6" s="371"/>
      <c r="BZ6" s="371"/>
      <c r="CA6" s="371"/>
      <c r="CB6" s="371"/>
      <c r="CC6" s="371"/>
      <c r="CD6" s="371"/>
      <c r="CE6" s="371"/>
      <c r="CF6" s="371"/>
      <c r="CG6" s="371"/>
      <c r="CH6" s="371"/>
      <c r="CI6" s="371"/>
      <c r="CJ6" s="371"/>
      <c r="CK6" s="371"/>
      <c r="CL6" s="371"/>
      <c r="CM6" s="371"/>
      <c r="CN6" s="371"/>
      <c r="CO6" s="371"/>
      <c r="CP6" s="371"/>
      <c r="CQ6" s="371"/>
      <c r="CR6" s="371"/>
      <c r="CS6" s="371"/>
      <c r="CT6" s="371"/>
      <c r="CU6" s="371"/>
      <c r="CV6" s="371"/>
      <c r="CW6" s="371"/>
      <c r="CX6" s="371"/>
      <c r="CY6" s="371"/>
      <c r="CZ6" s="371"/>
      <c r="DA6" s="371"/>
      <c r="DB6" s="371"/>
      <c r="DC6" s="371"/>
      <c r="DD6" s="371"/>
      <c r="DE6" s="371"/>
      <c r="DF6" s="371"/>
      <c r="DG6" s="371"/>
      <c r="DH6" s="371"/>
      <c r="DI6" s="371"/>
      <c r="DJ6" s="371"/>
      <c r="DK6" s="371"/>
      <c r="DL6" s="371"/>
      <c r="DM6" s="371"/>
      <c r="DN6" s="371"/>
      <c r="DO6" s="371"/>
      <c r="DP6" s="371"/>
      <c r="DQ6" s="371"/>
      <c r="DR6" s="371"/>
      <c r="DS6" s="371"/>
      <c r="DT6" s="371"/>
      <c r="DU6" s="371"/>
      <c r="DV6" s="371"/>
      <c r="DW6" s="371"/>
      <c r="DX6" s="371"/>
      <c r="DY6" s="371"/>
      <c r="DZ6" s="371"/>
      <c r="EA6" s="371"/>
      <c r="EB6" s="371"/>
      <c r="EC6" s="371"/>
      <c r="ED6" s="371"/>
      <c r="EE6" s="371"/>
      <c r="EF6" s="371"/>
      <c r="EG6" s="371"/>
      <c r="EH6" s="371"/>
      <c r="EI6" s="371"/>
      <c r="EJ6" s="371"/>
      <c r="EK6" s="371"/>
      <c r="EL6" s="371"/>
      <c r="EM6" s="371"/>
      <c r="EN6" s="371"/>
      <c r="EO6" s="371"/>
      <c r="EP6" s="371"/>
      <c r="EQ6" s="371"/>
      <c r="ER6" s="371"/>
      <c r="ES6" s="371"/>
      <c r="ET6" s="371"/>
      <c r="EU6" s="371"/>
      <c r="EV6" s="371"/>
      <c r="EW6" s="371"/>
      <c r="EX6" s="371"/>
      <c r="EY6" s="371"/>
      <c r="EZ6" s="371"/>
      <c r="FA6" s="371"/>
      <c r="FB6" s="371"/>
      <c r="FC6" s="371"/>
      <c r="FD6" s="371"/>
      <c r="FE6" s="371"/>
      <c r="FF6" s="371"/>
      <c r="FG6" s="371"/>
      <c r="FH6" s="371"/>
      <c r="FI6" s="371"/>
      <c r="FJ6" s="371"/>
      <c r="FK6" s="371"/>
      <c r="FL6" s="371"/>
      <c r="FM6" s="371"/>
      <c r="FN6" s="371"/>
      <c r="FO6" s="371"/>
      <c r="FP6" s="371"/>
      <c r="FQ6" s="371"/>
      <c r="FR6" s="371"/>
      <c r="FS6" s="371"/>
      <c r="FT6" s="371"/>
      <c r="FU6" s="371"/>
      <c r="FV6" s="371"/>
      <c r="FW6" s="371"/>
      <c r="FX6" s="371"/>
      <c r="FY6" s="371"/>
      <c r="FZ6" s="371"/>
      <c r="GA6" s="371"/>
      <c r="GB6" s="371"/>
      <c r="GC6" s="371"/>
      <c r="GD6" s="371"/>
      <c r="GE6" s="371"/>
      <c r="GF6" s="371"/>
      <c r="GG6" s="371"/>
      <c r="GH6" s="371"/>
      <c r="GI6" s="371"/>
      <c r="GJ6" s="371"/>
      <c r="GK6" s="371"/>
      <c r="GL6" s="371"/>
      <c r="GM6" s="371"/>
      <c r="GN6" s="371"/>
      <c r="GO6" s="371"/>
      <c r="GP6" s="371"/>
      <c r="GQ6" s="371"/>
      <c r="GR6" s="371"/>
      <c r="GS6" s="371"/>
      <c r="GT6" s="371"/>
      <c r="GU6" s="371"/>
      <c r="GV6" s="371"/>
      <c r="GW6" s="371"/>
      <c r="GX6" s="371"/>
      <c r="GY6" s="371"/>
      <c r="GZ6" s="371"/>
      <c r="HA6" s="371"/>
      <c r="HB6" s="371"/>
      <c r="HC6" s="371"/>
      <c r="HD6" s="371"/>
      <c r="HE6" s="371"/>
      <c r="HF6" s="371"/>
      <c r="HG6" s="371"/>
      <c r="HH6" s="371"/>
      <c r="HI6" s="371"/>
      <c r="HJ6" s="371"/>
      <c r="HK6" s="371"/>
      <c r="HL6" s="371"/>
      <c r="HM6" s="371"/>
      <c r="HN6" s="371"/>
      <c r="HO6" s="371"/>
      <c r="HP6" s="371"/>
      <c r="HQ6" s="371"/>
      <c r="HR6" s="371"/>
      <c r="HS6" s="371"/>
      <c r="HT6" s="371"/>
      <c r="HU6" s="371"/>
      <c r="HV6" s="371"/>
      <c r="HW6" s="371"/>
      <c r="HX6" s="371"/>
      <c r="HY6" s="371"/>
      <c r="HZ6" s="371"/>
      <c r="IA6" s="371"/>
      <c r="IB6" s="371"/>
      <c r="IC6" s="371"/>
      <c r="ID6" s="371"/>
      <c r="IE6" s="371"/>
      <c r="IF6" s="371"/>
      <c r="IG6" s="371"/>
      <c r="IH6" s="371"/>
      <c r="II6" s="371"/>
      <c r="IJ6" s="371"/>
      <c r="IK6" s="371"/>
      <c r="IL6" s="371"/>
      <c r="IM6" s="371"/>
      <c r="IN6" s="371"/>
      <c r="IO6" s="371"/>
      <c r="IP6" s="371"/>
      <c r="IQ6" s="371"/>
      <c r="IR6" s="371"/>
      <c r="IS6" s="371"/>
      <c r="IT6" s="371"/>
      <c r="IU6" s="371"/>
      <c r="IV6" s="371"/>
    </row>
    <row r="7" spans="1:256" x14ac:dyDescent="0.2">
      <c r="A7" s="365"/>
      <c r="B7" s="377"/>
      <c r="C7" s="378" t="s">
        <v>846</v>
      </c>
      <c r="D7" s="377"/>
      <c r="E7" s="379"/>
      <c r="F7" s="378"/>
      <c r="G7" s="378"/>
      <c r="H7" s="378"/>
      <c r="I7" s="378"/>
      <c r="J7" s="380"/>
      <c r="K7" s="380"/>
      <c r="L7" s="380"/>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0"/>
      <c r="CH7" s="380"/>
      <c r="CI7" s="380"/>
      <c r="CJ7" s="380"/>
      <c r="CK7" s="380"/>
      <c r="CL7" s="380"/>
      <c r="CM7" s="380"/>
      <c r="CN7" s="380"/>
      <c r="CO7" s="380"/>
      <c r="CP7" s="380"/>
      <c r="CQ7" s="380"/>
      <c r="CR7" s="380"/>
      <c r="CS7" s="380"/>
      <c r="CT7" s="380"/>
      <c r="CU7" s="380"/>
      <c r="CV7" s="380"/>
      <c r="CW7" s="380"/>
      <c r="CX7" s="380"/>
      <c r="CY7" s="380"/>
      <c r="CZ7" s="380"/>
      <c r="DA7" s="380"/>
      <c r="DB7" s="380"/>
      <c r="DC7" s="380"/>
      <c r="DD7" s="380"/>
      <c r="DE7" s="380"/>
      <c r="DF7" s="380"/>
      <c r="DG7" s="380"/>
      <c r="DH7" s="380"/>
      <c r="DI7" s="380"/>
      <c r="DJ7" s="380"/>
      <c r="DK7" s="380"/>
      <c r="DL7" s="380"/>
      <c r="DM7" s="380"/>
      <c r="DN7" s="380"/>
      <c r="DO7" s="380"/>
      <c r="DP7" s="380"/>
      <c r="DQ7" s="380"/>
      <c r="DR7" s="380"/>
      <c r="DS7" s="380"/>
      <c r="DT7" s="380"/>
      <c r="DU7" s="380"/>
      <c r="DV7" s="380"/>
      <c r="DW7" s="380"/>
      <c r="DX7" s="380"/>
      <c r="DY7" s="380"/>
      <c r="DZ7" s="380"/>
      <c r="EA7" s="380"/>
      <c r="EB7" s="380"/>
      <c r="EC7" s="380"/>
      <c r="ED7" s="380"/>
      <c r="EE7" s="380"/>
      <c r="EF7" s="380"/>
      <c r="EG7" s="380"/>
      <c r="EH7" s="380"/>
      <c r="EI7" s="380"/>
      <c r="EJ7" s="380"/>
      <c r="EK7" s="380"/>
      <c r="EL7" s="380"/>
      <c r="EM7" s="380"/>
      <c r="EN7" s="380"/>
      <c r="EO7" s="380"/>
      <c r="EP7" s="380"/>
      <c r="EQ7" s="380"/>
      <c r="ER7" s="380"/>
      <c r="ES7" s="380"/>
      <c r="ET7" s="380"/>
      <c r="EU7" s="380"/>
      <c r="EV7" s="380"/>
      <c r="EW7" s="380"/>
      <c r="EX7" s="380"/>
      <c r="EY7" s="380"/>
      <c r="EZ7" s="380"/>
      <c r="FA7" s="380"/>
      <c r="FB7" s="380"/>
      <c r="FC7" s="380"/>
      <c r="FD7" s="380"/>
      <c r="FE7" s="380"/>
      <c r="FF7" s="380"/>
      <c r="FG7" s="380"/>
      <c r="FH7" s="380"/>
      <c r="FI7" s="380"/>
      <c r="FJ7" s="380"/>
      <c r="FK7" s="380"/>
      <c r="FL7" s="380"/>
      <c r="FM7" s="380"/>
      <c r="FN7" s="380"/>
      <c r="FO7" s="380"/>
      <c r="FP7" s="380"/>
      <c r="FQ7" s="380"/>
      <c r="FR7" s="380"/>
      <c r="FS7" s="380"/>
      <c r="FT7" s="380"/>
      <c r="FU7" s="380"/>
      <c r="FV7" s="380"/>
      <c r="FW7" s="380"/>
      <c r="FX7" s="380"/>
      <c r="FY7" s="380"/>
      <c r="FZ7" s="380"/>
      <c r="GA7" s="380"/>
      <c r="GB7" s="380"/>
      <c r="GC7" s="380"/>
      <c r="GD7" s="380"/>
      <c r="GE7" s="380"/>
      <c r="GF7" s="380"/>
      <c r="GG7" s="380"/>
      <c r="GH7" s="380"/>
      <c r="GI7" s="380"/>
      <c r="GJ7" s="380"/>
      <c r="GK7" s="380"/>
      <c r="GL7" s="380"/>
      <c r="GM7" s="380"/>
      <c r="GN7" s="380"/>
      <c r="GO7" s="380"/>
      <c r="GP7" s="380"/>
      <c r="GQ7" s="380"/>
      <c r="GR7" s="380"/>
      <c r="GS7" s="380"/>
      <c r="GT7" s="380"/>
      <c r="GU7" s="380"/>
      <c r="GV7" s="380"/>
      <c r="GW7" s="380"/>
      <c r="GX7" s="380"/>
      <c r="GY7" s="380"/>
      <c r="GZ7" s="380"/>
      <c r="HA7" s="380"/>
      <c r="HB7" s="380"/>
      <c r="HC7" s="380"/>
      <c r="HD7" s="380"/>
      <c r="HE7" s="380"/>
      <c r="HF7" s="380"/>
      <c r="HG7" s="380"/>
      <c r="HH7" s="380"/>
      <c r="HI7" s="380"/>
      <c r="HJ7" s="380"/>
      <c r="HK7" s="380"/>
      <c r="HL7" s="380"/>
      <c r="HM7" s="380"/>
      <c r="HN7" s="380"/>
      <c r="HO7" s="380"/>
      <c r="HP7" s="380"/>
      <c r="HQ7" s="380"/>
      <c r="HR7" s="380"/>
      <c r="HS7" s="380"/>
      <c r="HT7" s="380"/>
      <c r="HU7" s="380"/>
      <c r="HV7" s="380"/>
      <c r="HW7" s="380"/>
      <c r="HX7" s="380"/>
      <c r="HY7" s="380"/>
      <c r="HZ7" s="380"/>
      <c r="IA7" s="380"/>
      <c r="IB7" s="380"/>
      <c r="IC7" s="380"/>
      <c r="ID7" s="380"/>
      <c r="IE7" s="380"/>
      <c r="IF7" s="380"/>
      <c r="IG7" s="380"/>
      <c r="IH7" s="380"/>
      <c r="II7" s="380"/>
      <c r="IJ7" s="380"/>
      <c r="IK7" s="380"/>
      <c r="IL7" s="380"/>
      <c r="IM7" s="380"/>
      <c r="IN7" s="380"/>
      <c r="IO7" s="380"/>
      <c r="IP7" s="380"/>
      <c r="IQ7" s="380"/>
      <c r="IR7" s="380"/>
      <c r="IS7" s="380"/>
      <c r="IT7" s="380"/>
      <c r="IU7" s="380"/>
      <c r="IV7" s="380"/>
    </row>
    <row r="8" spans="1:256" x14ac:dyDescent="0.2">
      <c r="A8" s="365"/>
      <c r="B8" s="381" t="s">
        <v>1314</v>
      </c>
      <c r="C8" s="377" t="str">
        <f>СВОД!D14</f>
        <v>Определяется по итогам конкурентных процедур</v>
      </c>
      <c r="D8" s="377"/>
      <c r="E8" s="382"/>
      <c r="F8" s="383"/>
      <c r="G8" s="384"/>
      <c r="H8" s="377"/>
      <c r="I8" s="385"/>
      <c r="J8" s="371"/>
      <c r="K8" s="371"/>
      <c r="L8" s="371"/>
      <c r="M8" s="371"/>
      <c r="N8" s="371"/>
      <c r="O8" s="371"/>
      <c r="P8" s="371"/>
      <c r="Q8" s="371"/>
      <c r="R8" s="371"/>
      <c r="S8" s="371"/>
      <c r="T8" s="371"/>
      <c r="U8" s="371"/>
      <c r="V8" s="371"/>
      <c r="W8" s="371"/>
      <c r="X8" s="371"/>
      <c r="Y8" s="371"/>
      <c r="Z8" s="371"/>
      <c r="AA8" s="371"/>
      <c r="AB8" s="371"/>
      <c r="AC8" s="371"/>
      <c r="AD8" s="371"/>
      <c r="AE8" s="371"/>
      <c r="AF8" s="371"/>
      <c r="AG8" s="371"/>
      <c r="AH8" s="371"/>
      <c r="AI8" s="371"/>
      <c r="AJ8" s="371"/>
      <c r="AK8" s="371"/>
      <c r="AL8" s="371"/>
      <c r="AM8" s="371"/>
      <c r="AN8" s="371"/>
      <c r="AO8" s="371"/>
      <c r="AP8" s="371"/>
      <c r="AQ8" s="371"/>
      <c r="AR8" s="371"/>
      <c r="AS8" s="371"/>
      <c r="AT8" s="371"/>
      <c r="AU8" s="371"/>
      <c r="AV8" s="371"/>
      <c r="AW8" s="371"/>
      <c r="AX8" s="371"/>
      <c r="AY8" s="371"/>
      <c r="AZ8" s="371"/>
      <c r="BA8" s="371"/>
      <c r="BB8" s="371"/>
      <c r="BC8" s="371"/>
      <c r="BD8" s="371"/>
      <c r="BE8" s="371"/>
      <c r="BF8" s="371"/>
      <c r="BG8" s="371"/>
      <c r="BH8" s="371"/>
      <c r="BI8" s="371"/>
      <c r="BJ8" s="371"/>
      <c r="BK8" s="371"/>
      <c r="BL8" s="371"/>
      <c r="BM8" s="371"/>
      <c r="BN8" s="371"/>
      <c r="BO8" s="371"/>
      <c r="BP8" s="371"/>
      <c r="BQ8" s="371"/>
      <c r="BR8" s="371"/>
      <c r="BS8" s="371"/>
      <c r="BT8" s="371"/>
      <c r="BU8" s="371"/>
      <c r="BV8" s="371"/>
      <c r="BW8" s="371"/>
      <c r="BX8" s="371"/>
      <c r="BY8" s="371"/>
      <c r="BZ8" s="371"/>
      <c r="CA8" s="371"/>
      <c r="CB8" s="371"/>
      <c r="CC8" s="371"/>
      <c r="CD8" s="371"/>
      <c r="CE8" s="371"/>
      <c r="CF8" s="371"/>
      <c r="CG8" s="371"/>
      <c r="CH8" s="371"/>
      <c r="CI8" s="371"/>
      <c r="CJ8" s="371"/>
      <c r="CK8" s="371"/>
      <c r="CL8" s="371"/>
      <c r="CM8" s="371"/>
      <c r="CN8" s="371"/>
      <c r="CO8" s="371"/>
      <c r="CP8" s="371"/>
      <c r="CQ8" s="371"/>
      <c r="CR8" s="371"/>
      <c r="CS8" s="371"/>
      <c r="CT8" s="371"/>
      <c r="CU8" s="371"/>
      <c r="CV8" s="371"/>
      <c r="CW8" s="371"/>
      <c r="CX8" s="371"/>
      <c r="CY8" s="371"/>
      <c r="CZ8" s="371"/>
      <c r="DA8" s="371"/>
      <c r="DB8" s="371"/>
      <c r="DC8" s="371"/>
      <c r="DD8" s="371"/>
      <c r="DE8" s="371"/>
      <c r="DF8" s="371"/>
      <c r="DG8" s="371"/>
      <c r="DH8" s="371"/>
      <c r="DI8" s="371"/>
      <c r="DJ8" s="371"/>
      <c r="DK8" s="371"/>
      <c r="DL8" s="371"/>
      <c r="DM8" s="371"/>
      <c r="DN8" s="371"/>
      <c r="DO8" s="371"/>
      <c r="DP8" s="371"/>
      <c r="DQ8" s="371"/>
      <c r="DR8" s="371"/>
      <c r="DS8" s="371"/>
      <c r="DT8" s="371"/>
      <c r="DU8" s="371"/>
      <c r="DV8" s="371"/>
      <c r="DW8" s="371"/>
      <c r="DX8" s="371"/>
      <c r="DY8" s="371"/>
      <c r="DZ8" s="371"/>
      <c r="EA8" s="371"/>
      <c r="EB8" s="371"/>
      <c r="EC8" s="371"/>
      <c r="ED8" s="371"/>
      <c r="EE8" s="371"/>
      <c r="EF8" s="371"/>
      <c r="EG8" s="371"/>
      <c r="EH8" s="371"/>
      <c r="EI8" s="371"/>
      <c r="EJ8" s="371"/>
      <c r="EK8" s="371"/>
      <c r="EL8" s="371"/>
      <c r="EM8" s="371"/>
      <c r="EN8" s="371"/>
      <c r="EO8" s="371"/>
      <c r="EP8" s="371"/>
      <c r="EQ8" s="371"/>
      <c r="ER8" s="371"/>
      <c r="ES8" s="371"/>
      <c r="ET8" s="371"/>
      <c r="EU8" s="371"/>
      <c r="EV8" s="371"/>
      <c r="EW8" s="371"/>
      <c r="EX8" s="371"/>
      <c r="EY8" s="371"/>
      <c r="EZ8" s="371"/>
      <c r="FA8" s="371"/>
      <c r="FB8" s="371"/>
      <c r="FC8" s="371"/>
      <c r="FD8" s="371"/>
      <c r="FE8" s="371"/>
      <c r="FF8" s="371"/>
      <c r="FG8" s="371"/>
      <c r="FH8" s="371"/>
      <c r="FI8" s="371"/>
      <c r="FJ8" s="371"/>
      <c r="FK8" s="371"/>
      <c r="FL8" s="371"/>
      <c r="FM8" s="371"/>
      <c r="FN8" s="371"/>
      <c r="FO8" s="371"/>
      <c r="FP8" s="371"/>
      <c r="FQ8" s="371"/>
      <c r="FR8" s="371"/>
      <c r="FS8" s="371"/>
      <c r="FT8" s="371"/>
      <c r="FU8" s="371"/>
      <c r="FV8" s="371"/>
      <c r="FW8" s="371"/>
      <c r="FX8" s="371"/>
      <c r="FY8" s="371"/>
      <c r="FZ8" s="371"/>
      <c r="GA8" s="371"/>
      <c r="GB8" s="371"/>
      <c r="GC8" s="371"/>
      <c r="GD8" s="371"/>
      <c r="GE8" s="371"/>
      <c r="GF8" s="371"/>
      <c r="GG8" s="371"/>
      <c r="GH8" s="371"/>
      <c r="GI8" s="371"/>
      <c r="GJ8" s="371"/>
      <c r="GK8" s="371"/>
      <c r="GL8" s="371"/>
      <c r="GM8" s="371"/>
      <c r="GN8" s="371"/>
      <c r="GO8" s="371"/>
      <c r="GP8" s="371"/>
      <c r="GQ8" s="371"/>
      <c r="GR8" s="371"/>
      <c r="GS8" s="371"/>
      <c r="GT8" s="371"/>
      <c r="GU8" s="371"/>
      <c r="GV8" s="371"/>
      <c r="GW8" s="371"/>
      <c r="GX8" s="371"/>
      <c r="GY8" s="371"/>
      <c r="GZ8" s="371"/>
      <c r="HA8" s="371"/>
      <c r="HB8" s="371"/>
      <c r="HC8" s="371"/>
      <c r="HD8" s="371"/>
      <c r="HE8" s="371"/>
      <c r="HF8" s="371"/>
      <c r="HG8" s="371"/>
      <c r="HH8" s="371"/>
      <c r="HI8" s="371"/>
      <c r="HJ8" s="371"/>
      <c r="HK8" s="371"/>
      <c r="HL8" s="371"/>
      <c r="HM8" s="371"/>
      <c r="HN8" s="371"/>
      <c r="HO8" s="371"/>
      <c r="HP8" s="371"/>
      <c r="HQ8" s="371"/>
      <c r="HR8" s="371"/>
      <c r="HS8" s="371"/>
      <c r="HT8" s="371"/>
      <c r="HU8" s="371"/>
      <c r="HV8" s="371"/>
      <c r="HW8" s="371"/>
      <c r="HX8" s="371"/>
      <c r="HY8" s="371"/>
      <c r="HZ8" s="371"/>
      <c r="IA8" s="371"/>
      <c r="IB8" s="371"/>
      <c r="IC8" s="371"/>
      <c r="ID8" s="371"/>
      <c r="IE8" s="371"/>
      <c r="IF8" s="371"/>
      <c r="IG8" s="371"/>
      <c r="IH8" s="371"/>
      <c r="II8" s="371"/>
      <c r="IJ8" s="371"/>
      <c r="IK8" s="371"/>
      <c r="IL8" s="371"/>
      <c r="IM8" s="371"/>
      <c r="IN8" s="371"/>
      <c r="IO8" s="371"/>
      <c r="IP8" s="371"/>
      <c r="IQ8" s="371"/>
      <c r="IR8" s="371"/>
      <c r="IS8" s="371"/>
      <c r="IT8" s="371"/>
      <c r="IU8" s="371"/>
      <c r="IV8" s="371"/>
    </row>
    <row r="9" spans="1:256" x14ac:dyDescent="0.2">
      <c r="A9" s="365"/>
      <c r="B9" s="381" t="s">
        <v>1315</v>
      </c>
      <c r="C9" s="368"/>
      <c r="D9" s="377"/>
      <c r="E9" s="382"/>
      <c r="F9" s="383"/>
      <c r="G9" s="386"/>
      <c r="H9" s="387"/>
      <c r="I9" s="386"/>
      <c r="J9" s="371"/>
      <c r="K9" s="371"/>
      <c r="L9" s="371"/>
      <c r="M9" s="371"/>
      <c r="N9" s="371"/>
      <c r="O9" s="371"/>
      <c r="P9" s="371"/>
      <c r="Q9" s="371"/>
      <c r="R9" s="371"/>
      <c r="S9" s="371"/>
      <c r="T9" s="371"/>
      <c r="U9" s="371"/>
      <c r="V9" s="371"/>
      <c r="W9" s="371"/>
      <c r="X9" s="371"/>
      <c r="Y9" s="371"/>
      <c r="Z9" s="371"/>
      <c r="AA9" s="371"/>
      <c r="AB9" s="371"/>
      <c r="AC9" s="371"/>
      <c r="AD9" s="371"/>
      <c r="AE9" s="371"/>
      <c r="AF9" s="371"/>
      <c r="AG9" s="371"/>
      <c r="AH9" s="371"/>
      <c r="AI9" s="371"/>
      <c r="AJ9" s="371"/>
      <c r="AK9" s="371"/>
      <c r="AL9" s="371"/>
      <c r="AM9" s="371"/>
      <c r="AN9" s="371"/>
      <c r="AO9" s="371"/>
      <c r="AP9" s="371"/>
      <c r="AQ9" s="371"/>
      <c r="AR9" s="371"/>
      <c r="AS9" s="371"/>
      <c r="AT9" s="371"/>
      <c r="AU9" s="371"/>
      <c r="AV9" s="371"/>
      <c r="AW9" s="371"/>
      <c r="AX9" s="371"/>
      <c r="AY9" s="371"/>
      <c r="AZ9" s="371"/>
      <c r="BA9" s="371"/>
      <c r="BB9" s="371"/>
      <c r="BC9" s="371"/>
      <c r="BD9" s="371"/>
      <c r="BE9" s="371"/>
      <c r="BF9" s="371"/>
      <c r="BG9" s="371"/>
      <c r="BH9" s="371"/>
      <c r="BI9" s="371"/>
      <c r="BJ9" s="371"/>
      <c r="BK9" s="371"/>
      <c r="BL9" s="371"/>
      <c r="BM9" s="371"/>
      <c r="BN9" s="371"/>
      <c r="BO9" s="371"/>
      <c r="BP9" s="371"/>
      <c r="BQ9" s="371"/>
      <c r="BR9" s="371"/>
      <c r="BS9" s="371"/>
      <c r="BT9" s="371"/>
      <c r="BU9" s="371"/>
      <c r="BV9" s="371"/>
      <c r="BW9" s="371"/>
      <c r="BX9" s="371"/>
      <c r="BY9" s="371"/>
      <c r="BZ9" s="371"/>
      <c r="CA9" s="371"/>
      <c r="CB9" s="371"/>
      <c r="CC9" s="371"/>
      <c r="CD9" s="371"/>
      <c r="CE9" s="371"/>
      <c r="CF9" s="371"/>
      <c r="CG9" s="371"/>
      <c r="CH9" s="371"/>
      <c r="CI9" s="371"/>
      <c r="CJ9" s="371"/>
      <c r="CK9" s="371"/>
      <c r="CL9" s="371"/>
      <c r="CM9" s="371"/>
      <c r="CN9" s="371"/>
      <c r="CO9" s="371"/>
      <c r="CP9" s="371"/>
      <c r="CQ9" s="371"/>
      <c r="CR9" s="371"/>
      <c r="CS9" s="371"/>
      <c r="CT9" s="371"/>
      <c r="CU9" s="371"/>
      <c r="CV9" s="371"/>
      <c r="CW9" s="371"/>
      <c r="CX9" s="371"/>
      <c r="CY9" s="371"/>
      <c r="CZ9" s="371"/>
      <c r="DA9" s="371"/>
      <c r="DB9" s="371"/>
      <c r="DC9" s="371"/>
      <c r="DD9" s="371"/>
      <c r="DE9" s="371"/>
      <c r="DF9" s="371"/>
      <c r="DG9" s="371"/>
      <c r="DH9" s="371"/>
      <c r="DI9" s="371"/>
      <c r="DJ9" s="371"/>
      <c r="DK9" s="371"/>
      <c r="DL9" s="371"/>
      <c r="DM9" s="371"/>
      <c r="DN9" s="371"/>
      <c r="DO9" s="371"/>
      <c r="DP9" s="371"/>
      <c r="DQ9" s="371"/>
      <c r="DR9" s="371"/>
      <c r="DS9" s="371"/>
      <c r="DT9" s="371"/>
      <c r="DU9" s="371"/>
      <c r="DV9" s="371"/>
      <c r="DW9" s="371"/>
      <c r="DX9" s="371"/>
      <c r="DY9" s="371"/>
      <c r="DZ9" s="371"/>
      <c r="EA9" s="371"/>
      <c r="EB9" s="371"/>
      <c r="EC9" s="371"/>
      <c r="ED9" s="371"/>
      <c r="EE9" s="371"/>
      <c r="EF9" s="371"/>
      <c r="EG9" s="371"/>
      <c r="EH9" s="371"/>
      <c r="EI9" s="371"/>
      <c r="EJ9" s="371"/>
      <c r="EK9" s="371"/>
      <c r="EL9" s="371"/>
      <c r="EM9" s="371"/>
      <c r="EN9" s="371"/>
      <c r="EO9" s="371"/>
      <c r="EP9" s="371"/>
      <c r="EQ9" s="371"/>
      <c r="ER9" s="371"/>
      <c r="ES9" s="371"/>
      <c r="ET9" s="371"/>
      <c r="EU9" s="371"/>
      <c r="EV9" s="371"/>
      <c r="EW9" s="371"/>
      <c r="EX9" s="371"/>
      <c r="EY9" s="371"/>
      <c r="EZ9" s="371"/>
      <c r="FA9" s="371"/>
      <c r="FB9" s="371"/>
      <c r="FC9" s="371"/>
      <c r="FD9" s="371"/>
      <c r="FE9" s="371"/>
      <c r="FF9" s="371"/>
      <c r="FG9" s="371"/>
      <c r="FH9" s="371"/>
      <c r="FI9" s="371"/>
      <c r="FJ9" s="371"/>
      <c r="FK9" s="371"/>
      <c r="FL9" s="371"/>
      <c r="FM9" s="371"/>
      <c r="FN9" s="371"/>
      <c r="FO9" s="371"/>
      <c r="FP9" s="371"/>
      <c r="FQ9" s="371"/>
      <c r="FR9" s="371"/>
      <c r="FS9" s="371"/>
      <c r="FT9" s="371"/>
      <c r="FU9" s="371"/>
      <c r="FV9" s="371"/>
      <c r="FW9" s="371"/>
      <c r="FX9" s="371"/>
      <c r="FY9" s="371"/>
      <c r="FZ9" s="371"/>
      <c r="GA9" s="371"/>
      <c r="GB9" s="371"/>
      <c r="GC9" s="371"/>
      <c r="GD9" s="371"/>
      <c r="GE9" s="371"/>
      <c r="GF9" s="371"/>
      <c r="GG9" s="371"/>
      <c r="GH9" s="371"/>
      <c r="GI9" s="371"/>
      <c r="GJ9" s="371"/>
      <c r="GK9" s="371"/>
      <c r="GL9" s="371"/>
      <c r="GM9" s="371"/>
      <c r="GN9" s="371"/>
      <c r="GO9" s="371"/>
      <c r="GP9" s="371"/>
      <c r="GQ9" s="371"/>
      <c r="GR9" s="371"/>
      <c r="GS9" s="371"/>
      <c r="GT9" s="371"/>
      <c r="GU9" s="371"/>
      <c r="GV9" s="371"/>
      <c r="GW9" s="371"/>
      <c r="GX9" s="371"/>
      <c r="GY9" s="371"/>
      <c r="GZ9" s="371"/>
      <c r="HA9" s="371"/>
      <c r="HB9" s="371"/>
      <c r="HC9" s="371"/>
      <c r="HD9" s="371"/>
      <c r="HE9" s="371"/>
      <c r="HF9" s="371"/>
      <c r="HG9" s="371"/>
      <c r="HH9" s="371"/>
      <c r="HI9" s="371"/>
      <c r="HJ9" s="371"/>
      <c r="HK9" s="371"/>
      <c r="HL9" s="371"/>
      <c r="HM9" s="371"/>
      <c r="HN9" s="371"/>
      <c r="HO9" s="371"/>
      <c r="HP9" s="371"/>
      <c r="HQ9" s="371"/>
      <c r="HR9" s="371"/>
      <c r="HS9" s="371"/>
      <c r="HT9" s="371"/>
      <c r="HU9" s="371"/>
      <c r="HV9" s="371"/>
      <c r="HW9" s="371"/>
      <c r="HX9" s="371"/>
      <c r="HY9" s="371"/>
      <c r="HZ9" s="371"/>
      <c r="IA9" s="371"/>
      <c r="IB9" s="371"/>
      <c r="IC9" s="371"/>
      <c r="ID9" s="371"/>
      <c r="IE9" s="371"/>
      <c r="IF9" s="371"/>
      <c r="IG9" s="371"/>
      <c r="IH9" s="371"/>
      <c r="II9" s="371"/>
      <c r="IJ9" s="371"/>
      <c r="IK9" s="371"/>
      <c r="IL9" s="371"/>
      <c r="IM9" s="371"/>
      <c r="IN9" s="371"/>
      <c r="IO9" s="371"/>
      <c r="IP9" s="371"/>
      <c r="IQ9" s="371"/>
      <c r="IR9" s="371"/>
      <c r="IS9" s="371"/>
      <c r="IT9" s="371"/>
      <c r="IU9" s="371"/>
      <c r="IV9" s="371"/>
    </row>
    <row r="10" spans="1:256" x14ac:dyDescent="0.2">
      <c r="A10" s="365"/>
      <c r="B10" s="381"/>
      <c r="C10" s="377"/>
      <c r="D10" s="377"/>
      <c r="E10" s="382"/>
      <c r="F10" s="383"/>
      <c r="G10" s="386"/>
      <c r="H10" s="387"/>
      <c r="I10" s="386"/>
      <c r="J10" s="371"/>
      <c r="K10" s="371"/>
      <c r="L10" s="371"/>
      <c r="M10" s="371"/>
      <c r="N10" s="371"/>
      <c r="O10" s="371"/>
      <c r="P10" s="371"/>
      <c r="Q10" s="371"/>
      <c r="R10" s="371"/>
      <c r="S10" s="371"/>
      <c r="T10" s="371"/>
      <c r="U10" s="371"/>
      <c r="V10" s="371"/>
      <c r="W10" s="371"/>
      <c r="X10" s="371"/>
      <c r="Y10" s="371"/>
      <c r="Z10" s="371"/>
      <c r="AA10" s="371"/>
      <c r="AB10" s="371"/>
      <c r="AC10" s="371"/>
      <c r="AD10" s="371"/>
      <c r="AE10" s="371"/>
      <c r="AF10" s="371"/>
      <c r="AG10" s="371"/>
      <c r="AH10" s="371"/>
      <c r="AI10" s="371"/>
      <c r="AJ10" s="371"/>
      <c r="AK10" s="371"/>
      <c r="AL10" s="371"/>
      <c r="AM10" s="371"/>
      <c r="AN10" s="371"/>
      <c r="AO10" s="371"/>
      <c r="AP10" s="371"/>
      <c r="AQ10" s="371"/>
      <c r="AR10" s="371"/>
      <c r="AS10" s="371"/>
      <c r="AT10" s="371"/>
      <c r="AU10" s="371"/>
      <c r="AV10" s="371"/>
      <c r="AW10" s="371"/>
      <c r="AX10" s="371"/>
      <c r="AY10" s="371"/>
      <c r="AZ10" s="371"/>
      <c r="BA10" s="371"/>
      <c r="BB10" s="371"/>
      <c r="BC10" s="371"/>
      <c r="BD10" s="371"/>
      <c r="BE10" s="371"/>
      <c r="BF10" s="371"/>
      <c r="BG10" s="371"/>
      <c r="BH10" s="371"/>
      <c r="BI10" s="371"/>
      <c r="BJ10" s="371"/>
      <c r="BK10" s="371"/>
      <c r="BL10" s="371"/>
      <c r="BM10" s="371"/>
      <c r="BN10" s="371"/>
      <c r="BO10" s="371"/>
      <c r="BP10" s="371"/>
      <c r="BQ10" s="371"/>
      <c r="BR10" s="371"/>
      <c r="BS10" s="371"/>
      <c r="BT10" s="371"/>
      <c r="BU10" s="371"/>
      <c r="BV10" s="371"/>
      <c r="BW10" s="371"/>
      <c r="BX10" s="371"/>
      <c r="BY10" s="371"/>
      <c r="BZ10" s="371"/>
      <c r="CA10" s="371"/>
      <c r="CB10" s="371"/>
      <c r="CC10" s="371"/>
      <c r="CD10" s="371"/>
      <c r="CE10" s="371"/>
      <c r="CF10" s="371"/>
      <c r="CG10" s="371"/>
      <c r="CH10" s="371"/>
      <c r="CI10" s="371"/>
      <c r="CJ10" s="371"/>
      <c r="CK10" s="371"/>
      <c r="CL10" s="371"/>
      <c r="CM10" s="371"/>
      <c r="CN10" s="371"/>
      <c r="CO10" s="371"/>
      <c r="CP10" s="371"/>
      <c r="CQ10" s="371"/>
      <c r="CR10" s="371"/>
      <c r="CS10" s="371"/>
      <c r="CT10" s="371"/>
      <c r="CU10" s="371"/>
      <c r="CV10" s="371"/>
      <c r="CW10" s="371"/>
      <c r="CX10" s="371"/>
      <c r="CY10" s="371"/>
      <c r="CZ10" s="371"/>
      <c r="DA10" s="371"/>
      <c r="DB10" s="371"/>
      <c r="DC10" s="371"/>
      <c r="DD10" s="371"/>
      <c r="DE10" s="371"/>
      <c r="DF10" s="371"/>
      <c r="DG10" s="371"/>
      <c r="DH10" s="371"/>
      <c r="DI10" s="371"/>
      <c r="DJ10" s="371"/>
      <c r="DK10" s="371"/>
      <c r="DL10" s="371"/>
      <c r="DM10" s="371"/>
      <c r="DN10" s="371"/>
      <c r="DO10" s="371"/>
      <c r="DP10" s="371"/>
      <c r="DQ10" s="371"/>
      <c r="DR10" s="371"/>
      <c r="DS10" s="371"/>
      <c r="DT10" s="371"/>
      <c r="DU10" s="371"/>
      <c r="DV10" s="371"/>
      <c r="DW10" s="371"/>
      <c r="DX10" s="371"/>
      <c r="DY10" s="371"/>
      <c r="DZ10" s="371"/>
      <c r="EA10" s="371"/>
      <c r="EB10" s="371"/>
      <c r="EC10" s="371"/>
      <c r="ED10" s="371"/>
      <c r="EE10" s="371"/>
      <c r="EF10" s="371"/>
      <c r="EG10" s="371"/>
      <c r="EH10" s="371"/>
      <c r="EI10" s="371"/>
      <c r="EJ10" s="371"/>
      <c r="EK10" s="371"/>
      <c r="EL10" s="371"/>
      <c r="EM10" s="371"/>
      <c r="EN10" s="371"/>
      <c r="EO10" s="371"/>
      <c r="EP10" s="371"/>
      <c r="EQ10" s="371"/>
      <c r="ER10" s="371"/>
      <c r="ES10" s="371"/>
      <c r="ET10" s="371"/>
      <c r="EU10" s="371"/>
      <c r="EV10" s="371"/>
      <c r="EW10" s="371"/>
      <c r="EX10" s="371"/>
      <c r="EY10" s="371"/>
      <c r="EZ10" s="371"/>
      <c r="FA10" s="371"/>
      <c r="FB10" s="371"/>
      <c r="FC10" s="371"/>
      <c r="FD10" s="371"/>
      <c r="FE10" s="371"/>
      <c r="FF10" s="371"/>
      <c r="FG10" s="371"/>
      <c r="FH10" s="371"/>
      <c r="FI10" s="371"/>
      <c r="FJ10" s="371"/>
      <c r="FK10" s="371"/>
      <c r="FL10" s="371"/>
      <c r="FM10" s="371"/>
      <c r="FN10" s="371"/>
      <c r="FO10" s="371"/>
      <c r="FP10" s="371"/>
      <c r="FQ10" s="371"/>
      <c r="FR10" s="371"/>
      <c r="FS10" s="371"/>
      <c r="FT10" s="371"/>
      <c r="FU10" s="371"/>
      <c r="FV10" s="371"/>
      <c r="FW10" s="371"/>
      <c r="FX10" s="371"/>
      <c r="FY10" s="371"/>
      <c r="FZ10" s="371"/>
      <c r="GA10" s="371"/>
      <c r="GB10" s="371"/>
      <c r="GC10" s="371"/>
      <c r="GD10" s="371"/>
      <c r="GE10" s="371"/>
      <c r="GF10" s="371"/>
      <c r="GG10" s="371"/>
      <c r="GH10" s="371"/>
      <c r="GI10" s="371"/>
      <c r="GJ10" s="371"/>
      <c r="GK10" s="371"/>
      <c r="GL10" s="371"/>
      <c r="GM10" s="371"/>
      <c r="GN10" s="371"/>
      <c r="GO10" s="371"/>
      <c r="GP10" s="371"/>
      <c r="GQ10" s="371"/>
      <c r="GR10" s="371"/>
      <c r="GS10" s="371"/>
      <c r="GT10" s="371"/>
      <c r="GU10" s="371"/>
      <c r="GV10" s="371"/>
      <c r="GW10" s="371"/>
      <c r="GX10" s="371"/>
      <c r="GY10" s="371"/>
      <c r="GZ10" s="371"/>
      <c r="HA10" s="371"/>
      <c r="HB10" s="371"/>
      <c r="HC10" s="371"/>
      <c r="HD10" s="371"/>
      <c r="HE10" s="371"/>
      <c r="HF10" s="371"/>
      <c r="HG10" s="371"/>
      <c r="HH10" s="371"/>
      <c r="HI10" s="371"/>
      <c r="HJ10" s="371"/>
      <c r="HK10" s="371"/>
      <c r="HL10" s="371"/>
      <c r="HM10" s="371"/>
      <c r="HN10" s="371"/>
      <c r="HO10" s="371"/>
      <c r="HP10" s="371"/>
      <c r="HQ10" s="371"/>
      <c r="HR10" s="371"/>
      <c r="HS10" s="371"/>
      <c r="HT10" s="371"/>
      <c r="HU10" s="371"/>
      <c r="HV10" s="371"/>
      <c r="HW10" s="371"/>
      <c r="HX10" s="371"/>
      <c r="HY10" s="371"/>
      <c r="HZ10" s="371"/>
      <c r="IA10" s="371"/>
      <c r="IB10" s="371"/>
      <c r="IC10" s="371"/>
      <c r="ID10" s="371"/>
      <c r="IE10" s="371"/>
      <c r="IF10" s="371"/>
      <c r="IG10" s="371"/>
      <c r="IH10" s="371"/>
      <c r="II10" s="371"/>
      <c r="IJ10" s="371"/>
      <c r="IK10" s="371"/>
      <c r="IL10" s="371"/>
      <c r="IM10" s="371"/>
      <c r="IN10" s="371"/>
      <c r="IO10" s="371"/>
      <c r="IP10" s="371"/>
      <c r="IQ10" s="371"/>
      <c r="IR10" s="371"/>
      <c r="IS10" s="371"/>
      <c r="IT10" s="371"/>
      <c r="IU10" s="371"/>
      <c r="IV10" s="371"/>
    </row>
    <row r="11" spans="1:256" x14ac:dyDescent="0.2">
      <c r="A11" s="365"/>
      <c r="B11" s="388" t="s">
        <v>1316</v>
      </c>
      <c r="C11" s="377" t="str">
        <f>СВОД!D16</f>
        <v>ООО «Газпром проектирование»</v>
      </c>
      <c r="D11" s="377"/>
      <c r="E11" s="382"/>
      <c r="F11" s="387"/>
      <c r="G11" s="386"/>
      <c r="H11" s="387"/>
      <c r="I11" s="386"/>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1"/>
      <c r="BR11" s="371"/>
      <c r="BS11" s="371"/>
      <c r="BT11" s="371"/>
      <c r="BU11" s="371"/>
      <c r="BV11" s="371"/>
      <c r="BW11" s="371"/>
      <c r="BX11" s="371"/>
      <c r="BY11" s="371"/>
      <c r="BZ11" s="371"/>
      <c r="CA11" s="371"/>
      <c r="CB11" s="371"/>
      <c r="CC11" s="371"/>
      <c r="CD11" s="371"/>
      <c r="CE11" s="371"/>
      <c r="CF11" s="371"/>
      <c r="CG11" s="371"/>
      <c r="CH11" s="371"/>
      <c r="CI11" s="371"/>
      <c r="CJ11" s="371"/>
      <c r="CK11" s="371"/>
      <c r="CL11" s="371"/>
      <c r="CM11" s="371"/>
      <c r="CN11" s="371"/>
      <c r="CO11" s="371"/>
      <c r="CP11" s="371"/>
      <c r="CQ11" s="371"/>
      <c r="CR11" s="371"/>
      <c r="CS11" s="371"/>
      <c r="CT11" s="371"/>
      <c r="CU11" s="371"/>
      <c r="CV11" s="371"/>
      <c r="CW11" s="371"/>
      <c r="CX11" s="371"/>
      <c r="CY11" s="371"/>
      <c r="CZ11" s="371"/>
      <c r="DA11" s="371"/>
      <c r="DB11" s="371"/>
      <c r="DC11" s="371"/>
      <c r="DD11" s="371"/>
      <c r="DE11" s="371"/>
      <c r="DF11" s="371"/>
      <c r="DG11" s="371"/>
      <c r="DH11" s="371"/>
      <c r="DI11" s="371"/>
      <c r="DJ11" s="371"/>
      <c r="DK11" s="371"/>
      <c r="DL11" s="371"/>
      <c r="DM11" s="371"/>
      <c r="DN11" s="371"/>
      <c r="DO11" s="371"/>
      <c r="DP11" s="371"/>
      <c r="DQ11" s="371"/>
      <c r="DR11" s="371"/>
      <c r="DS11" s="371"/>
      <c r="DT11" s="371"/>
      <c r="DU11" s="371"/>
      <c r="DV11" s="371"/>
      <c r="DW11" s="371"/>
      <c r="DX11" s="371"/>
      <c r="DY11" s="371"/>
      <c r="DZ11" s="371"/>
      <c r="EA11" s="371"/>
      <c r="EB11" s="371"/>
      <c r="EC11" s="371"/>
      <c r="ED11" s="371"/>
      <c r="EE11" s="371"/>
      <c r="EF11" s="371"/>
      <c r="EG11" s="371"/>
      <c r="EH11" s="371"/>
      <c r="EI11" s="371"/>
      <c r="EJ11" s="371"/>
      <c r="EK11" s="371"/>
      <c r="EL11" s="371"/>
      <c r="EM11" s="371"/>
      <c r="EN11" s="371"/>
      <c r="EO11" s="371"/>
      <c r="EP11" s="371"/>
      <c r="EQ11" s="371"/>
      <c r="ER11" s="371"/>
      <c r="ES11" s="371"/>
      <c r="ET11" s="371"/>
      <c r="EU11" s="371"/>
      <c r="EV11" s="371"/>
      <c r="EW11" s="371"/>
      <c r="EX11" s="371"/>
      <c r="EY11" s="371"/>
      <c r="EZ11" s="371"/>
      <c r="FA11" s="371"/>
      <c r="FB11" s="371"/>
      <c r="FC11" s="371"/>
      <c r="FD11" s="371"/>
      <c r="FE11" s="371"/>
      <c r="FF11" s="371"/>
      <c r="FG11" s="371"/>
      <c r="FH11" s="371"/>
      <c r="FI11" s="371"/>
      <c r="FJ11" s="371"/>
      <c r="FK11" s="371"/>
      <c r="FL11" s="371"/>
      <c r="FM11" s="371"/>
      <c r="FN11" s="371"/>
      <c r="FO11" s="371"/>
      <c r="FP11" s="371"/>
      <c r="FQ11" s="371"/>
      <c r="FR11" s="371"/>
      <c r="FS11" s="371"/>
      <c r="FT11" s="371"/>
      <c r="FU11" s="371"/>
      <c r="FV11" s="371"/>
      <c r="FW11" s="371"/>
      <c r="FX11" s="371"/>
      <c r="FY11" s="371"/>
      <c r="FZ11" s="371"/>
      <c r="GA11" s="371"/>
      <c r="GB11" s="371"/>
      <c r="GC11" s="371"/>
      <c r="GD11" s="371"/>
      <c r="GE11" s="371"/>
      <c r="GF11" s="371"/>
      <c r="GG11" s="371"/>
      <c r="GH11" s="371"/>
      <c r="GI11" s="371"/>
      <c r="GJ11" s="371"/>
      <c r="GK11" s="371"/>
      <c r="GL11" s="371"/>
      <c r="GM11" s="371"/>
      <c r="GN11" s="371"/>
      <c r="GO11" s="371"/>
      <c r="GP11" s="371"/>
      <c r="GQ11" s="371"/>
      <c r="GR11" s="371"/>
      <c r="GS11" s="371"/>
      <c r="GT11" s="371"/>
      <c r="GU11" s="371"/>
      <c r="GV11" s="371"/>
      <c r="GW11" s="371"/>
      <c r="GX11" s="371"/>
      <c r="GY11" s="371"/>
      <c r="GZ11" s="371"/>
      <c r="HA11" s="371"/>
      <c r="HB11" s="371"/>
      <c r="HC11" s="371"/>
      <c r="HD11" s="371"/>
      <c r="HE11" s="371"/>
      <c r="HF11" s="371"/>
      <c r="HG11" s="371"/>
      <c r="HH11" s="371"/>
      <c r="HI11" s="371"/>
      <c r="HJ11" s="371"/>
      <c r="HK11" s="371"/>
      <c r="HL11" s="371"/>
      <c r="HM11" s="371"/>
      <c r="HN11" s="371"/>
      <c r="HO11" s="371"/>
      <c r="HP11" s="371"/>
      <c r="HQ11" s="371"/>
      <c r="HR11" s="371"/>
      <c r="HS11" s="371"/>
      <c r="HT11" s="371"/>
      <c r="HU11" s="371"/>
      <c r="HV11" s="371"/>
      <c r="HW11" s="371"/>
      <c r="HX11" s="371"/>
      <c r="HY11" s="371"/>
      <c r="HZ11" s="371"/>
      <c r="IA11" s="371"/>
      <c r="IB11" s="371"/>
      <c r="IC11" s="371"/>
      <c r="ID11" s="371"/>
      <c r="IE11" s="371"/>
      <c r="IF11" s="371"/>
      <c r="IG11" s="371"/>
      <c r="IH11" s="371"/>
      <c r="II11" s="371"/>
      <c r="IJ11" s="371"/>
      <c r="IK11" s="371"/>
      <c r="IL11" s="371"/>
      <c r="IM11" s="371"/>
      <c r="IN11" s="371"/>
      <c r="IO11" s="371"/>
      <c r="IP11" s="371"/>
      <c r="IQ11" s="371"/>
      <c r="IR11" s="371"/>
      <c r="IS11" s="371"/>
      <c r="IT11" s="371"/>
      <c r="IU11" s="371"/>
      <c r="IV11" s="371"/>
    </row>
    <row r="12" spans="1:256" x14ac:dyDescent="0.2">
      <c r="A12" s="365"/>
      <c r="B12" s="388" t="s">
        <v>1317</v>
      </c>
      <c r="C12" s="377"/>
      <c r="D12" s="377"/>
      <c r="E12" s="389"/>
      <c r="F12" s="387"/>
      <c r="G12" s="386"/>
      <c r="H12" s="387"/>
      <c r="I12" s="386"/>
      <c r="J12" s="371"/>
      <c r="K12" s="371"/>
      <c r="L12" s="371"/>
      <c r="M12" s="371"/>
      <c r="N12" s="371"/>
      <c r="O12" s="371"/>
      <c r="P12" s="371"/>
      <c r="Q12" s="371"/>
      <c r="R12" s="371"/>
      <c r="S12" s="371"/>
      <c r="T12" s="371"/>
      <c r="U12" s="371"/>
      <c r="V12" s="371"/>
      <c r="W12" s="371"/>
      <c r="X12" s="371"/>
      <c r="Y12" s="371"/>
      <c r="Z12" s="371"/>
      <c r="AA12" s="371"/>
      <c r="AB12" s="371"/>
      <c r="AC12" s="371"/>
      <c r="AD12" s="371"/>
      <c r="AE12" s="371"/>
      <c r="AF12" s="371"/>
      <c r="AG12" s="371"/>
      <c r="AH12" s="371"/>
      <c r="AI12" s="371"/>
      <c r="AJ12" s="371"/>
      <c r="AK12" s="371"/>
      <c r="AL12" s="371"/>
      <c r="AM12" s="371"/>
      <c r="AN12" s="371"/>
      <c r="AO12" s="371"/>
      <c r="AP12" s="371"/>
      <c r="AQ12" s="371"/>
      <c r="AR12" s="371"/>
      <c r="AS12" s="371"/>
      <c r="AT12" s="371"/>
      <c r="AU12" s="371"/>
      <c r="AV12" s="371"/>
      <c r="AW12" s="371"/>
      <c r="AX12" s="371"/>
      <c r="AY12" s="371"/>
      <c r="AZ12" s="371"/>
      <c r="BA12" s="371"/>
      <c r="BB12" s="371"/>
      <c r="BC12" s="371"/>
      <c r="BD12" s="371"/>
      <c r="BE12" s="371"/>
      <c r="BF12" s="371"/>
      <c r="BG12" s="371"/>
      <c r="BH12" s="371"/>
      <c r="BI12" s="371"/>
      <c r="BJ12" s="371"/>
      <c r="BK12" s="371"/>
      <c r="BL12" s="371"/>
      <c r="BM12" s="371"/>
      <c r="BN12" s="371"/>
      <c r="BO12" s="371"/>
      <c r="BP12" s="371"/>
      <c r="BQ12" s="371"/>
      <c r="BR12" s="371"/>
      <c r="BS12" s="371"/>
      <c r="BT12" s="371"/>
      <c r="BU12" s="371"/>
      <c r="BV12" s="371"/>
      <c r="BW12" s="371"/>
      <c r="BX12" s="371"/>
      <c r="BY12" s="371"/>
      <c r="BZ12" s="371"/>
      <c r="CA12" s="371"/>
      <c r="CB12" s="371"/>
      <c r="CC12" s="371"/>
      <c r="CD12" s="371"/>
      <c r="CE12" s="371"/>
      <c r="CF12" s="371"/>
      <c r="CG12" s="371"/>
      <c r="CH12" s="371"/>
      <c r="CI12" s="371"/>
      <c r="CJ12" s="371"/>
      <c r="CK12" s="371"/>
      <c r="CL12" s="371"/>
      <c r="CM12" s="371"/>
      <c r="CN12" s="371"/>
      <c r="CO12" s="371"/>
      <c r="CP12" s="371"/>
      <c r="CQ12" s="371"/>
      <c r="CR12" s="371"/>
      <c r="CS12" s="371"/>
      <c r="CT12" s="371"/>
      <c r="CU12" s="371"/>
      <c r="CV12" s="371"/>
      <c r="CW12" s="371"/>
      <c r="CX12" s="371"/>
      <c r="CY12" s="371"/>
      <c r="CZ12" s="371"/>
      <c r="DA12" s="371"/>
      <c r="DB12" s="371"/>
      <c r="DC12" s="371"/>
      <c r="DD12" s="371"/>
      <c r="DE12" s="371"/>
      <c r="DF12" s="371"/>
      <c r="DG12" s="371"/>
      <c r="DH12" s="371"/>
      <c r="DI12" s="371"/>
      <c r="DJ12" s="371"/>
      <c r="DK12" s="371"/>
      <c r="DL12" s="371"/>
      <c r="DM12" s="371"/>
      <c r="DN12" s="371"/>
      <c r="DO12" s="371"/>
      <c r="DP12" s="371"/>
      <c r="DQ12" s="371"/>
      <c r="DR12" s="371"/>
      <c r="DS12" s="371"/>
      <c r="DT12" s="371"/>
      <c r="DU12" s="371"/>
      <c r="DV12" s="371"/>
      <c r="DW12" s="371"/>
      <c r="DX12" s="371"/>
      <c r="DY12" s="371"/>
      <c r="DZ12" s="371"/>
      <c r="EA12" s="371"/>
      <c r="EB12" s="371"/>
      <c r="EC12" s="371"/>
      <c r="ED12" s="371"/>
      <c r="EE12" s="371"/>
      <c r="EF12" s="371"/>
      <c r="EG12" s="371"/>
      <c r="EH12" s="371"/>
      <c r="EI12" s="371"/>
      <c r="EJ12" s="371"/>
      <c r="EK12" s="371"/>
      <c r="EL12" s="371"/>
      <c r="EM12" s="371"/>
      <c r="EN12" s="371"/>
      <c r="EO12" s="371"/>
      <c r="EP12" s="371"/>
      <c r="EQ12" s="371"/>
      <c r="ER12" s="371"/>
      <c r="ES12" s="371"/>
      <c r="ET12" s="371"/>
      <c r="EU12" s="371"/>
      <c r="EV12" s="371"/>
      <c r="EW12" s="371"/>
      <c r="EX12" s="371"/>
      <c r="EY12" s="371"/>
      <c r="EZ12" s="371"/>
      <c r="FA12" s="371"/>
      <c r="FB12" s="371"/>
      <c r="FC12" s="371"/>
      <c r="FD12" s="371"/>
      <c r="FE12" s="371"/>
      <c r="FF12" s="371"/>
      <c r="FG12" s="371"/>
      <c r="FH12" s="371"/>
      <c r="FI12" s="371"/>
      <c r="FJ12" s="371"/>
      <c r="FK12" s="371"/>
      <c r="FL12" s="371"/>
      <c r="FM12" s="371"/>
      <c r="FN12" s="371"/>
      <c r="FO12" s="371"/>
      <c r="FP12" s="371"/>
      <c r="FQ12" s="371"/>
      <c r="FR12" s="371"/>
      <c r="FS12" s="371"/>
      <c r="FT12" s="371"/>
      <c r="FU12" s="371"/>
      <c r="FV12" s="371"/>
      <c r="FW12" s="371"/>
      <c r="FX12" s="371"/>
      <c r="FY12" s="371"/>
      <c r="FZ12" s="371"/>
      <c r="GA12" s="371"/>
      <c r="GB12" s="371"/>
      <c r="GC12" s="371"/>
      <c r="GD12" s="371"/>
      <c r="GE12" s="371"/>
      <c r="GF12" s="371"/>
      <c r="GG12" s="371"/>
      <c r="GH12" s="371"/>
      <c r="GI12" s="371"/>
      <c r="GJ12" s="371"/>
      <c r="GK12" s="371"/>
      <c r="GL12" s="371"/>
      <c r="GM12" s="371"/>
      <c r="GN12" s="371"/>
      <c r="GO12" s="371"/>
      <c r="GP12" s="371"/>
      <c r="GQ12" s="371"/>
      <c r="GR12" s="371"/>
      <c r="GS12" s="371"/>
      <c r="GT12" s="371"/>
      <c r="GU12" s="371"/>
      <c r="GV12" s="371"/>
      <c r="GW12" s="371"/>
      <c r="GX12" s="371"/>
      <c r="GY12" s="371"/>
      <c r="GZ12" s="371"/>
      <c r="HA12" s="371"/>
      <c r="HB12" s="371"/>
      <c r="HC12" s="371"/>
      <c r="HD12" s="371"/>
      <c r="HE12" s="371"/>
      <c r="HF12" s="371"/>
      <c r="HG12" s="371"/>
      <c r="HH12" s="371"/>
      <c r="HI12" s="371"/>
      <c r="HJ12" s="371"/>
      <c r="HK12" s="371"/>
      <c r="HL12" s="371"/>
      <c r="HM12" s="371"/>
      <c r="HN12" s="371"/>
      <c r="HO12" s="371"/>
      <c r="HP12" s="371"/>
      <c r="HQ12" s="371"/>
      <c r="HR12" s="371"/>
      <c r="HS12" s="371"/>
      <c r="HT12" s="371"/>
      <c r="HU12" s="371"/>
      <c r="HV12" s="371"/>
      <c r="HW12" s="371"/>
      <c r="HX12" s="371"/>
      <c r="HY12" s="371"/>
      <c r="HZ12" s="371"/>
      <c r="IA12" s="371"/>
      <c r="IB12" s="371"/>
      <c r="IC12" s="371"/>
      <c r="ID12" s="371"/>
      <c r="IE12" s="371"/>
      <c r="IF12" s="371"/>
      <c r="IG12" s="371"/>
      <c r="IH12" s="371"/>
      <c r="II12" s="371"/>
      <c r="IJ12" s="371"/>
      <c r="IK12" s="371"/>
      <c r="IL12" s="371"/>
      <c r="IM12" s="371"/>
      <c r="IN12" s="371"/>
      <c r="IO12" s="371"/>
      <c r="IP12" s="371"/>
      <c r="IQ12" s="371"/>
      <c r="IR12" s="371"/>
      <c r="IS12" s="371"/>
      <c r="IT12" s="371"/>
      <c r="IU12" s="371"/>
      <c r="IV12" s="371"/>
    </row>
    <row r="13" spans="1:256" x14ac:dyDescent="0.2">
      <c r="A13" s="365"/>
      <c r="B13" s="390" t="s">
        <v>15</v>
      </c>
      <c r="C13" s="368"/>
      <c r="D13" s="368"/>
      <c r="E13" s="372"/>
      <c r="F13" s="368"/>
      <c r="G13" s="390"/>
      <c r="H13" s="370"/>
      <c r="I13" s="370"/>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371"/>
      <c r="AN13" s="371"/>
      <c r="AO13" s="371"/>
      <c r="AP13" s="371"/>
      <c r="AQ13" s="371"/>
      <c r="AR13" s="371"/>
      <c r="AS13" s="371"/>
      <c r="AT13" s="371"/>
      <c r="AU13" s="371"/>
      <c r="AV13" s="371"/>
      <c r="AW13" s="371"/>
      <c r="AX13" s="371"/>
      <c r="AY13" s="371"/>
      <c r="AZ13" s="371"/>
      <c r="BA13" s="371"/>
      <c r="BB13" s="371"/>
      <c r="BC13" s="371"/>
      <c r="BD13" s="371"/>
      <c r="BE13" s="371"/>
      <c r="BF13" s="371"/>
      <c r="BG13" s="371"/>
      <c r="BH13" s="371"/>
      <c r="BI13" s="371"/>
      <c r="BJ13" s="371"/>
      <c r="BK13" s="371"/>
      <c r="BL13" s="371"/>
      <c r="BM13" s="371"/>
      <c r="BN13" s="371"/>
      <c r="BO13" s="371"/>
      <c r="BP13" s="371"/>
      <c r="BQ13" s="371"/>
      <c r="BR13" s="371"/>
      <c r="BS13" s="371"/>
      <c r="BT13" s="371"/>
      <c r="BU13" s="371"/>
      <c r="BV13" s="371"/>
      <c r="BW13" s="371"/>
      <c r="BX13" s="371"/>
      <c r="BY13" s="371"/>
      <c r="BZ13" s="371"/>
      <c r="CA13" s="371"/>
      <c r="CB13" s="371"/>
      <c r="CC13" s="371"/>
      <c r="CD13" s="371"/>
      <c r="CE13" s="371"/>
      <c r="CF13" s="371"/>
      <c r="CG13" s="371"/>
      <c r="CH13" s="371"/>
      <c r="CI13" s="371"/>
      <c r="CJ13" s="371"/>
      <c r="CK13" s="371"/>
      <c r="CL13" s="371"/>
      <c r="CM13" s="371"/>
      <c r="CN13" s="371"/>
      <c r="CO13" s="371"/>
      <c r="CP13" s="371"/>
      <c r="CQ13" s="371"/>
      <c r="CR13" s="371"/>
      <c r="CS13" s="371"/>
      <c r="CT13" s="371"/>
      <c r="CU13" s="371"/>
      <c r="CV13" s="371"/>
      <c r="CW13" s="371"/>
      <c r="CX13" s="371"/>
      <c r="CY13" s="371"/>
      <c r="CZ13" s="371"/>
      <c r="DA13" s="371"/>
      <c r="DB13" s="371"/>
      <c r="DC13" s="371"/>
      <c r="DD13" s="371"/>
      <c r="DE13" s="371"/>
      <c r="DF13" s="371"/>
      <c r="DG13" s="371"/>
      <c r="DH13" s="371"/>
      <c r="DI13" s="371"/>
      <c r="DJ13" s="371"/>
      <c r="DK13" s="371"/>
      <c r="DL13" s="371"/>
      <c r="DM13" s="371"/>
      <c r="DN13" s="371"/>
      <c r="DO13" s="371"/>
      <c r="DP13" s="371"/>
      <c r="DQ13" s="371"/>
      <c r="DR13" s="371"/>
      <c r="DS13" s="371"/>
      <c r="DT13" s="371"/>
      <c r="DU13" s="371"/>
      <c r="DV13" s="371"/>
      <c r="DW13" s="371"/>
      <c r="DX13" s="371"/>
      <c r="DY13" s="371"/>
      <c r="DZ13" s="371"/>
      <c r="EA13" s="371"/>
      <c r="EB13" s="371"/>
      <c r="EC13" s="371"/>
      <c r="ED13" s="371"/>
      <c r="EE13" s="371"/>
      <c r="EF13" s="371"/>
      <c r="EG13" s="371"/>
      <c r="EH13" s="371"/>
      <c r="EI13" s="371"/>
      <c r="EJ13" s="371"/>
      <c r="EK13" s="371"/>
      <c r="EL13" s="371"/>
      <c r="EM13" s="371"/>
      <c r="EN13" s="371"/>
      <c r="EO13" s="371"/>
      <c r="EP13" s="371"/>
      <c r="EQ13" s="371"/>
      <c r="ER13" s="371"/>
      <c r="ES13" s="371"/>
      <c r="ET13" s="371"/>
      <c r="EU13" s="371"/>
      <c r="EV13" s="371"/>
      <c r="EW13" s="371"/>
      <c r="EX13" s="371"/>
      <c r="EY13" s="371"/>
      <c r="EZ13" s="371"/>
      <c r="FA13" s="371"/>
      <c r="FB13" s="371"/>
      <c r="FC13" s="371"/>
      <c r="FD13" s="371"/>
      <c r="FE13" s="371"/>
      <c r="FF13" s="371"/>
      <c r="FG13" s="371"/>
      <c r="FH13" s="371"/>
      <c r="FI13" s="371"/>
      <c r="FJ13" s="371"/>
      <c r="FK13" s="371"/>
      <c r="FL13" s="371"/>
      <c r="FM13" s="371"/>
      <c r="FN13" s="371"/>
      <c r="FO13" s="371"/>
      <c r="FP13" s="371"/>
      <c r="FQ13" s="371"/>
      <c r="FR13" s="371"/>
      <c r="FS13" s="371"/>
      <c r="FT13" s="371"/>
      <c r="FU13" s="371"/>
      <c r="FV13" s="371"/>
      <c r="FW13" s="371"/>
      <c r="FX13" s="371"/>
      <c r="FY13" s="371"/>
      <c r="FZ13" s="371"/>
      <c r="GA13" s="371"/>
      <c r="GB13" s="371"/>
      <c r="GC13" s="371"/>
      <c r="GD13" s="371"/>
      <c r="GE13" s="371"/>
      <c r="GF13" s="371"/>
      <c r="GG13" s="371"/>
      <c r="GH13" s="371"/>
      <c r="GI13" s="371"/>
      <c r="GJ13" s="371"/>
      <c r="GK13" s="371"/>
      <c r="GL13" s="371"/>
      <c r="GM13" s="371"/>
      <c r="GN13" s="371"/>
      <c r="GO13" s="371"/>
      <c r="GP13" s="371"/>
      <c r="GQ13" s="371"/>
      <c r="GR13" s="371"/>
      <c r="GS13" s="371"/>
      <c r="GT13" s="371"/>
      <c r="GU13" s="371"/>
      <c r="GV13" s="371"/>
      <c r="GW13" s="371"/>
      <c r="GX13" s="371"/>
      <c r="GY13" s="371"/>
      <c r="GZ13" s="371"/>
      <c r="HA13" s="371"/>
      <c r="HB13" s="371"/>
      <c r="HC13" s="371"/>
      <c r="HD13" s="371"/>
      <c r="HE13" s="371"/>
      <c r="HF13" s="371"/>
      <c r="HG13" s="371"/>
      <c r="HH13" s="371"/>
      <c r="HI13" s="371"/>
      <c r="HJ13" s="371"/>
      <c r="HK13" s="371"/>
      <c r="HL13" s="371"/>
      <c r="HM13" s="371"/>
      <c r="HN13" s="371"/>
      <c r="HO13" s="371"/>
      <c r="HP13" s="371"/>
      <c r="HQ13" s="371"/>
      <c r="HR13" s="371"/>
      <c r="HS13" s="371"/>
      <c r="HT13" s="371"/>
      <c r="HU13" s="371"/>
      <c r="HV13" s="371"/>
      <c r="HW13" s="371"/>
      <c r="HX13" s="371"/>
      <c r="HY13" s="371"/>
      <c r="HZ13" s="371"/>
      <c r="IA13" s="371"/>
      <c r="IB13" s="371"/>
      <c r="IC13" s="371"/>
      <c r="ID13" s="371"/>
      <c r="IE13" s="371"/>
      <c r="IF13" s="371"/>
      <c r="IG13" s="371"/>
      <c r="IH13" s="371"/>
      <c r="II13" s="371"/>
      <c r="IJ13" s="371"/>
      <c r="IK13" s="371"/>
      <c r="IL13" s="371"/>
      <c r="IM13" s="371"/>
      <c r="IN13" s="371"/>
      <c r="IO13" s="371"/>
      <c r="IP13" s="371"/>
      <c r="IQ13" s="371"/>
      <c r="IR13" s="371"/>
      <c r="IS13" s="371"/>
      <c r="IT13" s="371"/>
      <c r="IU13" s="371"/>
      <c r="IV13" s="371"/>
    </row>
    <row r="14" spans="1:256" ht="70.5" customHeight="1" x14ac:dyDescent="0.2">
      <c r="A14" s="391" t="s">
        <v>1318</v>
      </c>
      <c r="B14" s="392" t="s">
        <v>1319</v>
      </c>
      <c r="C14" s="392" t="s">
        <v>1320</v>
      </c>
      <c r="D14" s="392" t="s">
        <v>1321</v>
      </c>
      <c r="E14" s="393" t="s">
        <v>13</v>
      </c>
      <c r="F14" s="394"/>
      <c r="G14" s="394"/>
      <c r="H14" s="394"/>
      <c r="I14" s="394"/>
      <c r="J14" s="394"/>
      <c r="K14" s="394"/>
      <c r="L14" s="394"/>
      <c r="M14" s="394"/>
      <c r="N14" s="394"/>
      <c r="O14" s="394"/>
      <c r="P14" s="394"/>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4"/>
      <c r="AX14" s="394"/>
      <c r="AY14" s="394"/>
      <c r="AZ14" s="394"/>
      <c r="BA14" s="394"/>
      <c r="BB14" s="394"/>
      <c r="BC14" s="394"/>
      <c r="BD14" s="394"/>
      <c r="BE14" s="394"/>
      <c r="BF14" s="394"/>
      <c r="BG14" s="394"/>
      <c r="BH14" s="394"/>
      <c r="BI14" s="394"/>
      <c r="BJ14" s="394"/>
      <c r="BK14" s="394"/>
      <c r="BL14" s="394"/>
      <c r="BM14" s="394"/>
      <c r="BN14" s="394"/>
      <c r="BO14" s="394"/>
      <c r="BP14" s="394"/>
      <c r="BQ14" s="394"/>
      <c r="BR14" s="394"/>
      <c r="BS14" s="394"/>
      <c r="BT14" s="394"/>
      <c r="BU14" s="394"/>
      <c r="BV14" s="394"/>
      <c r="BW14" s="394"/>
      <c r="BX14" s="394"/>
      <c r="BY14" s="394"/>
      <c r="BZ14" s="394"/>
      <c r="CA14" s="394"/>
      <c r="CB14" s="394"/>
      <c r="CC14" s="394"/>
      <c r="CD14" s="394"/>
      <c r="CE14" s="394"/>
      <c r="CF14" s="394"/>
      <c r="CG14" s="394"/>
      <c r="CH14" s="394"/>
      <c r="CI14" s="394"/>
      <c r="CJ14" s="394"/>
      <c r="CK14" s="394"/>
      <c r="CL14" s="394"/>
      <c r="CM14" s="394"/>
      <c r="CN14" s="394"/>
      <c r="CO14" s="394"/>
      <c r="CP14" s="394"/>
      <c r="CQ14" s="394"/>
      <c r="CR14" s="394"/>
      <c r="CS14" s="394"/>
      <c r="CT14" s="394"/>
      <c r="CU14" s="394"/>
      <c r="CV14" s="394"/>
      <c r="CW14" s="394"/>
      <c r="CX14" s="394"/>
      <c r="CY14" s="394"/>
      <c r="CZ14" s="394"/>
      <c r="DA14" s="394"/>
      <c r="DB14" s="394"/>
      <c r="DC14" s="394"/>
      <c r="DD14" s="394"/>
      <c r="DE14" s="394"/>
      <c r="DF14" s="394"/>
      <c r="DG14" s="394"/>
      <c r="DH14" s="394"/>
      <c r="DI14" s="394"/>
      <c r="DJ14" s="394"/>
      <c r="DK14" s="394"/>
      <c r="DL14" s="394"/>
      <c r="DM14" s="394"/>
      <c r="DN14" s="394"/>
      <c r="DO14" s="394"/>
      <c r="DP14" s="394"/>
      <c r="DQ14" s="394"/>
      <c r="DR14" s="394"/>
      <c r="DS14" s="394"/>
      <c r="DT14" s="394"/>
      <c r="DU14" s="394"/>
      <c r="DV14" s="394"/>
      <c r="DW14" s="394"/>
      <c r="DX14" s="394"/>
      <c r="DY14" s="394"/>
      <c r="DZ14" s="394"/>
      <c r="EA14" s="394"/>
      <c r="EB14" s="394"/>
      <c r="EC14" s="394"/>
      <c r="ED14" s="394"/>
      <c r="EE14" s="394"/>
      <c r="EF14" s="394"/>
      <c r="EG14" s="394"/>
      <c r="EH14" s="394"/>
      <c r="EI14" s="394"/>
      <c r="EJ14" s="394"/>
      <c r="EK14" s="394"/>
      <c r="EL14" s="394"/>
      <c r="EM14" s="394"/>
      <c r="EN14" s="394"/>
      <c r="EO14" s="394"/>
      <c r="EP14" s="394"/>
      <c r="EQ14" s="394"/>
      <c r="ER14" s="394"/>
      <c r="ES14" s="394"/>
      <c r="ET14" s="394"/>
      <c r="EU14" s="394"/>
      <c r="EV14" s="394"/>
      <c r="EW14" s="394"/>
      <c r="EX14" s="394"/>
      <c r="EY14" s="394"/>
      <c r="EZ14" s="394"/>
      <c r="FA14" s="394"/>
      <c r="FB14" s="394"/>
      <c r="FC14" s="394"/>
      <c r="FD14" s="394"/>
      <c r="FE14" s="394"/>
      <c r="FF14" s="394"/>
      <c r="FG14" s="394"/>
      <c r="FH14" s="394"/>
      <c r="FI14" s="394"/>
      <c r="FJ14" s="394"/>
      <c r="FK14" s="394"/>
      <c r="FL14" s="394"/>
      <c r="FM14" s="394"/>
      <c r="FN14" s="394"/>
      <c r="FO14" s="394"/>
      <c r="FP14" s="394"/>
      <c r="FQ14" s="394"/>
      <c r="FR14" s="394"/>
      <c r="FS14" s="394"/>
      <c r="FT14" s="394"/>
      <c r="FU14" s="394"/>
      <c r="FV14" s="394"/>
      <c r="FW14" s="394"/>
      <c r="FX14" s="394"/>
      <c r="FY14" s="394"/>
      <c r="FZ14" s="394"/>
      <c r="GA14" s="394"/>
      <c r="GB14" s="394"/>
      <c r="GC14" s="394"/>
      <c r="GD14" s="394"/>
      <c r="GE14" s="394"/>
      <c r="GF14" s="394"/>
      <c r="GG14" s="394"/>
      <c r="GH14" s="394"/>
      <c r="GI14" s="394"/>
      <c r="GJ14" s="394"/>
      <c r="GK14" s="394"/>
      <c r="GL14" s="394"/>
      <c r="GM14" s="394"/>
      <c r="GN14" s="394"/>
      <c r="GO14" s="394"/>
      <c r="GP14" s="394"/>
      <c r="GQ14" s="394"/>
      <c r="GR14" s="394"/>
      <c r="GS14" s="394"/>
      <c r="GT14" s="394"/>
      <c r="GU14" s="394"/>
      <c r="GV14" s="394"/>
      <c r="GW14" s="394"/>
      <c r="GX14" s="394"/>
      <c r="GY14" s="394"/>
      <c r="GZ14" s="394"/>
      <c r="HA14" s="394"/>
      <c r="HB14" s="394"/>
      <c r="HC14" s="394"/>
      <c r="HD14" s="394"/>
      <c r="HE14" s="394"/>
      <c r="HF14" s="394"/>
      <c r="HG14" s="394"/>
      <c r="HH14" s="394"/>
      <c r="HI14" s="394"/>
      <c r="HJ14" s="394"/>
      <c r="HK14" s="394"/>
      <c r="HL14" s="394"/>
      <c r="HM14" s="394"/>
      <c r="HN14" s="394"/>
      <c r="HO14" s="394"/>
      <c r="HP14" s="394"/>
      <c r="HQ14" s="394"/>
      <c r="HR14" s="394"/>
      <c r="HS14" s="394"/>
      <c r="HT14" s="394"/>
      <c r="HU14" s="394"/>
      <c r="HV14" s="394"/>
      <c r="HW14" s="394"/>
      <c r="HX14" s="394"/>
      <c r="HY14" s="394"/>
      <c r="HZ14" s="394"/>
      <c r="IA14" s="394"/>
      <c r="IB14" s="394"/>
      <c r="IC14" s="394"/>
      <c r="ID14" s="394"/>
      <c r="IE14" s="394"/>
      <c r="IF14" s="394"/>
      <c r="IG14" s="394"/>
      <c r="IH14" s="394"/>
      <c r="II14" s="394"/>
      <c r="IJ14" s="394"/>
      <c r="IK14" s="394"/>
      <c r="IL14" s="394"/>
      <c r="IM14" s="394"/>
      <c r="IN14" s="394"/>
      <c r="IO14" s="394"/>
      <c r="IP14" s="394"/>
      <c r="IQ14" s="394"/>
      <c r="IR14" s="394"/>
      <c r="IS14" s="394"/>
      <c r="IT14" s="394"/>
      <c r="IU14" s="394"/>
      <c r="IV14" s="394"/>
    </row>
    <row r="15" spans="1:256" x14ac:dyDescent="0.2">
      <c r="A15" s="395">
        <v>1</v>
      </c>
      <c r="B15" s="395">
        <v>2</v>
      </c>
      <c r="C15" s="395">
        <v>3</v>
      </c>
      <c r="D15" s="395">
        <v>4</v>
      </c>
      <c r="E15" s="395">
        <v>5</v>
      </c>
      <c r="F15" s="394"/>
      <c r="G15" s="394"/>
      <c r="H15" s="394"/>
      <c r="I15" s="394"/>
      <c r="J15" s="394"/>
      <c r="K15" s="394"/>
      <c r="L15" s="394"/>
      <c r="M15" s="394"/>
      <c r="N15" s="394"/>
      <c r="O15" s="394"/>
      <c r="P15" s="394"/>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4"/>
      <c r="BK15" s="394"/>
      <c r="BL15" s="394"/>
      <c r="BM15" s="394"/>
      <c r="BN15" s="394"/>
      <c r="BO15" s="394"/>
      <c r="BP15" s="394"/>
      <c r="BQ15" s="394"/>
      <c r="BR15" s="394"/>
      <c r="BS15" s="394"/>
      <c r="BT15" s="394"/>
      <c r="BU15" s="394"/>
      <c r="BV15" s="394"/>
      <c r="BW15" s="394"/>
      <c r="BX15" s="394"/>
      <c r="BY15" s="394"/>
      <c r="BZ15" s="394"/>
      <c r="CA15" s="394"/>
      <c r="CB15" s="394"/>
      <c r="CC15" s="394"/>
      <c r="CD15" s="394"/>
      <c r="CE15" s="394"/>
      <c r="CF15" s="394"/>
      <c r="CG15" s="394"/>
      <c r="CH15" s="394"/>
      <c r="CI15" s="394"/>
      <c r="CJ15" s="394"/>
      <c r="CK15" s="394"/>
      <c r="CL15" s="394"/>
      <c r="CM15" s="394"/>
      <c r="CN15" s="394"/>
      <c r="CO15" s="394"/>
      <c r="CP15" s="394"/>
      <c r="CQ15" s="394"/>
      <c r="CR15" s="394"/>
      <c r="CS15" s="394"/>
      <c r="CT15" s="394"/>
      <c r="CU15" s="394"/>
      <c r="CV15" s="394"/>
      <c r="CW15" s="394"/>
      <c r="CX15" s="394"/>
      <c r="CY15" s="394"/>
      <c r="CZ15" s="394"/>
      <c r="DA15" s="394"/>
      <c r="DB15" s="394"/>
      <c r="DC15" s="394"/>
      <c r="DD15" s="394"/>
      <c r="DE15" s="394"/>
      <c r="DF15" s="394"/>
      <c r="DG15" s="394"/>
      <c r="DH15" s="394"/>
      <c r="DI15" s="394"/>
      <c r="DJ15" s="394"/>
      <c r="DK15" s="394"/>
      <c r="DL15" s="394"/>
      <c r="DM15" s="394"/>
      <c r="DN15" s="394"/>
      <c r="DO15" s="394"/>
      <c r="DP15" s="394"/>
      <c r="DQ15" s="394"/>
      <c r="DR15" s="394"/>
      <c r="DS15" s="394"/>
      <c r="DT15" s="394"/>
      <c r="DU15" s="394"/>
      <c r="DV15" s="394"/>
      <c r="DW15" s="394"/>
      <c r="DX15" s="394"/>
      <c r="DY15" s="394"/>
      <c r="DZ15" s="394"/>
      <c r="EA15" s="394"/>
      <c r="EB15" s="394"/>
      <c r="EC15" s="394"/>
      <c r="ED15" s="394"/>
      <c r="EE15" s="394"/>
      <c r="EF15" s="394"/>
      <c r="EG15" s="394"/>
      <c r="EH15" s="394"/>
      <c r="EI15" s="394"/>
      <c r="EJ15" s="394"/>
      <c r="EK15" s="394"/>
      <c r="EL15" s="394"/>
      <c r="EM15" s="394"/>
      <c r="EN15" s="394"/>
      <c r="EO15" s="394"/>
      <c r="EP15" s="394"/>
      <c r="EQ15" s="394"/>
      <c r="ER15" s="394"/>
      <c r="ES15" s="394"/>
      <c r="ET15" s="394"/>
      <c r="EU15" s="394"/>
      <c r="EV15" s="394"/>
      <c r="EW15" s="394"/>
      <c r="EX15" s="394"/>
      <c r="EY15" s="394"/>
      <c r="EZ15" s="394"/>
      <c r="FA15" s="394"/>
      <c r="FB15" s="394"/>
      <c r="FC15" s="394"/>
      <c r="FD15" s="394"/>
      <c r="FE15" s="394"/>
      <c r="FF15" s="394"/>
      <c r="FG15" s="394"/>
      <c r="FH15" s="394"/>
      <c r="FI15" s="394"/>
      <c r="FJ15" s="394"/>
      <c r="FK15" s="394"/>
      <c r="FL15" s="394"/>
      <c r="FM15" s="394"/>
      <c r="FN15" s="394"/>
      <c r="FO15" s="394"/>
      <c r="FP15" s="394"/>
      <c r="FQ15" s="394"/>
      <c r="FR15" s="394"/>
      <c r="FS15" s="394"/>
      <c r="FT15" s="394"/>
      <c r="FU15" s="394"/>
      <c r="FV15" s="394"/>
      <c r="FW15" s="394"/>
      <c r="FX15" s="394"/>
      <c r="FY15" s="394"/>
      <c r="FZ15" s="394"/>
      <c r="GA15" s="394"/>
      <c r="GB15" s="394"/>
      <c r="GC15" s="394"/>
      <c r="GD15" s="394"/>
      <c r="GE15" s="394"/>
      <c r="GF15" s="394"/>
      <c r="GG15" s="394"/>
      <c r="GH15" s="394"/>
      <c r="GI15" s="394"/>
      <c r="GJ15" s="394"/>
      <c r="GK15" s="394"/>
      <c r="GL15" s="394"/>
      <c r="GM15" s="394"/>
      <c r="GN15" s="394"/>
      <c r="GO15" s="394"/>
      <c r="GP15" s="394"/>
      <c r="GQ15" s="394"/>
      <c r="GR15" s="394"/>
      <c r="GS15" s="394"/>
      <c r="GT15" s="394"/>
      <c r="GU15" s="394"/>
      <c r="GV15" s="394"/>
      <c r="GW15" s="394"/>
      <c r="GX15" s="394"/>
      <c r="GY15" s="394"/>
      <c r="GZ15" s="394"/>
      <c r="HA15" s="394"/>
      <c r="HB15" s="394"/>
      <c r="HC15" s="394"/>
      <c r="HD15" s="394"/>
      <c r="HE15" s="394"/>
      <c r="HF15" s="394"/>
      <c r="HG15" s="394"/>
      <c r="HH15" s="394"/>
      <c r="HI15" s="394"/>
      <c r="HJ15" s="394"/>
      <c r="HK15" s="394"/>
      <c r="HL15" s="394"/>
      <c r="HM15" s="394"/>
      <c r="HN15" s="394"/>
      <c r="HO15" s="394"/>
      <c r="HP15" s="394"/>
      <c r="HQ15" s="394"/>
      <c r="HR15" s="394"/>
      <c r="HS15" s="394"/>
      <c r="HT15" s="394"/>
      <c r="HU15" s="394"/>
      <c r="HV15" s="394"/>
      <c r="HW15" s="394"/>
      <c r="HX15" s="394"/>
      <c r="HY15" s="394"/>
      <c r="HZ15" s="394"/>
      <c r="IA15" s="394"/>
      <c r="IB15" s="394"/>
      <c r="IC15" s="394"/>
      <c r="ID15" s="394"/>
      <c r="IE15" s="394"/>
      <c r="IF15" s="394"/>
      <c r="IG15" s="394"/>
      <c r="IH15" s="394"/>
      <c r="II15" s="394"/>
      <c r="IJ15" s="394"/>
      <c r="IK15" s="394"/>
      <c r="IL15" s="394"/>
      <c r="IM15" s="394"/>
      <c r="IN15" s="394"/>
      <c r="IO15" s="394"/>
      <c r="IP15" s="394"/>
      <c r="IQ15" s="394"/>
      <c r="IR15" s="394"/>
      <c r="IS15" s="394"/>
      <c r="IT15" s="394"/>
      <c r="IU15" s="394"/>
      <c r="IV15" s="394"/>
    </row>
    <row r="16" spans="1:256" ht="3.75" customHeight="1" x14ac:dyDescent="0.2">
      <c r="A16" s="396"/>
      <c r="B16" s="396"/>
      <c r="C16" s="397"/>
      <c r="D16" s="397"/>
      <c r="E16" s="398"/>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4"/>
      <c r="BK16" s="394"/>
      <c r="BL16" s="394"/>
      <c r="BM16" s="394"/>
      <c r="BN16" s="394"/>
      <c r="BO16" s="394"/>
      <c r="BP16" s="394"/>
      <c r="BQ16" s="394"/>
      <c r="BR16" s="394"/>
      <c r="BS16" s="394"/>
      <c r="BT16" s="394"/>
      <c r="BU16" s="394"/>
      <c r="BV16" s="394"/>
      <c r="BW16" s="394"/>
      <c r="BX16" s="394"/>
      <c r="BY16" s="394"/>
      <c r="BZ16" s="394"/>
      <c r="CA16" s="394"/>
      <c r="CB16" s="394"/>
      <c r="CC16" s="394"/>
      <c r="CD16" s="394"/>
      <c r="CE16" s="394"/>
      <c r="CF16" s="394"/>
      <c r="CG16" s="394"/>
      <c r="CH16" s="394"/>
      <c r="CI16" s="394"/>
      <c r="CJ16" s="394"/>
      <c r="CK16" s="394"/>
      <c r="CL16" s="394"/>
      <c r="CM16" s="394"/>
      <c r="CN16" s="394"/>
      <c r="CO16" s="394"/>
      <c r="CP16" s="394"/>
      <c r="CQ16" s="394"/>
      <c r="CR16" s="394"/>
      <c r="CS16" s="394"/>
      <c r="CT16" s="394"/>
      <c r="CU16" s="394"/>
      <c r="CV16" s="394"/>
      <c r="CW16" s="394"/>
      <c r="CX16" s="394"/>
      <c r="CY16" s="394"/>
      <c r="CZ16" s="394"/>
      <c r="DA16" s="394"/>
      <c r="DB16" s="394"/>
      <c r="DC16" s="394"/>
      <c r="DD16" s="394"/>
      <c r="DE16" s="394"/>
      <c r="DF16" s="394"/>
      <c r="DG16" s="394"/>
      <c r="DH16" s="394"/>
      <c r="DI16" s="394"/>
      <c r="DJ16" s="394"/>
      <c r="DK16" s="394"/>
      <c r="DL16" s="394"/>
      <c r="DM16" s="394"/>
      <c r="DN16" s="394"/>
      <c r="DO16" s="394"/>
      <c r="DP16" s="394"/>
      <c r="DQ16" s="394"/>
      <c r="DR16" s="394"/>
      <c r="DS16" s="394"/>
      <c r="DT16" s="394"/>
      <c r="DU16" s="394"/>
      <c r="DV16" s="394"/>
      <c r="DW16" s="394"/>
      <c r="DX16" s="394"/>
      <c r="DY16" s="394"/>
      <c r="DZ16" s="394"/>
      <c r="EA16" s="394"/>
      <c r="EB16" s="394"/>
      <c r="EC16" s="394"/>
      <c r="ED16" s="394"/>
      <c r="EE16" s="394"/>
      <c r="EF16" s="394"/>
      <c r="EG16" s="394"/>
      <c r="EH16" s="394"/>
      <c r="EI16" s="394"/>
      <c r="EJ16" s="394"/>
      <c r="EK16" s="394"/>
      <c r="EL16" s="394"/>
      <c r="EM16" s="394"/>
      <c r="EN16" s="394"/>
      <c r="EO16" s="394"/>
      <c r="EP16" s="394"/>
      <c r="EQ16" s="394"/>
      <c r="ER16" s="394"/>
      <c r="ES16" s="394"/>
      <c r="ET16" s="394"/>
      <c r="EU16" s="394"/>
      <c r="EV16" s="394"/>
      <c r="EW16" s="394"/>
      <c r="EX16" s="394"/>
      <c r="EY16" s="394"/>
      <c r="EZ16" s="394"/>
      <c r="FA16" s="394"/>
      <c r="FB16" s="394"/>
      <c r="FC16" s="394"/>
      <c r="FD16" s="394"/>
      <c r="FE16" s="394"/>
      <c r="FF16" s="394"/>
      <c r="FG16" s="394"/>
      <c r="FH16" s="394"/>
      <c r="FI16" s="394"/>
      <c r="FJ16" s="394"/>
      <c r="FK16" s="394"/>
      <c r="FL16" s="394"/>
      <c r="FM16" s="394"/>
      <c r="FN16" s="394"/>
      <c r="FO16" s="394"/>
      <c r="FP16" s="394"/>
      <c r="FQ16" s="394"/>
      <c r="FR16" s="394"/>
      <c r="FS16" s="394"/>
      <c r="FT16" s="394"/>
      <c r="FU16" s="394"/>
      <c r="FV16" s="394"/>
      <c r="FW16" s="394"/>
      <c r="FX16" s="394"/>
      <c r="FY16" s="394"/>
      <c r="FZ16" s="394"/>
      <c r="GA16" s="394"/>
      <c r="GB16" s="394"/>
      <c r="GC16" s="394"/>
      <c r="GD16" s="394"/>
      <c r="GE16" s="394"/>
      <c r="GF16" s="394"/>
      <c r="GG16" s="394"/>
      <c r="GH16" s="394"/>
      <c r="GI16" s="394"/>
      <c r="GJ16" s="394"/>
      <c r="GK16" s="394"/>
      <c r="GL16" s="394"/>
      <c r="GM16" s="394"/>
      <c r="GN16" s="394"/>
      <c r="GO16" s="394"/>
      <c r="GP16" s="394"/>
      <c r="GQ16" s="394"/>
      <c r="GR16" s="394"/>
      <c r="GS16" s="394"/>
      <c r="GT16" s="394"/>
      <c r="GU16" s="394"/>
      <c r="GV16" s="394"/>
      <c r="GW16" s="394"/>
      <c r="GX16" s="394"/>
      <c r="GY16" s="394"/>
      <c r="GZ16" s="394"/>
      <c r="HA16" s="394"/>
      <c r="HB16" s="394"/>
      <c r="HC16" s="394"/>
      <c r="HD16" s="394"/>
      <c r="HE16" s="394"/>
      <c r="HF16" s="394"/>
      <c r="HG16" s="394"/>
      <c r="HH16" s="394"/>
      <c r="HI16" s="394"/>
      <c r="HJ16" s="394"/>
      <c r="HK16" s="394"/>
      <c r="HL16" s="394"/>
      <c r="HM16" s="394"/>
      <c r="HN16" s="394"/>
      <c r="HO16" s="394"/>
      <c r="HP16" s="394"/>
      <c r="HQ16" s="394"/>
      <c r="HR16" s="394"/>
      <c r="HS16" s="394"/>
      <c r="HT16" s="394"/>
      <c r="HU16" s="394"/>
      <c r="HV16" s="394"/>
      <c r="HW16" s="394"/>
      <c r="HX16" s="394"/>
      <c r="HY16" s="394"/>
      <c r="HZ16" s="394"/>
      <c r="IA16" s="394"/>
      <c r="IB16" s="394"/>
      <c r="IC16" s="394"/>
      <c r="ID16" s="394"/>
      <c r="IE16" s="394"/>
      <c r="IF16" s="394"/>
      <c r="IG16" s="394"/>
      <c r="IH16" s="394"/>
      <c r="II16" s="394"/>
      <c r="IJ16" s="394"/>
      <c r="IK16" s="394"/>
      <c r="IL16" s="394"/>
      <c r="IM16" s="394"/>
      <c r="IN16" s="394"/>
      <c r="IO16" s="394"/>
      <c r="IP16" s="394"/>
      <c r="IQ16" s="394"/>
      <c r="IR16" s="394"/>
      <c r="IS16" s="394"/>
      <c r="IT16" s="394"/>
      <c r="IU16" s="394"/>
      <c r="IV16" s="399"/>
    </row>
    <row r="17" spans="1:5" x14ac:dyDescent="0.2">
      <c r="A17" s="811" t="s">
        <v>1277</v>
      </c>
      <c r="B17" s="812"/>
      <c r="C17" s="812"/>
      <c r="D17" s="812"/>
      <c r="E17" s="813"/>
    </row>
    <row r="18" spans="1:5" ht="25.5" x14ac:dyDescent="0.2">
      <c r="A18" s="778">
        <v>1</v>
      </c>
      <c r="B18" s="781" t="s">
        <v>1374</v>
      </c>
      <c r="C18" s="426" t="s">
        <v>1375</v>
      </c>
      <c r="D18" s="778" t="s">
        <v>1376</v>
      </c>
      <c r="E18" s="784">
        <f>820*0.6*55.26*1.5*1.2</f>
        <v>48938.255999999994</v>
      </c>
    </row>
    <row r="19" spans="1:5" x14ac:dyDescent="0.2">
      <c r="A19" s="779"/>
      <c r="B19" s="782"/>
      <c r="C19" s="401" t="s">
        <v>1325</v>
      </c>
      <c r="D19" s="779"/>
      <c r="E19" s="785"/>
    </row>
    <row r="20" spans="1:5" x14ac:dyDescent="0.2">
      <c r="A20" s="779"/>
      <c r="B20" s="782"/>
      <c r="C20" s="401" t="s">
        <v>1326</v>
      </c>
      <c r="D20" s="779"/>
      <c r="E20" s="785"/>
    </row>
    <row r="21" spans="1:5" x14ac:dyDescent="0.2">
      <c r="A21" s="779"/>
      <c r="B21" s="782"/>
      <c r="C21" s="401" t="s">
        <v>1327</v>
      </c>
      <c r="D21" s="779"/>
      <c r="E21" s="785"/>
    </row>
    <row r="22" spans="1:5" x14ac:dyDescent="0.2">
      <c r="A22" s="780"/>
      <c r="B22" s="783"/>
      <c r="C22" s="405" t="s">
        <v>1328</v>
      </c>
      <c r="D22" s="780"/>
      <c r="E22" s="786"/>
    </row>
    <row r="23" spans="1:5" ht="25.5" x14ac:dyDescent="0.2">
      <c r="A23" s="778">
        <v>2</v>
      </c>
      <c r="B23" s="781" t="s">
        <v>1461</v>
      </c>
      <c r="C23" s="401" t="s">
        <v>1378</v>
      </c>
      <c r="D23" s="778" t="s">
        <v>1462</v>
      </c>
      <c r="E23" s="784">
        <f>(2290+5510*3.6)*0.62*7.22</f>
        <v>99044.826400000005</v>
      </c>
    </row>
    <row r="24" spans="1:5" x14ac:dyDescent="0.2">
      <c r="A24" s="779"/>
      <c r="B24" s="782"/>
      <c r="C24" s="401" t="s">
        <v>1380</v>
      </c>
      <c r="D24" s="779"/>
      <c r="E24" s="785"/>
    </row>
    <row r="25" spans="1:5" x14ac:dyDescent="0.2">
      <c r="A25" s="780"/>
      <c r="B25" s="783"/>
      <c r="C25" s="405" t="s">
        <v>1340</v>
      </c>
      <c r="D25" s="780"/>
      <c r="E25" s="786"/>
    </row>
    <row r="26" spans="1:5" ht="25.5" x14ac:dyDescent="0.2">
      <c r="A26" s="778">
        <v>3</v>
      </c>
      <c r="B26" s="781" t="s">
        <v>1381</v>
      </c>
      <c r="C26" s="401" t="s">
        <v>1355</v>
      </c>
      <c r="D26" s="778" t="s">
        <v>1370</v>
      </c>
      <c r="E26" s="784">
        <f>(25980+4623*10)*0.58*7.22</f>
        <v>302386.59599999996</v>
      </c>
    </row>
    <row r="27" spans="1:5" x14ac:dyDescent="0.2">
      <c r="A27" s="779"/>
      <c r="B27" s="782"/>
      <c r="C27" s="401" t="s">
        <v>1357</v>
      </c>
      <c r="D27" s="779"/>
      <c r="E27" s="785"/>
    </row>
    <row r="28" spans="1:5" x14ac:dyDescent="0.2">
      <c r="A28" s="780"/>
      <c r="B28" s="783"/>
      <c r="C28" s="405" t="s">
        <v>1340</v>
      </c>
      <c r="D28" s="780"/>
      <c r="E28" s="786"/>
    </row>
    <row r="29" spans="1:5" ht="25.5" x14ac:dyDescent="0.2">
      <c r="A29" s="778">
        <v>4</v>
      </c>
      <c r="B29" s="401" t="s">
        <v>1463</v>
      </c>
      <c r="C29" s="781" t="s">
        <v>1464</v>
      </c>
      <c r="D29" s="778"/>
      <c r="E29" s="784">
        <v>500000</v>
      </c>
    </row>
    <row r="30" spans="1:5" ht="25.5" x14ac:dyDescent="0.2">
      <c r="A30" s="780"/>
      <c r="B30" s="405" t="s">
        <v>1372</v>
      </c>
      <c r="C30" s="783"/>
      <c r="D30" s="780"/>
      <c r="E30" s="786"/>
    </row>
    <row r="31" spans="1:5" ht="25.5" x14ac:dyDescent="0.2">
      <c r="A31" s="778">
        <v>5</v>
      </c>
      <c r="B31" s="781" t="s">
        <v>1384</v>
      </c>
      <c r="C31" s="401" t="s">
        <v>1385</v>
      </c>
      <c r="D31" s="778" t="s">
        <v>1386</v>
      </c>
      <c r="E31" s="784">
        <f>85450*1*7.22</f>
        <v>616949</v>
      </c>
    </row>
    <row r="32" spans="1:5" x14ac:dyDescent="0.2">
      <c r="A32" s="779"/>
      <c r="B32" s="782"/>
      <c r="C32" s="401" t="s">
        <v>1387</v>
      </c>
      <c r="D32" s="779"/>
      <c r="E32" s="785"/>
    </row>
    <row r="33" spans="1:5" x14ac:dyDescent="0.2">
      <c r="A33" s="780"/>
      <c r="B33" s="783"/>
      <c r="C33" s="405" t="s">
        <v>1340</v>
      </c>
      <c r="D33" s="780"/>
      <c r="E33" s="786"/>
    </row>
    <row r="34" spans="1:5" ht="25.5" x14ac:dyDescent="0.2">
      <c r="A34" s="778">
        <v>6</v>
      </c>
      <c r="B34" s="781" t="s">
        <v>1388</v>
      </c>
      <c r="C34" s="401" t="s">
        <v>1389</v>
      </c>
      <c r="D34" s="778" t="s">
        <v>1390</v>
      </c>
      <c r="E34" s="784">
        <f>(36610+4570*26.4)*1*1.1*7.22</f>
        <v>1248943.0360000001</v>
      </c>
    </row>
    <row r="35" spans="1:5" x14ac:dyDescent="0.2">
      <c r="A35" s="779"/>
      <c r="B35" s="782"/>
      <c r="C35" s="401" t="s">
        <v>1387</v>
      </c>
      <c r="D35" s="779"/>
      <c r="E35" s="785"/>
    </row>
    <row r="36" spans="1:5" x14ac:dyDescent="0.2">
      <c r="A36" s="779"/>
      <c r="B36" s="782"/>
      <c r="C36" s="401" t="s">
        <v>1391</v>
      </c>
      <c r="D36" s="779"/>
      <c r="E36" s="785"/>
    </row>
    <row r="37" spans="1:5" x14ac:dyDescent="0.2">
      <c r="A37" s="780"/>
      <c r="B37" s="783"/>
      <c r="C37" s="405" t="s">
        <v>1340</v>
      </c>
      <c r="D37" s="780"/>
      <c r="E37" s="786"/>
    </row>
    <row r="38" spans="1:5" ht="25.5" x14ac:dyDescent="0.2">
      <c r="A38" s="778">
        <v>7</v>
      </c>
      <c r="B38" s="781" t="s">
        <v>1392</v>
      </c>
      <c r="C38" s="401" t="s">
        <v>1393</v>
      </c>
      <c r="D38" s="778" t="s">
        <v>1394</v>
      </c>
      <c r="E38" s="784">
        <f>2400*1*7.22</f>
        <v>17328</v>
      </c>
    </row>
    <row r="39" spans="1:5" x14ac:dyDescent="0.2">
      <c r="A39" s="779"/>
      <c r="B39" s="782"/>
      <c r="C39" s="401" t="s">
        <v>1387</v>
      </c>
      <c r="D39" s="779"/>
      <c r="E39" s="785"/>
    </row>
    <row r="40" spans="1:5" x14ac:dyDescent="0.2">
      <c r="A40" s="780"/>
      <c r="B40" s="783"/>
      <c r="C40" s="405" t="s">
        <v>1340</v>
      </c>
      <c r="D40" s="780"/>
      <c r="E40" s="786"/>
    </row>
    <row r="41" spans="1:5" ht="25.5" x14ac:dyDescent="0.2">
      <c r="A41" s="778">
        <v>8</v>
      </c>
      <c r="B41" s="781" t="s">
        <v>1395</v>
      </c>
      <c r="C41" s="401" t="s">
        <v>1378</v>
      </c>
      <c r="D41" s="778" t="s">
        <v>1396</v>
      </c>
      <c r="E41" s="784">
        <f>(2290+5510*5)*1*7.22</f>
        <v>215444.8</v>
      </c>
    </row>
    <row r="42" spans="1:5" x14ac:dyDescent="0.2">
      <c r="A42" s="779"/>
      <c r="B42" s="782"/>
      <c r="C42" s="401" t="s">
        <v>1387</v>
      </c>
      <c r="D42" s="779"/>
      <c r="E42" s="785"/>
    </row>
    <row r="43" spans="1:5" x14ac:dyDescent="0.2">
      <c r="A43" s="780"/>
      <c r="B43" s="783"/>
      <c r="C43" s="405" t="s">
        <v>1340</v>
      </c>
      <c r="D43" s="780"/>
      <c r="E43" s="786"/>
    </row>
    <row r="44" spans="1:5" x14ac:dyDescent="0.2">
      <c r="A44" s="403">
        <v>9</v>
      </c>
      <c r="B44" s="405" t="s">
        <v>1399</v>
      </c>
      <c r="C44" s="405"/>
      <c r="D44" s="406"/>
      <c r="E44" s="427">
        <f>SUM(E18:E43)</f>
        <v>3049034.5143999998</v>
      </c>
    </row>
    <row r="45" spans="1:5" ht="38.25" x14ac:dyDescent="0.2">
      <c r="A45" s="403">
        <v>10</v>
      </c>
      <c r="B45" s="405" t="s">
        <v>1465</v>
      </c>
      <c r="C45" s="405"/>
      <c r="D45" s="406"/>
      <c r="E45" s="407">
        <f>E44</f>
        <v>3049034.5143999998</v>
      </c>
    </row>
    <row r="46" spans="1:5" ht="51" x14ac:dyDescent="0.2">
      <c r="A46" s="403">
        <v>11</v>
      </c>
      <c r="B46" s="408" t="s">
        <v>1401</v>
      </c>
      <c r="C46" s="408" t="s">
        <v>1402</v>
      </c>
      <c r="D46" s="408" t="s">
        <v>1403</v>
      </c>
      <c r="E46" s="409">
        <f>E45*0.8</f>
        <v>2439227.6115199998</v>
      </c>
    </row>
    <row r="47" spans="1:5" ht="25.5" x14ac:dyDescent="0.2">
      <c r="A47" s="403">
        <v>12</v>
      </c>
      <c r="B47" s="505" t="s">
        <v>2317</v>
      </c>
      <c r="C47" s="505" t="s">
        <v>2314</v>
      </c>
      <c r="D47" s="507" t="s">
        <v>2318</v>
      </c>
      <c r="E47" s="409">
        <f>E46*0.7</f>
        <v>1707459.3280639998</v>
      </c>
    </row>
    <row r="48" spans="1:5" ht="12.75" customHeight="1" x14ac:dyDescent="0.2">
      <c r="A48" s="787" t="s">
        <v>252</v>
      </c>
      <c r="B48" s="788"/>
      <c r="C48" s="788"/>
      <c r="D48" s="789"/>
      <c r="E48" s="508">
        <f>E47</f>
        <v>1707459.3280639998</v>
      </c>
    </row>
    <row r="49" spans="1:5" x14ac:dyDescent="0.2">
      <c r="A49" s="411"/>
      <c r="B49" s="411"/>
      <c r="C49" s="411"/>
      <c r="D49" s="411"/>
      <c r="E49" s="412"/>
    </row>
  </sheetData>
  <mergeCells count="37">
    <mergeCell ref="A3:E3"/>
    <mergeCell ref="A4:E4"/>
    <mergeCell ref="C6:E6"/>
    <mergeCell ref="A17:E17"/>
    <mergeCell ref="A18:A22"/>
    <mergeCell ref="B18:B22"/>
    <mergeCell ref="D18:D22"/>
    <mergeCell ref="E18:E22"/>
    <mergeCell ref="A23:A25"/>
    <mergeCell ref="B23:B25"/>
    <mergeCell ref="D23:D25"/>
    <mergeCell ref="E23:E25"/>
    <mergeCell ref="A26:A28"/>
    <mergeCell ref="B26:B28"/>
    <mergeCell ref="D26:D28"/>
    <mergeCell ref="E26:E28"/>
    <mergeCell ref="A29:A30"/>
    <mergeCell ref="C29:C30"/>
    <mergeCell ref="D29:D30"/>
    <mergeCell ref="E29:E30"/>
    <mergeCell ref="A31:A33"/>
    <mergeCell ref="B31:B33"/>
    <mergeCell ref="D31:D33"/>
    <mergeCell ref="E31:E33"/>
    <mergeCell ref="A34:A37"/>
    <mergeCell ref="B34:B37"/>
    <mergeCell ref="D34:D37"/>
    <mergeCell ref="E34:E37"/>
    <mergeCell ref="A38:A40"/>
    <mergeCell ref="B38:B40"/>
    <mergeCell ref="D38:D40"/>
    <mergeCell ref="E38:E40"/>
    <mergeCell ref="A41:A43"/>
    <mergeCell ref="B41:B43"/>
    <mergeCell ref="D41:D43"/>
    <mergeCell ref="E41:E43"/>
    <mergeCell ref="A48:D48"/>
  </mergeCells>
  <conditionalFormatting sqref="C1 C3:C16 C49:C65091">
    <cfRule type="containsText" dxfId="37" priority="2" operator="containsText" text="стадия Р">
      <formula>NOT(ISERROR(SEARCH("стадия Р",C1)))</formula>
    </cfRule>
  </conditionalFormatting>
  <conditionalFormatting sqref="C48">
    <cfRule type="containsText" dxfId="36" priority="1" operator="containsText" text="стадия Р">
      <formula>NOT(ISERROR(SEARCH("стадия Р",C48)))</formula>
    </cfRule>
  </conditionalFormatting>
  <pageMargins left="0.23622047244094491" right="0.23622047244094491" top="0.74803149606299213" bottom="0.74803149606299213" header="0.31496062992125984" footer="0.31496062992125984"/>
  <pageSetup paperSize="9" scale="79" fitToHeight="0" orientation="portrait" verticalDpi="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pageSetUpPr fitToPage="1"/>
  </sheetPr>
  <dimension ref="A1:IV35"/>
  <sheetViews>
    <sheetView zoomScale="85" workbookViewId="0">
      <selection activeCell="E35" sqref="E35"/>
    </sheetView>
  </sheetViews>
  <sheetFormatPr defaultColWidth="9.140625" defaultRowHeight="12.75" x14ac:dyDescent="0.2"/>
  <cols>
    <col min="1" max="1" width="9.140625" style="362"/>
    <col min="2" max="2" width="34.85546875" style="362" customWidth="1"/>
    <col min="3" max="3" width="42.85546875" style="363" customWidth="1"/>
    <col min="4" max="4" width="26.5703125" style="364" customWidth="1"/>
    <col min="5" max="5" width="17.42578125" style="364" customWidth="1"/>
    <col min="6" max="219" width="9.140625" style="362"/>
    <col min="220" max="220" width="28" style="362" customWidth="1"/>
    <col min="221" max="221" width="52" style="362" customWidth="1"/>
    <col min="222" max="222" width="27.28515625" style="362" customWidth="1"/>
    <col min="223" max="223" width="20.5703125" style="362" customWidth="1"/>
    <col min="224" max="225" width="9.140625" style="362"/>
    <col min="226" max="226" width="11.5703125" style="362" bestFit="1" customWidth="1"/>
    <col min="227" max="257" width="9.140625" style="362"/>
    <col min="258" max="258" width="28.7109375" style="362" customWidth="1"/>
    <col min="259" max="259" width="42.85546875" style="362" customWidth="1"/>
    <col min="260" max="260" width="26.28515625" style="362" customWidth="1"/>
    <col min="261" max="261" width="17.42578125" style="362" customWidth="1"/>
    <col min="262" max="475" width="9.140625" style="362"/>
    <col min="476" max="476" width="28" style="362" customWidth="1"/>
    <col min="477" max="477" width="52" style="362" customWidth="1"/>
    <col min="478" max="478" width="27.28515625" style="362" customWidth="1"/>
    <col min="479" max="479" width="20.5703125" style="362" customWidth="1"/>
    <col min="480" max="481" width="9.140625" style="362"/>
    <col min="482" max="482" width="11.5703125" style="362" bestFit="1" customWidth="1"/>
    <col min="483" max="513" width="9.140625" style="362"/>
    <col min="514" max="514" width="28.7109375" style="362" customWidth="1"/>
    <col min="515" max="515" width="42.85546875" style="362" customWidth="1"/>
    <col min="516" max="516" width="26.28515625" style="362" customWidth="1"/>
    <col min="517" max="517" width="17.42578125" style="362" customWidth="1"/>
    <col min="518" max="731" width="9.140625" style="362"/>
    <col min="732" max="732" width="28" style="362" customWidth="1"/>
    <col min="733" max="733" width="52" style="362" customWidth="1"/>
    <col min="734" max="734" width="27.28515625" style="362" customWidth="1"/>
    <col min="735" max="735" width="20.5703125" style="362" customWidth="1"/>
    <col min="736" max="737" width="9.140625" style="362"/>
    <col min="738" max="738" width="11.5703125" style="362" bestFit="1" customWidth="1"/>
    <col min="739" max="769" width="9.140625" style="362"/>
    <col min="770" max="770" width="28.7109375" style="362" customWidth="1"/>
    <col min="771" max="771" width="42.85546875" style="362" customWidth="1"/>
    <col min="772" max="772" width="26.28515625" style="362" customWidth="1"/>
    <col min="773" max="773" width="17.42578125" style="362" customWidth="1"/>
    <col min="774" max="987" width="9.140625" style="362"/>
    <col min="988" max="988" width="28" style="362" customWidth="1"/>
    <col min="989" max="989" width="52" style="362" customWidth="1"/>
    <col min="990" max="990" width="27.28515625" style="362" customWidth="1"/>
    <col min="991" max="991" width="20.5703125" style="362" customWidth="1"/>
    <col min="992" max="993" width="9.140625" style="362"/>
    <col min="994" max="994" width="11.5703125" style="362" bestFit="1" customWidth="1"/>
    <col min="995" max="1025" width="9.140625" style="362"/>
    <col min="1026" max="1026" width="28.7109375" style="362" customWidth="1"/>
    <col min="1027" max="1027" width="42.85546875" style="362" customWidth="1"/>
    <col min="1028" max="1028" width="26.28515625" style="362" customWidth="1"/>
    <col min="1029" max="1029" width="17.42578125" style="362" customWidth="1"/>
    <col min="1030" max="1243" width="9.140625" style="362"/>
    <col min="1244" max="1244" width="28" style="362" customWidth="1"/>
    <col min="1245" max="1245" width="52" style="362" customWidth="1"/>
    <col min="1246" max="1246" width="27.28515625" style="362" customWidth="1"/>
    <col min="1247" max="1247" width="20.5703125" style="362" customWidth="1"/>
    <col min="1248" max="1249" width="9.140625" style="362"/>
    <col min="1250" max="1250" width="11.5703125" style="362" bestFit="1" customWidth="1"/>
    <col min="1251" max="1281" width="9.140625" style="362"/>
    <col min="1282" max="1282" width="28.7109375" style="362" customWidth="1"/>
    <col min="1283" max="1283" width="42.85546875" style="362" customWidth="1"/>
    <col min="1284" max="1284" width="26.28515625" style="362" customWidth="1"/>
    <col min="1285" max="1285" width="17.42578125" style="362" customWidth="1"/>
    <col min="1286" max="1499" width="9.140625" style="362"/>
    <col min="1500" max="1500" width="28" style="362" customWidth="1"/>
    <col min="1501" max="1501" width="52" style="362" customWidth="1"/>
    <col min="1502" max="1502" width="27.28515625" style="362" customWidth="1"/>
    <col min="1503" max="1503" width="20.5703125" style="362" customWidth="1"/>
    <col min="1504" max="1505" width="9.140625" style="362"/>
    <col min="1506" max="1506" width="11.5703125" style="362" bestFit="1" customWidth="1"/>
    <col min="1507" max="1537" width="9.140625" style="362"/>
    <col min="1538" max="1538" width="28.7109375" style="362" customWidth="1"/>
    <col min="1539" max="1539" width="42.85546875" style="362" customWidth="1"/>
    <col min="1540" max="1540" width="26.28515625" style="362" customWidth="1"/>
    <col min="1541" max="1541" width="17.42578125" style="362" customWidth="1"/>
    <col min="1542" max="1755" width="9.140625" style="362"/>
    <col min="1756" max="1756" width="28" style="362" customWidth="1"/>
    <col min="1757" max="1757" width="52" style="362" customWidth="1"/>
    <col min="1758" max="1758" width="27.28515625" style="362" customWidth="1"/>
    <col min="1759" max="1759" width="20.5703125" style="362" customWidth="1"/>
    <col min="1760" max="1761" width="9.140625" style="362"/>
    <col min="1762" max="1762" width="11.5703125" style="362" bestFit="1" customWidth="1"/>
    <col min="1763" max="1793" width="9.140625" style="362"/>
    <col min="1794" max="1794" width="28.7109375" style="362" customWidth="1"/>
    <col min="1795" max="1795" width="42.85546875" style="362" customWidth="1"/>
    <col min="1796" max="1796" width="26.28515625" style="362" customWidth="1"/>
    <col min="1797" max="1797" width="17.42578125" style="362" customWidth="1"/>
    <col min="1798" max="2011" width="9.140625" style="362"/>
    <col min="2012" max="2012" width="28" style="362" customWidth="1"/>
    <col min="2013" max="2013" width="52" style="362" customWidth="1"/>
    <col min="2014" max="2014" width="27.28515625" style="362" customWidth="1"/>
    <col min="2015" max="2015" width="20.5703125" style="362" customWidth="1"/>
    <col min="2016" max="2017" width="9.140625" style="362"/>
    <col min="2018" max="2018" width="11.5703125" style="362" bestFit="1" customWidth="1"/>
    <col min="2019" max="2049" width="9.140625" style="362"/>
    <col min="2050" max="2050" width="28.7109375" style="362" customWidth="1"/>
    <col min="2051" max="2051" width="42.85546875" style="362" customWidth="1"/>
    <col min="2052" max="2052" width="26.28515625" style="362" customWidth="1"/>
    <col min="2053" max="2053" width="17.42578125" style="362" customWidth="1"/>
    <col min="2054" max="2267" width="9.140625" style="362"/>
    <col min="2268" max="2268" width="28" style="362" customWidth="1"/>
    <col min="2269" max="2269" width="52" style="362" customWidth="1"/>
    <col min="2270" max="2270" width="27.28515625" style="362" customWidth="1"/>
    <col min="2271" max="2271" width="20.5703125" style="362" customWidth="1"/>
    <col min="2272" max="2273" width="9.140625" style="362"/>
    <col min="2274" max="2274" width="11.5703125" style="362" bestFit="1" customWidth="1"/>
    <col min="2275" max="2305" width="9.140625" style="362"/>
    <col min="2306" max="2306" width="28.7109375" style="362" customWidth="1"/>
    <col min="2307" max="2307" width="42.85546875" style="362" customWidth="1"/>
    <col min="2308" max="2308" width="26.28515625" style="362" customWidth="1"/>
    <col min="2309" max="2309" width="17.42578125" style="362" customWidth="1"/>
    <col min="2310" max="2523" width="9.140625" style="362"/>
    <col min="2524" max="2524" width="28" style="362" customWidth="1"/>
    <col min="2525" max="2525" width="52" style="362" customWidth="1"/>
    <col min="2526" max="2526" width="27.28515625" style="362" customWidth="1"/>
    <col min="2527" max="2527" width="20.5703125" style="362" customWidth="1"/>
    <col min="2528" max="2529" width="9.140625" style="362"/>
    <col min="2530" max="2530" width="11.5703125" style="362" bestFit="1" customWidth="1"/>
    <col min="2531" max="2561" width="9.140625" style="362"/>
    <col min="2562" max="2562" width="28.7109375" style="362" customWidth="1"/>
    <col min="2563" max="2563" width="42.85546875" style="362" customWidth="1"/>
    <col min="2564" max="2564" width="26.28515625" style="362" customWidth="1"/>
    <col min="2565" max="2565" width="17.42578125" style="362" customWidth="1"/>
    <col min="2566" max="2779" width="9.140625" style="362"/>
    <col min="2780" max="2780" width="28" style="362" customWidth="1"/>
    <col min="2781" max="2781" width="52" style="362" customWidth="1"/>
    <col min="2782" max="2782" width="27.28515625" style="362" customWidth="1"/>
    <col min="2783" max="2783" width="20.5703125" style="362" customWidth="1"/>
    <col min="2784" max="2785" width="9.140625" style="362"/>
    <col min="2786" max="2786" width="11.5703125" style="362" bestFit="1" customWidth="1"/>
    <col min="2787" max="2817" width="9.140625" style="362"/>
    <col min="2818" max="2818" width="28.7109375" style="362" customWidth="1"/>
    <col min="2819" max="2819" width="42.85546875" style="362" customWidth="1"/>
    <col min="2820" max="2820" width="26.28515625" style="362" customWidth="1"/>
    <col min="2821" max="2821" width="17.42578125" style="362" customWidth="1"/>
    <col min="2822" max="3035" width="9.140625" style="362"/>
    <col min="3036" max="3036" width="28" style="362" customWidth="1"/>
    <col min="3037" max="3037" width="52" style="362" customWidth="1"/>
    <col min="3038" max="3038" width="27.28515625" style="362" customWidth="1"/>
    <col min="3039" max="3039" width="20.5703125" style="362" customWidth="1"/>
    <col min="3040" max="3041" width="9.140625" style="362"/>
    <col min="3042" max="3042" width="11.5703125" style="362" bestFit="1" customWidth="1"/>
    <col min="3043" max="3073" width="9.140625" style="362"/>
    <col min="3074" max="3074" width="28.7109375" style="362" customWidth="1"/>
    <col min="3075" max="3075" width="42.85546875" style="362" customWidth="1"/>
    <col min="3076" max="3076" width="26.28515625" style="362" customWidth="1"/>
    <col min="3077" max="3077" width="17.42578125" style="362" customWidth="1"/>
    <col min="3078" max="3291" width="9.140625" style="362"/>
    <col min="3292" max="3292" width="28" style="362" customWidth="1"/>
    <col min="3293" max="3293" width="52" style="362" customWidth="1"/>
    <col min="3294" max="3294" width="27.28515625" style="362" customWidth="1"/>
    <col min="3295" max="3295" width="20.5703125" style="362" customWidth="1"/>
    <col min="3296" max="3297" width="9.140625" style="362"/>
    <col min="3298" max="3298" width="11.5703125" style="362" bestFit="1" customWidth="1"/>
    <col min="3299" max="3329" width="9.140625" style="362"/>
    <col min="3330" max="3330" width="28.7109375" style="362" customWidth="1"/>
    <col min="3331" max="3331" width="42.85546875" style="362" customWidth="1"/>
    <col min="3332" max="3332" width="26.28515625" style="362" customWidth="1"/>
    <col min="3333" max="3333" width="17.42578125" style="362" customWidth="1"/>
    <col min="3334" max="3547" width="9.140625" style="362"/>
    <col min="3548" max="3548" width="28" style="362" customWidth="1"/>
    <col min="3549" max="3549" width="52" style="362" customWidth="1"/>
    <col min="3550" max="3550" width="27.28515625" style="362" customWidth="1"/>
    <col min="3551" max="3551" width="20.5703125" style="362" customWidth="1"/>
    <col min="3552" max="3553" width="9.140625" style="362"/>
    <col min="3554" max="3554" width="11.5703125" style="362" bestFit="1" customWidth="1"/>
    <col min="3555" max="3585" width="9.140625" style="362"/>
    <col min="3586" max="3586" width="28.7109375" style="362" customWidth="1"/>
    <col min="3587" max="3587" width="42.85546875" style="362" customWidth="1"/>
    <col min="3588" max="3588" width="26.28515625" style="362" customWidth="1"/>
    <col min="3589" max="3589" width="17.42578125" style="362" customWidth="1"/>
    <col min="3590" max="3803" width="9.140625" style="362"/>
    <col min="3804" max="3804" width="28" style="362" customWidth="1"/>
    <col min="3805" max="3805" width="52" style="362" customWidth="1"/>
    <col min="3806" max="3806" width="27.28515625" style="362" customWidth="1"/>
    <col min="3807" max="3807" width="20.5703125" style="362" customWidth="1"/>
    <col min="3808" max="3809" width="9.140625" style="362"/>
    <col min="3810" max="3810" width="11.5703125" style="362" bestFit="1" customWidth="1"/>
    <col min="3811" max="3841" width="9.140625" style="362"/>
    <col min="3842" max="3842" width="28.7109375" style="362" customWidth="1"/>
    <col min="3843" max="3843" width="42.85546875" style="362" customWidth="1"/>
    <col min="3844" max="3844" width="26.28515625" style="362" customWidth="1"/>
    <col min="3845" max="3845" width="17.42578125" style="362" customWidth="1"/>
    <col min="3846" max="4059" width="9.140625" style="362"/>
    <col min="4060" max="4060" width="28" style="362" customWidth="1"/>
    <col min="4061" max="4061" width="52" style="362" customWidth="1"/>
    <col min="4062" max="4062" width="27.28515625" style="362" customWidth="1"/>
    <col min="4063" max="4063" width="20.5703125" style="362" customWidth="1"/>
    <col min="4064" max="4065" width="9.140625" style="362"/>
    <col min="4066" max="4066" width="11.5703125" style="362" bestFit="1" customWidth="1"/>
    <col min="4067" max="4097" width="9.140625" style="362"/>
    <col min="4098" max="4098" width="28.7109375" style="362" customWidth="1"/>
    <col min="4099" max="4099" width="42.85546875" style="362" customWidth="1"/>
    <col min="4100" max="4100" width="26.28515625" style="362" customWidth="1"/>
    <col min="4101" max="4101" width="17.42578125" style="362" customWidth="1"/>
    <col min="4102" max="4315" width="9.140625" style="362"/>
    <col min="4316" max="4316" width="28" style="362" customWidth="1"/>
    <col min="4317" max="4317" width="52" style="362" customWidth="1"/>
    <col min="4318" max="4318" width="27.28515625" style="362" customWidth="1"/>
    <col min="4319" max="4319" width="20.5703125" style="362" customWidth="1"/>
    <col min="4320" max="4321" width="9.140625" style="362"/>
    <col min="4322" max="4322" width="11.5703125" style="362" bestFit="1" customWidth="1"/>
    <col min="4323" max="4353" width="9.140625" style="362"/>
    <col min="4354" max="4354" width="28.7109375" style="362" customWidth="1"/>
    <col min="4355" max="4355" width="42.85546875" style="362" customWidth="1"/>
    <col min="4356" max="4356" width="26.28515625" style="362" customWidth="1"/>
    <col min="4357" max="4357" width="17.42578125" style="362" customWidth="1"/>
    <col min="4358" max="4571" width="9.140625" style="362"/>
    <col min="4572" max="4572" width="28" style="362" customWidth="1"/>
    <col min="4573" max="4573" width="52" style="362" customWidth="1"/>
    <col min="4574" max="4574" width="27.28515625" style="362" customWidth="1"/>
    <col min="4575" max="4575" width="20.5703125" style="362" customWidth="1"/>
    <col min="4576" max="4577" width="9.140625" style="362"/>
    <col min="4578" max="4578" width="11.5703125" style="362" bestFit="1" customWidth="1"/>
    <col min="4579" max="4609" width="9.140625" style="362"/>
    <col min="4610" max="4610" width="28.7109375" style="362" customWidth="1"/>
    <col min="4611" max="4611" width="42.85546875" style="362" customWidth="1"/>
    <col min="4612" max="4612" width="26.28515625" style="362" customWidth="1"/>
    <col min="4613" max="4613" width="17.42578125" style="362" customWidth="1"/>
    <col min="4614" max="4827" width="9.140625" style="362"/>
    <col min="4828" max="4828" width="28" style="362" customWidth="1"/>
    <col min="4829" max="4829" width="52" style="362" customWidth="1"/>
    <col min="4830" max="4830" width="27.28515625" style="362" customWidth="1"/>
    <col min="4831" max="4831" width="20.5703125" style="362" customWidth="1"/>
    <col min="4832" max="4833" width="9.140625" style="362"/>
    <col min="4834" max="4834" width="11.5703125" style="362" bestFit="1" customWidth="1"/>
    <col min="4835" max="4865" width="9.140625" style="362"/>
    <col min="4866" max="4866" width="28.7109375" style="362" customWidth="1"/>
    <col min="4867" max="4867" width="42.85546875" style="362" customWidth="1"/>
    <col min="4868" max="4868" width="26.28515625" style="362" customWidth="1"/>
    <col min="4869" max="4869" width="17.42578125" style="362" customWidth="1"/>
    <col min="4870" max="5083" width="9.140625" style="362"/>
    <col min="5084" max="5084" width="28" style="362" customWidth="1"/>
    <col min="5085" max="5085" width="52" style="362" customWidth="1"/>
    <col min="5086" max="5086" width="27.28515625" style="362" customWidth="1"/>
    <col min="5087" max="5087" width="20.5703125" style="362" customWidth="1"/>
    <col min="5088" max="5089" width="9.140625" style="362"/>
    <col min="5090" max="5090" width="11.5703125" style="362" bestFit="1" customWidth="1"/>
    <col min="5091" max="5121" width="9.140625" style="362"/>
    <col min="5122" max="5122" width="28.7109375" style="362" customWidth="1"/>
    <col min="5123" max="5123" width="42.85546875" style="362" customWidth="1"/>
    <col min="5124" max="5124" width="26.28515625" style="362" customWidth="1"/>
    <col min="5125" max="5125" width="17.42578125" style="362" customWidth="1"/>
    <col min="5126" max="5339" width="9.140625" style="362"/>
    <col min="5340" max="5340" width="28" style="362" customWidth="1"/>
    <col min="5341" max="5341" width="52" style="362" customWidth="1"/>
    <col min="5342" max="5342" width="27.28515625" style="362" customWidth="1"/>
    <col min="5343" max="5343" width="20.5703125" style="362" customWidth="1"/>
    <col min="5344" max="5345" width="9.140625" style="362"/>
    <col min="5346" max="5346" width="11.5703125" style="362" bestFit="1" customWidth="1"/>
    <col min="5347" max="5377" width="9.140625" style="362"/>
    <col min="5378" max="5378" width="28.7109375" style="362" customWidth="1"/>
    <col min="5379" max="5379" width="42.85546875" style="362" customWidth="1"/>
    <col min="5380" max="5380" width="26.28515625" style="362" customWidth="1"/>
    <col min="5381" max="5381" width="17.42578125" style="362" customWidth="1"/>
    <col min="5382" max="5595" width="9.140625" style="362"/>
    <col min="5596" max="5596" width="28" style="362" customWidth="1"/>
    <col min="5597" max="5597" width="52" style="362" customWidth="1"/>
    <col min="5598" max="5598" width="27.28515625" style="362" customWidth="1"/>
    <col min="5599" max="5599" width="20.5703125" style="362" customWidth="1"/>
    <col min="5600" max="5601" width="9.140625" style="362"/>
    <col min="5602" max="5602" width="11.5703125" style="362" bestFit="1" customWidth="1"/>
    <col min="5603" max="5633" width="9.140625" style="362"/>
    <col min="5634" max="5634" width="28.7109375" style="362" customWidth="1"/>
    <col min="5635" max="5635" width="42.85546875" style="362" customWidth="1"/>
    <col min="5636" max="5636" width="26.28515625" style="362" customWidth="1"/>
    <col min="5637" max="5637" width="17.42578125" style="362" customWidth="1"/>
    <col min="5638" max="5851" width="9.140625" style="362"/>
    <col min="5852" max="5852" width="28" style="362" customWidth="1"/>
    <col min="5853" max="5853" width="52" style="362" customWidth="1"/>
    <col min="5854" max="5854" width="27.28515625" style="362" customWidth="1"/>
    <col min="5855" max="5855" width="20.5703125" style="362" customWidth="1"/>
    <col min="5856" max="5857" width="9.140625" style="362"/>
    <col min="5858" max="5858" width="11.5703125" style="362" bestFit="1" customWidth="1"/>
    <col min="5859" max="5889" width="9.140625" style="362"/>
    <col min="5890" max="5890" width="28.7109375" style="362" customWidth="1"/>
    <col min="5891" max="5891" width="42.85546875" style="362" customWidth="1"/>
    <col min="5892" max="5892" width="26.28515625" style="362" customWidth="1"/>
    <col min="5893" max="5893" width="17.42578125" style="362" customWidth="1"/>
    <col min="5894" max="6107" width="9.140625" style="362"/>
    <col min="6108" max="6108" width="28" style="362" customWidth="1"/>
    <col min="6109" max="6109" width="52" style="362" customWidth="1"/>
    <col min="6110" max="6110" width="27.28515625" style="362" customWidth="1"/>
    <col min="6111" max="6111" width="20.5703125" style="362" customWidth="1"/>
    <col min="6112" max="6113" width="9.140625" style="362"/>
    <col min="6114" max="6114" width="11.5703125" style="362" bestFit="1" customWidth="1"/>
    <col min="6115" max="6145" width="9.140625" style="362"/>
    <col min="6146" max="6146" width="28.7109375" style="362" customWidth="1"/>
    <col min="6147" max="6147" width="42.85546875" style="362" customWidth="1"/>
    <col min="6148" max="6148" width="26.28515625" style="362" customWidth="1"/>
    <col min="6149" max="6149" width="17.42578125" style="362" customWidth="1"/>
    <col min="6150" max="6363" width="9.140625" style="362"/>
    <col min="6364" max="6364" width="28" style="362" customWidth="1"/>
    <col min="6365" max="6365" width="52" style="362" customWidth="1"/>
    <col min="6366" max="6366" width="27.28515625" style="362" customWidth="1"/>
    <col min="6367" max="6367" width="20.5703125" style="362" customWidth="1"/>
    <col min="6368" max="6369" width="9.140625" style="362"/>
    <col min="6370" max="6370" width="11.5703125" style="362" bestFit="1" customWidth="1"/>
    <col min="6371" max="6401" width="9.140625" style="362"/>
    <col min="6402" max="6402" width="28.7109375" style="362" customWidth="1"/>
    <col min="6403" max="6403" width="42.85546875" style="362" customWidth="1"/>
    <col min="6404" max="6404" width="26.28515625" style="362" customWidth="1"/>
    <col min="6405" max="6405" width="17.42578125" style="362" customWidth="1"/>
    <col min="6406" max="6619" width="9.140625" style="362"/>
    <col min="6620" max="6620" width="28" style="362" customWidth="1"/>
    <col min="6621" max="6621" width="52" style="362" customWidth="1"/>
    <col min="6622" max="6622" width="27.28515625" style="362" customWidth="1"/>
    <col min="6623" max="6623" width="20.5703125" style="362" customWidth="1"/>
    <col min="6624" max="6625" width="9.140625" style="362"/>
    <col min="6626" max="6626" width="11.5703125" style="362" bestFit="1" customWidth="1"/>
    <col min="6627" max="6657" width="9.140625" style="362"/>
    <col min="6658" max="6658" width="28.7109375" style="362" customWidth="1"/>
    <col min="6659" max="6659" width="42.85546875" style="362" customWidth="1"/>
    <col min="6660" max="6660" width="26.28515625" style="362" customWidth="1"/>
    <col min="6661" max="6661" width="17.42578125" style="362" customWidth="1"/>
    <col min="6662" max="6875" width="9.140625" style="362"/>
    <col min="6876" max="6876" width="28" style="362" customWidth="1"/>
    <col min="6877" max="6877" width="52" style="362" customWidth="1"/>
    <col min="6878" max="6878" width="27.28515625" style="362" customWidth="1"/>
    <col min="6879" max="6879" width="20.5703125" style="362" customWidth="1"/>
    <col min="6880" max="6881" width="9.140625" style="362"/>
    <col min="6882" max="6882" width="11.5703125" style="362" bestFit="1" customWidth="1"/>
    <col min="6883" max="6913" width="9.140625" style="362"/>
    <col min="6914" max="6914" width="28.7109375" style="362" customWidth="1"/>
    <col min="6915" max="6915" width="42.85546875" style="362" customWidth="1"/>
    <col min="6916" max="6916" width="26.28515625" style="362" customWidth="1"/>
    <col min="6917" max="6917" width="17.42578125" style="362" customWidth="1"/>
    <col min="6918" max="7131" width="9.140625" style="362"/>
    <col min="7132" max="7132" width="28" style="362" customWidth="1"/>
    <col min="7133" max="7133" width="52" style="362" customWidth="1"/>
    <col min="7134" max="7134" width="27.28515625" style="362" customWidth="1"/>
    <col min="7135" max="7135" width="20.5703125" style="362" customWidth="1"/>
    <col min="7136" max="7137" width="9.140625" style="362"/>
    <col min="7138" max="7138" width="11.5703125" style="362" bestFit="1" customWidth="1"/>
    <col min="7139" max="7169" width="9.140625" style="362"/>
    <col min="7170" max="7170" width="28.7109375" style="362" customWidth="1"/>
    <col min="7171" max="7171" width="42.85546875" style="362" customWidth="1"/>
    <col min="7172" max="7172" width="26.28515625" style="362" customWidth="1"/>
    <col min="7173" max="7173" width="17.42578125" style="362" customWidth="1"/>
    <col min="7174" max="7387" width="9.140625" style="362"/>
    <col min="7388" max="7388" width="28" style="362" customWidth="1"/>
    <col min="7389" max="7389" width="52" style="362" customWidth="1"/>
    <col min="7390" max="7390" width="27.28515625" style="362" customWidth="1"/>
    <col min="7391" max="7391" width="20.5703125" style="362" customWidth="1"/>
    <col min="7392" max="7393" width="9.140625" style="362"/>
    <col min="7394" max="7394" width="11.5703125" style="362" bestFit="1" customWidth="1"/>
    <col min="7395" max="7425" width="9.140625" style="362"/>
    <col min="7426" max="7426" width="28.7109375" style="362" customWidth="1"/>
    <col min="7427" max="7427" width="42.85546875" style="362" customWidth="1"/>
    <col min="7428" max="7428" width="26.28515625" style="362" customWidth="1"/>
    <col min="7429" max="7429" width="17.42578125" style="362" customWidth="1"/>
    <col min="7430" max="7643" width="9.140625" style="362"/>
    <col min="7644" max="7644" width="28" style="362" customWidth="1"/>
    <col min="7645" max="7645" width="52" style="362" customWidth="1"/>
    <col min="7646" max="7646" width="27.28515625" style="362" customWidth="1"/>
    <col min="7647" max="7647" width="20.5703125" style="362" customWidth="1"/>
    <col min="7648" max="7649" width="9.140625" style="362"/>
    <col min="7650" max="7650" width="11.5703125" style="362" bestFit="1" customWidth="1"/>
    <col min="7651" max="7681" width="9.140625" style="362"/>
    <col min="7682" max="7682" width="28.7109375" style="362" customWidth="1"/>
    <col min="7683" max="7683" width="42.85546875" style="362" customWidth="1"/>
    <col min="7684" max="7684" width="26.28515625" style="362" customWidth="1"/>
    <col min="7685" max="7685" width="17.42578125" style="362" customWidth="1"/>
    <col min="7686" max="7899" width="9.140625" style="362"/>
    <col min="7900" max="7900" width="28" style="362" customWidth="1"/>
    <col min="7901" max="7901" width="52" style="362" customWidth="1"/>
    <col min="7902" max="7902" width="27.28515625" style="362" customWidth="1"/>
    <col min="7903" max="7903" width="20.5703125" style="362" customWidth="1"/>
    <col min="7904" max="7905" width="9.140625" style="362"/>
    <col min="7906" max="7906" width="11.5703125" style="362" bestFit="1" customWidth="1"/>
    <col min="7907" max="7937" width="9.140625" style="362"/>
    <col min="7938" max="7938" width="28.7109375" style="362" customWidth="1"/>
    <col min="7939" max="7939" width="42.85546875" style="362" customWidth="1"/>
    <col min="7940" max="7940" width="26.28515625" style="362" customWidth="1"/>
    <col min="7941" max="7941" width="17.42578125" style="362" customWidth="1"/>
    <col min="7942" max="8155" width="9.140625" style="362"/>
    <col min="8156" max="8156" width="28" style="362" customWidth="1"/>
    <col min="8157" max="8157" width="52" style="362" customWidth="1"/>
    <col min="8158" max="8158" width="27.28515625" style="362" customWidth="1"/>
    <col min="8159" max="8159" width="20.5703125" style="362" customWidth="1"/>
    <col min="8160" max="8161" width="9.140625" style="362"/>
    <col min="8162" max="8162" width="11.5703125" style="362" bestFit="1" customWidth="1"/>
    <col min="8163" max="8193" width="9.140625" style="362"/>
    <col min="8194" max="8194" width="28.7109375" style="362" customWidth="1"/>
    <col min="8195" max="8195" width="42.85546875" style="362" customWidth="1"/>
    <col min="8196" max="8196" width="26.28515625" style="362" customWidth="1"/>
    <col min="8197" max="8197" width="17.42578125" style="362" customWidth="1"/>
    <col min="8198" max="8411" width="9.140625" style="362"/>
    <col min="8412" max="8412" width="28" style="362" customWidth="1"/>
    <col min="8413" max="8413" width="52" style="362" customWidth="1"/>
    <col min="8414" max="8414" width="27.28515625" style="362" customWidth="1"/>
    <col min="8415" max="8415" width="20.5703125" style="362" customWidth="1"/>
    <col min="8416" max="8417" width="9.140625" style="362"/>
    <col min="8418" max="8418" width="11.5703125" style="362" bestFit="1" customWidth="1"/>
    <col min="8419" max="8449" width="9.140625" style="362"/>
    <col min="8450" max="8450" width="28.7109375" style="362" customWidth="1"/>
    <col min="8451" max="8451" width="42.85546875" style="362" customWidth="1"/>
    <col min="8452" max="8452" width="26.28515625" style="362" customWidth="1"/>
    <col min="8453" max="8453" width="17.42578125" style="362" customWidth="1"/>
    <col min="8454" max="8667" width="9.140625" style="362"/>
    <col min="8668" max="8668" width="28" style="362" customWidth="1"/>
    <col min="8669" max="8669" width="52" style="362" customWidth="1"/>
    <col min="8670" max="8670" width="27.28515625" style="362" customWidth="1"/>
    <col min="8671" max="8671" width="20.5703125" style="362" customWidth="1"/>
    <col min="8672" max="8673" width="9.140625" style="362"/>
    <col min="8674" max="8674" width="11.5703125" style="362" bestFit="1" customWidth="1"/>
    <col min="8675" max="8705" width="9.140625" style="362"/>
    <col min="8706" max="8706" width="28.7109375" style="362" customWidth="1"/>
    <col min="8707" max="8707" width="42.85546875" style="362" customWidth="1"/>
    <col min="8708" max="8708" width="26.28515625" style="362" customWidth="1"/>
    <col min="8709" max="8709" width="17.42578125" style="362" customWidth="1"/>
    <col min="8710" max="8923" width="9.140625" style="362"/>
    <col min="8924" max="8924" width="28" style="362" customWidth="1"/>
    <col min="8925" max="8925" width="52" style="362" customWidth="1"/>
    <col min="8926" max="8926" width="27.28515625" style="362" customWidth="1"/>
    <col min="8927" max="8927" width="20.5703125" style="362" customWidth="1"/>
    <col min="8928" max="8929" width="9.140625" style="362"/>
    <col min="8930" max="8930" width="11.5703125" style="362" bestFit="1" customWidth="1"/>
    <col min="8931" max="8961" width="9.140625" style="362"/>
    <col min="8962" max="8962" width="28.7109375" style="362" customWidth="1"/>
    <col min="8963" max="8963" width="42.85546875" style="362" customWidth="1"/>
    <col min="8964" max="8964" width="26.28515625" style="362" customWidth="1"/>
    <col min="8965" max="8965" width="17.42578125" style="362" customWidth="1"/>
    <col min="8966" max="9179" width="9.140625" style="362"/>
    <col min="9180" max="9180" width="28" style="362" customWidth="1"/>
    <col min="9181" max="9181" width="52" style="362" customWidth="1"/>
    <col min="9182" max="9182" width="27.28515625" style="362" customWidth="1"/>
    <col min="9183" max="9183" width="20.5703125" style="362" customWidth="1"/>
    <col min="9184" max="9185" width="9.140625" style="362"/>
    <col min="9186" max="9186" width="11.5703125" style="362" bestFit="1" customWidth="1"/>
    <col min="9187" max="9217" width="9.140625" style="362"/>
    <col min="9218" max="9218" width="28.7109375" style="362" customWidth="1"/>
    <col min="9219" max="9219" width="42.85546875" style="362" customWidth="1"/>
    <col min="9220" max="9220" width="26.28515625" style="362" customWidth="1"/>
    <col min="9221" max="9221" width="17.42578125" style="362" customWidth="1"/>
    <col min="9222" max="9435" width="9.140625" style="362"/>
    <col min="9436" max="9436" width="28" style="362" customWidth="1"/>
    <col min="9437" max="9437" width="52" style="362" customWidth="1"/>
    <col min="9438" max="9438" width="27.28515625" style="362" customWidth="1"/>
    <col min="9439" max="9439" width="20.5703125" style="362" customWidth="1"/>
    <col min="9440" max="9441" width="9.140625" style="362"/>
    <col min="9442" max="9442" width="11.5703125" style="362" bestFit="1" customWidth="1"/>
    <col min="9443" max="9473" width="9.140625" style="362"/>
    <col min="9474" max="9474" width="28.7109375" style="362" customWidth="1"/>
    <col min="9475" max="9475" width="42.85546875" style="362" customWidth="1"/>
    <col min="9476" max="9476" width="26.28515625" style="362" customWidth="1"/>
    <col min="9477" max="9477" width="17.42578125" style="362" customWidth="1"/>
    <col min="9478" max="9691" width="9.140625" style="362"/>
    <col min="9692" max="9692" width="28" style="362" customWidth="1"/>
    <col min="9693" max="9693" width="52" style="362" customWidth="1"/>
    <col min="9694" max="9694" width="27.28515625" style="362" customWidth="1"/>
    <col min="9695" max="9695" width="20.5703125" style="362" customWidth="1"/>
    <col min="9696" max="9697" width="9.140625" style="362"/>
    <col min="9698" max="9698" width="11.5703125" style="362" bestFit="1" customWidth="1"/>
    <col min="9699" max="9729" width="9.140625" style="362"/>
    <col min="9730" max="9730" width="28.7109375" style="362" customWidth="1"/>
    <col min="9731" max="9731" width="42.85546875" style="362" customWidth="1"/>
    <col min="9732" max="9732" width="26.28515625" style="362" customWidth="1"/>
    <col min="9733" max="9733" width="17.42578125" style="362" customWidth="1"/>
    <col min="9734" max="9947" width="9.140625" style="362"/>
    <col min="9948" max="9948" width="28" style="362" customWidth="1"/>
    <col min="9949" max="9949" width="52" style="362" customWidth="1"/>
    <col min="9950" max="9950" width="27.28515625" style="362" customWidth="1"/>
    <col min="9951" max="9951" width="20.5703125" style="362" customWidth="1"/>
    <col min="9952" max="9953" width="9.140625" style="362"/>
    <col min="9954" max="9954" width="11.5703125" style="362" bestFit="1" customWidth="1"/>
    <col min="9955" max="9985" width="9.140625" style="362"/>
    <col min="9986" max="9986" width="28.7109375" style="362" customWidth="1"/>
    <col min="9987" max="9987" width="42.85546875" style="362" customWidth="1"/>
    <col min="9988" max="9988" width="26.28515625" style="362" customWidth="1"/>
    <col min="9989" max="9989" width="17.42578125" style="362" customWidth="1"/>
    <col min="9990" max="10203" width="9.140625" style="362"/>
    <col min="10204" max="10204" width="28" style="362" customWidth="1"/>
    <col min="10205" max="10205" width="52" style="362" customWidth="1"/>
    <col min="10206" max="10206" width="27.28515625" style="362" customWidth="1"/>
    <col min="10207" max="10207" width="20.5703125" style="362" customWidth="1"/>
    <col min="10208" max="10209" width="9.140625" style="362"/>
    <col min="10210" max="10210" width="11.5703125" style="362" bestFit="1" customWidth="1"/>
    <col min="10211" max="10241" width="9.140625" style="362"/>
    <col min="10242" max="10242" width="28.7109375" style="362" customWidth="1"/>
    <col min="10243" max="10243" width="42.85546875" style="362" customWidth="1"/>
    <col min="10244" max="10244" width="26.28515625" style="362" customWidth="1"/>
    <col min="10245" max="10245" width="17.42578125" style="362" customWidth="1"/>
    <col min="10246" max="10459" width="9.140625" style="362"/>
    <col min="10460" max="10460" width="28" style="362" customWidth="1"/>
    <col min="10461" max="10461" width="52" style="362" customWidth="1"/>
    <col min="10462" max="10462" width="27.28515625" style="362" customWidth="1"/>
    <col min="10463" max="10463" width="20.5703125" style="362" customWidth="1"/>
    <col min="10464" max="10465" width="9.140625" style="362"/>
    <col min="10466" max="10466" width="11.5703125" style="362" bestFit="1" customWidth="1"/>
    <col min="10467" max="10497" width="9.140625" style="362"/>
    <col min="10498" max="10498" width="28.7109375" style="362" customWidth="1"/>
    <col min="10499" max="10499" width="42.85546875" style="362" customWidth="1"/>
    <col min="10500" max="10500" width="26.28515625" style="362" customWidth="1"/>
    <col min="10501" max="10501" width="17.42578125" style="362" customWidth="1"/>
    <col min="10502" max="10715" width="9.140625" style="362"/>
    <col min="10716" max="10716" width="28" style="362" customWidth="1"/>
    <col min="10717" max="10717" width="52" style="362" customWidth="1"/>
    <col min="10718" max="10718" width="27.28515625" style="362" customWidth="1"/>
    <col min="10719" max="10719" width="20.5703125" style="362" customWidth="1"/>
    <col min="10720" max="10721" width="9.140625" style="362"/>
    <col min="10722" max="10722" width="11.5703125" style="362" bestFit="1" customWidth="1"/>
    <col min="10723" max="10753" width="9.140625" style="362"/>
    <col min="10754" max="10754" width="28.7109375" style="362" customWidth="1"/>
    <col min="10755" max="10755" width="42.85546875" style="362" customWidth="1"/>
    <col min="10756" max="10756" width="26.28515625" style="362" customWidth="1"/>
    <col min="10757" max="10757" width="17.42578125" style="362" customWidth="1"/>
    <col min="10758" max="10971" width="9.140625" style="362"/>
    <col min="10972" max="10972" width="28" style="362" customWidth="1"/>
    <col min="10973" max="10973" width="52" style="362" customWidth="1"/>
    <col min="10974" max="10974" width="27.28515625" style="362" customWidth="1"/>
    <col min="10975" max="10975" width="20.5703125" style="362" customWidth="1"/>
    <col min="10976" max="10977" width="9.140625" style="362"/>
    <col min="10978" max="10978" width="11.5703125" style="362" bestFit="1" customWidth="1"/>
    <col min="10979" max="11009" width="9.140625" style="362"/>
    <col min="11010" max="11010" width="28.7109375" style="362" customWidth="1"/>
    <col min="11011" max="11011" width="42.85546875" style="362" customWidth="1"/>
    <col min="11012" max="11012" width="26.28515625" style="362" customWidth="1"/>
    <col min="11013" max="11013" width="17.42578125" style="362" customWidth="1"/>
    <col min="11014" max="11227" width="9.140625" style="362"/>
    <col min="11228" max="11228" width="28" style="362" customWidth="1"/>
    <col min="11229" max="11229" width="52" style="362" customWidth="1"/>
    <col min="11230" max="11230" width="27.28515625" style="362" customWidth="1"/>
    <col min="11231" max="11231" width="20.5703125" style="362" customWidth="1"/>
    <col min="11232" max="11233" width="9.140625" style="362"/>
    <col min="11234" max="11234" width="11.5703125" style="362" bestFit="1" customWidth="1"/>
    <col min="11235" max="11265" width="9.140625" style="362"/>
    <col min="11266" max="11266" width="28.7109375" style="362" customWidth="1"/>
    <col min="11267" max="11267" width="42.85546875" style="362" customWidth="1"/>
    <col min="11268" max="11268" width="26.28515625" style="362" customWidth="1"/>
    <col min="11269" max="11269" width="17.42578125" style="362" customWidth="1"/>
    <col min="11270" max="11483" width="9.140625" style="362"/>
    <col min="11484" max="11484" width="28" style="362" customWidth="1"/>
    <col min="11485" max="11485" width="52" style="362" customWidth="1"/>
    <col min="11486" max="11486" width="27.28515625" style="362" customWidth="1"/>
    <col min="11487" max="11487" width="20.5703125" style="362" customWidth="1"/>
    <col min="11488" max="11489" width="9.140625" style="362"/>
    <col min="11490" max="11490" width="11.5703125" style="362" bestFit="1" customWidth="1"/>
    <col min="11491" max="11521" width="9.140625" style="362"/>
    <col min="11522" max="11522" width="28.7109375" style="362" customWidth="1"/>
    <col min="11523" max="11523" width="42.85546875" style="362" customWidth="1"/>
    <col min="11524" max="11524" width="26.28515625" style="362" customWidth="1"/>
    <col min="11525" max="11525" width="17.42578125" style="362" customWidth="1"/>
    <col min="11526" max="11739" width="9.140625" style="362"/>
    <col min="11740" max="11740" width="28" style="362" customWidth="1"/>
    <col min="11741" max="11741" width="52" style="362" customWidth="1"/>
    <col min="11742" max="11742" width="27.28515625" style="362" customWidth="1"/>
    <col min="11743" max="11743" width="20.5703125" style="362" customWidth="1"/>
    <col min="11744" max="11745" width="9.140625" style="362"/>
    <col min="11746" max="11746" width="11.5703125" style="362" bestFit="1" customWidth="1"/>
    <col min="11747" max="11777" width="9.140625" style="362"/>
    <col min="11778" max="11778" width="28.7109375" style="362" customWidth="1"/>
    <col min="11779" max="11779" width="42.85546875" style="362" customWidth="1"/>
    <col min="11780" max="11780" width="26.28515625" style="362" customWidth="1"/>
    <col min="11781" max="11781" width="17.42578125" style="362" customWidth="1"/>
    <col min="11782" max="11995" width="9.140625" style="362"/>
    <col min="11996" max="11996" width="28" style="362" customWidth="1"/>
    <col min="11997" max="11997" width="52" style="362" customWidth="1"/>
    <col min="11998" max="11998" width="27.28515625" style="362" customWidth="1"/>
    <col min="11999" max="11999" width="20.5703125" style="362" customWidth="1"/>
    <col min="12000" max="12001" width="9.140625" style="362"/>
    <col min="12002" max="12002" width="11.5703125" style="362" bestFit="1" customWidth="1"/>
    <col min="12003" max="12033" width="9.140625" style="362"/>
    <col min="12034" max="12034" width="28.7109375" style="362" customWidth="1"/>
    <col min="12035" max="12035" width="42.85546875" style="362" customWidth="1"/>
    <col min="12036" max="12036" width="26.28515625" style="362" customWidth="1"/>
    <col min="12037" max="12037" width="17.42578125" style="362" customWidth="1"/>
    <col min="12038" max="12251" width="9.140625" style="362"/>
    <col min="12252" max="12252" width="28" style="362" customWidth="1"/>
    <col min="12253" max="12253" width="52" style="362" customWidth="1"/>
    <col min="12254" max="12254" width="27.28515625" style="362" customWidth="1"/>
    <col min="12255" max="12255" width="20.5703125" style="362" customWidth="1"/>
    <col min="12256" max="12257" width="9.140625" style="362"/>
    <col min="12258" max="12258" width="11.5703125" style="362" bestFit="1" customWidth="1"/>
    <col min="12259" max="12289" width="9.140625" style="362"/>
    <col min="12290" max="12290" width="28.7109375" style="362" customWidth="1"/>
    <col min="12291" max="12291" width="42.85546875" style="362" customWidth="1"/>
    <col min="12292" max="12292" width="26.28515625" style="362" customWidth="1"/>
    <col min="12293" max="12293" width="17.42578125" style="362" customWidth="1"/>
    <col min="12294" max="12507" width="9.140625" style="362"/>
    <col min="12508" max="12508" width="28" style="362" customWidth="1"/>
    <col min="12509" max="12509" width="52" style="362" customWidth="1"/>
    <col min="12510" max="12510" width="27.28515625" style="362" customWidth="1"/>
    <col min="12511" max="12511" width="20.5703125" style="362" customWidth="1"/>
    <col min="12512" max="12513" width="9.140625" style="362"/>
    <col min="12514" max="12514" width="11.5703125" style="362" bestFit="1" customWidth="1"/>
    <col min="12515" max="12545" width="9.140625" style="362"/>
    <col min="12546" max="12546" width="28.7109375" style="362" customWidth="1"/>
    <col min="12547" max="12547" width="42.85546875" style="362" customWidth="1"/>
    <col min="12548" max="12548" width="26.28515625" style="362" customWidth="1"/>
    <col min="12549" max="12549" width="17.42578125" style="362" customWidth="1"/>
    <col min="12550" max="12763" width="9.140625" style="362"/>
    <col min="12764" max="12764" width="28" style="362" customWidth="1"/>
    <col min="12765" max="12765" width="52" style="362" customWidth="1"/>
    <col min="12766" max="12766" width="27.28515625" style="362" customWidth="1"/>
    <col min="12767" max="12767" width="20.5703125" style="362" customWidth="1"/>
    <col min="12768" max="12769" width="9.140625" style="362"/>
    <col min="12770" max="12770" width="11.5703125" style="362" bestFit="1" customWidth="1"/>
    <col min="12771" max="12801" width="9.140625" style="362"/>
    <col min="12802" max="12802" width="28.7109375" style="362" customWidth="1"/>
    <col min="12803" max="12803" width="42.85546875" style="362" customWidth="1"/>
    <col min="12804" max="12804" width="26.28515625" style="362" customWidth="1"/>
    <col min="12805" max="12805" width="17.42578125" style="362" customWidth="1"/>
    <col min="12806" max="13019" width="9.140625" style="362"/>
    <col min="13020" max="13020" width="28" style="362" customWidth="1"/>
    <col min="13021" max="13021" width="52" style="362" customWidth="1"/>
    <col min="13022" max="13022" width="27.28515625" style="362" customWidth="1"/>
    <col min="13023" max="13023" width="20.5703125" style="362" customWidth="1"/>
    <col min="13024" max="13025" width="9.140625" style="362"/>
    <col min="13026" max="13026" width="11.5703125" style="362" bestFit="1" customWidth="1"/>
    <col min="13027" max="13057" width="9.140625" style="362"/>
    <col min="13058" max="13058" width="28.7109375" style="362" customWidth="1"/>
    <col min="13059" max="13059" width="42.85546875" style="362" customWidth="1"/>
    <col min="13060" max="13060" width="26.28515625" style="362" customWidth="1"/>
    <col min="13061" max="13061" width="17.42578125" style="362" customWidth="1"/>
    <col min="13062" max="13275" width="9.140625" style="362"/>
    <col min="13276" max="13276" width="28" style="362" customWidth="1"/>
    <col min="13277" max="13277" width="52" style="362" customWidth="1"/>
    <col min="13278" max="13278" width="27.28515625" style="362" customWidth="1"/>
    <col min="13279" max="13279" width="20.5703125" style="362" customWidth="1"/>
    <col min="13280" max="13281" width="9.140625" style="362"/>
    <col min="13282" max="13282" width="11.5703125" style="362" bestFit="1" customWidth="1"/>
    <col min="13283" max="13313" width="9.140625" style="362"/>
    <col min="13314" max="13314" width="28.7109375" style="362" customWidth="1"/>
    <col min="13315" max="13315" width="42.85546875" style="362" customWidth="1"/>
    <col min="13316" max="13316" width="26.28515625" style="362" customWidth="1"/>
    <col min="13317" max="13317" width="17.42578125" style="362" customWidth="1"/>
    <col min="13318" max="13531" width="9.140625" style="362"/>
    <col min="13532" max="13532" width="28" style="362" customWidth="1"/>
    <col min="13533" max="13533" width="52" style="362" customWidth="1"/>
    <col min="13534" max="13534" width="27.28515625" style="362" customWidth="1"/>
    <col min="13535" max="13535" width="20.5703125" style="362" customWidth="1"/>
    <col min="13536" max="13537" width="9.140625" style="362"/>
    <col min="13538" max="13538" width="11.5703125" style="362" bestFit="1" customWidth="1"/>
    <col min="13539" max="13569" width="9.140625" style="362"/>
    <col min="13570" max="13570" width="28.7109375" style="362" customWidth="1"/>
    <col min="13571" max="13571" width="42.85546875" style="362" customWidth="1"/>
    <col min="13572" max="13572" width="26.28515625" style="362" customWidth="1"/>
    <col min="13573" max="13573" width="17.42578125" style="362" customWidth="1"/>
    <col min="13574" max="13787" width="9.140625" style="362"/>
    <col min="13788" max="13788" width="28" style="362" customWidth="1"/>
    <col min="13789" max="13789" width="52" style="362" customWidth="1"/>
    <col min="13790" max="13790" width="27.28515625" style="362" customWidth="1"/>
    <col min="13791" max="13791" width="20.5703125" style="362" customWidth="1"/>
    <col min="13792" max="13793" width="9.140625" style="362"/>
    <col min="13794" max="13794" width="11.5703125" style="362" bestFit="1" customWidth="1"/>
    <col min="13795" max="13825" width="9.140625" style="362"/>
    <col min="13826" max="13826" width="28.7109375" style="362" customWidth="1"/>
    <col min="13827" max="13827" width="42.85546875" style="362" customWidth="1"/>
    <col min="13828" max="13828" width="26.28515625" style="362" customWidth="1"/>
    <col min="13829" max="13829" width="17.42578125" style="362" customWidth="1"/>
    <col min="13830" max="14043" width="9.140625" style="362"/>
    <col min="14044" max="14044" width="28" style="362" customWidth="1"/>
    <col min="14045" max="14045" width="52" style="362" customWidth="1"/>
    <col min="14046" max="14046" width="27.28515625" style="362" customWidth="1"/>
    <col min="14047" max="14047" width="20.5703125" style="362" customWidth="1"/>
    <col min="14048" max="14049" width="9.140625" style="362"/>
    <col min="14050" max="14050" width="11.5703125" style="362" bestFit="1" customWidth="1"/>
    <col min="14051" max="14081" width="9.140625" style="362"/>
    <col min="14082" max="14082" width="28.7109375" style="362" customWidth="1"/>
    <col min="14083" max="14083" width="42.85546875" style="362" customWidth="1"/>
    <col min="14084" max="14084" width="26.28515625" style="362" customWidth="1"/>
    <col min="14085" max="14085" width="17.42578125" style="362" customWidth="1"/>
    <col min="14086" max="14299" width="9.140625" style="362"/>
    <col min="14300" max="14300" width="28" style="362" customWidth="1"/>
    <col min="14301" max="14301" width="52" style="362" customWidth="1"/>
    <col min="14302" max="14302" width="27.28515625" style="362" customWidth="1"/>
    <col min="14303" max="14303" width="20.5703125" style="362" customWidth="1"/>
    <col min="14304" max="14305" width="9.140625" style="362"/>
    <col min="14306" max="14306" width="11.5703125" style="362" bestFit="1" customWidth="1"/>
    <col min="14307" max="14337" width="9.140625" style="362"/>
    <col min="14338" max="14338" width="28.7109375" style="362" customWidth="1"/>
    <col min="14339" max="14339" width="42.85546875" style="362" customWidth="1"/>
    <col min="14340" max="14340" width="26.28515625" style="362" customWidth="1"/>
    <col min="14341" max="14341" width="17.42578125" style="362" customWidth="1"/>
    <col min="14342" max="14555" width="9.140625" style="362"/>
    <col min="14556" max="14556" width="28" style="362" customWidth="1"/>
    <col min="14557" max="14557" width="52" style="362" customWidth="1"/>
    <col min="14558" max="14558" width="27.28515625" style="362" customWidth="1"/>
    <col min="14559" max="14559" width="20.5703125" style="362" customWidth="1"/>
    <col min="14560" max="14561" width="9.140625" style="362"/>
    <col min="14562" max="14562" width="11.5703125" style="362" bestFit="1" customWidth="1"/>
    <col min="14563" max="14593" width="9.140625" style="362"/>
    <col min="14594" max="14594" width="28.7109375" style="362" customWidth="1"/>
    <col min="14595" max="14595" width="42.85546875" style="362" customWidth="1"/>
    <col min="14596" max="14596" width="26.28515625" style="362" customWidth="1"/>
    <col min="14597" max="14597" width="17.42578125" style="362" customWidth="1"/>
    <col min="14598" max="14811" width="9.140625" style="362"/>
    <col min="14812" max="14812" width="28" style="362" customWidth="1"/>
    <col min="14813" max="14813" width="52" style="362" customWidth="1"/>
    <col min="14814" max="14814" width="27.28515625" style="362" customWidth="1"/>
    <col min="14815" max="14815" width="20.5703125" style="362" customWidth="1"/>
    <col min="14816" max="14817" width="9.140625" style="362"/>
    <col min="14818" max="14818" width="11.5703125" style="362" bestFit="1" customWidth="1"/>
    <col min="14819" max="14849" width="9.140625" style="362"/>
    <col min="14850" max="14850" width="28.7109375" style="362" customWidth="1"/>
    <col min="14851" max="14851" width="42.85546875" style="362" customWidth="1"/>
    <col min="14852" max="14852" width="26.28515625" style="362" customWidth="1"/>
    <col min="14853" max="14853" width="17.42578125" style="362" customWidth="1"/>
    <col min="14854" max="15067" width="9.140625" style="362"/>
    <col min="15068" max="15068" width="28" style="362" customWidth="1"/>
    <col min="15069" max="15069" width="52" style="362" customWidth="1"/>
    <col min="15070" max="15070" width="27.28515625" style="362" customWidth="1"/>
    <col min="15071" max="15071" width="20.5703125" style="362" customWidth="1"/>
    <col min="15072" max="15073" width="9.140625" style="362"/>
    <col min="15074" max="15074" width="11.5703125" style="362" bestFit="1" customWidth="1"/>
    <col min="15075" max="15105" width="9.140625" style="362"/>
    <col min="15106" max="15106" width="28.7109375" style="362" customWidth="1"/>
    <col min="15107" max="15107" width="42.85546875" style="362" customWidth="1"/>
    <col min="15108" max="15108" width="26.28515625" style="362" customWidth="1"/>
    <col min="15109" max="15109" width="17.42578125" style="362" customWidth="1"/>
    <col min="15110" max="15323" width="9.140625" style="362"/>
    <col min="15324" max="15324" width="28" style="362" customWidth="1"/>
    <col min="15325" max="15325" width="52" style="362" customWidth="1"/>
    <col min="15326" max="15326" width="27.28515625" style="362" customWidth="1"/>
    <col min="15327" max="15327" width="20.5703125" style="362" customWidth="1"/>
    <col min="15328" max="15329" width="9.140625" style="362"/>
    <col min="15330" max="15330" width="11.5703125" style="362" bestFit="1" customWidth="1"/>
    <col min="15331" max="15361" width="9.140625" style="362"/>
    <col min="15362" max="15362" width="28.7109375" style="362" customWidth="1"/>
    <col min="15363" max="15363" width="42.85546875" style="362" customWidth="1"/>
    <col min="15364" max="15364" width="26.28515625" style="362" customWidth="1"/>
    <col min="15365" max="15365" width="17.42578125" style="362" customWidth="1"/>
    <col min="15366" max="15579" width="9.140625" style="362"/>
    <col min="15580" max="15580" width="28" style="362" customWidth="1"/>
    <col min="15581" max="15581" width="52" style="362" customWidth="1"/>
    <col min="15582" max="15582" width="27.28515625" style="362" customWidth="1"/>
    <col min="15583" max="15583" width="20.5703125" style="362" customWidth="1"/>
    <col min="15584" max="15585" width="9.140625" style="362"/>
    <col min="15586" max="15586" width="11.5703125" style="362" bestFit="1" customWidth="1"/>
    <col min="15587" max="15617" width="9.140625" style="362"/>
    <col min="15618" max="15618" width="28.7109375" style="362" customWidth="1"/>
    <col min="15619" max="15619" width="42.85546875" style="362" customWidth="1"/>
    <col min="15620" max="15620" width="26.28515625" style="362" customWidth="1"/>
    <col min="15621" max="15621" width="17.42578125" style="362" customWidth="1"/>
    <col min="15622" max="15835" width="9.140625" style="362"/>
    <col min="15836" max="15836" width="28" style="362" customWidth="1"/>
    <col min="15837" max="15837" width="52" style="362" customWidth="1"/>
    <col min="15838" max="15838" width="27.28515625" style="362" customWidth="1"/>
    <col min="15839" max="15839" width="20.5703125" style="362" customWidth="1"/>
    <col min="15840" max="15841" width="9.140625" style="362"/>
    <col min="15842" max="15842" width="11.5703125" style="362" bestFit="1" customWidth="1"/>
    <col min="15843" max="15873" width="9.140625" style="362"/>
    <col min="15874" max="15874" width="28.7109375" style="362" customWidth="1"/>
    <col min="15875" max="15875" width="42.85546875" style="362" customWidth="1"/>
    <col min="15876" max="15876" width="26.28515625" style="362" customWidth="1"/>
    <col min="15877" max="15877" width="17.42578125" style="362" customWidth="1"/>
    <col min="15878" max="16091" width="9.140625" style="362"/>
    <col min="16092" max="16092" width="28" style="362" customWidth="1"/>
    <col min="16093" max="16093" width="52" style="362" customWidth="1"/>
    <col min="16094" max="16094" width="27.28515625" style="362" customWidth="1"/>
    <col min="16095" max="16095" width="20.5703125" style="362" customWidth="1"/>
    <col min="16096" max="16097" width="9.140625" style="362"/>
    <col min="16098" max="16098" width="11.5703125" style="362" bestFit="1" customWidth="1"/>
    <col min="16099" max="16129" width="9.140625" style="362"/>
    <col min="16130" max="16130" width="28.7109375" style="362" customWidth="1"/>
    <col min="16131" max="16131" width="42.85546875" style="362" customWidth="1"/>
    <col min="16132" max="16132" width="26.28515625" style="362" customWidth="1"/>
    <col min="16133" max="16133" width="17.42578125" style="362" customWidth="1"/>
    <col min="16134" max="16347" width="9.140625" style="362"/>
    <col min="16348" max="16348" width="28" style="362" customWidth="1"/>
    <col min="16349" max="16349" width="52" style="362" customWidth="1"/>
    <col min="16350" max="16350" width="27.28515625" style="362" customWidth="1"/>
    <col min="16351" max="16351" width="20.5703125" style="362" customWidth="1"/>
    <col min="16352" max="16353" width="9.140625" style="362"/>
    <col min="16354" max="16354" width="11.5703125" style="362" bestFit="1" customWidth="1"/>
    <col min="16355" max="16384" width="9.140625" style="362"/>
  </cols>
  <sheetData>
    <row r="1" spans="1:256" x14ac:dyDescent="0.2">
      <c r="A1" s="365"/>
      <c r="B1" s="366"/>
      <c r="C1" s="367"/>
      <c r="D1" s="368"/>
      <c r="E1" s="369" t="s">
        <v>1310</v>
      </c>
      <c r="F1" s="368"/>
      <c r="G1" s="370"/>
      <c r="H1" s="368"/>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c r="BJ1" s="371"/>
      <c r="BK1" s="371"/>
      <c r="BL1" s="371"/>
      <c r="BM1" s="371"/>
      <c r="BN1" s="371"/>
      <c r="BO1" s="371"/>
      <c r="BP1" s="371"/>
      <c r="BQ1" s="371"/>
      <c r="BR1" s="371"/>
      <c r="BS1" s="371"/>
      <c r="BT1" s="371"/>
      <c r="BU1" s="371"/>
      <c r="BV1" s="371"/>
      <c r="BW1" s="371"/>
      <c r="BX1" s="371"/>
      <c r="BY1" s="371"/>
      <c r="BZ1" s="371"/>
      <c r="CA1" s="371"/>
      <c r="CB1" s="371"/>
      <c r="CC1" s="371"/>
      <c r="CD1" s="371"/>
      <c r="CE1" s="371"/>
      <c r="CF1" s="371"/>
      <c r="CG1" s="371"/>
      <c r="CH1" s="371"/>
      <c r="CI1" s="371"/>
      <c r="CJ1" s="371"/>
      <c r="CK1" s="371"/>
      <c r="CL1" s="371"/>
      <c r="CM1" s="371"/>
      <c r="CN1" s="371"/>
      <c r="CO1" s="371"/>
      <c r="CP1" s="371"/>
      <c r="CQ1" s="371"/>
      <c r="CR1" s="371"/>
      <c r="CS1" s="371"/>
      <c r="CT1" s="371"/>
      <c r="CU1" s="371"/>
      <c r="CV1" s="371"/>
      <c r="CW1" s="371"/>
      <c r="CX1" s="371"/>
      <c r="CY1" s="371"/>
      <c r="CZ1" s="371"/>
      <c r="DA1" s="371"/>
      <c r="DB1" s="371"/>
      <c r="DC1" s="371"/>
      <c r="DD1" s="371"/>
      <c r="DE1" s="371"/>
      <c r="DF1" s="371"/>
      <c r="DG1" s="371"/>
      <c r="DH1" s="371"/>
      <c r="DI1" s="371"/>
      <c r="DJ1" s="371"/>
      <c r="DK1" s="371"/>
      <c r="DL1" s="371"/>
      <c r="DM1" s="371"/>
      <c r="DN1" s="371"/>
      <c r="DO1" s="371"/>
      <c r="DP1" s="371"/>
      <c r="DQ1" s="371"/>
      <c r="DR1" s="371"/>
      <c r="DS1" s="371"/>
      <c r="DT1" s="371"/>
      <c r="DU1" s="371"/>
      <c r="DV1" s="371"/>
      <c r="DW1" s="371"/>
      <c r="DX1" s="371"/>
      <c r="DY1" s="371"/>
      <c r="DZ1" s="371"/>
      <c r="EA1" s="371"/>
      <c r="EB1" s="371"/>
      <c r="EC1" s="371"/>
      <c r="ED1" s="371"/>
      <c r="EE1" s="371"/>
      <c r="EF1" s="371"/>
      <c r="EG1" s="371"/>
      <c r="EH1" s="371"/>
      <c r="EI1" s="371"/>
      <c r="EJ1" s="371"/>
      <c r="EK1" s="371"/>
      <c r="EL1" s="371"/>
      <c r="EM1" s="371"/>
      <c r="EN1" s="371"/>
      <c r="EO1" s="371"/>
      <c r="EP1" s="371"/>
      <c r="EQ1" s="371"/>
      <c r="ER1" s="371"/>
      <c r="ES1" s="371"/>
      <c r="ET1" s="371"/>
      <c r="EU1" s="371"/>
      <c r="EV1" s="371"/>
      <c r="EW1" s="371"/>
      <c r="EX1" s="371"/>
      <c r="EY1" s="371"/>
      <c r="EZ1" s="371"/>
      <c r="FA1" s="371"/>
      <c r="FB1" s="371"/>
      <c r="FC1" s="371"/>
      <c r="FD1" s="371"/>
      <c r="FE1" s="371"/>
      <c r="FF1" s="371"/>
      <c r="FG1" s="371"/>
      <c r="FH1" s="371"/>
      <c r="FI1" s="371"/>
      <c r="FJ1" s="371"/>
      <c r="FK1" s="371"/>
      <c r="FL1" s="371"/>
      <c r="FM1" s="371"/>
      <c r="FN1" s="371"/>
      <c r="FO1" s="371"/>
      <c r="FP1" s="371"/>
      <c r="FQ1" s="371"/>
      <c r="FR1" s="371"/>
      <c r="FS1" s="371"/>
      <c r="FT1" s="371"/>
      <c r="FU1" s="371"/>
      <c r="FV1" s="371"/>
      <c r="FW1" s="371"/>
      <c r="FX1" s="371"/>
      <c r="FY1" s="371"/>
      <c r="FZ1" s="371"/>
      <c r="GA1" s="371"/>
      <c r="GB1" s="371"/>
      <c r="GC1" s="371"/>
      <c r="GD1" s="371"/>
      <c r="GE1" s="371"/>
      <c r="GF1" s="371"/>
      <c r="GG1" s="371"/>
      <c r="GH1" s="371"/>
      <c r="GI1" s="371"/>
      <c r="GJ1" s="371"/>
      <c r="GK1" s="371"/>
      <c r="GL1" s="371"/>
      <c r="GM1" s="371"/>
      <c r="GN1" s="371"/>
      <c r="GO1" s="371"/>
      <c r="GP1" s="371"/>
      <c r="GQ1" s="371"/>
      <c r="GR1" s="371"/>
      <c r="GS1" s="371"/>
      <c r="GT1" s="371"/>
      <c r="GU1" s="371"/>
      <c r="GV1" s="371"/>
      <c r="GW1" s="371"/>
      <c r="GX1" s="371"/>
      <c r="GY1" s="371"/>
      <c r="GZ1" s="371"/>
      <c r="HA1" s="371"/>
      <c r="HB1" s="371"/>
      <c r="HC1" s="371"/>
      <c r="HD1" s="371"/>
      <c r="HE1" s="371"/>
      <c r="HF1" s="371"/>
      <c r="HG1" s="371"/>
      <c r="HH1" s="371"/>
      <c r="HI1" s="371"/>
      <c r="HJ1" s="371"/>
      <c r="HK1" s="371"/>
      <c r="HL1" s="371"/>
      <c r="HM1" s="371"/>
      <c r="HN1" s="371"/>
      <c r="HO1" s="371"/>
      <c r="HP1" s="371"/>
      <c r="HQ1" s="371"/>
      <c r="HR1" s="371"/>
      <c r="HS1" s="371"/>
      <c r="HT1" s="371"/>
      <c r="HU1" s="371"/>
      <c r="HV1" s="371"/>
      <c r="HW1" s="371"/>
      <c r="HX1" s="371"/>
      <c r="HY1" s="371"/>
      <c r="HZ1" s="371"/>
      <c r="IA1" s="371"/>
      <c r="IB1" s="371"/>
      <c r="IC1" s="371"/>
      <c r="ID1" s="371"/>
      <c r="IE1" s="371"/>
      <c r="IF1" s="371"/>
      <c r="IG1" s="371"/>
      <c r="IH1" s="371"/>
      <c r="II1" s="371"/>
      <c r="IJ1" s="371"/>
      <c r="IK1" s="371"/>
      <c r="IL1" s="371"/>
      <c r="IM1" s="371"/>
      <c r="IN1" s="371"/>
      <c r="IO1" s="371"/>
      <c r="IP1" s="371"/>
      <c r="IQ1" s="371"/>
      <c r="IR1" s="371"/>
      <c r="IS1" s="371"/>
      <c r="IT1" s="371"/>
      <c r="IU1" s="371"/>
      <c r="IV1" s="371"/>
    </row>
    <row r="2" spans="1:256" x14ac:dyDescent="0.2">
      <c r="A2" s="365"/>
      <c r="B2" s="368"/>
      <c r="D2" s="368"/>
      <c r="E2" s="372"/>
      <c r="F2" s="368"/>
      <c r="G2" s="370"/>
      <c r="H2" s="368"/>
      <c r="I2" s="370"/>
      <c r="J2" s="371"/>
      <c r="K2" s="371"/>
      <c r="L2" s="371"/>
      <c r="M2" s="371"/>
      <c r="N2" s="371"/>
      <c r="O2" s="371"/>
      <c r="P2" s="371"/>
      <c r="Q2" s="371"/>
      <c r="R2" s="371"/>
      <c r="S2" s="371"/>
      <c r="T2" s="371"/>
      <c r="U2" s="371"/>
      <c r="V2" s="371"/>
      <c r="W2" s="371"/>
      <c r="X2" s="371"/>
      <c r="Y2" s="371"/>
      <c r="Z2" s="371"/>
      <c r="AA2" s="371"/>
      <c r="AB2" s="371"/>
      <c r="AC2" s="371"/>
      <c r="AD2" s="371"/>
      <c r="AE2" s="371"/>
      <c r="AF2" s="371"/>
      <c r="AG2" s="371"/>
      <c r="AH2" s="371"/>
      <c r="AI2" s="371"/>
      <c r="AJ2" s="371"/>
      <c r="AK2" s="371"/>
      <c r="AL2" s="371"/>
      <c r="AM2" s="371"/>
      <c r="AN2" s="371"/>
      <c r="AO2" s="371"/>
      <c r="AP2" s="371"/>
      <c r="AQ2" s="371"/>
      <c r="AR2" s="371"/>
      <c r="AS2" s="371"/>
      <c r="AT2" s="371"/>
      <c r="AU2" s="371"/>
      <c r="AV2" s="371"/>
      <c r="AW2" s="371"/>
      <c r="AX2" s="371"/>
      <c r="AY2" s="371"/>
      <c r="AZ2" s="371"/>
      <c r="BA2" s="371"/>
      <c r="BB2" s="371"/>
      <c r="BC2" s="371"/>
      <c r="BD2" s="371"/>
      <c r="BE2" s="371"/>
      <c r="BF2" s="371"/>
      <c r="BG2" s="371"/>
      <c r="BH2" s="371"/>
      <c r="BI2" s="371"/>
      <c r="BJ2" s="371"/>
      <c r="BK2" s="371"/>
      <c r="BL2" s="371"/>
      <c r="BM2" s="371"/>
      <c r="BN2" s="371"/>
      <c r="BO2" s="371"/>
      <c r="BP2" s="371"/>
      <c r="BQ2" s="371"/>
      <c r="BR2" s="371"/>
      <c r="BS2" s="371"/>
      <c r="BT2" s="371"/>
      <c r="BU2" s="371"/>
      <c r="BV2" s="371"/>
      <c r="BW2" s="371"/>
      <c r="BX2" s="371"/>
      <c r="BY2" s="371"/>
      <c r="BZ2" s="371"/>
      <c r="CA2" s="371"/>
      <c r="CB2" s="371"/>
      <c r="CC2" s="371"/>
      <c r="CD2" s="371"/>
      <c r="CE2" s="371"/>
      <c r="CF2" s="371"/>
      <c r="CG2" s="371"/>
      <c r="CH2" s="371"/>
      <c r="CI2" s="371"/>
      <c r="CJ2" s="371"/>
      <c r="CK2" s="371"/>
      <c r="CL2" s="371"/>
      <c r="CM2" s="371"/>
      <c r="CN2" s="371"/>
      <c r="CO2" s="371"/>
      <c r="CP2" s="371"/>
      <c r="CQ2" s="371"/>
      <c r="CR2" s="371"/>
      <c r="CS2" s="371"/>
      <c r="CT2" s="371"/>
      <c r="CU2" s="371"/>
      <c r="CV2" s="371"/>
      <c r="CW2" s="371"/>
      <c r="CX2" s="371"/>
      <c r="CY2" s="371"/>
      <c r="CZ2" s="371"/>
      <c r="DA2" s="371"/>
      <c r="DB2" s="371"/>
      <c r="DC2" s="371"/>
      <c r="DD2" s="371"/>
      <c r="DE2" s="371"/>
      <c r="DF2" s="371"/>
      <c r="DG2" s="371"/>
      <c r="DH2" s="371"/>
      <c r="DI2" s="371"/>
      <c r="DJ2" s="371"/>
      <c r="DK2" s="371"/>
      <c r="DL2" s="371"/>
      <c r="DM2" s="371"/>
      <c r="DN2" s="371"/>
      <c r="DO2" s="371"/>
      <c r="DP2" s="371"/>
      <c r="DQ2" s="371"/>
      <c r="DR2" s="371"/>
      <c r="DS2" s="371"/>
      <c r="DT2" s="371"/>
      <c r="DU2" s="371"/>
      <c r="DV2" s="371"/>
      <c r="DW2" s="371"/>
      <c r="DX2" s="371"/>
      <c r="DY2" s="371"/>
      <c r="DZ2" s="371"/>
      <c r="EA2" s="371"/>
      <c r="EB2" s="371"/>
      <c r="EC2" s="371"/>
      <c r="ED2" s="371"/>
      <c r="EE2" s="371"/>
      <c r="EF2" s="371"/>
      <c r="EG2" s="371"/>
      <c r="EH2" s="371"/>
      <c r="EI2" s="371"/>
      <c r="EJ2" s="371"/>
      <c r="EK2" s="371"/>
      <c r="EL2" s="371"/>
      <c r="EM2" s="371"/>
      <c r="EN2" s="371"/>
      <c r="EO2" s="371"/>
      <c r="EP2" s="371"/>
      <c r="EQ2" s="371"/>
      <c r="ER2" s="371"/>
      <c r="ES2" s="371"/>
      <c r="ET2" s="371"/>
      <c r="EU2" s="371"/>
      <c r="EV2" s="371"/>
      <c r="EW2" s="371"/>
      <c r="EX2" s="371"/>
      <c r="EY2" s="371"/>
      <c r="EZ2" s="371"/>
      <c r="FA2" s="371"/>
      <c r="FB2" s="371"/>
      <c r="FC2" s="371"/>
      <c r="FD2" s="371"/>
      <c r="FE2" s="371"/>
      <c r="FF2" s="371"/>
      <c r="FG2" s="371"/>
      <c r="FH2" s="371"/>
      <c r="FI2" s="371"/>
      <c r="FJ2" s="371"/>
      <c r="FK2" s="371"/>
      <c r="FL2" s="371"/>
      <c r="FM2" s="371"/>
      <c r="FN2" s="371"/>
      <c r="FO2" s="371"/>
      <c r="FP2" s="371"/>
      <c r="FQ2" s="371"/>
      <c r="FR2" s="371"/>
      <c r="FS2" s="371"/>
      <c r="FT2" s="371"/>
      <c r="FU2" s="371"/>
      <c r="FV2" s="371"/>
      <c r="FW2" s="371"/>
      <c r="FX2" s="371"/>
      <c r="FY2" s="371"/>
      <c r="FZ2" s="371"/>
      <c r="GA2" s="371"/>
      <c r="GB2" s="371"/>
      <c r="GC2" s="371"/>
      <c r="GD2" s="371"/>
      <c r="GE2" s="371"/>
      <c r="GF2" s="371"/>
      <c r="GG2" s="371"/>
      <c r="GH2" s="371"/>
      <c r="GI2" s="371"/>
      <c r="GJ2" s="371"/>
      <c r="GK2" s="371"/>
      <c r="GL2" s="371"/>
      <c r="GM2" s="371"/>
      <c r="GN2" s="371"/>
      <c r="GO2" s="371"/>
      <c r="GP2" s="371"/>
      <c r="GQ2" s="371"/>
      <c r="GR2" s="371"/>
      <c r="GS2" s="371"/>
      <c r="GT2" s="371"/>
      <c r="GU2" s="371"/>
      <c r="GV2" s="371"/>
      <c r="GW2" s="371"/>
      <c r="GX2" s="371"/>
      <c r="GY2" s="371"/>
      <c r="GZ2" s="371"/>
      <c r="HA2" s="371"/>
      <c r="HB2" s="371"/>
      <c r="HC2" s="371"/>
      <c r="HD2" s="371"/>
      <c r="HE2" s="371"/>
      <c r="HF2" s="371"/>
      <c r="HG2" s="371"/>
      <c r="HH2" s="371"/>
      <c r="HI2" s="371"/>
      <c r="HJ2" s="371"/>
      <c r="HK2" s="371"/>
      <c r="HL2" s="371"/>
      <c r="HM2" s="371"/>
      <c r="HN2" s="371"/>
      <c r="HO2" s="371"/>
      <c r="HP2" s="371"/>
      <c r="HQ2" s="371"/>
      <c r="HR2" s="371"/>
      <c r="HS2" s="371"/>
      <c r="HT2" s="371"/>
      <c r="HU2" s="371"/>
      <c r="HV2" s="371"/>
      <c r="HW2" s="371"/>
      <c r="HX2" s="371"/>
      <c r="HY2" s="371"/>
      <c r="HZ2" s="371"/>
      <c r="IA2" s="371"/>
      <c r="IB2" s="371"/>
      <c r="IC2" s="371"/>
      <c r="ID2" s="371"/>
      <c r="IE2" s="371"/>
      <c r="IF2" s="371"/>
      <c r="IG2" s="371"/>
      <c r="IH2" s="371"/>
      <c r="II2" s="371"/>
      <c r="IJ2" s="371"/>
      <c r="IK2" s="371"/>
      <c r="IL2" s="371"/>
      <c r="IM2" s="371"/>
      <c r="IN2" s="371"/>
      <c r="IO2" s="371"/>
      <c r="IP2" s="371"/>
      <c r="IQ2" s="371"/>
      <c r="IR2" s="371"/>
      <c r="IS2" s="371"/>
      <c r="IT2" s="371"/>
      <c r="IU2" s="371"/>
      <c r="IV2" s="371"/>
    </row>
    <row r="3" spans="1:256" x14ac:dyDescent="0.2">
      <c r="A3" s="793" t="s">
        <v>1466</v>
      </c>
      <c r="B3" s="793"/>
      <c r="C3" s="793"/>
      <c r="D3" s="793"/>
      <c r="E3" s="793"/>
      <c r="F3" s="373"/>
      <c r="G3" s="373"/>
      <c r="H3" s="373"/>
      <c r="I3" s="373"/>
      <c r="J3" s="371"/>
      <c r="K3" s="371"/>
      <c r="L3" s="371"/>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O3" s="371"/>
      <c r="AP3" s="371"/>
      <c r="AQ3" s="371"/>
      <c r="AR3" s="371"/>
      <c r="AS3" s="371"/>
      <c r="AT3" s="371"/>
      <c r="AU3" s="371"/>
      <c r="AV3" s="371"/>
      <c r="AW3" s="371"/>
      <c r="AX3" s="371"/>
      <c r="AY3" s="371"/>
      <c r="AZ3" s="371"/>
      <c r="BA3" s="371"/>
      <c r="BB3" s="371"/>
      <c r="BC3" s="371"/>
      <c r="BD3" s="371"/>
      <c r="BE3" s="371"/>
      <c r="BF3" s="371"/>
      <c r="BG3" s="371"/>
      <c r="BH3" s="371"/>
      <c r="BI3" s="371"/>
      <c r="BJ3" s="371"/>
      <c r="BK3" s="371"/>
      <c r="BL3" s="371"/>
      <c r="BM3" s="371"/>
      <c r="BN3" s="371"/>
      <c r="BO3" s="371"/>
      <c r="BP3" s="371"/>
      <c r="BQ3" s="371"/>
      <c r="BR3" s="371"/>
      <c r="BS3" s="371"/>
      <c r="BT3" s="371"/>
      <c r="BU3" s="371"/>
      <c r="BV3" s="371"/>
      <c r="BW3" s="371"/>
      <c r="BX3" s="371"/>
      <c r="BY3" s="371"/>
      <c r="BZ3" s="371"/>
      <c r="CA3" s="371"/>
      <c r="CB3" s="371"/>
      <c r="CC3" s="371"/>
      <c r="CD3" s="371"/>
      <c r="CE3" s="371"/>
      <c r="CF3" s="371"/>
      <c r="CG3" s="371"/>
      <c r="CH3" s="371"/>
      <c r="CI3" s="371"/>
      <c r="CJ3" s="371"/>
      <c r="CK3" s="371"/>
      <c r="CL3" s="371"/>
      <c r="CM3" s="371"/>
      <c r="CN3" s="371"/>
      <c r="CO3" s="371"/>
      <c r="CP3" s="371"/>
      <c r="CQ3" s="371"/>
      <c r="CR3" s="371"/>
      <c r="CS3" s="371"/>
      <c r="CT3" s="371"/>
      <c r="CU3" s="371"/>
      <c r="CV3" s="371"/>
      <c r="CW3" s="371"/>
      <c r="CX3" s="371"/>
      <c r="CY3" s="371"/>
      <c r="CZ3" s="371"/>
      <c r="DA3" s="371"/>
      <c r="DB3" s="371"/>
      <c r="DC3" s="371"/>
      <c r="DD3" s="371"/>
      <c r="DE3" s="371"/>
      <c r="DF3" s="371"/>
      <c r="DG3" s="371"/>
      <c r="DH3" s="371"/>
      <c r="DI3" s="371"/>
      <c r="DJ3" s="371"/>
      <c r="DK3" s="371"/>
      <c r="DL3" s="371"/>
      <c r="DM3" s="371"/>
      <c r="DN3" s="371"/>
      <c r="DO3" s="371"/>
      <c r="DP3" s="371"/>
      <c r="DQ3" s="371"/>
      <c r="DR3" s="371"/>
      <c r="DS3" s="371"/>
      <c r="DT3" s="371"/>
      <c r="DU3" s="371"/>
      <c r="DV3" s="371"/>
      <c r="DW3" s="371"/>
      <c r="DX3" s="371"/>
      <c r="DY3" s="371"/>
      <c r="DZ3" s="371"/>
      <c r="EA3" s="371"/>
      <c r="EB3" s="371"/>
      <c r="EC3" s="371"/>
      <c r="ED3" s="371"/>
      <c r="EE3" s="371"/>
      <c r="EF3" s="371"/>
      <c r="EG3" s="371"/>
      <c r="EH3" s="371"/>
      <c r="EI3" s="371"/>
      <c r="EJ3" s="371"/>
      <c r="EK3" s="371"/>
      <c r="EL3" s="371"/>
      <c r="EM3" s="371"/>
      <c r="EN3" s="371"/>
      <c r="EO3" s="371"/>
      <c r="EP3" s="371"/>
      <c r="EQ3" s="371"/>
      <c r="ER3" s="371"/>
      <c r="ES3" s="371"/>
      <c r="ET3" s="371"/>
      <c r="EU3" s="371"/>
      <c r="EV3" s="371"/>
      <c r="EW3" s="371"/>
      <c r="EX3" s="371"/>
      <c r="EY3" s="371"/>
      <c r="EZ3" s="371"/>
      <c r="FA3" s="371"/>
      <c r="FB3" s="371"/>
      <c r="FC3" s="371"/>
      <c r="FD3" s="371"/>
      <c r="FE3" s="371"/>
      <c r="FF3" s="371"/>
      <c r="FG3" s="371"/>
      <c r="FH3" s="371"/>
      <c r="FI3" s="371"/>
      <c r="FJ3" s="371"/>
      <c r="FK3" s="371"/>
      <c r="FL3" s="371"/>
      <c r="FM3" s="371"/>
      <c r="FN3" s="371"/>
      <c r="FO3" s="371"/>
      <c r="FP3" s="371"/>
      <c r="FQ3" s="371"/>
      <c r="FR3" s="371"/>
      <c r="FS3" s="371"/>
      <c r="FT3" s="371"/>
      <c r="FU3" s="371"/>
      <c r="FV3" s="371"/>
      <c r="FW3" s="371"/>
      <c r="FX3" s="371"/>
      <c r="FY3" s="371"/>
      <c r="FZ3" s="371"/>
      <c r="GA3" s="371"/>
      <c r="GB3" s="371"/>
      <c r="GC3" s="371"/>
      <c r="GD3" s="371"/>
      <c r="GE3" s="371"/>
      <c r="GF3" s="371"/>
      <c r="GG3" s="371"/>
      <c r="GH3" s="371"/>
      <c r="GI3" s="371"/>
      <c r="GJ3" s="371"/>
      <c r="GK3" s="371"/>
      <c r="GL3" s="371"/>
      <c r="GM3" s="371"/>
      <c r="GN3" s="371"/>
      <c r="GO3" s="371"/>
      <c r="GP3" s="371"/>
      <c r="GQ3" s="371"/>
      <c r="GR3" s="371"/>
      <c r="GS3" s="371"/>
      <c r="GT3" s="371"/>
      <c r="GU3" s="371"/>
      <c r="GV3" s="371"/>
      <c r="GW3" s="371"/>
      <c r="GX3" s="371"/>
      <c r="GY3" s="371"/>
      <c r="GZ3" s="371"/>
      <c r="HA3" s="371"/>
      <c r="HB3" s="371"/>
      <c r="HC3" s="371"/>
      <c r="HD3" s="371"/>
      <c r="HE3" s="371"/>
      <c r="HF3" s="371"/>
      <c r="HG3" s="371"/>
      <c r="HH3" s="371"/>
      <c r="HI3" s="371"/>
      <c r="HJ3" s="371"/>
      <c r="HK3" s="371"/>
      <c r="HL3" s="371"/>
      <c r="HM3" s="371"/>
      <c r="HN3" s="371"/>
      <c r="HO3" s="371"/>
      <c r="HP3" s="371"/>
      <c r="HQ3" s="371"/>
      <c r="HR3" s="371"/>
      <c r="HS3" s="371"/>
      <c r="HT3" s="371"/>
      <c r="HU3" s="371"/>
      <c r="HV3" s="371"/>
      <c r="HW3" s="371"/>
      <c r="HX3" s="371"/>
      <c r="HY3" s="371"/>
      <c r="HZ3" s="371"/>
      <c r="IA3" s="371"/>
      <c r="IB3" s="371"/>
      <c r="IC3" s="371"/>
      <c r="ID3" s="371"/>
      <c r="IE3" s="371"/>
      <c r="IF3" s="371"/>
      <c r="IG3" s="371"/>
      <c r="IH3" s="371"/>
      <c r="II3" s="371"/>
      <c r="IJ3" s="371"/>
      <c r="IK3" s="371"/>
      <c r="IL3" s="371"/>
      <c r="IM3" s="371"/>
      <c r="IN3" s="371"/>
      <c r="IO3" s="371"/>
      <c r="IP3" s="371"/>
      <c r="IQ3" s="371"/>
      <c r="IR3" s="371"/>
      <c r="IS3" s="371"/>
      <c r="IT3" s="371"/>
      <c r="IU3" s="371"/>
      <c r="IV3" s="371"/>
    </row>
    <row r="4" spans="1:256" x14ac:dyDescent="0.2">
      <c r="A4" s="794" t="s">
        <v>1312</v>
      </c>
      <c r="B4" s="794"/>
      <c r="C4" s="794"/>
      <c r="D4" s="794"/>
      <c r="E4" s="794"/>
      <c r="F4" s="374"/>
      <c r="G4" s="374"/>
      <c r="H4" s="374"/>
      <c r="I4" s="374"/>
      <c r="J4" s="371"/>
      <c r="K4" s="371"/>
      <c r="L4" s="371"/>
      <c r="M4" s="371"/>
      <c r="N4" s="371"/>
      <c r="O4" s="371"/>
      <c r="P4" s="371"/>
      <c r="Q4" s="371"/>
      <c r="R4" s="371"/>
      <c r="S4" s="371"/>
      <c r="T4" s="371"/>
      <c r="U4" s="371"/>
      <c r="V4" s="371"/>
      <c r="W4" s="371"/>
      <c r="X4" s="371"/>
      <c r="Y4" s="371"/>
      <c r="Z4" s="371"/>
      <c r="AA4" s="371"/>
      <c r="AB4" s="371"/>
      <c r="AC4" s="371"/>
      <c r="AD4" s="371"/>
      <c r="AE4" s="371"/>
      <c r="AF4" s="371"/>
      <c r="AG4" s="371"/>
      <c r="AH4" s="371"/>
      <c r="AI4" s="371"/>
      <c r="AJ4" s="371"/>
      <c r="AK4" s="371"/>
      <c r="AL4" s="371"/>
      <c r="AM4" s="371"/>
      <c r="AN4" s="371"/>
      <c r="AO4" s="371"/>
      <c r="AP4" s="371"/>
      <c r="AQ4" s="371"/>
      <c r="AR4" s="371"/>
      <c r="AS4" s="371"/>
      <c r="AT4" s="371"/>
      <c r="AU4" s="371"/>
      <c r="AV4" s="371"/>
      <c r="AW4" s="371"/>
      <c r="AX4" s="371"/>
      <c r="AY4" s="371"/>
      <c r="AZ4" s="371"/>
      <c r="BA4" s="371"/>
      <c r="BB4" s="371"/>
      <c r="BC4" s="371"/>
      <c r="BD4" s="371"/>
      <c r="BE4" s="371"/>
      <c r="BF4" s="371"/>
      <c r="BG4" s="371"/>
      <c r="BH4" s="371"/>
      <c r="BI4" s="371"/>
      <c r="BJ4" s="371"/>
      <c r="BK4" s="371"/>
      <c r="BL4" s="371"/>
      <c r="BM4" s="371"/>
      <c r="BN4" s="371"/>
      <c r="BO4" s="371"/>
      <c r="BP4" s="371"/>
      <c r="BQ4" s="371"/>
      <c r="BR4" s="371"/>
      <c r="BS4" s="371"/>
      <c r="BT4" s="371"/>
      <c r="BU4" s="371"/>
      <c r="BV4" s="371"/>
      <c r="BW4" s="371"/>
      <c r="BX4" s="371"/>
      <c r="BY4" s="371"/>
      <c r="BZ4" s="371"/>
      <c r="CA4" s="371"/>
      <c r="CB4" s="371"/>
      <c r="CC4" s="371"/>
      <c r="CD4" s="371"/>
      <c r="CE4" s="371"/>
      <c r="CF4" s="371"/>
      <c r="CG4" s="371"/>
      <c r="CH4" s="371"/>
      <c r="CI4" s="371"/>
      <c r="CJ4" s="371"/>
      <c r="CK4" s="371"/>
      <c r="CL4" s="371"/>
      <c r="CM4" s="371"/>
      <c r="CN4" s="371"/>
      <c r="CO4" s="371"/>
      <c r="CP4" s="371"/>
      <c r="CQ4" s="371"/>
      <c r="CR4" s="371"/>
      <c r="CS4" s="371"/>
      <c r="CT4" s="371"/>
      <c r="CU4" s="371"/>
      <c r="CV4" s="371"/>
      <c r="CW4" s="371"/>
      <c r="CX4" s="371"/>
      <c r="CY4" s="371"/>
      <c r="CZ4" s="371"/>
      <c r="DA4" s="371"/>
      <c r="DB4" s="371"/>
      <c r="DC4" s="371"/>
      <c r="DD4" s="371"/>
      <c r="DE4" s="371"/>
      <c r="DF4" s="371"/>
      <c r="DG4" s="371"/>
      <c r="DH4" s="371"/>
      <c r="DI4" s="371"/>
      <c r="DJ4" s="371"/>
      <c r="DK4" s="371"/>
      <c r="DL4" s="371"/>
      <c r="DM4" s="371"/>
      <c r="DN4" s="371"/>
      <c r="DO4" s="371"/>
      <c r="DP4" s="371"/>
      <c r="DQ4" s="371"/>
      <c r="DR4" s="371"/>
      <c r="DS4" s="371"/>
      <c r="DT4" s="371"/>
      <c r="DU4" s="371"/>
      <c r="DV4" s="371"/>
      <c r="DW4" s="371"/>
      <c r="DX4" s="371"/>
      <c r="DY4" s="371"/>
      <c r="DZ4" s="371"/>
      <c r="EA4" s="371"/>
      <c r="EB4" s="371"/>
      <c r="EC4" s="371"/>
      <c r="ED4" s="371"/>
      <c r="EE4" s="371"/>
      <c r="EF4" s="371"/>
      <c r="EG4" s="371"/>
      <c r="EH4" s="371"/>
      <c r="EI4" s="371"/>
      <c r="EJ4" s="371"/>
      <c r="EK4" s="371"/>
      <c r="EL4" s="371"/>
      <c r="EM4" s="371"/>
      <c r="EN4" s="371"/>
      <c r="EO4" s="371"/>
      <c r="EP4" s="371"/>
      <c r="EQ4" s="371"/>
      <c r="ER4" s="371"/>
      <c r="ES4" s="371"/>
      <c r="ET4" s="371"/>
      <c r="EU4" s="371"/>
      <c r="EV4" s="371"/>
      <c r="EW4" s="371"/>
      <c r="EX4" s="371"/>
      <c r="EY4" s="371"/>
      <c r="EZ4" s="371"/>
      <c r="FA4" s="371"/>
      <c r="FB4" s="371"/>
      <c r="FC4" s="371"/>
      <c r="FD4" s="371"/>
      <c r="FE4" s="371"/>
      <c r="FF4" s="371"/>
      <c r="FG4" s="371"/>
      <c r="FH4" s="371"/>
      <c r="FI4" s="371"/>
      <c r="FJ4" s="371"/>
      <c r="FK4" s="371"/>
      <c r="FL4" s="371"/>
      <c r="FM4" s="371"/>
      <c r="FN4" s="371"/>
      <c r="FO4" s="371"/>
      <c r="FP4" s="371"/>
      <c r="FQ4" s="371"/>
      <c r="FR4" s="371"/>
      <c r="FS4" s="371"/>
      <c r="FT4" s="371"/>
      <c r="FU4" s="371"/>
      <c r="FV4" s="371"/>
      <c r="FW4" s="371"/>
      <c r="FX4" s="371"/>
      <c r="FY4" s="371"/>
      <c r="FZ4" s="371"/>
      <c r="GA4" s="371"/>
      <c r="GB4" s="371"/>
      <c r="GC4" s="371"/>
      <c r="GD4" s="371"/>
      <c r="GE4" s="371"/>
      <c r="GF4" s="371"/>
      <c r="GG4" s="371"/>
      <c r="GH4" s="371"/>
      <c r="GI4" s="371"/>
      <c r="GJ4" s="371"/>
      <c r="GK4" s="371"/>
      <c r="GL4" s="371"/>
      <c r="GM4" s="371"/>
      <c r="GN4" s="371"/>
      <c r="GO4" s="371"/>
      <c r="GP4" s="371"/>
      <c r="GQ4" s="371"/>
      <c r="GR4" s="371"/>
      <c r="GS4" s="371"/>
      <c r="GT4" s="371"/>
      <c r="GU4" s="371"/>
      <c r="GV4" s="371"/>
      <c r="GW4" s="371"/>
      <c r="GX4" s="371"/>
      <c r="GY4" s="371"/>
      <c r="GZ4" s="371"/>
      <c r="HA4" s="371"/>
      <c r="HB4" s="371"/>
      <c r="HC4" s="371"/>
      <c r="HD4" s="371"/>
      <c r="HE4" s="371"/>
      <c r="HF4" s="371"/>
      <c r="HG4" s="371"/>
      <c r="HH4" s="371"/>
      <c r="HI4" s="371"/>
      <c r="HJ4" s="371"/>
      <c r="HK4" s="371"/>
      <c r="HL4" s="371"/>
      <c r="HM4" s="371"/>
      <c r="HN4" s="371"/>
      <c r="HO4" s="371"/>
      <c r="HP4" s="371"/>
      <c r="HQ4" s="371"/>
      <c r="HR4" s="371"/>
      <c r="HS4" s="371"/>
      <c r="HT4" s="371"/>
      <c r="HU4" s="371"/>
      <c r="HV4" s="371"/>
      <c r="HW4" s="371"/>
      <c r="HX4" s="371"/>
      <c r="HY4" s="371"/>
      <c r="HZ4" s="371"/>
      <c r="IA4" s="371"/>
      <c r="IB4" s="371"/>
      <c r="IC4" s="371"/>
      <c r="ID4" s="371"/>
      <c r="IE4" s="371"/>
      <c r="IF4" s="371"/>
      <c r="IG4" s="371"/>
      <c r="IH4" s="371"/>
      <c r="II4" s="371"/>
      <c r="IJ4" s="371"/>
      <c r="IK4" s="371"/>
      <c r="IL4" s="371"/>
      <c r="IM4" s="371"/>
      <c r="IN4" s="371"/>
      <c r="IO4" s="371"/>
      <c r="IP4" s="371"/>
      <c r="IQ4" s="371"/>
      <c r="IR4" s="371"/>
      <c r="IS4" s="371"/>
      <c r="IT4" s="371"/>
      <c r="IU4" s="371"/>
      <c r="IV4" s="371"/>
    </row>
    <row r="5" spans="1:256" x14ac:dyDescent="0.2">
      <c r="A5" s="365"/>
      <c r="B5" s="368"/>
      <c r="C5" s="368"/>
      <c r="D5" s="368"/>
      <c r="E5" s="372"/>
      <c r="F5" s="368"/>
      <c r="G5" s="370"/>
      <c r="H5" s="368"/>
      <c r="I5" s="370"/>
      <c r="J5" s="371"/>
      <c r="K5" s="371"/>
      <c r="L5" s="371"/>
      <c r="M5" s="371"/>
      <c r="N5" s="371"/>
      <c r="O5" s="371"/>
      <c r="P5" s="371"/>
      <c r="Q5" s="371"/>
      <c r="R5" s="371"/>
      <c r="S5" s="371"/>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row>
    <row r="6" spans="1:256" ht="25.5" x14ac:dyDescent="0.2">
      <c r="A6" s="365"/>
      <c r="B6" s="375" t="s">
        <v>1313</v>
      </c>
      <c r="C6" s="795" t="str">
        <f>СВОД!B42</f>
        <v>Сети связи и сигнализации</v>
      </c>
      <c r="D6" s="795"/>
      <c r="E6" s="795"/>
      <c r="F6" s="376"/>
      <c r="G6" s="376"/>
      <c r="H6" s="376"/>
      <c r="I6" s="376"/>
      <c r="J6" s="371"/>
      <c r="K6" s="371"/>
      <c r="L6" s="371"/>
      <c r="M6" s="371"/>
      <c r="N6" s="371"/>
      <c r="O6" s="371"/>
      <c r="P6" s="371"/>
      <c r="Q6" s="371"/>
      <c r="R6" s="371"/>
      <c r="S6" s="371"/>
      <c r="T6" s="371"/>
      <c r="U6" s="371"/>
      <c r="V6" s="371"/>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71"/>
      <c r="BF6" s="371"/>
      <c r="BG6" s="371"/>
      <c r="BH6" s="371"/>
      <c r="BI6" s="371"/>
      <c r="BJ6" s="371"/>
      <c r="BK6" s="371"/>
      <c r="BL6" s="371"/>
      <c r="BM6" s="371"/>
      <c r="BN6" s="371"/>
      <c r="BO6" s="371"/>
      <c r="BP6" s="371"/>
      <c r="BQ6" s="371"/>
      <c r="BR6" s="371"/>
      <c r="BS6" s="371"/>
      <c r="BT6" s="371"/>
      <c r="BU6" s="371"/>
      <c r="BV6" s="371"/>
      <c r="BW6" s="371"/>
      <c r="BX6" s="371"/>
      <c r="BY6" s="371"/>
      <c r="BZ6" s="371"/>
      <c r="CA6" s="371"/>
      <c r="CB6" s="371"/>
      <c r="CC6" s="371"/>
      <c r="CD6" s="371"/>
      <c r="CE6" s="371"/>
      <c r="CF6" s="371"/>
      <c r="CG6" s="371"/>
      <c r="CH6" s="371"/>
      <c r="CI6" s="371"/>
      <c r="CJ6" s="371"/>
      <c r="CK6" s="371"/>
      <c r="CL6" s="371"/>
      <c r="CM6" s="371"/>
      <c r="CN6" s="371"/>
      <c r="CO6" s="371"/>
      <c r="CP6" s="371"/>
      <c r="CQ6" s="371"/>
      <c r="CR6" s="371"/>
      <c r="CS6" s="371"/>
      <c r="CT6" s="371"/>
      <c r="CU6" s="371"/>
      <c r="CV6" s="371"/>
      <c r="CW6" s="371"/>
      <c r="CX6" s="371"/>
      <c r="CY6" s="371"/>
      <c r="CZ6" s="371"/>
      <c r="DA6" s="371"/>
      <c r="DB6" s="371"/>
      <c r="DC6" s="371"/>
      <c r="DD6" s="371"/>
      <c r="DE6" s="371"/>
      <c r="DF6" s="371"/>
      <c r="DG6" s="371"/>
      <c r="DH6" s="371"/>
      <c r="DI6" s="371"/>
      <c r="DJ6" s="371"/>
      <c r="DK6" s="371"/>
      <c r="DL6" s="371"/>
      <c r="DM6" s="371"/>
      <c r="DN6" s="371"/>
      <c r="DO6" s="371"/>
      <c r="DP6" s="371"/>
      <c r="DQ6" s="371"/>
      <c r="DR6" s="371"/>
      <c r="DS6" s="371"/>
      <c r="DT6" s="371"/>
      <c r="DU6" s="371"/>
      <c r="DV6" s="371"/>
      <c r="DW6" s="371"/>
      <c r="DX6" s="371"/>
      <c r="DY6" s="371"/>
      <c r="DZ6" s="371"/>
      <c r="EA6" s="371"/>
      <c r="EB6" s="371"/>
      <c r="EC6" s="371"/>
      <c r="ED6" s="371"/>
      <c r="EE6" s="371"/>
      <c r="EF6" s="371"/>
      <c r="EG6" s="371"/>
      <c r="EH6" s="371"/>
      <c r="EI6" s="371"/>
      <c r="EJ6" s="371"/>
      <c r="EK6" s="371"/>
      <c r="EL6" s="371"/>
      <c r="EM6" s="371"/>
      <c r="EN6" s="371"/>
      <c r="EO6" s="371"/>
      <c r="EP6" s="371"/>
      <c r="EQ6" s="371"/>
      <c r="ER6" s="371"/>
      <c r="ES6" s="371"/>
      <c r="ET6" s="371"/>
      <c r="EU6" s="371"/>
      <c r="EV6" s="371"/>
      <c r="EW6" s="371"/>
      <c r="EX6" s="371"/>
      <c r="EY6" s="371"/>
      <c r="EZ6" s="371"/>
      <c r="FA6" s="371"/>
      <c r="FB6" s="371"/>
      <c r="FC6" s="371"/>
      <c r="FD6" s="371"/>
      <c r="FE6" s="371"/>
      <c r="FF6" s="371"/>
      <c r="FG6" s="371"/>
      <c r="FH6" s="371"/>
      <c r="FI6" s="371"/>
      <c r="FJ6" s="371"/>
      <c r="FK6" s="371"/>
      <c r="FL6" s="371"/>
      <c r="FM6" s="371"/>
      <c r="FN6" s="371"/>
      <c r="FO6" s="371"/>
      <c r="FP6" s="371"/>
      <c r="FQ6" s="371"/>
      <c r="FR6" s="371"/>
      <c r="FS6" s="371"/>
      <c r="FT6" s="371"/>
      <c r="FU6" s="371"/>
      <c r="FV6" s="371"/>
      <c r="FW6" s="371"/>
      <c r="FX6" s="371"/>
      <c r="FY6" s="371"/>
      <c r="FZ6" s="371"/>
      <c r="GA6" s="371"/>
      <c r="GB6" s="371"/>
      <c r="GC6" s="371"/>
      <c r="GD6" s="371"/>
      <c r="GE6" s="371"/>
      <c r="GF6" s="371"/>
      <c r="GG6" s="371"/>
      <c r="GH6" s="371"/>
      <c r="GI6" s="371"/>
      <c r="GJ6" s="371"/>
      <c r="GK6" s="371"/>
      <c r="GL6" s="371"/>
      <c r="GM6" s="371"/>
      <c r="GN6" s="371"/>
      <c r="GO6" s="371"/>
      <c r="GP6" s="371"/>
      <c r="GQ6" s="371"/>
      <c r="GR6" s="371"/>
      <c r="GS6" s="371"/>
      <c r="GT6" s="371"/>
      <c r="GU6" s="371"/>
      <c r="GV6" s="371"/>
      <c r="GW6" s="371"/>
      <c r="GX6" s="371"/>
      <c r="GY6" s="371"/>
      <c r="GZ6" s="371"/>
      <c r="HA6" s="371"/>
      <c r="HB6" s="371"/>
      <c r="HC6" s="371"/>
      <c r="HD6" s="371"/>
      <c r="HE6" s="371"/>
      <c r="HF6" s="371"/>
      <c r="HG6" s="371"/>
      <c r="HH6" s="371"/>
      <c r="HI6" s="371"/>
      <c r="HJ6" s="371"/>
      <c r="HK6" s="371"/>
      <c r="HL6" s="371"/>
      <c r="HM6" s="371"/>
      <c r="HN6" s="371"/>
      <c r="HO6" s="371"/>
      <c r="HP6" s="371"/>
      <c r="HQ6" s="371"/>
      <c r="HR6" s="371"/>
      <c r="HS6" s="371"/>
      <c r="HT6" s="371"/>
      <c r="HU6" s="371"/>
      <c r="HV6" s="371"/>
      <c r="HW6" s="371"/>
      <c r="HX6" s="371"/>
      <c r="HY6" s="371"/>
      <c r="HZ6" s="371"/>
      <c r="IA6" s="371"/>
      <c r="IB6" s="371"/>
      <c r="IC6" s="371"/>
      <c r="ID6" s="371"/>
      <c r="IE6" s="371"/>
      <c r="IF6" s="371"/>
      <c r="IG6" s="371"/>
      <c r="IH6" s="371"/>
      <c r="II6" s="371"/>
      <c r="IJ6" s="371"/>
      <c r="IK6" s="371"/>
      <c r="IL6" s="371"/>
      <c r="IM6" s="371"/>
      <c r="IN6" s="371"/>
      <c r="IO6" s="371"/>
      <c r="IP6" s="371"/>
      <c r="IQ6" s="371"/>
      <c r="IR6" s="371"/>
      <c r="IS6" s="371"/>
      <c r="IT6" s="371"/>
      <c r="IU6" s="371"/>
      <c r="IV6" s="371"/>
    </row>
    <row r="7" spans="1:256" x14ac:dyDescent="0.2">
      <c r="A7" s="365"/>
      <c r="B7" s="377"/>
      <c r="C7" s="378" t="s">
        <v>1467</v>
      </c>
      <c r="D7" s="377"/>
      <c r="E7" s="379"/>
      <c r="F7" s="378"/>
      <c r="G7" s="378"/>
      <c r="H7" s="378"/>
      <c r="I7" s="378"/>
      <c r="J7" s="380"/>
      <c r="K7" s="380"/>
      <c r="L7" s="380"/>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0"/>
      <c r="CH7" s="380"/>
      <c r="CI7" s="380"/>
      <c r="CJ7" s="380"/>
      <c r="CK7" s="380"/>
      <c r="CL7" s="380"/>
      <c r="CM7" s="380"/>
      <c r="CN7" s="380"/>
      <c r="CO7" s="380"/>
      <c r="CP7" s="380"/>
      <c r="CQ7" s="380"/>
      <c r="CR7" s="380"/>
      <c r="CS7" s="380"/>
      <c r="CT7" s="380"/>
      <c r="CU7" s="380"/>
      <c r="CV7" s="380"/>
      <c r="CW7" s="380"/>
      <c r="CX7" s="380"/>
      <c r="CY7" s="380"/>
      <c r="CZ7" s="380"/>
      <c r="DA7" s="380"/>
      <c r="DB7" s="380"/>
      <c r="DC7" s="380"/>
      <c r="DD7" s="380"/>
      <c r="DE7" s="380"/>
      <c r="DF7" s="380"/>
      <c r="DG7" s="380"/>
      <c r="DH7" s="380"/>
      <c r="DI7" s="380"/>
      <c r="DJ7" s="380"/>
      <c r="DK7" s="380"/>
      <c r="DL7" s="380"/>
      <c r="DM7" s="380"/>
      <c r="DN7" s="380"/>
      <c r="DO7" s="380"/>
      <c r="DP7" s="380"/>
      <c r="DQ7" s="380"/>
      <c r="DR7" s="380"/>
      <c r="DS7" s="380"/>
      <c r="DT7" s="380"/>
      <c r="DU7" s="380"/>
      <c r="DV7" s="380"/>
      <c r="DW7" s="380"/>
      <c r="DX7" s="380"/>
      <c r="DY7" s="380"/>
      <c r="DZ7" s="380"/>
      <c r="EA7" s="380"/>
      <c r="EB7" s="380"/>
      <c r="EC7" s="380"/>
      <c r="ED7" s="380"/>
      <c r="EE7" s="380"/>
      <c r="EF7" s="380"/>
      <c r="EG7" s="380"/>
      <c r="EH7" s="380"/>
      <c r="EI7" s="380"/>
      <c r="EJ7" s="380"/>
      <c r="EK7" s="380"/>
      <c r="EL7" s="380"/>
      <c r="EM7" s="380"/>
      <c r="EN7" s="380"/>
      <c r="EO7" s="380"/>
      <c r="EP7" s="380"/>
      <c r="EQ7" s="380"/>
      <c r="ER7" s="380"/>
      <c r="ES7" s="380"/>
      <c r="ET7" s="380"/>
      <c r="EU7" s="380"/>
      <c r="EV7" s="380"/>
      <c r="EW7" s="380"/>
      <c r="EX7" s="380"/>
      <c r="EY7" s="380"/>
      <c r="EZ7" s="380"/>
      <c r="FA7" s="380"/>
      <c r="FB7" s="380"/>
      <c r="FC7" s="380"/>
      <c r="FD7" s="380"/>
      <c r="FE7" s="380"/>
      <c r="FF7" s="380"/>
      <c r="FG7" s="380"/>
      <c r="FH7" s="380"/>
      <c r="FI7" s="380"/>
      <c r="FJ7" s="380"/>
      <c r="FK7" s="380"/>
      <c r="FL7" s="380"/>
      <c r="FM7" s="380"/>
      <c r="FN7" s="380"/>
      <c r="FO7" s="380"/>
      <c r="FP7" s="380"/>
      <c r="FQ7" s="380"/>
      <c r="FR7" s="380"/>
      <c r="FS7" s="380"/>
      <c r="FT7" s="380"/>
      <c r="FU7" s="380"/>
      <c r="FV7" s="380"/>
      <c r="FW7" s="380"/>
      <c r="FX7" s="380"/>
      <c r="FY7" s="380"/>
      <c r="FZ7" s="380"/>
      <c r="GA7" s="380"/>
      <c r="GB7" s="380"/>
      <c r="GC7" s="380"/>
      <c r="GD7" s="380"/>
      <c r="GE7" s="380"/>
      <c r="GF7" s="380"/>
      <c r="GG7" s="380"/>
      <c r="GH7" s="380"/>
      <c r="GI7" s="380"/>
      <c r="GJ7" s="380"/>
      <c r="GK7" s="380"/>
      <c r="GL7" s="380"/>
      <c r="GM7" s="380"/>
      <c r="GN7" s="380"/>
      <c r="GO7" s="380"/>
      <c r="GP7" s="380"/>
      <c r="GQ7" s="380"/>
      <c r="GR7" s="380"/>
      <c r="GS7" s="380"/>
      <c r="GT7" s="380"/>
      <c r="GU7" s="380"/>
      <c r="GV7" s="380"/>
      <c r="GW7" s="380"/>
      <c r="GX7" s="380"/>
      <c r="GY7" s="380"/>
      <c r="GZ7" s="380"/>
      <c r="HA7" s="380"/>
      <c r="HB7" s="380"/>
      <c r="HC7" s="380"/>
      <c r="HD7" s="380"/>
      <c r="HE7" s="380"/>
      <c r="HF7" s="380"/>
      <c r="HG7" s="380"/>
      <c r="HH7" s="380"/>
      <c r="HI7" s="380"/>
      <c r="HJ7" s="380"/>
      <c r="HK7" s="380"/>
      <c r="HL7" s="380"/>
      <c r="HM7" s="380"/>
      <c r="HN7" s="380"/>
      <c r="HO7" s="380"/>
      <c r="HP7" s="380"/>
      <c r="HQ7" s="380"/>
      <c r="HR7" s="380"/>
      <c r="HS7" s="380"/>
      <c r="HT7" s="380"/>
      <c r="HU7" s="380"/>
      <c r="HV7" s="380"/>
      <c r="HW7" s="380"/>
      <c r="HX7" s="380"/>
      <c r="HY7" s="380"/>
      <c r="HZ7" s="380"/>
      <c r="IA7" s="380"/>
      <c r="IB7" s="380"/>
      <c r="IC7" s="380"/>
      <c r="ID7" s="380"/>
      <c r="IE7" s="380"/>
      <c r="IF7" s="380"/>
      <c r="IG7" s="380"/>
      <c r="IH7" s="380"/>
      <c r="II7" s="380"/>
      <c r="IJ7" s="380"/>
      <c r="IK7" s="380"/>
      <c r="IL7" s="380"/>
      <c r="IM7" s="380"/>
      <c r="IN7" s="380"/>
      <c r="IO7" s="380"/>
      <c r="IP7" s="380"/>
      <c r="IQ7" s="380"/>
      <c r="IR7" s="380"/>
      <c r="IS7" s="380"/>
      <c r="IT7" s="380"/>
      <c r="IU7" s="380"/>
      <c r="IV7" s="380"/>
    </row>
    <row r="8" spans="1:256" x14ac:dyDescent="0.2">
      <c r="A8" s="365"/>
      <c r="B8" s="381" t="s">
        <v>1314</v>
      </c>
      <c r="C8" s="377" t="str">
        <f>СВОД!D14</f>
        <v>Определяется по итогам конкурентных процедур</v>
      </c>
      <c r="D8" s="377"/>
      <c r="E8" s="382"/>
      <c r="F8" s="383"/>
      <c r="G8" s="384"/>
      <c r="H8" s="377"/>
      <c r="I8" s="385"/>
      <c r="J8" s="371"/>
      <c r="K8" s="371"/>
      <c r="L8" s="371"/>
      <c r="M8" s="371"/>
      <c r="N8" s="371"/>
      <c r="O8" s="371"/>
      <c r="P8" s="371"/>
      <c r="Q8" s="371"/>
      <c r="R8" s="371"/>
      <c r="S8" s="371"/>
      <c r="T8" s="371"/>
      <c r="U8" s="371"/>
      <c r="V8" s="371"/>
      <c r="W8" s="371"/>
      <c r="X8" s="371"/>
      <c r="Y8" s="371"/>
      <c r="Z8" s="371"/>
      <c r="AA8" s="371"/>
      <c r="AB8" s="371"/>
      <c r="AC8" s="371"/>
      <c r="AD8" s="371"/>
      <c r="AE8" s="371"/>
      <c r="AF8" s="371"/>
      <c r="AG8" s="371"/>
      <c r="AH8" s="371"/>
      <c r="AI8" s="371"/>
      <c r="AJ8" s="371"/>
      <c r="AK8" s="371"/>
      <c r="AL8" s="371"/>
      <c r="AM8" s="371"/>
      <c r="AN8" s="371"/>
      <c r="AO8" s="371"/>
      <c r="AP8" s="371"/>
      <c r="AQ8" s="371"/>
      <c r="AR8" s="371"/>
      <c r="AS8" s="371"/>
      <c r="AT8" s="371"/>
      <c r="AU8" s="371"/>
      <c r="AV8" s="371"/>
      <c r="AW8" s="371"/>
      <c r="AX8" s="371"/>
      <c r="AY8" s="371"/>
      <c r="AZ8" s="371"/>
      <c r="BA8" s="371"/>
      <c r="BB8" s="371"/>
      <c r="BC8" s="371"/>
      <c r="BD8" s="371"/>
      <c r="BE8" s="371"/>
      <c r="BF8" s="371"/>
      <c r="BG8" s="371"/>
      <c r="BH8" s="371"/>
      <c r="BI8" s="371"/>
      <c r="BJ8" s="371"/>
      <c r="BK8" s="371"/>
      <c r="BL8" s="371"/>
      <c r="BM8" s="371"/>
      <c r="BN8" s="371"/>
      <c r="BO8" s="371"/>
      <c r="BP8" s="371"/>
      <c r="BQ8" s="371"/>
      <c r="BR8" s="371"/>
      <c r="BS8" s="371"/>
      <c r="BT8" s="371"/>
      <c r="BU8" s="371"/>
      <c r="BV8" s="371"/>
      <c r="BW8" s="371"/>
      <c r="BX8" s="371"/>
      <c r="BY8" s="371"/>
      <c r="BZ8" s="371"/>
      <c r="CA8" s="371"/>
      <c r="CB8" s="371"/>
      <c r="CC8" s="371"/>
      <c r="CD8" s="371"/>
      <c r="CE8" s="371"/>
      <c r="CF8" s="371"/>
      <c r="CG8" s="371"/>
      <c r="CH8" s="371"/>
      <c r="CI8" s="371"/>
      <c r="CJ8" s="371"/>
      <c r="CK8" s="371"/>
      <c r="CL8" s="371"/>
      <c r="CM8" s="371"/>
      <c r="CN8" s="371"/>
      <c r="CO8" s="371"/>
      <c r="CP8" s="371"/>
      <c r="CQ8" s="371"/>
      <c r="CR8" s="371"/>
      <c r="CS8" s="371"/>
      <c r="CT8" s="371"/>
      <c r="CU8" s="371"/>
      <c r="CV8" s="371"/>
      <c r="CW8" s="371"/>
      <c r="CX8" s="371"/>
      <c r="CY8" s="371"/>
      <c r="CZ8" s="371"/>
      <c r="DA8" s="371"/>
      <c r="DB8" s="371"/>
      <c r="DC8" s="371"/>
      <c r="DD8" s="371"/>
      <c r="DE8" s="371"/>
      <c r="DF8" s="371"/>
      <c r="DG8" s="371"/>
      <c r="DH8" s="371"/>
      <c r="DI8" s="371"/>
      <c r="DJ8" s="371"/>
      <c r="DK8" s="371"/>
      <c r="DL8" s="371"/>
      <c r="DM8" s="371"/>
      <c r="DN8" s="371"/>
      <c r="DO8" s="371"/>
      <c r="DP8" s="371"/>
      <c r="DQ8" s="371"/>
      <c r="DR8" s="371"/>
      <c r="DS8" s="371"/>
      <c r="DT8" s="371"/>
      <c r="DU8" s="371"/>
      <c r="DV8" s="371"/>
      <c r="DW8" s="371"/>
      <c r="DX8" s="371"/>
      <c r="DY8" s="371"/>
      <c r="DZ8" s="371"/>
      <c r="EA8" s="371"/>
      <c r="EB8" s="371"/>
      <c r="EC8" s="371"/>
      <c r="ED8" s="371"/>
      <c r="EE8" s="371"/>
      <c r="EF8" s="371"/>
      <c r="EG8" s="371"/>
      <c r="EH8" s="371"/>
      <c r="EI8" s="371"/>
      <c r="EJ8" s="371"/>
      <c r="EK8" s="371"/>
      <c r="EL8" s="371"/>
      <c r="EM8" s="371"/>
      <c r="EN8" s="371"/>
      <c r="EO8" s="371"/>
      <c r="EP8" s="371"/>
      <c r="EQ8" s="371"/>
      <c r="ER8" s="371"/>
      <c r="ES8" s="371"/>
      <c r="ET8" s="371"/>
      <c r="EU8" s="371"/>
      <c r="EV8" s="371"/>
      <c r="EW8" s="371"/>
      <c r="EX8" s="371"/>
      <c r="EY8" s="371"/>
      <c r="EZ8" s="371"/>
      <c r="FA8" s="371"/>
      <c r="FB8" s="371"/>
      <c r="FC8" s="371"/>
      <c r="FD8" s="371"/>
      <c r="FE8" s="371"/>
      <c r="FF8" s="371"/>
      <c r="FG8" s="371"/>
      <c r="FH8" s="371"/>
      <c r="FI8" s="371"/>
      <c r="FJ8" s="371"/>
      <c r="FK8" s="371"/>
      <c r="FL8" s="371"/>
      <c r="FM8" s="371"/>
      <c r="FN8" s="371"/>
      <c r="FO8" s="371"/>
      <c r="FP8" s="371"/>
      <c r="FQ8" s="371"/>
      <c r="FR8" s="371"/>
      <c r="FS8" s="371"/>
      <c r="FT8" s="371"/>
      <c r="FU8" s="371"/>
      <c r="FV8" s="371"/>
      <c r="FW8" s="371"/>
      <c r="FX8" s="371"/>
      <c r="FY8" s="371"/>
      <c r="FZ8" s="371"/>
      <c r="GA8" s="371"/>
      <c r="GB8" s="371"/>
      <c r="GC8" s="371"/>
      <c r="GD8" s="371"/>
      <c r="GE8" s="371"/>
      <c r="GF8" s="371"/>
      <c r="GG8" s="371"/>
      <c r="GH8" s="371"/>
      <c r="GI8" s="371"/>
      <c r="GJ8" s="371"/>
      <c r="GK8" s="371"/>
      <c r="GL8" s="371"/>
      <c r="GM8" s="371"/>
      <c r="GN8" s="371"/>
      <c r="GO8" s="371"/>
      <c r="GP8" s="371"/>
      <c r="GQ8" s="371"/>
      <c r="GR8" s="371"/>
      <c r="GS8" s="371"/>
      <c r="GT8" s="371"/>
      <c r="GU8" s="371"/>
      <c r="GV8" s="371"/>
      <c r="GW8" s="371"/>
      <c r="GX8" s="371"/>
      <c r="GY8" s="371"/>
      <c r="GZ8" s="371"/>
      <c r="HA8" s="371"/>
      <c r="HB8" s="371"/>
      <c r="HC8" s="371"/>
      <c r="HD8" s="371"/>
      <c r="HE8" s="371"/>
      <c r="HF8" s="371"/>
      <c r="HG8" s="371"/>
      <c r="HH8" s="371"/>
      <c r="HI8" s="371"/>
      <c r="HJ8" s="371"/>
      <c r="HK8" s="371"/>
      <c r="HL8" s="371"/>
      <c r="HM8" s="371"/>
      <c r="HN8" s="371"/>
      <c r="HO8" s="371"/>
      <c r="HP8" s="371"/>
      <c r="HQ8" s="371"/>
      <c r="HR8" s="371"/>
      <c r="HS8" s="371"/>
      <c r="HT8" s="371"/>
      <c r="HU8" s="371"/>
      <c r="HV8" s="371"/>
      <c r="HW8" s="371"/>
      <c r="HX8" s="371"/>
      <c r="HY8" s="371"/>
      <c r="HZ8" s="371"/>
      <c r="IA8" s="371"/>
      <c r="IB8" s="371"/>
      <c r="IC8" s="371"/>
      <c r="ID8" s="371"/>
      <c r="IE8" s="371"/>
      <c r="IF8" s="371"/>
      <c r="IG8" s="371"/>
      <c r="IH8" s="371"/>
      <c r="II8" s="371"/>
      <c r="IJ8" s="371"/>
      <c r="IK8" s="371"/>
      <c r="IL8" s="371"/>
      <c r="IM8" s="371"/>
      <c r="IN8" s="371"/>
      <c r="IO8" s="371"/>
      <c r="IP8" s="371"/>
      <c r="IQ8" s="371"/>
      <c r="IR8" s="371"/>
      <c r="IS8" s="371"/>
      <c r="IT8" s="371"/>
      <c r="IU8" s="371"/>
      <c r="IV8" s="371"/>
    </row>
    <row r="9" spans="1:256" x14ac:dyDescent="0.2">
      <c r="A9" s="365"/>
      <c r="B9" s="381" t="s">
        <v>1315</v>
      </c>
      <c r="C9" s="368"/>
      <c r="D9" s="377"/>
      <c r="E9" s="382"/>
      <c r="F9" s="383"/>
      <c r="G9" s="386"/>
      <c r="H9" s="387"/>
      <c r="I9" s="386"/>
      <c r="J9" s="371"/>
      <c r="K9" s="371"/>
      <c r="L9" s="371"/>
      <c r="M9" s="371"/>
      <c r="N9" s="371"/>
      <c r="O9" s="371"/>
      <c r="P9" s="371"/>
      <c r="Q9" s="371"/>
      <c r="R9" s="371"/>
      <c r="S9" s="371"/>
      <c r="T9" s="371"/>
      <c r="U9" s="371"/>
      <c r="V9" s="371"/>
      <c r="W9" s="371"/>
      <c r="X9" s="371"/>
      <c r="Y9" s="371"/>
      <c r="Z9" s="371"/>
      <c r="AA9" s="371"/>
      <c r="AB9" s="371"/>
      <c r="AC9" s="371"/>
      <c r="AD9" s="371"/>
      <c r="AE9" s="371"/>
      <c r="AF9" s="371"/>
      <c r="AG9" s="371"/>
      <c r="AH9" s="371"/>
      <c r="AI9" s="371"/>
      <c r="AJ9" s="371"/>
      <c r="AK9" s="371"/>
      <c r="AL9" s="371"/>
      <c r="AM9" s="371"/>
      <c r="AN9" s="371"/>
      <c r="AO9" s="371"/>
      <c r="AP9" s="371"/>
      <c r="AQ9" s="371"/>
      <c r="AR9" s="371"/>
      <c r="AS9" s="371"/>
      <c r="AT9" s="371"/>
      <c r="AU9" s="371"/>
      <c r="AV9" s="371"/>
      <c r="AW9" s="371"/>
      <c r="AX9" s="371"/>
      <c r="AY9" s="371"/>
      <c r="AZ9" s="371"/>
      <c r="BA9" s="371"/>
      <c r="BB9" s="371"/>
      <c r="BC9" s="371"/>
      <c r="BD9" s="371"/>
      <c r="BE9" s="371"/>
      <c r="BF9" s="371"/>
      <c r="BG9" s="371"/>
      <c r="BH9" s="371"/>
      <c r="BI9" s="371"/>
      <c r="BJ9" s="371"/>
      <c r="BK9" s="371"/>
      <c r="BL9" s="371"/>
      <c r="BM9" s="371"/>
      <c r="BN9" s="371"/>
      <c r="BO9" s="371"/>
      <c r="BP9" s="371"/>
      <c r="BQ9" s="371"/>
      <c r="BR9" s="371"/>
      <c r="BS9" s="371"/>
      <c r="BT9" s="371"/>
      <c r="BU9" s="371"/>
      <c r="BV9" s="371"/>
      <c r="BW9" s="371"/>
      <c r="BX9" s="371"/>
      <c r="BY9" s="371"/>
      <c r="BZ9" s="371"/>
      <c r="CA9" s="371"/>
      <c r="CB9" s="371"/>
      <c r="CC9" s="371"/>
      <c r="CD9" s="371"/>
      <c r="CE9" s="371"/>
      <c r="CF9" s="371"/>
      <c r="CG9" s="371"/>
      <c r="CH9" s="371"/>
      <c r="CI9" s="371"/>
      <c r="CJ9" s="371"/>
      <c r="CK9" s="371"/>
      <c r="CL9" s="371"/>
      <c r="CM9" s="371"/>
      <c r="CN9" s="371"/>
      <c r="CO9" s="371"/>
      <c r="CP9" s="371"/>
      <c r="CQ9" s="371"/>
      <c r="CR9" s="371"/>
      <c r="CS9" s="371"/>
      <c r="CT9" s="371"/>
      <c r="CU9" s="371"/>
      <c r="CV9" s="371"/>
      <c r="CW9" s="371"/>
      <c r="CX9" s="371"/>
      <c r="CY9" s="371"/>
      <c r="CZ9" s="371"/>
      <c r="DA9" s="371"/>
      <c r="DB9" s="371"/>
      <c r="DC9" s="371"/>
      <c r="DD9" s="371"/>
      <c r="DE9" s="371"/>
      <c r="DF9" s="371"/>
      <c r="DG9" s="371"/>
      <c r="DH9" s="371"/>
      <c r="DI9" s="371"/>
      <c r="DJ9" s="371"/>
      <c r="DK9" s="371"/>
      <c r="DL9" s="371"/>
      <c r="DM9" s="371"/>
      <c r="DN9" s="371"/>
      <c r="DO9" s="371"/>
      <c r="DP9" s="371"/>
      <c r="DQ9" s="371"/>
      <c r="DR9" s="371"/>
      <c r="DS9" s="371"/>
      <c r="DT9" s="371"/>
      <c r="DU9" s="371"/>
      <c r="DV9" s="371"/>
      <c r="DW9" s="371"/>
      <c r="DX9" s="371"/>
      <c r="DY9" s="371"/>
      <c r="DZ9" s="371"/>
      <c r="EA9" s="371"/>
      <c r="EB9" s="371"/>
      <c r="EC9" s="371"/>
      <c r="ED9" s="371"/>
      <c r="EE9" s="371"/>
      <c r="EF9" s="371"/>
      <c r="EG9" s="371"/>
      <c r="EH9" s="371"/>
      <c r="EI9" s="371"/>
      <c r="EJ9" s="371"/>
      <c r="EK9" s="371"/>
      <c r="EL9" s="371"/>
      <c r="EM9" s="371"/>
      <c r="EN9" s="371"/>
      <c r="EO9" s="371"/>
      <c r="EP9" s="371"/>
      <c r="EQ9" s="371"/>
      <c r="ER9" s="371"/>
      <c r="ES9" s="371"/>
      <c r="ET9" s="371"/>
      <c r="EU9" s="371"/>
      <c r="EV9" s="371"/>
      <c r="EW9" s="371"/>
      <c r="EX9" s="371"/>
      <c r="EY9" s="371"/>
      <c r="EZ9" s="371"/>
      <c r="FA9" s="371"/>
      <c r="FB9" s="371"/>
      <c r="FC9" s="371"/>
      <c r="FD9" s="371"/>
      <c r="FE9" s="371"/>
      <c r="FF9" s="371"/>
      <c r="FG9" s="371"/>
      <c r="FH9" s="371"/>
      <c r="FI9" s="371"/>
      <c r="FJ9" s="371"/>
      <c r="FK9" s="371"/>
      <c r="FL9" s="371"/>
      <c r="FM9" s="371"/>
      <c r="FN9" s="371"/>
      <c r="FO9" s="371"/>
      <c r="FP9" s="371"/>
      <c r="FQ9" s="371"/>
      <c r="FR9" s="371"/>
      <c r="FS9" s="371"/>
      <c r="FT9" s="371"/>
      <c r="FU9" s="371"/>
      <c r="FV9" s="371"/>
      <c r="FW9" s="371"/>
      <c r="FX9" s="371"/>
      <c r="FY9" s="371"/>
      <c r="FZ9" s="371"/>
      <c r="GA9" s="371"/>
      <c r="GB9" s="371"/>
      <c r="GC9" s="371"/>
      <c r="GD9" s="371"/>
      <c r="GE9" s="371"/>
      <c r="GF9" s="371"/>
      <c r="GG9" s="371"/>
      <c r="GH9" s="371"/>
      <c r="GI9" s="371"/>
      <c r="GJ9" s="371"/>
      <c r="GK9" s="371"/>
      <c r="GL9" s="371"/>
      <c r="GM9" s="371"/>
      <c r="GN9" s="371"/>
      <c r="GO9" s="371"/>
      <c r="GP9" s="371"/>
      <c r="GQ9" s="371"/>
      <c r="GR9" s="371"/>
      <c r="GS9" s="371"/>
      <c r="GT9" s="371"/>
      <c r="GU9" s="371"/>
      <c r="GV9" s="371"/>
      <c r="GW9" s="371"/>
      <c r="GX9" s="371"/>
      <c r="GY9" s="371"/>
      <c r="GZ9" s="371"/>
      <c r="HA9" s="371"/>
      <c r="HB9" s="371"/>
      <c r="HC9" s="371"/>
      <c r="HD9" s="371"/>
      <c r="HE9" s="371"/>
      <c r="HF9" s="371"/>
      <c r="HG9" s="371"/>
      <c r="HH9" s="371"/>
      <c r="HI9" s="371"/>
      <c r="HJ9" s="371"/>
      <c r="HK9" s="371"/>
      <c r="HL9" s="371"/>
      <c r="HM9" s="371"/>
      <c r="HN9" s="371"/>
      <c r="HO9" s="371"/>
      <c r="HP9" s="371"/>
      <c r="HQ9" s="371"/>
      <c r="HR9" s="371"/>
      <c r="HS9" s="371"/>
      <c r="HT9" s="371"/>
      <c r="HU9" s="371"/>
      <c r="HV9" s="371"/>
      <c r="HW9" s="371"/>
      <c r="HX9" s="371"/>
      <c r="HY9" s="371"/>
      <c r="HZ9" s="371"/>
      <c r="IA9" s="371"/>
      <c r="IB9" s="371"/>
      <c r="IC9" s="371"/>
      <c r="ID9" s="371"/>
      <c r="IE9" s="371"/>
      <c r="IF9" s="371"/>
      <c r="IG9" s="371"/>
      <c r="IH9" s="371"/>
      <c r="II9" s="371"/>
      <c r="IJ9" s="371"/>
      <c r="IK9" s="371"/>
      <c r="IL9" s="371"/>
      <c r="IM9" s="371"/>
      <c r="IN9" s="371"/>
      <c r="IO9" s="371"/>
      <c r="IP9" s="371"/>
      <c r="IQ9" s="371"/>
      <c r="IR9" s="371"/>
      <c r="IS9" s="371"/>
      <c r="IT9" s="371"/>
      <c r="IU9" s="371"/>
      <c r="IV9" s="371"/>
    </row>
    <row r="10" spans="1:256" x14ac:dyDescent="0.2">
      <c r="A10" s="365"/>
      <c r="B10" s="381"/>
      <c r="C10" s="377"/>
      <c r="D10" s="377"/>
      <c r="E10" s="382"/>
      <c r="F10" s="383"/>
      <c r="G10" s="386"/>
      <c r="H10" s="387"/>
      <c r="I10" s="386"/>
      <c r="J10" s="371"/>
      <c r="K10" s="371"/>
      <c r="L10" s="371"/>
      <c r="M10" s="371"/>
      <c r="N10" s="371"/>
      <c r="O10" s="371"/>
      <c r="P10" s="371"/>
      <c r="Q10" s="371"/>
      <c r="R10" s="371"/>
      <c r="S10" s="371"/>
      <c r="T10" s="371"/>
      <c r="U10" s="371"/>
      <c r="V10" s="371"/>
      <c r="W10" s="371"/>
      <c r="X10" s="371"/>
      <c r="Y10" s="371"/>
      <c r="Z10" s="371"/>
      <c r="AA10" s="371"/>
      <c r="AB10" s="371"/>
      <c r="AC10" s="371"/>
      <c r="AD10" s="371"/>
      <c r="AE10" s="371"/>
      <c r="AF10" s="371"/>
      <c r="AG10" s="371"/>
      <c r="AH10" s="371"/>
      <c r="AI10" s="371"/>
      <c r="AJ10" s="371"/>
      <c r="AK10" s="371"/>
      <c r="AL10" s="371"/>
      <c r="AM10" s="371"/>
      <c r="AN10" s="371"/>
      <c r="AO10" s="371"/>
      <c r="AP10" s="371"/>
      <c r="AQ10" s="371"/>
      <c r="AR10" s="371"/>
      <c r="AS10" s="371"/>
      <c r="AT10" s="371"/>
      <c r="AU10" s="371"/>
      <c r="AV10" s="371"/>
      <c r="AW10" s="371"/>
      <c r="AX10" s="371"/>
      <c r="AY10" s="371"/>
      <c r="AZ10" s="371"/>
      <c r="BA10" s="371"/>
      <c r="BB10" s="371"/>
      <c r="BC10" s="371"/>
      <c r="BD10" s="371"/>
      <c r="BE10" s="371"/>
      <c r="BF10" s="371"/>
      <c r="BG10" s="371"/>
      <c r="BH10" s="371"/>
      <c r="BI10" s="371"/>
      <c r="BJ10" s="371"/>
      <c r="BK10" s="371"/>
      <c r="BL10" s="371"/>
      <c r="BM10" s="371"/>
      <c r="BN10" s="371"/>
      <c r="BO10" s="371"/>
      <c r="BP10" s="371"/>
      <c r="BQ10" s="371"/>
      <c r="BR10" s="371"/>
      <c r="BS10" s="371"/>
      <c r="BT10" s="371"/>
      <c r="BU10" s="371"/>
      <c r="BV10" s="371"/>
      <c r="BW10" s="371"/>
      <c r="BX10" s="371"/>
      <c r="BY10" s="371"/>
      <c r="BZ10" s="371"/>
      <c r="CA10" s="371"/>
      <c r="CB10" s="371"/>
      <c r="CC10" s="371"/>
      <c r="CD10" s="371"/>
      <c r="CE10" s="371"/>
      <c r="CF10" s="371"/>
      <c r="CG10" s="371"/>
      <c r="CH10" s="371"/>
      <c r="CI10" s="371"/>
      <c r="CJ10" s="371"/>
      <c r="CK10" s="371"/>
      <c r="CL10" s="371"/>
      <c r="CM10" s="371"/>
      <c r="CN10" s="371"/>
      <c r="CO10" s="371"/>
      <c r="CP10" s="371"/>
      <c r="CQ10" s="371"/>
      <c r="CR10" s="371"/>
      <c r="CS10" s="371"/>
      <c r="CT10" s="371"/>
      <c r="CU10" s="371"/>
      <c r="CV10" s="371"/>
      <c r="CW10" s="371"/>
      <c r="CX10" s="371"/>
      <c r="CY10" s="371"/>
      <c r="CZ10" s="371"/>
      <c r="DA10" s="371"/>
      <c r="DB10" s="371"/>
      <c r="DC10" s="371"/>
      <c r="DD10" s="371"/>
      <c r="DE10" s="371"/>
      <c r="DF10" s="371"/>
      <c r="DG10" s="371"/>
      <c r="DH10" s="371"/>
      <c r="DI10" s="371"/>
      <c r="DJ10" s="371"/>
      <c r="DK10" s="371"/>
      <c r="DL10" s="371"/>
      <c r="DM10" s="371"/>
      <c r="DN10" s="371"/>
      <c r="DO10" s="371"/>
      <c r="DP10" s="371"/>
      <c r="DQ10" s="371"/>
      <c r="DR10" s="371"/>
      <c r="DS10" s="371"/>
      <c r="DT10" s="371"/>
      <c r="DU10" s="371"/>
      <c r="DV10" s="371"/>
      <c r="DW10" s="371"/>
      <c r="DX10" s="371"/>
      <c r="DY10" s="371"/>
      <c r="DZ10" s="371"/>
      <c r="EA10" s="371"/>
      <c r="EB10" s="371"/>
      <c r="EC10" s="371"/>
      <c r="ED10" s="371"/>
      <c r="EE10" s="371"/>
      <c r="EF10" s="371"/>
      <c r="EG10" s="371"/>
      <c r="EH10" s="371"/>
      <c r="EI10" s="371"/>
      <c r="EJ10" s="371"/>
      <c r="EK10" s="371"/>
      <c r="EL10" s="371"/>
      <c r="EM10" s="371"/>
      <c r="EN10" s="371"/>
      <c r="EO10" s="371"/>
      <c r="EP10" s="371"/>
      <c r="EQ10" s="371"/>
      <c r="ER10" s="371"/>
      <c r="ES10" s="371"/>
      <c r="ET10" s="371"/>
      <c r="EU10" s="371"/>
      <c r="EV10" s="371"/>
      <c r="EW10" s="371"/>
      <c r="EX10" s="371"/>
      <c r="EY10" s="371"/>
      <c r="EZ10" s="371"/>
      <c r="FA10" s="371"/>
      <c r="FB10" s="371"/>
      <c r="FC10" s="371"/>
      <c r="FD10" s="371"/>
      <c r="FE10" s="371"/>
      <c r="FF10" s="371"/>
      <c r="FG10" s="371"/>
      <c r="FH10" s="371"/>
      <c r="FI10" s="371"/>
      <c r="FJ10" s="371"/>
      <c r="FK10" s="371"/>
      <c r="FL10" s="371"/>
      <c r="FM10" s="371"/>
      <c r="FN10" s="371"/>
      <c r="FO10" s="371"/>
      <c r="FP10" s="371"/>
      <c r="FQ10" s="371"/>
      <c r="FR10" s="371"/>
      <c r="FS10" s="371"/>
      <c r="FT10" s="371"/>
      <c r="FU10" s="371"/>
      <c r="FV10" s="371"/>
      <c r="FW10" s="371"/>
      <c r="FX10" s="371"/>
      <c r="FY10" s="371"/>
      <c r="FZ10" s="371"/>
      <c r="GA10" s="371"/>
      <c r="GB10" s="371"/>
      <c r="GC10" s="371"/>
      <c r="GD10" s="371"/>
      <c r="GE10" s="371"/>
      <c r="GF10" s="371"/>
      <c r="GG10" s="371"/>
      <c r="GH10" s="371"/>
      <c r="GI10" s="371"/>
      <c r="GJ10" s="371"/>
      <c r="GK10" s="371"/>
      <c r="GL10" s="371"/>
      <c r="GM10" s="371"/>
      <c r="GN10" s="371"/>
      <c r="GO10" s="371"/>
      <c r="GP10" s="371"/>
      <c r="GQ10" s="371"/>
      <c r="GR10" s="371"/>
      <c r="GS10" s="371"/>
      <c r="GT10" s="371"/>
      <c r="GU10" s="371"/>
      <c r="GV10" s="371"/>
      <c r="GW10" s="371"/>
      <c r="GX10" s="371"/>
      <c r="GY10" s="371"/>
      <c r="GZ10" s="371"/>
      <c r="HA10" s="371"/>
      <c r="HB10" s="371"/>
      <c r="HC10" s="371"/>
      <c r="HD10" s="371"/>
      <c r="HE10" s="371"/>
      <c r="HF10" s="371"/>
      <c r="HG10" s="371"/>
      <c r="HH10" s="371"/>
      <c r="HI10" s="371"/>
      <c r="HJ10" s="371"/>
      <c r="HK10" s="371"/>
      <c r="HL10" s="371"/>
      <c r="HM10" s="371"/>
      <c r="HN10" s="371"/>
      <c r="HO10" s="371"/>
      <c r="HP10" s="371"/>
      <c r="HQ10" s="371"/>
      <c r="HR10" s="371"/>
      <c r="HS10" s="371"/>
      <c r="HT10" s="371"/>
      <c r="HU10" s="371"/>
      <c r="HV10" s="371"/>
      <c r="HW10" s="371"/>
      <c r="HX10" s="371"/>
      <c r="HY10" s="371"/>
      <c r="HZ10" s="371"/>
      <c r="IA10" s="371"/>
      <c r="IB10" s="371"/>
      <c r="IC10" s="371"/>
      <c r="ID10" s="371"/>
      <c r="IE10" s="371"/>
      <c r="IF10" s="371"/>
      <c r="IG10" s="371"/>
      <c r="IH10" s="371"/>
      <c r="II10" s="371"/>
      <c r="IJ10" s="371"/>
      <c r="IK10" s="371"/>
      <c r="IL10" s="371"/>
      <c r="IM10" s="371"/>
      <c r="IN10" s="371"/>
      <c r="IO10" s="371"/>
      <c r="IP10" s="371"/>
      <c r="IQ10" s="371"/>
      <c r="IR10" s="371"/>
      <c r="IS10" s="371"/>
      <c r="IT10" s="371"/>
      <c r="IU10" s="371"/>
      <c r="IV10" s="371"/>
    </row>
    <row r="11" spans="1:256" x14ac:dyDescent="0.2">
      <c r="A11" s="365"/>
      <c r="B11" s="388" t="s">
        <v>1316</v>
      </c>
      <c r="C11" s="377" t="str">
        <f>СВОД!D16</f>
        <v>ООО «Газпром проектирование»</v>
      </c>
      <c r="D11" s="377"/>
      <c r="E11" s="382"/>
      <c r="F11" s="387"/>
      <c r="G11" s="386"/>
      <c r="H11" s="387"/>
      <c r="I11" s="386"/>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1"/>
      <c r="BR11" s="371"/>
      <c r="BS11" s="371"/>
      <c r="BT11" s="371"/>
      <c r="BU11" s="371"/>
      <c r="BV11" s="371"/>
      <c r="BW11" s="371"/>
      <c r="BX11" s="371"/>
      <c r="BY11" s="371"/>
      <c r="BZ11" s="371"/>
      <c r="CA11" s="371"/>
      <c r="CB11" s="371"/>
      <c r="CC11" s="371"/>
      <c r="CD11" s="371"/>
      <c r="CE11" s="371"/>
      <c r="CF11" s="371"/>
      <c r="CG11" s="371"/>
      <c r="CH11" s="371"/>
      <c r="CI11" s="371"/>
      <c r="CJ11" s="371"/>
      <c r="CK11" s="371"/>
      <c r="CL11" s="371"/>
      <c r="CM11" s="371"/>
      <c r="CN11" s="371"/>
      <c r="CO11" s="371"/>
      <c r="CP11" s="371"/>
      <c r="CQ11" s="371"/>
      <c r="CR11" s="371"/>
      <c r="CS11" s="371"/>
      <c r="CT11" s="371"/>
      <c r="CU11" s="371"/>
      <c r="CV11" s="371"/>
      <c r="CW11" s="371"/>
      <c r="CX11" s="371"/>
      <c r="CY11" s="371"/>
      <c r="CZ11" s="371"/>
      <c r="DA11" s="371"/>
      <c r="DB11" s="371"/>
      <c r="DC11" s="371"/>
      <c r="DD11" s="371"/>
      <c r="DE11" s="371"/>
      <c r="DF11" s="371"/>
      <c r="DG11" s="371"/>
      <c r="DH11" s="371"/>
      <c r="DI11" s="371"/>
      <c r="DJ11" s="371"/>
      <c r="DK11" s="371"/>
      <c r="DL11" s="371"/>
      <c r="DM11" s="371"/>
      <c r="DN11" s="371"/>
      <c r="DO11" s="371"/>
      <c r="DP11" s="371"/>
      <c r="DQ11" s="371"/>
      <c r="DR11" s="371"/>
      <c r="DS11" s="371"/>
      <c r="DT11" s="371"/>
      <c r="DU11" s="371"/>
      <c r="DV11" s="371"/>
      <c r="DW11" s="371"/>
      <c r="DX11" s="371"/>
      <c r="DY11" s="371"/>
      <c r="DZ11" s="371"/>
      <c r="EA11" s="371"/>
      <c r="EB11" s="371"/>
      <c r="EC11" s="371"/>
      <c r="ED11" s="371"/>
      <c r="EE11" s="371"/>
      <c r="EF11" s="371"/>
      <c r="EG11" s="371"/>
      <c r="EH11" s="371"/>
      <c r="EI11" s="371"/>
      <c r="EJ11" s="371"/>
      <c r="EK11" s="371"/>
      <c r="EL11" s="371"/>
      <c r="EM11" s="371"/>
      <c r="EN11" s="371"/>
      <c r="EO11" s="371"/>
      <c r="EP11" s="371"/>
      <c r="EQ11" s="371"/>
      <c r="ER11" s="371"/>
      <c r="ES11" s="371"/>
      <c r="ET11" s="371"/>
      <c r="EU11" s="371"/>
      <c r="EV11" s="371"/>
      <c r="EW11" s="371"/>
      <c r="EX11" s="371"/>
      <c r="EY11" s="371"/>
      <c r="EZ11" s="371"/>
      <c r="FA11" s="371"/>
      <c r="FB11" s="371"/>
      <c r="FC11" s="371"/>
      <c r="FD11" s="371"/>
      <c r="FE11" s="371"/>
      <c r="FF11" s="371"/>
      <c r="FG11" s="371"/>
      <c r="FH11" s="371"/>
      <c r="FI11" s="371"/>
      <c r="FJ11" s="371"/>
      <c r="FK11" s="371"/>
      <c r="FL11" s="371"/>
      <c r="FM11" s="371"/>
      <c r="FN11" s="371"/>
      <c r="FO11" s="371"/>
      <c r="FP11" s="371"/>
      <c r="FQ11" s="371"/>
      <c r="FR11" s="371"/>
      <c r="FS11" s="371"/>
      <c r="FT11" s="371"/>
      <c r="FU11" s="371"/>
      <c r="FV11" s="371"/>
      <c r="FW11" s="371"/>
      <c r="FX11" s="371"/>
      <c r="FY11" s="371"/>
      <c r="FZ11" s="371"/>
      <c r="GA11" s="371"/>
      <c r="GB11" s="371"/>
      <c r="GC11" s="371"/>
      <c r="GD11" s="371"/>
      <c r="GE11" s="371"/>
      <c r="GF11" s="371"/>
      <c r="GG11" s="371"/>
      <c r="GH11" s="371"/>
      <c r="GI11" s="371"/>
      <c r="GJ11" s="371"/>
      <c r="GK11" s="371"/>
      <c r="GL11" s="371"/>
      <c r="GM11" s="371"/>
      <c r="GN11" s="371"/>
      <c r="GO11" s="371"/>
      <c r="GP11" s="371"/>
      <c r="GQ11" s="371"/>
      <c r="GR11" s="371"/>
      <c r="GS11" s="371"/>
      <c r="GT11" s="371"/>
      <c r="GU11" s="371"/>
      <c r="GV11" s="371"/>
      <c r="GW11" s="371"/>
      <c r="GX11" s="371"/>
      <c r="GY11" s="371"/>
      <c r="GZ11" s="371"/>
      <c r="HA11" s="371"/>
      <c r="HB11" s="371"/>
      <c r="HC11" s="371"/>
      <c r="HD11" s="371"/>
      <c r="HE11" s="371"/>
      <c r="HF11" s="371"/>
      <c r="HG11" s="371"/>
      <c r="HH11" s="371"/>
      <c r="HI11" s="371"/>
      <c r="HJ11" s="371"/>
      <c r="HK11" s="371"/>
      <c r="HL11" s="371"/>
      <c r="HM11" s="371"/>
      <c r="HN11" s="371"/>
      <c r="HO11" s="371"/>
      <c r="HP11" s="371"/>
      <c r="HQ11" s="371"/>
      <c r="HR11" s="371"/>
      <c r="HS11" s="371"/>
      <c r="HT11" s="371"/>
      <c r="HU11" s="371"/>
      <c r="HV11" s="371"/>
      <c r="HW11" s="371"/>
      <c r="HX11" s="371"/>
      <c r="HY11" s="371"/>
      <c r="HZ11" s="371"/>
      <c r="IA11" s="371"/>
      <c r="IB11" s="371"/>
      <c r="IC11" s="371"/>
      <c r="ID11" s="371"/>
      <c r="IE11" s="371"/>
      <c r="IF11" s="371"/>
      <c r="IG11" s="371"/>
      <c r="IH11" s="371"/>
      <c r="II11" s="371"/>
      <c r="IJ11" s="371"/>
      <c r="IK11" s="371"/>
      <c r="IL11" s="371"/>
      <c r="IM11" s="371"/>
      <c r="IN11" s="371"/>
      <c r="IO11" s="371"/>
      <c r="IP11" s="371"/>
      <c r="IQ11" s="371"/>
      <c r="IR11" s="371"/>
      <c r="IS11" s="371"/>
      <c r="IT11" s="371"/>
      <c r="IU11" s="371"/>
      <c r="IV11" s="371"/>
    </row>
    <row r="12" spans="1:256" x14ac:dyDescent="0.2">
      <c r="A12" s="365"/>
      <c r="B12" s="388" t="s">
        <v>1317</v>
      </c>
      <c r="C12" s="377"/>
      <c r="D12" s="377"/>
      <c r="E12" s="389"/>
      <c r="F12" s="387"/>
      <c r="G12" s="386"/>
      <c r="H12" s="387"/>
      <c r="I12" s="386"/>
      <c r="J12" s="371"/>
      <c r="K12" s="371"/>
      <c r="L12" s="371"/>
      <c r="M12" s="371"/>
      <c r="N12" s="371"/>
      <c r="O12" s="371"/>
      <c r="P12" s="371"/>
      <c r="Q12" s="371"/>
      <c r="R12" s="371"/>
      <c r="S12" s="371"/>
      <c r="T12" s="371"/>
      <c r="U12" s="371"/>
      <c r="V12" s="371"/>
      <c r="W12" s="371"/>
      <c r="X12" s="371"/>
      <c r="Y12" s="371"/>
      <c r="Z12" s="371"/>
      <c r="AA12" s="371"/>
      <c r="AB12" s="371"/>
      <c r="AC12" s="371"/>
      <c r="AD12" s="371"/>
      <c r="AE12" s="371"/>
      <c r="AF12" s="371"/>
      <c r="AG12" s="371"/>
      <c r="AH12" s="371"/>
      <c r="AI12" s="371"/>
      <c r="AJ12" s="371"/>
      <c r="AK12" s="371"/>
      <c r="AL12" s="371"/>
      <c r="AM12" s="371"/>
      <c r="AN12" s="371"/>
      <c r="AO12" s="371"/>
      <c r="AP12" s="371"/>
      <c r="AQ12" s="371"/>
      <c r="AR12" s="371"/>
      <c r="AS12" s="371"/>
      <c r="AT12" s="371"/>
      <c r="AU12" s="371"/>
      <c r="AV12" s="371"/>
      <c r="AW12" s="371"/>
      <c r="AX12" s="371"/>
      <c r="AY12" s="371"/>
      <c r="AZ12" s="371"/>
      <c r="BA12" s="371"/>
      <c r="BB12" s="371"/>
      <c r="BC12" s="371"/>
      <c r="BD12" s="371"/>
      <c r="BE12" s="371"/>
      <c r="BF12" s="371"/>
      <c r="BG12" s="371"/>
      <c r="BH12" s="371"/>
      <c r="BI12" s="371"/>
      <c r="BJ12" s="371"/>
      <c r="BK12" s="371"/>
      <c r="BL12" s="371"/>
      <c r="BM12" s="371"/>
      <c r="BN12" s="371"/>
      <c r="BO12" s="371"/>
      <c r="BP12" s="371"/>
      <c r="BQ12" s="371"/>
      <c r="BR12" s="371"/>
      <c r="BS12" s="371"/>
      <c r="BT12" s="371"/>
      <c r="BU12" s="371"/>
      <c r="BV12" s="371"/>
      <c r="BW12" s="371"/>
      <c r="BX12" s="371"/>
      <c r="BY12" s="371"/>
      <c r="BZ12" s="371"/>
      <c r="CA12" s="371"/>
      <c r="CB12" s="371"/>
      <c r="CC12" s="371"/>
      <c r="CD12" s="371"/>
      <c r="CE12" s="371"/>
      <c r="CF12" s="371"/>
      <c r="CG12" s="371"/>
      <c r="CH12" s="371"/>
      <c r="CI12" s="371"/>
      <c r="CJ12" s="371"/>
      <c r="CK12" s="371"/>
      <c r="CL12" s="371"/>
      <c r="CM12" s="371"/>
      <c r="CN12" s="371"/>
      <c r="CO12" s="371"/>
      <c r="CP12" s="371"/>
      <c r="CQ12" s="371"/>
      <c r="CR12" s="371"/>
      <c r="CS12" s="371"/>
      <c r="CT12" s="371"/>
      <c r="CU12" s="371"/>
      <c r="CV12" s="371"/>
      <c r="CW12" s="371"/>
      <c r="CX12" s="371"/>
      <c r="CY12" s="371"/>
      <c r="CZ12" s="371"/>
      <c r="DA12" s="371"/>
      <c r="DB12" s="371"/>
      <c r="DC12" s="371"/>
      <c r="DD12" s="371"/>
      <c r="DE12" s="371"/>
      <c r="DF12" s="371"/>
      <c r="DG12" s="371"/>
      <c r="DH12" s="371"/>
      <c r="DI12" s="371"/>
      <c r="DJ12" s="371"/>
      <c r="DK12" s="371"/>
      <c r="DL12" s="371"/>
      <c r="DM12" s="371"/>
      <c r="DN12" s="371"/>
      <c r="DO12" s="371"/>
      <c r="DP12" s="371"/>
      <c r="DQ12" s="371"/>
      <c r="DR12" s="371"/>
      <c r="DS12" s="371"/>
      <c r="DT12" s="371"/>
      <c r="DU12" s="371"/>
      <c r="DV12" s="371"/>
      <c r="DW12" s="371"/>
      <c r="DX12" s="371"/>
      <c r="DY12" s="371"/>
      <c r="DZ12" s="371"/>
      <c r="EA12" s="371"/>
      <c r="EB12" s="371"/>
      <c r="EC12" s="371"/>
      <c r="ED12" s="371"/>
      <c r="EE12" s="371"/>
      <c r="EF12" s="371"/>
      <c r="EG12" s="371"/>
      <c r="EH12" s="371"/>
      <c r="EI12" s="371"/>
      <c r="EJ12" s="371"/>
      <c r="EK12" s="371"/>
      <c r="EL12" s="371"/>
      <c r="EM12" s="371"/>
      <c r="EN12" s="371"/>
      <c r="EO12" s="371"/>
      <c r="EP12" s="371"/>
      <c r="EQ12" s="371"/>
      <c r="ER12" s="371"/>
      <c r="ES12" s="371"/>
      <c r="ET12" s="371"/>
      <c r="EU12" s="371"/>
      <c r="EV12" s="371"/>
      <c r="EW12" s="371"/>
      <c r="EX12" s="371"/>
      <c r="EY12" s="371"/>
      <c r="EZ12" s="371"/>
      <c r="FA12" s="371"/>
      <c r="FB12" s="371"/>
      <c r="FC12" s="371"/>
      <c r="FD12" s="371"/>
      <c r="FE12" s="371"/>
      <c r="FF12" s="371"/>
      <c r="FG12" s="371"/>
      <c r="FH12" s="371"/>
      <c r="FI12" s="371"/>
      <c r="FJ12" s="371"/>
      <c r="FK12" s="371"/>
      <c r="FL12" s="371"/>
      <c r="FM12" s="371"/>
      <c r="FN12" s="371"/>
      <c r="FO12" s="371"/>
      <c r="FP12" s="371"/>
      <c r="FQ12" s="371"/>
      <c r="FR12" s="371"/>
      <c r="FS12" s="371"/>
      <c r="FT12" s="371"/>
      <c r="FU12" s="371"/>
      <c r="FV12" s="371"/>
      <c r="FW12" s="371"/>
      <c r="FX12" s="371"/>
      <c r="FY12" s="371"/>
      <c r="FZ12" s="371"/>
      <c r="GA12" s="371"/>
      <c r="GB12" s="371"/>
      <c r="GC12" s="371"/>
      <c r="GD12" s="371"/>
      <c r="GE12" s="371"/>
      <c r="GF12" s="371"/>
      <c r="GG12" s="371"/>
      <c r="GH12" s="371"/>
      <c r="GI12" s="371"/>
      <c r="GJ12" s="371"/>
      <c r="GK12" s="371"/>
      <c r="GL12" s="371"/>
      <c r="GM12" s="371"/>
      <c r="GN12" s="371"/>
      <c r="GO12" s="371"/>
      <c r="GP12" s="371"/>
      <c r="GQ12" s="371"/>
      <c r="GR12" s="371"/>
      <c r="GS12" s="371"/>
      <c r="GT12" s="371"/>
      <c r="GU12" s="371"/>
      <c r="GV12" s="371"/>
      <c r="GW12" s="371"/>
      <c r="GX12" s="371"/>
      <c r="GY12" s="371"/>
      <c r="GZ12" s="371"/>
      <c r="HA12" s="371"/>
      <c r="HB12" s="371"/>
      <c r="HC12" s="371"/>
      <c r="HD12" s="371"/>
      <c r="HE12" s="371"/>
      <c r="HF12" s="371"/>
      <c r="HG12" s="371"/>
      <c r="HH12" s="371"/>
      <c r="HI12" s="371"/>
      <c r="HJ12" s="371"/>
      <c r="HK12" s="371"/>
      <c r="HL12" s="371"/>
      <c r="HM12" s="371"/>
      <c r="HN12" s="371"/>
      <c r="HO12" s="371"/>
      <c r="HP12" s="371"/>
      <c r="HQ12" s="371"/>
      <c r="HR12" s="371"/>
      <c r="HS12" s="371"/>
      <c r="HT12" s="371"/>
      <c r="HU12" s="371"/>
      <c r="HV12" s="371"/>
      <c r="HW12" s="371"/>
      <c r="HX12" s="371"/>
      <c r="HY12" s="371"/>
      <c r="HZ12" s="371"/>
      <c r="IA12" s="371"/>
      <c r="IB12" s="371"/>
      <c r="IC12" s="371"/>
      <c r="ID12" s="371"/>
      <c r="IE12" s="371"/>
      <c r="IF12" s="371"/>
      <c r="IG12" s="371"/>
      <c r="IH12" s="371"/>
      <c r="II12" s="371"/>
      <c r="IJ12" s="371"/>
      <c r="IK12" s="371"/>
      <c r="IL12" s="371"/>
      <c r="IM12" s="371"/>
      <c r="IN12" s="371"/>
      <c r="IO12" s="371"/>
      <c r="IP12" s="371"/>
      <c r="IQ12" s="371"/>
      <c r="IR12" s="371"/>
      <c r="IS12" s="371"/>
      <c r="IT12" s="371"/>
      <c r="IU12" s="371"/>
      <c r="IV12" s="371"/>
    </row>
    <row r="13" spans="1:256" x14ac:dyDescent="0.2">
      <c r="A13" s="365"/>
      <c r="B13" s="390" t="s">
        <v>15</v>
      </c>
      <c r="C13" s="368"/>
      <c r="D13" s="368"/>
      <c r="E13" s="372"/>
      <c r="F13" s="368"/>
      <c r="G13" s="390"/>
      <c r="H13" s="370"/>
      <c r="I13" s="370"/>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371"/>
      <c r="AN13" s="371"/>
      <c r="AO13" s="371"/>
      <c r="AP13" s="371"/>
      <c r="AQ13" s="371"/>
      <c r="AR13" s="371"/>
      <c r="AS13" s="371"/>
      <c r="AT13" s="371"/>
      <c r="AU13" s="371"/>
      <c r="AV13" s="371"/>
      <c r="AW13" s="371"/>
      <c r="AX13" s="371"/>
      <c r="AY13" s="371"/>
      <c r="AZ13" s="371"/>
      <c r="BA13" s="371"/>
      <c r="BB13" s="371"/>
      <c r="BC13" s="371"/>
      <c r="BD13" s="371"/>
      <c r="BE13" s="371"/>
      <c r="BF13" s="371"/>
      <c r="BG13" s="371"/>
      <c r="BH13" s="371"/>
      <c r="BI13" s="371"/>
      <c r="BJ13" s="371"/>
      <c r="BK13" s="371"/>
      <c r="BL13" s="371"/>
      <c r="BM13" s="371"/>
      <c r="BN13" s="371"/>
      <c r="BO13" s="371"/>
      <c r="BP13" s="371"/>
      <c r="BQ13" s="371"/>
      <c r="BR13" s="371"/>
      <c r="BS13" s="371"/>
      <c r="BT13" s="371"/>
      <c r="BU13" s="371"/>
      <c r="BV13" s="371"/>
      <c r="BW13" s="371"/>
      <c r="BX13" s="371"/>
      <c r="BY13" s="371"/>
      <c r="BZ13" s="371"/>
      <c r="CA13" s="371"/>
      <c r="CB13" s="371"/>
      <c r="CC13" s="371"/>
      <c r="CD13" s="371"/>
      <c r="CE13" s="371"/>
      <c r="CF13" s="371"/>
      <c r="CG13" s="371"/>
      <c r="CH13" s="371"/>
      <c r="CI13" s="371"/>
      <c r="CJ13" s="371"/>
      <c r="CK13" s="371"/>
      <c r="CL13" s="371"/>
      <c r="CM13" s="371"/>
      <c r="CN13" s="371"/>
      <c r="CO13" s="371"/>
      <c r="CP13" s="371"/>
      <c r="CQ13" s="371"/>
      <c r="CR13" s="371"/>
      <c r="CS13" s="371"/>
      <c r="CT13" s="371"/>
      <c r="CU13" s="371"/>
      <c r="CV13" s="371"/>
      <c r="CW13" s="371"/>
      <c r="CX13" s="371"/>
      <c r="CY13" s="371"/>
      <c r="CZ13" s="371"/>
      <c r="DA13" s="371"/>
      <c r="DB13" s="371"/>
      <c r="DC13" s="371"/>
      <c r="DD13" s="371"/>
      <c r="DE13" s="371"/>
      <c r="DF13" s="371"/>
      <c r="DG13" s="371"/>
      <c r="DH13" s="371"/>
      <c r="DI13" s="371"/>
      <c r="DJ13" s="371"/>
      <c r="DK13" s="371"/>
      <c r="DL13" s="371"/>
      <c r="DM13" s="371"/>
      <c r="DN13" s="371"/>
      <c r="DO13" s="371"/>
      <c r="DP13" s="371"/>
      <c r="DQ13" s="371"/>
      <c r="DR13" s="371"/>
      <c r="DS13" s="371"/>
      <c r="DT13" s="371"/>
      <c r="DU13" s="371"/>
      <c r="DV13" s="371"/>
      <c r="DW13" s="371"/>
      <c r="DX13" s="371"/>
      <c r="DY13" s="371"/>
      <c r="DZ13" s="371"/>
      <c r="EA13" s="371"/>
      <c r="EB13" s="371"/>
      <c r="EC13" s="371"/>
      <c r="ED13" s="371"/>
      <c r="EE13" s="371"/>
      <c r="EF13" s="371"/>
      <c r="EG13" s="371"/>
      <c r="EH13" s="371"/>
      <c r="EI13" s="371"/>
      <c r="EJ13" s="371"/>
      <c r="EK13" s="371"/>
      <c r="EL13" s="371"/>
      <c r="EM13" s="371"/>
      <c r="EN13" s="371"/>
      <c r="EO13" s="371"/>
      <c r="EP13" s="371"/>
      <c r="EQ13" s="371"/>
      <c r="ER13" s="371"/>
      <c r="ES13" s="371"/>
      <c r="ET13" s="371"/>
      <c r="EU13" s="371"/>
      <c r="EV13" s="371"/>
      <c r="EW13" s="371"/>
      <c r="EX13" s="371"/>
      <c r="EY13" s="371"/>
      <c r="EZ13" s="371"/>
      <c r="FA13" s="371"/>
      <c r="FB13" s="371"/>
      <c r="FC13" s="371"/>
      <c r="FD13" s="371"/>
      <c r="FE13" s="371"/>
      <c r="FF13" s="371"/>
      <c r="FG13" s="371"/>
      <c r="FH13" s="371"/>
      <c r="FI13" s="371"/>
      <c r="FJ13" s="371"/>
      <c r="FK13" s="371"/>
      <c r="FL13" s="371"/>
      <c r="FM13" s="371"/>
      <c r="FN13" s="371"/>
      <c r="FO13" s="371"/>
      <c r="FP13" s="371"/>
      <c r="FQ13" s="371"/>
      <c r="FR13" s="371"/>
      <c r="FS13" s="371"/>
      <c r="FT13" s="371"/>
      <c r="FU13" s="371"/>
      <c r="FV13" s="371"/>
      <c r="FW13" s="371"/>
      <c r="FX13" s="371"/>
      <c r="FY13" s="371"/>
      <c r="FZ13" s="371"/>
      <c r="GA13" s="371"/>
      <c r="GB13" s="371"/>
      <c r="GC13" s="371"/>
      <c r="GD13" s="371"/>
      <c r="GE13" s="371"/>
      <c r="GF13" s="371"/>
      <c r="GG13" s="371"/>
      <c r="GH13" s="371"/>
      <c r="GI13" s="371"/>
      <c r="GJ13" s="371"/>
      <c r="GK13" s="371"/>
      <c r="GL13" s="371"/>
      <c r="GM13" s="371"/>
      <c r="GN13" s="371"/>
      <c r="GO13" s="371"/>
      <c r="GP13" s="371"/>
      <c r="GQ13" s="371"/>
      <c r="GR13" s="371"/>
      <c r="GS13" s="371"/>
      <c r="GT13" s="371"/>
      <c r="GU13" s="371"/>
      <c r="GV13" s="371"/>
      <c r="GW13" s="371"/>
      <c r="GX13" s="371"/>
      <c r="GY13" s="371"/>
      <c r="GZ13" s="371"/>
      <c r="HA13" s="371"/>
      <c r="HB13" s="371"/>
      <c r="HC13" s="371"/>
      <c r="HD13" s="371"/>
      <c r="HE13" s="371"/>
      <c r="HF13" s="371"/>
      <c r="HG13" s="371"/>
      <c r="HH13" s="371"/>
      <c r="HI13" s="371"/>
      <c r="HJ13" s="371"/>
      <c r="HK13" s="371"/>
      <c r="HL13" s="371"/>
      <c r="HM13" s="371"/>
      <c r="HN13" s="371"/>
      <c r="HO13" s="371"/>
      <c r="HP13" s="371"/>
      <c r="HQ13" s="371"/>
      <c r="HR13" s="371"/>
      <c r="HS13" s="371"/>
      <c r="HT13" s="371"/>
      <c r="HU13" s="371"/>
      <c r="HV13" s="371"/>
      <c r="HW13" s="371"/>
      <c r="HX13" s="371"/>
      <c r="HY13" s="371"/>
      <c r="HZ13" s="371"/>
      <c r="IA13" s="371"/>
      <c r="IB13" s="371"/>
      <c r="IC13" s="371"/>
      <c r="ID13" s="371"/>
      <c r="IE13" s="371"/>
      <c r="IF13" s="371"/>
      <c r="IG13" s="371"/>
      <c r="IH13" s="371"/>
      <c r="II13" s="371"/>
      <c r="IJ13" s="371"/>
      <c r="IK13" s="371"/>
      <c r="IL13" s="371"/>
      <c r="IM13" s="371"/>
      <c r="IN13" s="371"/>
      <c r="IO13" s="371"/>
      <c r="IP13" s="371"/>
      <c r="IQ13" s="371"/>
      <c r="IR13" s="371"/>
      <c r="IS13" s="371"/>
      <c r="IT13" s="371"/>
      <c r="IU13" s="371"/>
      <c r="IV13" s="371"/>
    </row>
    <row r="14" spans="1:256" ht="70.5" customHeight="1" x14ac:dyDescent="0.2">
      <c r="A14" s="391" t="s">
        <v>1318</v>
      </c>
      <c r="B14" s="392" t="s">
        <v>1319</v>
      </c>
      <c r="C14" s="392" t="s">
        <v>1320</v>
      </c>
      <c r="D14" s="392" t="s">
        <v>1321</v>
      </c>
      <c r="E14" s="393" t="s">
        <v>13</v>
      </c>
      <c r="F14" s="394"/>
      <c r="G14" s="394"/>
      <c r="H14" s="394"/>
      <c r="I14" s="394"/>
      <c r="J14" s="394"/>
      <c r="K14" s="394"/>
      <c r="L14" s="394"/>
      <c r="M14" s="394"/>
      <c r="N14" s="394"/>
      <c r="O14" s="394"/>
      <c r="P14" s="394"/>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4"/>
      <c r="AX14" s="394"/>
      <c r="AY14" s="394"/>
      <c r="AZ14" s="394"/>
      <c r="BA14" s="394"/>
      <c r="BB14" s="394"/>
      <c r="BC14" s="394"/>
      <c r="BD14" s="394"/>
      <c r="BE14" s="394"/>
      <c r="BF14" s="394"/>
      <c r="BG14" s="394"/>
      <c r="BH14" s="394"/>
      <c r="BI14" s="394"/>
      <c r="BJ14" s="394"/>
      <c r="BK14" s="394"/>
      <c r="BL14" s="394"/>
      <c r="BM14" s="394"/>
      <c r="BN14" s="394"/>
      <c r="BO14" s="394"/>
      <c r="BP14" s="394"/>
      <c r="BQ14" s="394"/>
      <c r="BR14" s="394"/>
      <c r="BS14" s="394"/>
      <c r="BT14" s="394"/>
      <c r="BU14" s="394"/>
      <c r="BV14" s="394"/>
      <c r="BW14" s="394"/>
      <c r="BX14" s="394"/>
      <c r="BY14" s="394"/>
      <c r="BZ14" s="394"/>
      <c r="CA14" s="394"/>
      <c r="CB14" s="394"/>
      <c r="CC14" s="394"/>
      <c r="CD14" s="394"/>
      <c r="CE14" s="394"/>
      <c r="CF14" s="394"/>
      <c r="CG14" s="394"/>
      <c r="CH14" s="394"/>
      <c r="CI14" s="394"/>
      <c r="CJ14" s="394"/>
      <c r="CK14" s="394"/>
      <c r="CL14" s="394"/>
      <c r="CM14" s="394"/>
      <c r="CN14" s="394"/>
      <c r="CO14" s="394"/>
      <c r="CP14" s="394"/>
      <c r="CQ14" s="394"/>
      <c r="CR14" s="394"/>
      <c r="CS14" s="394"/>
      <c r="CT14" s="394"/>
      <c r="CU14" s="394"/>
      <c r="CV14" s="394"/>
      <c r="CW14" s="394"/>
      <c r="CX14" s="394"/>
      <c r="CY14" s="394"/>
      <c r="CZ14" s="394"/>
      <c r="DA14" s="394"/>
      <c r="DB14" s="394"/>
      <c r="DC14" s="394"/>
      <c r="DD14" s="394"/>
      <c r="DE14" s="394"/>
      <c r="DF14" s="394"/>
      <c r="DG14" s="394"/>
      <c r="DH14" s="394"/>
      <c r="DI14" s="394"/>
      <c r="DJ14" s="394"/>
      <c r="DK14" s="394"/>
      <c r="DL14" s="394"/>
      <c r="DM14" s="394"/>
      <c r="DN14" s="394"/>
      <c r="DO14" s="394"/>
      <c r="DP14" s="394"/>
      <c r="DQ14" s="394"/>
      <c r="DR14" s="394"/>
      <c r="DS14" s="394"/>
      <c r="DT14" s="394"/>
      <c r="DU14" s="394"/>
      <c r="DV14" s="394"/>
      <c r="DW14" s="394"/>
      <c r="DX14" s="394"/>
      <c r="DY14" s="394"/>
      <c r="DZ14" s="394"/>
      <c r="EA14" s="394"/>
      <c r="EB14" s="394"/>
      <c r="EC14" s="394"/>
      <c r="ED14" s="394"/>
      <c r="EE14" s="394"/>
      <c r="EF14" s="394"/>
      <c r="EG14" s="394"/>
      <c r="EH14" s="394"/>
      <c r="EI14" s="394"/>
      <c r="EJ14" s="394"/>
      <c r="EK14" s="394"/>
      <c r="EL14" s="394"/>
      <c r="EM14" s="394"/>
      <c r="EN14" s="394"/>
      <c r="EO14" s="394"/>
      <c r="EP14" s="394"/>
      <c r="EQ14" s="394"/>
      <c r="ER14" s="394"/>
      <c r="ES14" s="394"/>
      <c r="ET14" s="394"/>
      <c r="EU14" s="394"/>
      <c r="EV14" s="394"/>
      <c r="EW14" s="394"/>
      <c r="EX14" s="394"/>
      <c r="EY14" s="394"/>
      <c r="EZ14" s="394"/>
      <c r="FA14" s="394"/>
      <c r="FB14" s="394"/>
      <c r="FC14" s="394"/>
      <c r="FD14" s="394"/>
      <c r="FE14" s="394"/>
      <c r="FF14" s="394"/>
      <c r="FG14" s="394"/>
      <c r="FH14" s="394"/>
      <c r="FI14" s="394"/>
      <c r="FJ14" s="394"/>
      <c r="FK14" s="394"/>
      <c r="FL14" s="394"/>
      <c r="FM14" s="394"/>
      <c r="FN14" s="394"/>
      <c r="FO14" s="394"/>
      <c r="FP14" s="394"/>
      <c r="FQ14" s="394"/>
      <c r="FR14" s="394"/>
      <c r="FS14" s="394"/>
      <c r="FT14" s="394"/>
      <c r="FU14" s="394"/>
      <c r="FV14" s="394"/>
      <c r="FW14" s="394"/>
      <c r="FX14" s="394"/>
      <c r="FY14" s="394"/>
      <c r="FZ14" s="394"/>
      <c r="GA14" s="394"/>
      <c r="GB14" s="394"/>
      <c r="GC14" s="394"/>
      <c r="GD14" s="394"/>
      <c r="GE14" s="394"/>
      <c r="GF14" s="394"/>
      <c r="GG14" s="394"/>
      <c r="GH14" s="394"/>
      <c r="GI14" s="394"/>
      <c r="GJ14" s="394"/>
      <c r="GK14" s="394"/>
      <c r="GL14" s="394"/>
      <c r="GM14" s="394"/>
      <c r="GN14" s="394"/>
      <c r="GO14" s="394"/>
      <c r="GP14" s="394"/>
      <c r="GQ14" s="394"/>
      <c r="GR14" s="394"/>
      <c r="GS14" s="394"/>
      <c r="GT14" s="394"/>
      <c r="GU14" s="394"/>
      <c r="GV14" s="394"/>
      <c r="GW14" s="394"/>
      <c r="GX14" s="394"/>
      <c r="GY14" s="394"/>
      <c r="GZ14" s="394"/>
      <c r="HA14" s="394"/>
      <c r="HB14" s="394"/>
      <c r="HC14" s="394"/>
      <c r="HD14" s="394"/>
      <c r="HE14" s="394"/>
      <c r="HF14" s="394"/>
      <c r="HG14" s="394"/>
      <c r="HH14" s="394"/>
      <c r="HI14" s="394"/>
      <c r="HJ14" s="394"/>
      <c r="HK14" s="394"/>
      <c r="HL14" s="394"/>
      <c r="HM14" s="394"/>
      <c r="HN14" s="394"/>
      <c r="HO14" s="394"/>
      <c r="HP14" s="394"/>
      <c r="HQ14" s="394"/>
      <c r="HR14" s="394"/>
      <c r="HS14" s="394"/>
      <c r="HT14" s="394"/>
      <c r="HU14" s="394"/>
      <c r="HV14" s="394"/>
      <c r="HW14" s="394"/>
      <c r="HX14" s="394"/>
      <c r="HY14" s="394"/>
      <c r="HZ14" s="394"/>
      <c r="IA14" s="394"/>
      <c r="IB14" s="394"/>
      <c r="IC14" s="394"/>
      <c r="ID14" s="394"/>
      <c r="IE14" s="394"/>
      <c r="IF14" s="394"/>
      <c r="IG14" s="394"/>
      <c r="IH14" s="394"/>
      <c r="II14" s="394"/>
      <c r="IJ14" s="394"/>
      <c r="IK14" s="394"/>
      <c r="IL14" s="394"/>
      <c r="IM14" s="394"/>
      <c r="IN14" s="394"/>
      <c r="IO14" s="394"/>
      <c r="IP14" s="394"/>
      <c r="IQ14" s="394"/>
      <c r="IR14" s="394"/>
      <c r="IS14" s="394"/>
      <c r="IT14" s="394"/>
      <c r="IU14" s="394"/>
      <c r="IV14" s="394"/>
    </row>
    <row r="15" spans="1:256" x14ac:dyDescent="0.2">
      <c r="A15" s="395">
        <v>1</v>
      </c>
      <c r="B15" s="395">
        <v>2</v>
      </c>
      <c r="C15" s="395">
        <v>3</v>
      </c>
      <c r="D15" s="395">
        <v>4</v>
      </c>
      <c r="E15" s="395">
        <v>5</v>
      </c>
      <c r="F15" s="394"/>
      <c r="G15" s="394"/>
      <c r="H15" s="394"/>
      <c r="I15" s="394"/>
      <c r="J15" s="394"/>
      <c r="K15" s="394"/>
      <c r="L15" s="394"/>
      <c r="M15" s="394"/>
      <c r="N15" s="394"/>
      <c r="O15" s="394"/>
      <c r="P15" s="394"/>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4"/>
      <c r="BK15" s="394"/>
      <c r="BL15" s="394"/>
      <c r="BM15" s="394"/>
      <c r="BN15" s="394"/>
      <c r="BO15" s="394"/>
      <c r="BP15" s="394"/>
      <c r="BQ15" s="394"/>
      <c r="BR15" s="394"/>
      <c r="BS15" s="394"/>
      <c r="BT15" s="394"/>
      <c r="BU15" s="394"/>
      <c r="BV15" s="394"/>
      <c r="BW15" s="394"/>
      <c r="BX15" s="394"/>
      <c r="BY15" s="394"/>
      <c r="BZ15" s="394"/>
      <c r="CA15" s="394"/>
      <c r="CB15" s="394"/>
      <c r="CC15" s="394"/>
      <c r="CD15" s="394"/>
      <c r="CE15" s="394"/>
      <c r="CF15" s="394"/>
      <c r="CG15" s="394"/>
      <c r="CH15" s="394"/>
      <c r="CI15" s="394"/>
      <c r="CJ15" s="394"/>
      <c r="CK15" s="394"/>
      <c r="CL15" s="394"/>
      <c r="CM15" s="394"/>
      <c r="CN15" s="394"/>
      <c r="CO15" s="394"/>
      <c r="CP15" s="394"/>
      <c r="CQ15" s="394"/>
      <c r="CR15" s="394"/>
      <c r="CS15" s="394"/>
      <c r="CT15" s="394"/>
      <c r="CU15" s="394"/>
      <c r="CV15" s="394"/>
      <c r="CW15" s="394"/>
      <c r="CX15" s="394"/>
      <c r="CY15" s="394"/>
      <c r="CZ15" s="394"/>
      <c r="DA15" s="394"/>
      <c r="DB15" s="394"/>
      <c r="DC15" s="394"/>
      <c r="DD15" s="394"/>
      <c r="DE15" s="394"/>
      <c r="DF15" s="394"/>
      <c r="DG15" s="394"/>
      <c r="DH15" s="394"/>
      <c r="DI15" s="394"/>
      <c r="DJ15" s="394"/>
      <c r="DK15" s="394"/>
      <c r="DL15" s="394"/>
      <c r="DM15" s="394"/>
      <c r="DN15" s="394"/>
      <c r="DO15" s="394"/>
      <c r="DP15" s="394"/>
      <c r="DQ15" s="394"/>
      <c r="DR15" s="394"/>
      <c r="DS15" s="394"/>
      <c r="DT15" s="394"/>
      <c r="DU15" s="394"/>
      <c r="DV15" s="394"/>
      <c r="DW15" s="394"/>
      <c r="DX15" s="394"/>
      <c r="DY15" s="394"/>
      <c r="DZ15" s="394"/>
      <c r="EA15" s="394"/>
      <c r="EB15" s="394"/>
      <c r="EC15" s="394"/>
      <c r="ED15" s="394"/>
      <c r="EE15" s="394"/>
      <c r="EF15" s="394"/>
      <c r="EG15" s="394"/>
      <c r="EH15" s="394"/>
      <c r="EI15" s="394"/>
      <c r="EJ15" s="394"/>
      <c r="EK15" s="394"/>
      <c r="EL15" s="394"/>
      <c r="EM15" s="394"/>
      <c r="EN15" s="394"/>
      <c r="EO15" s="394"/>
      <c r="EP15" s="394"/>
      <c r="EQ15" s="394"/>
      <c r="ER15" s="394"/>
      <c r="ES15" s="394"/>
      <c r="ET15" s="394"/>
      <c r="EU15" s="394"/>
      <c r="EV15" s="394"/>
      <c r="EW15" s="394"/>
      <c r="EX15" s="394"/>
      <c r="EY15" s="394"/>
      <c r="EZ15" s="394"/>
      <c r="FA15" s="394"/>
      <c r="FB15" s="394"/>
      <c r="FC15" s="394"/>
      <c r="FD15" s="394"/>
      <c r="FE15" s="394"/>
      <c r="FF15" s="394"/>
      <c r="FG15" s="394"/>
      <c r="FH15" s="394"/>
      <c r="FI15" s="394"/>
      <c r="FJ15" s="394"/>
      <c r="FK15" s="394"/>
      <c r="FL15" s="394"/>
      <c r="FM15" s="394"/>
      <c r="FN15" s="394"/>
      <c r="FO15" s="394"/>
      <c r="FP15" s="394"/>
      <c r="FQ15" s="394"/>
      <c r="FR15" s="394"/>
      <c r="FS15" s="394"/>
      <c r="FT15" s="394"/>
      <c r="FU15" s="394"/>
      <c r="FV15" s="394"/>
      <c r="FW15" s="394"/>
      <c r="FX15" s="394"/>
      <c r="FY15" s="394"/>
      <c r="FZ15" s="394"/>
      <c r="GA15" s="394"/>
      <c r="GB15" s="394"/>
      <c r="GC15" s="394"/>
      <c r="GD15" s="394"/>
      <c r="GE15" s="394"/>
      <c r="GF15" s="394"/>
      <c r="GG15" s="394"/>
      <c r="GH15" s="394"/>
      <c r="GI15" s="394"/>
      <c r="GJ15" s="394"/>
      <c r="GK15" s="394"/>
      <c r="GL15" s="394"/>
      <c r="GM15" s="394"/>
      <c r="GN15" s="394"/>
      <c r="GO15" s="394"/>
      <c r="GP15" s="394"/>
      <c r="GQ15" s="394"/>
      <c r="GR15" s="394"/>
      <c r="GS15" s="394"/>
      <c r="GT15" s="394"/>
      <c r="GU15" s="394"/>
      <c r="GV15" s="394"/>
      <c r="GW15" s="394"/>
      <c r="GX15" s="394"/>
      <c r="GY15" s="394"/>
      <c r="GZ15" s="394"/>
      <c r="HA15" s="394"/>
      <c r="HB15" s="394"/>
      <c r="HC15" s="394"/>
      <c r="HD15" s="394"/>
      <c r="HE15" s="394"/>
      <c r="HF15" s="394"/>
      <c r="HG15" s="394"/>
      <c r="HH15" s="394"/>
      <c r="HI15" s="394"/>
      <c r="HJ15" s="394"/>
      <c r="HK15" s="394"/>
      <c r="HL15" s="394"/>
      <c r="HM15" s="394"/>
      <c r="HN15" s="394"/>
      <c r="HO15" s="394"/>
      <c r="HP15" s="394"/>
      <c r="HQ15" s="394"/>
      <c r="HR15" s="394"/>
      <c r="HS15" s="394"/>
      <c r="HT15" s="394"/>
      <c r="HU15" s="394"/>
      <c r="HV15" s="394"/>
      <c r="HW15" s="394"/>
      <c r="HX15" s="394"/>
      <c r="HY15" s="394"/>
      <c r="HZ15" s="394"/>
      <c r="IA15" s="394"/>
      <c r="IB15" s="394"/>
      <c r="IC15" s="394"/>
      <c r="ID15" s="394"/>
      <c r="IE15" s="394"/>
      <c r="IF15" s="394"/>
      <c r="IG15" s="394"/>
      <c r="IH15" s="394"/>
      <c r="II15" s="394"/>
      <c r="IJ15" s="394"/>
      <c r="IK15" s="394"/>
      <c r="IL15" s="394"/>
      <c r="IM15" s="394"/>
      <c r="IN15" s="394"/>
      <c r="IO15" s="394"/>
      <c r="IP15" s="394"/>
      <c r="IQ15" s="394"/>
      <c r="IR15" s="394"/>
      <c r="IS15" s="394"/>
      <c r="IT15" s="394"/>
      <c r="IU15" s="394"/>
      <c r="IV15" s="394"/>
    </row>
    <row r="16" spans="1:256" ht="3.75" customHeight="1" x14ac:dyDescent="0.2">
      <c r="A16" s="396"/>
      <c r="B16" s="396"/>
      <c r="C16" s="397"/>
      <c r="D16" s="397"/>
      <c r="E16" s="398"/>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4"/>
      <c r="BK16" s="394"/>
      <c r="BL16" s="394"/>
      <c r="BM16" s="394"/>
      <c r="BN16" s="394"/>
      <c r="BO16" s="394"/>
      <c r="BP16" s="394"/>
      <c r="BQ16" s="394"/>
      <c r="BR16" s="394"/>
      <c r="BS16" s="394"/>
      <c r="BT16" s="394"/>
      <c r="BU16" s="394"/>
      <c r="BV16" s="394"/>
      <c r="BW16" s="394"/>
      <c r="BX16" s="394"/>
      <c r="BY16" s="394"/>
      <c r="BZ16" s="394"/>
      <c r="CA16" s="394"/>
      <c r="CB16" s="394"/>
      <c r="CC16" s="394"/>
      <c r="CD16" s="394"/>
      <c r="CE16" s="394"/>
      <c r="CF16" s="394"/>
      <c r="CG16" s="394"/>
      <c r="CH16" s="394"/>
      <c r="CI16" s="394"/>
      <c r="CJ16" s="394"/>
      <c r="CK16" s="394"/>
      <c r="CL16" s="394"/>
      <c r="CM16" s="394"/>
      <c r="CN16" s="394"/>
      <c r="CO16" s="394"/>
      <c r="CP16" s="394"/>
      <c r="CQ16" s="394"/>
      <c r="CR16" s="394"/>
      <c r="CS16" s="394"/>
      <c r="CT16" s="394"/>
      <c r="CU16" s="394"/>
      <c r="CV16" s="394"/>
      <c r="CW16" s="394"/>
      <c r="CX16" s="394"/>
      <c r="CY16" s="394"/>
      <c r="CZ16" s="394"/>
      <c r="DA16" s="394"/>
      <c r="DB16" s="394"/>
      <c r="DC16" s="394"/>
      <c r="DD16" s="394"/>
      <c r="DE16" s="394"/>
      <c r="DF16" s="394"/>
      <c r="DG16" s="394"/>
      <c r="DH16" s="394"/>
      <c r="DI16" s="394"/>
      <c r="DJ16" s="394"/>
      <c r="DK16" s="394"/>
      <c r="DL16" s="394"/>
      <c r="DM16" s="394"/>
      <c r="DN16" s="394"/>
      <c r="DO16" s="394"/>
      <c r="DP16" s="394"/>
      <c r="DQ16" s="394"/>
      <c r="DR16" s="394"/>
      <c r="DS16" s="394"/>
      <c r="DT16" s="394"/>
      <c r="DU16" s="394"/>
      <c r="DV16" s="394"/>
      <c r="DW16" s="394"/>
      <c r="DX16" s="394"/>
      <c r="DY16" s="394"/>
      <c r="DZ16" s="394"/>
      <c r="EA16" s="394"/>
      <c r="EB16" s="394"/>
      <c r="EC16" s="394"/>
      <c r="ED16" s="394"/>
      <c r="EE16" s="394"/>
      <c r="EF16" s="394"/>
      <c r="EG16" s="394"/>
      <c r="EH16" s="394"/>
      <c r="EI16" s="394"/>
      <c r="EJ16" s="394"/>
      <c r="EK16" s="394"/>
      <c r="EL16" s="394"/>
      <c r="EM16" s="394"/>
      <c r="EN16" s="394"/>
      <c r="EO16" s="394"/>
      <c r="EP16" s="394"/>
      <c r="EQ16" s="394"/>
      <c r="ER16" s="394"/>
      <c r="ES16" s="394"/>
      <c r="ET16" s="394"/>
      <c r="EU16" s="394"/>
      <c r="EV16" s="394"/>
      <c r="EW16" s="394"/>
      <c r="EX16" s="394"/>
      <c r="EY16" s="394"/>
      <c r="EZ16" s="394"/>
      <c r="FA16" s="394"/>
      <c r="FB16" s="394"/>
      <c r="FC16" s="394"/>
      <c r="FD16" s="394"/>
      <c r="FE16" s="394"/>
      <c r="FF16" s="394"/>
      <c r="FG16" s="394"/>
      <c r="FH16" s="394"/>
      <c r="FI16" s="394"/>
      <c r="FJ16" s="394"/>
      <c r="FK16" s="394"/>
      <c r="FL16" s="394"/>
      <c r="FM16" s="394"/>
      <c r="FN16" s="394"/>
      <c r="FO16" s="394"/>
      <c r="FP16" s="394"/>
      <c r="FQ16" s="394"/>
      <c r="FR16" s="394"/>
      <c r="FS16" s="394"/>
      <c r="FT16" s="394"/>
      <c r="FU16" s="394"/>
      <c r="FV16" s="394"/>
      <c r="FW16" s="394"/>
      <c r="FX16" s="394"/>
      <c r="FY16" s="394"/>
      <c r="FZ16" s="394"/>
      <c r="GA16" s="394"/>
      <c r="GB16" s="394"/>
      <c r="GC16" s="394"/>
      <c r="GD16" s="394"/>
      <c r="GE16" s="394"/>
      <c r="GF16" s="394"/>
      <c r="GG16" s="394"/>
      <c r="GH16" s="394"/>
      <c r="GI16" s="394"/>
      <c r="GJ16" s="394"/>
      <c r="GK16" s="394"/>
      <c r="GL16" s="394"/>
      <c r="GM16" s="394"/>
      <c r="GN16" s="394"/>
      <c r="GO16" s="394"/>
      <c r="GP16" s="394"/>
      <c r="GQ16" s="394"/>
      <c r="GR16" s="394"/>
      <c r="GS16" s="394"/>
      <c r="GT16" s="394"/>
      <c r="GU16" s="394"/>
      <c r="GV16" s="394"/>
      <c r="GW16" s="394"/>
      <c r="GX16" s="394"/>
      <c r="GY16" s="394"/>
      <c r="GZ16" s="394"/>
      <c r="HA16" s="394"/>
      <c r="HB16" s="394"/>
      <c r="HC16" s="394"/>
      <c r="HD16" s="394"/>
      <c r="HE16" s="394"/>
      <c r="HF16" s="394"/>
      <c r="HG16" s="394"/>
      <c r="HH16" s="394"/>
      <c r="HI16" s="394"/>
      <c r="HJ16" s="394"/>
      <c r="HK16" s="394"/>
      <c r="HL16" s="394"/>
      <c r="HM16" s="394"/>
      <c r="HN16" s="394"/>
      <c r="HO16" s="394"/>
      <c r="HP16" s="394"/>
      <c r="HQ16" s="394"/>
      <c r="HR16" s="394"/>
      <c r="HS16" s="394"/>
      <c r="HT16" s="394"/>
      <c r="HU16" s="394"/>
      <c r="HV16" s="394"/>
      <c r="HW16" s="394"/>
      <c r="HX16" s="394"/>
      <c r="HY16" s="394"/>
      <c r="HZ16" s="394"/>
      <c r="IA16" s="394"/>
      <c r="IB16" s="394"/>
      <c r="IC16" s="394"/>
      <c r="ID16" s="394"/>
      <c r="IE16" s="394"/>
      <c r="IF16" s="394"/>
      <c r="IG16" s="394"/>
      <c r="IH16" s="394"/>
      <c r="II16" s="394"/>
      <c r="IJ16" s="394"/>
      <c r="IK16" s="394"/>
      <c r="IL16" s="394"/>
      <c r="IM16" s="394"/>
      <c r="IN16" s="394"/>
      <c r="IO16" s="394"/>
      <c r="IP16" s="394"/>
      <c r="IQ16" s="394"/>
      <c r="IR16" s="394"/>
      <c r="IS16" s="394"/>
      <c r="IT16" s="394"/>
      <c r="IU16" s="394"/>
      <c r="IV16" s="399"/>
    </row>
    <row r="17" spans="1:10" x14ac:dyDescent="0.2">
      <c r="A17" s="790" t="s">
        <v>1468</v>
      </c>
      <c r="B17" s="791"/>
      <c r="C17" s="791"/>
      <c r="D17" s="791"/>
      <c r="E17" s="792"/>
      <c r="F17" s="417"/>
      <c r="G17" s="417"/>
      <c r="H17" s="417"/>
      <c r="I17" s="417"/>
      <c r="J17" s="417"/>
    </row>
    <row r="18" spans="1:10" ht="25.5" x14ac:dyDescent="0.2">
      <c r="A18" s="796">
        <v>1</v>
      </c>
      <c r="B18" s="799" t="s">
        <v>1374</v>
      </c>
      <c r="C18" s="428" t="s">
        <v>1375</v>
      </c>
      <c r="D18" s="796" t="s">
        <v>1376</v>
      </c>
      <c r="E18" s="802">
        <f>820*0.6*55.26*1.5*1.2</f>
        <v>48938.255999999994</v>
      </c>
    </row>
    <row r="19" spans="1:10" x14ac:dyDescent="0.2">
      <c r="A19" s="797"/>
      <c r="B19" s="800"/>
      <c r="C19" s="420" t="s">
        <v>1325</v>
      </c>
      <c r="D19" s="797"/>
      <c r="E19" s="803"/>
    </row>
    <row r="20" spans="1:10" x14ac:dyDescent="0.2">
      <c r="A20" s="797"/>
      <c r="B20" s="800"/>
      <c r="C20" s="420" t="s">
        <v>1326</v>
      </c>
      <c r="D20" s="797"/>
      <c r="E20" s="803"/>
    </row>
    <row r="21" spans="1:10" x14ac:dyDescent="0.2">
      <c r="A21" s="797"/>
      <c r="B21" s="800"/>
      <c r="C21" s="420" t="s">
        <v>1327</v>
      </c>
      <c r="D21" s="797"/>
      <c r="E21" s="803"/>
    </row>
    <row r="22" spans="1:10" x14ac:dyDescent="0.2">
      <c r="A22" s="798"/>
      <c r="B22" s="801"/>
      <c r="C22" s="422" t="s">
        <v>1328</v>
      </c>
      <c r="D22" s="798"/>
      <c r="E22" s="804"/>
    </row>
    <row r="23" spans="1:10" ht="25.5" customHeight="1" x14ac:dyDescent="0.2">
      <c r="A23" s="796">
        <v>2</v>
      </c>
      <c r="B23" s="799" t="s">
        <v>1469</v>
      </c>
      <c r="C23" s="420" t="s">
        <v>1378</v>
      </c>
      <c r="D23" s="796" t="s">
        <v>1470</v>
      </c>
      <c r="E23" s="802">
        <f>(2290+5510*1.67)*0.62*7.22</f>
        <v>51441.445879999992</v>
      </c>
    </row>
    <row r="24" spans="1:10" x14ac:dyDescent="0.2">
      <c r="A24" s="797"/>
      <c r="B24" s="800"/>
      <c r="C24" s="420" t="s">
        <v>1380</v>
      </c>
      <c r="D24" s="797"/>
      <c r="E24" s="803"/>
    </row>
    <row r="25" spans="1:10" x14ac:dyDescent="0.2">
      <c r="A25" s="798"/>
      <c r="B25" s="801"/>
      <c r="C25" s="422" t="s">
        <v>1340</v>
      </c>
      <c r="D25" s="798"/>
      <c r="E25" s="804"/>
    </row>
    <row r="26" spans="1:10" ht="25.5" x14ac:dyDescent="0.2">
      <c r="A26" s="796">
        <v>3</v>
      </c>
      <c r="B26" s="799" t="s">
        <v>1381</v>
      </c>
      <c r="C26" s="420" t="s">
        <v>1355</v>
      </c>
      <c r="D26" s="796" t="s">
        <v>1370</v>
      </c>
      <c r="E26" s="802">
        <f>(25980+4623*10)*0.58*7.22</f>
        <v>302386.59599999996</v>
      </c>
    </row>
    <row r="27" spans="1:10" x14ac:dyDescent="0.2">
      <c r="A27" s="797"/>
      <c r="B27" s="800"/>
      <c r="C27" s="420" t="s">
        <v>1357</v>
      </c>
      <c r="D27" s="797"/>
      <c r="E27" s="803"/>
    </row>
    <row r="28" spans="1:10" x14ac:dyDescent="0.2">
      <c r="A28" s="798"/>
      <c r="B28" s="801"/>
      <c r="C28" s="422" t="s">
        <v>1340</v>
      </c>
      <c r="D28" s="798"/>
      <c r="E28" s="804"/>
    </row>
    <row r="29" spans="1:10" x14ac:dyDescent="0.2">
      <c r="A29" s="796">
        <v>1</v>
      </c>
      <c r="B29" s="420" t="s">
        <v>1471</v>
      </c>
      <c r="C29" s="799"/>
      <c r="D29" s="796"/>
      <c r="E29" s="802">
        <v>500000</v>
      </c>
    </row>
    <row r="30" spans="1:10" ht="25.5" x14ac:dyDescent="0.2">
      <c r="A30" s="798"/>
      <c r="B30" s="422" t="s">
        <v>1372</v>
      </c>
      <c r="C30" s="801"/>
      <c r="D30" s="798"/>
      <c r="E30" s="804"/>
    </row>
    <row r="31" spans="1:10" x14ac:dyDescent="0.2">
      <c r="A31" s="421"/>
      <c r="B31" s="422" t="s">
        <v>1472</v>
      </c>
      <c r="C31" s="422"/>
      <c r="D31" s="423"/>
      <c r="E31" s="425">
        <f>SUM(E18:E30)</f>
        <v>902766.29787999997</v>
      </c>
    </row>
    <row r="32" spans="1:10" x14ac:dyDescent="0.2">
      <c r="A32" s="421"/>
      <c r="B32" s="422" t="s">
        <v>1473</v>
      </c>
      <c r="C32" s="422"/>
      <c r="D32" s="423"/>
      <c r="E32" s="425">
        <f>E31</f>
        <v>902766.29787999997</v>
      </c>
    </row>
    <row r="33" spans="1:5" ht="51.75" thickBot="1" x14ac:dyDescent="0.25">
      <c r="A33" s="403">
        <v>7</v>
      </c>
      <c r="B33" s="408" t="s">
        <v>1401</v>
      </c>
      <c r="C33" s="408" t="s">
        <v>1402</v>
      </c>
      <c r="D33" s="408" t="s">
        <v>1403</v>
      </c>
      <c r="E33" s="409">
        <f>E32*0.8</f>
        <v>722213.03830400005</v>
      </c>
    </row>
    <row r="34" spans="1:5" ht="13.5" thickBot="1" x14ac:dyDescent="0.25">
      <c r="A34" s="787" t="s">
        <v>252</v>
      </c>
      <c r="B34" s="788"/>
      <c r="C34" s="788"/>
      <c r="D34" s="789"/>
      <c r="E34" s="410">
        <f>E33</f>
        <v>722213.03830400005</v>
      </c>
    </row>
    <row r="35" spans="1:5" x14ac:dyDescent="0.2">
      <c r="A35" s="411"/>
      <c r="B35" s="411"/>
      <c r="C35" s="411"/>
      <c r="D35" s="411"/>
      <c r="E35" s="412"/>
    </row>
  </sheetData>
  <mergeCells count="21">
    <mergeCell ref="A3:E3"/>
    <mergeCell ref="A4:E4"/>
    <mergeCell ref="C6:E6"/>
    <mergeCell ref="A17:E17"/>
    <mergeCell ref="A18:A22"/>
    <mergeCell ref="B18:B22"/>
    <mergeCell ref="D18:D22"/>
    <mergeCell ref="E18:E22"/>
    <mergeCell ref="A23:A25"/>
    <mergeCell ref="B23:B25"/>
    <mergeCell ref="D23:D25"/>
    <mergeCell ref="E23:E25"/>
    <mergeCell ref="A26:A28"/>
    <mergeCell ref="B26:B28"/>
    <mergeCell ref="D26:D28"/>
    <mergeCell ref="E26:E28"/>
    <mergeCell ref="A29:A30"/>
    <mergeCell ref="C29:C30"/>
    <mergeCell ref="D29:D30"/>
    <mergeCell ref="E29:E30"/>
    <mergeCell ref="A34:D34"/>
  </mergeCells>
  <conditionalFormatting sqref="C1 C3:C16 C34:C65164">
    <cfRule type="containsText" dxfId="35" priority="1" operator="containsText" text="стадия Р">
      <formula>NOT(ISERROR(SEARCH("стадия Р",C1)))</formula>
    </cfRule>
  </conditionalFormatting>
  <pageMargins left="0.23622047244094491" right="0.23622047244094491" top="0.74803149606299213" bottom="0.74803149606299213" header="0.31496062992125984" footer="0.31496062992125984"/>
  <pageSetup paperSize="9" scale="79" fitToHeight="0" orientation="portrait" verticalDpi="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89"/>
    <pageSetUpPr fitToPage="1"/>
  </sheetPr>
  <dimension ref="A1:IV163"/>
  <sheetViews>
    <sheetView topLeftCell="A145" zoomScale="85" workbookViewId="0">
      <selection activeCell="A161" sqref="A161:E162"/>
    </sheetView>
  </sheetViews>
  <sheetFormatPr defaultColWidth="9.140625" defaultRowHeight="12.75" x14ac:dyDescent="0.2"/>
  <cols>
    <col min="1" max="1" width="9.140625" style="362"/>
    <col min="2" max="2" width="34.85546875" style="362" customWidth="1"/>
    <col min="3" max="3" width="42.85546875" style="363" customWidth="1"/>
    <col min="4" max="4" width="26.5703125" style="364" customWidth="1"/>
    <col min="5" max="5" width="17.42578125" style="364" customWidth="1"/>
    <col min="6" max="219" width="9.140625" style="362"/>
    <col min="220" max="220" width="28" style="362" customWidth="1"/>
    <col min="221" max="221" width="52" style="362" customWidth="1"/>
    <col min="222" max="222" width="27.28515625" style="362" customWidth="1"/>
    <col min="223" max="223" width="20.5703125" style="362" customWidth="1"/>
    <col min="224" max="225" width="9.140625" style="362"/>
    <col min="226" max="226" width="11.5703125" style="362" bestFit="1" customWidth="1"/>
    <col min="227" max="257" width="9.140625" style="362"/>
    <col min="258" max="258" width="28.7109375" style="362" customWidth="1"/>
    <col min="259" max="259" width="42.85546875" style="362" customWidth="1"/>
    <col min="260" max="260" width="26.28515625" style="362" customWidth="1"/>
    <col min="261" max="261" width="17.42578125" style="362" customWidth="1"/>
    <col min="262" max="475" width="9.140625" style="362"/>
    <col min="476" max="476" width="28" style="362" customWidth="1"/>
    <col min="477" max="477" width="52" style="362" customWidth="1"/>
    <col min="478" max="478" width="27.28515625" style="362" customWidth="1"/>
    <col min="479" max="479" width="20.5703125" style="362" customWidth="1"/>
    <col min="480" max="481" width="9.140625" style="362"/>
    <col min="482" max="482" width="11.5703125" style="362" bestFit="1" customWidth="1"/>
    <col min="483" max="513" width="9.140625" style="362"/>
    <col min="514" max="514" width="28.7109375" style="362" customWidth="1"/>
    <col min="515" max="515" width="42.85546875" style="362" customWidth="1"/>
    <col min="516" max="516" width="26.28515625" style="362" customWidth="1"/>
    <col min="517" max="517" width="17.42578125" style="362" customWidth="1"/>
    <col min="518" max="731" width="9.140625" style="362"/>
    <col min="732" max="732" width="28" style="362" customWidth="1"/>
    <col min="733" max="733" width="52" style="362" customWidth="1"/>
    <col min="734" max="734" width="27.28515625" style="362" customWidth="1"/>
    <col min="735" max="735" width="20.5703125" style="362" customWidth="1"/>
    <col min="736" max="737" width="9.140625" style="362"/>
    <col min="738" max="738" width="11.5703125" style="362" bestFit="1" customWidth="1"/>
    <col min="739" max="769" width="9.140625" style="362"/>
    <col min="770" max="770" width="28.7109375" style="362" customWidth="1"/>
    <col min="771" max="771" width="42.85546875" style="362" customWidth="1"/>
    <col min="772" max="772" width="26.28515625" style="362" customWidth="1"/>
    <col min="773" max="773" width="17.42578125" style="362" customWidth="1"/>
    <col min="774" max="987" width="9.140625" style="362"/>
    <col min="988" max="988" width="28" style="362" customWidth="1"/>
    <col min="989" max="989" width="52" style="362" customWidth="1"/>
    <col min="990" max="990" width="27.28515625" style="362" customWidth="1"/>
    <col min="991" max="991" width="20.5703125" style="362" customWidth="1"/>
    <col min="992" max="993" width="9.140625" style="362"/>
    <col min="994" max="994" width="11.5703125" style="362" bestFit="1" customWidth="1"/>
    <col min="995" max="1025" width="9.140625" style="362"/>
    <col min="1026" max="1026" width="28.7109375" style="362" customWidth="1"/>
    <col min="1027" max="1027" width="42.85546875" style="362" customWidth="1"/>
    <col min="1028" max="1028" width="26.28515625" style="362" customWidth="1"/>
    <col min="1029" max="1029" width="17.42578125" style="362" customWidth="1"/>
    <col min="1030" max="1243" width="9.140625" style="362"/>
    <col min="1244" max="1244" width="28" style="362" customWidth="1"/>
    <col min="1245" max="1245" width="52" style="362" customWidth="1"/>
    <col min="1246" max="1246" width="27.28515625" style="362" customWidth="1"/>
    <col min="1247" max="1247" width="20.5703125" style="362" customWidth="1"/>
    <col min="1248" max="1249" width="9.140625" style="362"/>
    <col min="1250" max="1250" width="11.5703125" style="362" bestFit="1" customWidth="1"/>
    <col min="1251" max="1281" width="9.140625" style="362"/>
    <col min="1282" max="1282" width="28.7109375" style="362" customWidth="1"/>
    <col min="1283" max="1283" width="42.85546875" style="362" customWidth="1"/>
    <col min="1284" max="1284" width="26.28515625" style="362" customWidth="1"/>
    <col min="1285" max="1285" width="17.42578125" style="362" customWidth="1"/>
    <col min="1286" max="1499" width="9.140625" style="362"/>
    <col min="1500" max="1500" width="28" style="362" customWidth="1"/>
    <col min="1501" max="1501" width="52" style="362" customWidth="1"/>
    <col min="1502" max="1502" width="27.28515625" style="362" customWidth="1"/>
    <col min="1503" max="1503" width="20.5703125" style="362" customWidth="1"/>
    <col min="1504" max="1505" width="9.140625" style="362"/>
    <col min="1506" max="1506" width="11.5703125" style="362" bestFit="1" customWidth="1"/>
    <col min="1507" max="1537" width="9.140625" style="362"/>
    <col min="1538" max="1538" width="28.7109375" style="362" customWidth="1"/>
    <col min="1539" max="1539" width="42.85546875" style="362" customWidth="1"/>
    <col min="1540" max="1540" width="26.28515625" style="362" customWidth="1"/>
    <col min="1541" max="1541" width="17.42578125" style="362" customWidth="1"/>
    <col min="1542" max="1755" width="9.140625" style="362"/>
    <col min="1756" max="1756" width="28" style="362" customWidth="1"/>
    <col min="1757" max="1757" width="52" style="362" customWidth="1"/>
    <col min="1758" max="1758" width="27.28515625" style="362" customWidth="1"/>
    <col min="1759" max="1759" width="20.5703125" style="362" customWidth="1"/>
    <col min="1760" max="1761" width="9.140625" style="362"/>
    <col min="1762" max="1762" width="11.5703125" style="362" bestFit="1" customWidth="1"/>
    <col min="1763" max="1793" width="9.140625" style="362"/>
    <col min="1794" max="1794" width="28.7109375" style="362" customWidth="1"/>
    <col min="1795" max="1795" width="42.85546875" style="362" customWidth="1"/>
    <col min="1796" max="1796" width="26.28515625" style="362" customWidth="1"/>
    <col min="1797" max="1797" width="17.42578125" style="362" customWidth="1"/>
    <col min="1798" max="2011" width="9.140625" style="362"/>
    <col min="2012" max="2012" width="28" style="362" customWidth="1"/>
    <col min="2013" max="2013" width="52" style="362" customWidth="1"/>
    <col min="2014" max="2014" width="27.28515625" style="362" customWidth="1"/>
    <col min="2015" max="2015" width="20.5703125" style="362" customWidth="1"/>
    <col min="2016" max="2017" width="9.140625" style="362"/>
    <col min="2018" max="2018" width="11.5703125" style="362" bestFit="1" customWidth="1"/>
    <col min="2019" max="2049" width="9.140625" style="362"/>
    <col min="2050" max="2050" width="28.7109375" style="362" customWidth="1"/>
    <col min="2051" max="2051" width="42.85546875" style="362" customWidth="1"/>
    <col min="2052" max="2052" width="26.28515625" style="362" customWidth="1"/>
    <col min="2053" max="2053" width="17.42578125" style="362" customWidth="1"/>
    <col min="2054" max="2267" width="9.140625" style="362"/>
    <col min="2268" max="2268" width="28" style="362" customWidth="1"/>
    <col min="2269" max="2269" width="52" style="362" customWidth="1"/>
    <col min="2270" max="2270" width="27.28515625" style="362" customWidth="1"/>
    <col min="2271" max="2271" width="20.5703125" style="362" customWidth="1"/>
    <col min="2272" max="2273" width="9.140625" style="362"/>
    <col min="2274" max="2274" width="11.5703125" style="362" bestFit="1" customWidth="1"/>
    <col min="2275" max="2305" width="9.140625" style="362"/>
    <col min="2306" max="2306" width="28.7109375" style="362" customWidth="1"/>
    <col min="2307" max="2307" width="42.85546875" style="362" customWidth="1"/>
    <col min="2308" max="2308" width="26.28515625" style="362" customWidth="1"/>
    <col min="2309" max="2309" width="17.42578125" style="362" customWidth="1"/>
    <col min="2310" max="2523" width="9.140625" style="362"/>
    <col min="2524" max="2524" width="28" style="362" customWidth="1"/>
    <col min="2525" max="2525" width="52" style="362" customWidth="1"/>
    <col min="2526" max="2526" width="27.28515625" style="362" customWidth="1"/>
    <col min="2527" max="2527" width="20.5703125" style="362" customWidth="1"/>
    <col min="2528" max="2529" width="9.140625" style="362"/>
    <col min="2530" max="2530" width="11.5703125" style="362" bestFit="1" customWidth="1"/>
    <col min="2531" max="2561" width="9.140625" style="362"/>
    <col min="2562" max="2562" width="28.7109375" style="362" customWidth="1"/>
    <col min="2563" max="2563" width="42.85546875" style="362" customWidth="1"/>
    <col min="2564" max="2564" width="26.28515625" style="362" customWidth="1"/>
    <col min="2565" max="2565" width="17.42578125" style="362" customWidth="1"/>
    <col min="2566" max="2779" width="9.140625" style="362"/>
    <col min="2780" max="2780" width="28" style="362" customWidth="1"/>
    <col min="2781" max="2781" width="52" style="362" customWidth="1"/>
    <col min="2782" max="2782" width="27.28515625" style="362" customWidth="1"/>
    <col min="2783" max="2783" width="20.5703125" style="362" customWidth="1"/>
    <col min="2784" max="2785" width="9.140625" style="362"/>
    <col min="2786" max="2786" width="11.5703125" style="362" bestFit="1" customWidth="1"/>
    <col min="2787" max="2817" width="9.140625" style="362"/>
    <col min="2818" max="2818" width="28.7109375" style="362" customWidth="1"/>
    <col min="2819" max="2819" width="42.85546875" style="362" customWidth="1"/>
    <col min="2820" max="2820" width="26.28515625" style="362" customWidth="1"/>
    <col min="2821" max="2821" width="17.42578125" style="362" customWidth="1"/>
    <col min="2822" max="3035" width="9.140625" style="362"/>
    <col min="3036" max="3036" width="28" style="362" customWidth="1"/>
    <col min="3037" max="3037" width="52" style="362" customWidth="1"/>
    <col min="3038" max="3038" width="27.28515625" style="362" customWidth="1"/>
    <col min="3039" max="3039" width="20.5703125" style="362" customWidth="1"/>
    <col min="3040" max="3041" width="9.140625" style="362"/>
    <col min="3042" max="3042" width="11.5703125" style="362" bestFit="1" customWidth="1"/>
    <col min="3043" max="3073" width="9.140625" style="362"/>
    <col min="3074" max="3074" width="28.7109375" style="362" customWidth="1"/>
    <col min="3075" max="3075" width="42.85546875" style="362" customWidth="1"/>
    <col min="3076" max="3076" width="26.28515625" style="362" customWidth="1"/>
    <col min="3077" max="3077" width="17.42578125" style="362" customWidth="1"/>
    <col min="3078" max="3291" width="9.140625" style="362"/>
    <col min="3292" max="3292" width="28" style="362" customWidth="1"/>
    <col min="3293" max="3293" width="52" style="362" customWidth="1"/>
    <col min="3294" max="3294" width="27.28515625" style="362" customWidth="1"/>
    <col min="3295" max="3295" width="20.5703125" style="362" customWidth="1"/>
    <col min="3296" max="3297" width="9.140625" style="362"/>
    <col min="3298" max="3298" width="11.5703125" style="362" bestFit="1" customWidth="1"/>
    <col min="3299" max="3329" width="9.140625" style="362"/>
    <col min="3330" max="3330" width="28.7109375" style="362" customWidth="1"/>
    <col min="3331" max="3331" width="42.85546875" style="362" customWidth="1"/>
    <col min="3332" max="3332" width="26.28515625" style="362" customWidth="1"/>
    <col min="3333" max="3333" width="17.42578125" style="362" customWidth="1"/>
    <col min="3334" max="3547" width="9.140625" style="362"/>
    <col min="3548" max="3548" width="28" style="362" customWidth="1"/>
    <col min="3549" max="3549" width="52" style="362" customWidth="1"/>
    <col min="3550" max="3550" width="27.28515625" style="362" customWidth="1"/>
    <col min="3551" max="3551" width="20.5703125" style="362" customWidth="1"/>
    <col min="3552" max="3553" width="9.140625" style="362"/>
    <col min="3554" max="3554" width="11.5703125" style="362" bestFit="1" customWidth="1"/>
    <col min="3555" max="3585" width="9.140625" style="362"/>
    <col min="3586" max="3586" width="28.7109375" style="362" customWidth="1"/>
    <col min="3587" max="3587" width="42.85546875" style="362" customWidth="1"/>
    <col min="3588" max="3588" width="26.28515625" style="362" customWidth="1"/>
    <col min="3589" max="3589" width="17.42578125" style="362" customWidth="1"/>
    <col min="3590" max="3803" width="9.140625" style="362"/>
    <col min="3804" max="3804" width="28" style="362" customWidth="1"/>
    <col min="3805" max="3805" width="52" style="362" customWidth="1"/>
    <col min="3806" max="3806" width="27.28515625" style="362" customWidth="1"/>
    <col min="3807" max="3807" width="20.5703125" style="362" customWidth="1"/>
    <col min="3808" max="3809" width="9.140625" style="362"/>
    <col min="3810" max="3810" width="11.5703125" style="362" bestFit="1" customWidth="1"/>
    <col min="3811" max="3841" width="9.140625" style="362"/>
    <col min="3842" max="3842" width="28.7109375" style="362" customWidth="1"/>
    <col min="3843" max="3843" width="42.85546875" style="362" customWidth="1"/>
    <col min="3844" max="3844" width="26.28515625" style="362" customWidth="1"/>
    <col min="3845" max="3845" width="17.42578125" style="362" customWidth="1"/>
    <col min="3846" max="4059" width="9.140625" style="362"/>
    <col min="4060" max="4060" width="28" style="362" customWidth="1"/>
    <col min="4061" max="4061" width="52" style="362" customWidth="1"/>
    <col min="4062" max="4062" width="27.28515625" style="362" customWidth="1"/>
    <col min="4063" max="4063" width="20.5703125" style="362" customWidth="1"/>
    <col min="4064" max="4065" width="9.140625" style="362"/>
    <col min="4066" max="4066" width="11.5703125" style="362" bestFit="1" customWidth="1"/>
    <col min="4067" max="4097" width="9.140625" style="362"/>
    <col min="4098" max="4098" width="28.7109375" style="362" customWidth="1"/>
    <col min="4099" max="4099" width="42.85546875" style="362" customWidth="1"/>
    <col min="4100" max="4100" width="26.28515625" style="362" customWidth="1"/>
    <col min="4101" max="4101" width="17.42578125" style="362" customWidth="1"/>
    <col min="4102" max="4315" width="9.140625" style="362"/>
    <col min="4316" max="4316" width="28" style="362" customWidth="1"/>
    <col min="4317" max="4317" width="52" style="362" customWidth="1"/>
    <col min="4318" max="4318" width="27.28515625" style="362" customWidth="1"/>
    <col min="4319" max="4319" width="20.5703125" style="362" customWidth="1"/>
    <col min="4320" max="4321" width="9.140625" style="362"/>
    <col min="4322" max="4322" width="11.5703125" style="362" bestFit="1" customWidth="1"/>
    <col min="4323" max="4353" width="9.140625" style="362"/>
    <col min="4354" max="4354" width="28.7109375" style="362" customWidth="1"/>
    <col min="4355" max="4355" width="42.85546875" style="362" customWidth="1"/>
    <col min="4356" max="4356" width="26.28515625" style="362" customWidth="1"/>
    <col min="4357" max="4357" width="17.42578125" style="362" customWidth="1"/>
    <col min="4358" max="4571" width="9.140625" style="362"/>
    <col min="4572" max="4572" width="28" style="362" customWidth="1"/>
    <col min="4573" max="4573" width="52" style="362" customWidth="1"/>
    <col min="4574" max="4574" width="27.28515625" style="362" customWidth="1"/>
    <col min="4575" max="4575" width="20.5703125" style="362" customWidth="1"/>
    <col min="4576" max="4577" width="9.140625" style="362"/>
    <col min="4578" max="4578" width="11.5703125" style="362" bestFit="1" customWidth="1"/>
    <col min="4579" max="4609" width="9.140625" style="362"/>
    <col min="4610" max="4610" width="28.7109375" style="362" customWidth="1"/>
    <col min="4611" max="4611" width="42.85546875" style="362" customWidth="1"/>
    <col min="4612" max="4612" width="26.28515625" style="362" customWidth="1"/>
    <col min="4613" max="4613" width="17.42578125" style="362" customWidth="1"/>
    <col min="4614" max="4827" width="9.140625" style="362"/>
    <col min="4828" max="4828" width="28" style="362" customWidth="1"/>
    <col min="4829" max="4829" width="52" style="362" customWidth="1"/>
    <col min="4830" max="4830" width="27.28515625" style="362" customWidth="1"/>
    <col min="4831" max="4831" width="20.5703125" style="362" customWidth="1"/>
    <col min="4832" max="4833" width="9.140625" style="362"/>
    <col min="4834" max="4834" width="11.5703125" style="362" bestFit="1" customWidth="1"/>
    <col min="4835" max="4865" width="9.140625" style="362"/>
    <col min="4866" max="4866" width="28.7109375" style="362" customWidth="1"/>
    <col min="4867" max="4867" width="42.85546875" style="362" customWidth="1"/>
    <col min="4868" max="4868" width="26.28515625" style="362" customWidth="1"/>
    <col min="4869" max="4869" width="17.42578125" style="362" customWidth="1"/>
    <col min="4870" max="5083" width="9.140625" style="362"/>
    <col min="5084" max="5084" width="28" style="362" customWidth="1"/>
    <col min="5085" max="5085" width="52" style="362" customWidth="1"/>
    <col min="5086" max="5086" width="27.28515625" style="362" customWidth="1"/>
    <col min="5087" max="5087" width="20.5703125" style="362" customWidth="1"/>
    <col min="5088" max="5089" width="9.140625" style="362"/>
    <col min="5090" max="5090" width="11.5703125" style="362" bestFit="1" customWidth="1"/>
    <col min="5091" max="5121" width="9.140625" style="362"/>
    <col min="5122" max="5122" width="28.7109375" style="362" customWidth="1"/>
    <col min="5123" max="5123" width="42.85546875" style="362" customWidth="1"/>
    <col min="5124" max="5124" width="26.28515625" style="362" customWidth="1"/>
    <col min="5125" max="5125" width="17.42578125" style="362" customWidth="1"/>
    <col min="5126" max="5339" width="9.140625" style="362"/>
    <col min="5340" max="5340" width="28" style="362" customWidth="1"/>
    <col min="5341" max="5341" width="52" style="362" customWidth="1"/>
    <col min="5342" max="5342" width="27.28515625" style="362" customWidth="1"/>
    <col min="5343" max="5343" width="20.5703125" style="362" customWidth="1"/>
    <col min="5344" max="5345" width="9.140625" style="362"/>
    <col min="5346" max="5346" width="11.5703125" style="362" bestFit="1" customWidth="1"/>
    <col min="5347" max="5377" width="9.140625" style="362"/>
    <col min="5378" max="5378" width="28.7109375" style="362" customWidth="1"/>
    <col min="5379" max="5379" width="42.85546875" style="362" customWidth="1"/>
    <col min="5380" max="5380" width="26.28515625" style="362" customWidth="1"/>
    <col min="5381" max="5381" width="17.42578125" style="362" customWidth="1"/>
    <col min="5382" max="5595" width="9.140625" style="362"/>
    <col min="5596" max="5596" width="28" style="362" customWidth="1"/>
    <col min="5597" max="5597" width="52" style="362" customWidth="1"/>
    <col min="5598" max="5598" width="27.28515625" style="362" customWidth="1"/>
    <col min="5599" max="5599" width="20.5703125" style="362" customWidth="1"/>
    <col min="5600" max="5601" width="9.140625" style="362"/>
    <col min="5602" max="5602" width="11.5703125" style="362" bestFit="1" customWidth="1"/>
    <col min="5603" max="5633" width="9.140625" style="362"/>
    <col min="5634" max="5634" width="28.7109375" style="362" customWidth="1"/>
    <col min="5635" max="5635" width="42.85546875" style="362" customWidth="1"/>
    <col min="5636" max="5636" width="26.28515625" style="362" customWidth="1"/>
    <col min="5637" max="5637" width="17.42578125" style="362" customWidth="1"/>
    <col min="5638" max="5851" width="9.140625" style="362"/>
    <col min="5852" max="5852" width="28" style="362" customWidth="1"/>
    <col min="5853" max="5853" width="52" style="362" customWidth="1"/>
    <col min="5854" max="5854" width="27.28515625" style="362" customWidth="1"/>
    <col min="5855" max="5855" width="20.5703125" style="362" customWidth="1"/>
    <col min="5856" max="5857" width="9.140625" style="362"/>
    <col min="5858" max="5858" width="11.5703125" style="362" bestFit="1" customWidth="1"/>
    <col min="5859" max="5889" width="9.140625" style="362"/>
    <col min="5890" max="5890" width="28.7109375" style="362" customWidth="1"/>
    <col min="5891" max="5891" width="42.85546875" style="362" customWidth="1"/>
    <col min="5892" max="5892" width="26.28515625" style="362" customWidth="1"/>
    <col min="5893" max="5893" width="17.42578125" style="362" customWidth="1"/>
    <col min="5894" max="6107" width="9.140625" style="362"/>
    <col min="6108" max="6108" width="28" style="362" customWidth="1"/>
    <col min="6109" max="6109" width="52" style="362" customWidth="1"/>
    <col min="6110" max="6110" width="27.28515625" style="362" customWidth="1"/>
    <col min="6111" max="6111" width="20.5703125" style="362" customWidth="1"/>
    <col min="6112" max="6113" width="9.140625" style="362"/>
    <col min="6114" max="6114" width="11.5703125" style="362" bestFit="1" customWidth="1"/>
    <col min="6115" max="6145" width="9.140625" style="362"/>
    <col min="6146" max="6146" width="28.7109375" style="362" customWidth="1"/>
    <col min="6147" max="6147" width="42.85546875" style="362" customWidth="1"/>
    <col min="6148" max="6148" width="26.28515625" style="362" customWidth="1"/>
    <col min="6149" max="6149" width="17.42578125" style="362" customWidth="1"/>
    <col min="6150" max="6363" width="9.140625" style="362"/>
    <col min="6364" max="6364" width="28" style="362" customWidth="1"/>
    <col min="6365" max="6365" width="52" style="362" customWidth="1"/>
    <col min="6366" max="6366" width="27.28515625" style="362" customWidth="1"/>
    <col min="6367" max="6367" width="20.5703125" style="362" customWidth="1"/>
    <col min="6368" max="6369" width="9.140625" style="362"/>
    <col min="6370" max="6370" width="11.5703125" style="362" bestFit="1" customWidth="1"/>
    <col min="6371" max="6401" width="9.140625" style="362"/>
    <col min="6402" max="6402" width="28.7109375" style="362" customWidth="1"/>
    <col min="6403" max="6403" width="42.85546875" style="362" customWidth="1"/>
    <col min="6404" max="6404" width="26.28515625" style="362" customWidth="1"/>
    <col min="6405" max="6405" width="17.42578125" style="362" customWidth="1"/>
    <col min="6406" max="6619" width="9.140625" style="362"/>
    <col min="6620" max="6620" width="28" style="362" customWidth="1"/>
    <col min="6621" max="6621" width="52" style="362" customWidth="1"/>
    <col min="6622" max="6622" width="27.28515625" style="362" customWidth="1"/>
    <col min="6623" max="6623" width="20.5703125" style="362" customWidth="1"/>
    <col min="6624" max="6625" width="9.140625" style="362"/>
    <col min="6626" max="6626" width="11.5703125" style="362" bestFit="1" customWidth="1"/>
    <col min="6627" max="6657" width="9.140625" style="362"/>
    <col min="6658" max="6658" width="28.7109375" style="362" customWidth="1"/>
    <col min="6659" max="6659" width="42.85546875" style="362" customWidth="1"/>
    <col min="6660" max="6660" width="26.28515625" style="362" customWidth="1"/>
    <col min="6661" max="6661" width="17.42578125" style="362" customWidth="1"/>
    <col min="6662" max="6875" width="9.140625" style="362"/>
    <col min="6876" max="6876" width="28" style="362" customWidth="1"/>
    <col min="6877" max="6877" width="52" style="362" customWidth="1"/>
    <col min="6878" max="6878" width="27.28515625" style="362" customWidth="1"/>
    <col min="6879" max="6879" width="20.5703125" style="362" customWidth="1"/>
    <col min="6880" max="6881" width="9.140625" style="362"/>
    <col min="6882" max="6882" width="11.5703125" style="362" bestFit="1" customWidth="1"/>
    <col min="6883" max="6913" width="9.140625" style="362"/>
    <col min="6914" max="6914" width="28.7109375" style="362" customWidth="1"/>
    <col min="6915" max="6915" width="42.85546875" style="362" customWidth="1"/>
    <col min="6916" max="6916" width="26.28515625" style="362" customWidth="1"/>
    <col min="6917" max="6917" width="17.42578125" style="362" customWidth="1"/>
    <col min="6918" max="7131" width="9.140625" style="362"/>
    <col min="7132" max="7132" width="28" style="362" customWidth="1"/>
    <col min="7133" max="7133" width="52" style="362" customWidth="1"/>
    <col min="7134" max="7134" width="27.28515625" style="362" customWidth="1"/>
    <col min="7135" max="7135" width="20.5703125" style="362" customWidth="1"/>
    <col min="7136" max="7137" width="9.140625" style="362"/>
    <col min="7138" max="7138" width="11.5703125" style="362" bestFit="1" customWidth="1"/>
    <col min="7139" max="7169" width="9.140625" style="362"/>
    <col min="7170" max="7170" width="28.7109375" style="362" customWidth="1"/>
    <col min="7171" max="7171" width="42.85546875" style="362" customWidth="1"/>
    <col min="7172" max="7172" width="26.28515625" style="362" customWidth="1"/>
    <col min="7173" max="7173" width="17.42578125" style="362" customWidth="1"/>
    <col min="7174" max="7387" width="9.140625" style="362"/>
    <col min="7388" max="7388" width="28" style="362" customWidth="1"/>
    <col min="7389" max="7389" width="52" style="362" customWidth="1"/>
    <col min="7390" max="7390" width="27.28515625" style="362" customWidth="1"/>
    <col min="7391" max="7391" width="20.5703125" style="362" customWidth="1"/>
    <col min="7392" max="7393" width="9.140625" style="362"/>
    <col min="7394" max="7394" width="11.5703125" style="362" bestFit="1" customWidth="1"/>
    <col min="7395" max="7425" width="9.140625" style="362"/>
    <col min="7426" max="7426" width="28.7109375" style="362" customWidth="1"/>
    <col min="7427" max="7427" width="42.85546875" style="362" customWidth="1"/>
    <col min="7428" max="7428" width="26.28515625" style="362" customWidth="1"/>
    <col min="7429" max="7429" width="17.42578125" style="362" customWidth="1"/>
    <col min="7430" max="7643" width="9.140625" style="362"/>
    <col min="7644" max="7644" width="28" style="362" customWidth="1"/>
    <col min="7645" max="7645" width="52" style="362" customWidth="1"/>
    <col min="7646" max="7646" width="27.28515625" style="362" customWidth="1"/>
    <col min="7647" max="7647" width="20.5703125" style="362" customWidth="1"/>
    <col min="7648" max="7649" width="9.140625" style="362"/>
    <col min="7650" max="7650" width="11.5703125" style="362" bestFit="1" customWidth="1"/>
    <col min="7651" max="7681" width="9.140625" style="362"/>
    <col min="7682" max="7682" width="28.7109375" style="362" customWidth="1"/>
    <col min="7683" max="7683" width="42.85546875" style="362" customWidth="1"/>
    <col min="7684" max="7684" width="26.28515625" style="362" customWidth="1"/>
    <col min="7685" max="7685" width="17.42578125" style="362" customWidth="1"/>
    <col min="7686" max="7899" width="9.140625" style="362"/>
    <col min="7900" max="7900" width="28" style="362" customWidth="1"/>
    <col min="7901" max="7901" width="52" style="362" customWidth="1"/>
    <col min="7902" max="7902" width="27.28515625" style="362" customWidth="1"/>
    <col min="7903" max="7903" width="20.5703125" style="362" customWidth="1"/>
    <col min="7904" max="7905" width="9.140625" style="362"/>
    <col min="7906" max="7906" width="11.5703125" style="362" bestFit="1" customWidth="1"/>
    <col min="7907" max="7937" width="9.140625" style="362"/>
    <col min="7938" max="7938" width="28.7109375" style="362" customWidth="1"/>
    <col min="7939" max="7939" width="42.85546875" style="362" customWidth="1"/>
    <col min="7940" max="7940" width="26.28515625" style="362" customWidth="1"/>
    <col min="7941" max="7941" width="17.42578125" style="362" customWidth="1"/>
    <col min="7942" max="8155" width="9.140625" style="362"/>
    <col min="8156" max="8156" width="28" style="362" customWidth="1"/>
    <col min="8157" max="8157" width="52" style="362" customWidth="1"/>
    <col min="8158" max="8158" width="27.28515625" style="362" customWidth="1"/>
    <col min="8159" max="8159" width="20.5703125" style="362" customWidth="1"/>
    <col min="8160" max="8161" width="9.140625" style="362"/>
    <col min="8162" max="8162" width="11.5703125" style="362" bestFit="1" customWidth="1"/>
    <col min="8163" max="8193" width="9.140625" style="362"/>
    <col min="8194" max="8194" width="28.7109375" style="362" customWidth="1"/>
    <col min="8195" max="8195" width="42.85546875" style="362" customWidth="1"/>
    <col min="8196" max="8196" width="26.28515625" style="362" customWidth="1"/>
    <col min="8197" max="8197" width="17.42578125" style="362" customWidth="1"/>
    <col min="8198" max="8411" width="9.140625" style="362"/>
    <col min="8412" max="8412" width="28" style="362" customWidth="1"/>
    <col min="8413" max="8413" width="52" style="362" customWidth="1"/>
    <col min="8414" max="8414" width="27.28515625" style="362" customWidth="1"/>
    <col min="8415" max="8415" width="20.5703125" style="362" customWidth="1"/>
    <col min="8416" max="8417" width="9.140625" style="362"/>
    <col min="8418" max="8418" width="11.5703125" style="362" bestFit="1" customWidth="1"/>
    <col min="8419" max="8449" width="9.140625" style="362"/>
    <col min="8450" max="8450" width="28.7109375" style="362" customWidth="1"/>
    <col min="8451" max="8451" width="42.85546875" style="362" customWidth="1"/>
    <col min="8452" max="8452" width="26.28515625" style="362" customWidth="1"/>
    <col min="8453" max="8453" width="17.42578125" style="362" customWidth="1"/>
    <col min="8454" max="8667" width="9.140625" style="362"/>
    <col min="8668" max="8668" width="28" style="362" customWidth="1"/>
    <col min="8669" max="8669" width="52" style="362" customWidth="1"/>
    <col min="8670" max="8670" width="27.28515625" style="362" customWidth="1"/>
    <col min="8671" max="8671" width="20.5703125" style="362" customWidth="1"/>
    <col min="8672" max="8673" width="9.140625" style="362"/>
    <col min="8674" max="8674" width="11.5703125" style="362" bestFit="1" customWidth="1"/>
    <col min="8675" max="8705" width="9.140625" style="362"/>
    <col min="8706" max="8706" width="28.7109375" style="362" customWidth="1"/>
    <col min="8707" max="8707" width="42.85546875" style="362" customWidth="1"/>
    <col min="8708" max="8708" width="26.28515625" style="362" customWidth="1"/>
    <col min="8709" max="8709" width="17.42578125" style="362" customWidth="1"/>
    <col min="8710" max="8923" width="9.140625" style="362"/>
    <col min="8924" max="8924" width="28" style="362" customWidth="1"/>
    <col min="8925" max="8925" width="52" style="362" customWidth="1"/>
    <col min="8926" max="8926" width="27.28515625" style="362" customWidth="1"/>
    <col min="8927" max="8927" width="20.5703125" style="362" customWidth="1"/>
    <col min="8928" max="8929" width="9.140625" style="362"/>
    <col min="8930" max="8930" width="11.5703125" style="362" bestFit="1" customWidth="1"/>
    <col min="8931" max="8961" width="9.140625" style="362"/>
    <col min="8962" max="8962" width="28.7109375" style="362" customWidth="1"/>
    <col min="8963" max="8963" width="42.85546875" style="362" customWidth="1"/>
    <col min="8964" max="8964" width="26.28515625" style="362" customWidth="1"/>
    <col min="8965" max="8965" width="17.42578125" style="362" customWidth="1"/>
    <col min="8966" max="9179" width="9.140625" style="362"/>
    <col min="9180" max="9180" width="28" style="362" customWidth="1"/>
    <col min="9181" max="9181" width="52" style="362" customWidth="1"/>
    <col min="9182" max="9182" width="27.28515625" style="362" customWidth="1"/>
    <col min="9183" max="9183" width="20.5703125" style="362" customWidth="1"/>
    <col min="9184" max="9185" width="9.140625" style="362"/>
    <col min="9186" max="9186" width="11.5703125" style="362" bestFit="1" customWidth="1"/>
    <col min="9187" max="9217" width="9.140625" style="362"/>
    <col min="9218" max="9218" width="28.7109375" style="362" customWidth="1"/>
    <col min="9219" max="9219" width="42.85546875" style="362" customWidth="1"/>
    <col min="9220" max="9220" width="26.28515625" style="362" customWidth="1"/>
    <col min="9221" max="9221" width="17.42578125" style="362" customWidth="1"/>
    <col min="9222" max="9435" width="9.140625" style="362"/>
    <col min="9436" max="9436" width="28" style="362" customWidth="1"/>
    <col min="9437" max="9437" width="52" style="362" customWidth="1"/>
    <col min="9438" max="9438" width="27.28515625" style="362" customWidth="1"/>
    <col min="9439" max="9439" width="20.5703125" style="362" customWidth="1"/>
    <col min="9440" max="9441" width="9.140625" style="362"/>
    <col min="9442" max="9442" width="11.5703125" style="362" bestFit="1" customWidth="1"/>
    <col min="9443" max="9473" width="9.140625" style="362"/>
    <col min="9474" max="9474" width="28.7109375" style="362" customWidth="1"/>
    <col min="9475" max="9475" width="42.85546875" style="362" customWidth="1"/>
    <col min="9476" max="9476" width="26.28515625" style="362" customWidth="1"/>
    <col min="9477" max="9477" width="17.42578125" style="362" customWidth="1"/>
    <col min="9478" max="9691" width="9.140625" style="362"/>
    <col min="9692" max="9692" width="28" style="362" customWidth="1"/>
    <col min="9693" max="9693" width="52" style="362" customWidth="1"/>
    <col min="9694" max="9694" width="27.28515625" style="362" customWidth="1"/>
    <col min="9695" max="9695" width="20.5703125" style="362" customWidth="1"/>
    <col min="9696" max="9697" width="9.140625" style="362"/>
    <col min="9698" max="9698" width="11.5703125" style="362" bestFit="1" customWidth="1"/>
    <col min="9699" max="9729" width="9.140625" style="362"/>
    <col min="9730" max="9730" width="28.7109375" style="362" customWidth="1"/>
    <col min="9731" max="9731" width="42.85546875" style="362" customWidth="1"/>
    <col min="9732" max="9732" width="26.28515625" style="362" customWidth="1"/>
    <col min="9733" max="9733" width="17.42578125" style="362" customWidth="1"/>
    <col min="9734" max="9947" width="9.140625" style="362"/>
    <col min="9948" max="9948" width="28" style="362" customWidth="1"/>
    <col min="9949" max="9949" width="52" style="362" customWidth="1"/>
    <col min="9950" max="9950" width="27.28515625" style="362" customWidth="1"/>
    <col min="9951" max="9951" width="20.5703125" style="362" customWidth="1"/>
    <col min="9952" max="9953" width="9.140625" style="362"/>
    <col min="9954" max="9954" width="11.5703125" style="362" bestFit="1" customWidth="1"/>
    <col min="9955" max="9985" width="9.140625" style="362"/>
    <col min="9986" max="9986" width="28.7109375" style="362" customWidth="1"/>
    <col min="9987" max="9987" width="42.85546875" style="362" customWidth="1"/>
    <col min="9988" max="9988" width="26.28515625" style="362" customWidth="1"/>
    <col min="9989" max="9989" width="17.42578125" style="362" customWidth="1"/>
    <col min="9990" max="10203" width="9.140625" style="362"/>
    <col min="10204" max="10204" width="28" style="362" customWidth="1"/>
    <col min="10205" max="10205" width="52" style="362" customWidth="1"/>
    <col min="10206" max="10206" width="27.28515625" style="362" customWidth="1"/>
    <col min="10207" max="10207" width="20.5703125" style="362" customWidth="1"/>
    <col min="10208" max="10209" width="9.140625" style="362"/>
    <col min="10210" max="10210" width="11.5703125" style="362" bestFit="1" customWidth="1"/>
    <col min="10211" max="10241" width="9.140625" style="362"/>
    <col min="10242" max="10242" width="28.7109375" style="362" customWidth="1"/>
    <col min="10243" max="10243" width="42.85546875" style="362" customWidth="1"/>
    <col min="10244" max="10244" width="26.28515625" style="362" customWidth="1"/>
    <col min="10245" max="10245" width="17.42578125" style="362" customWidth="1"/>
    <col min="10246" max="10459" width="9.140625" style="362"/>
    <col min="10460" max="10460" width="28" style="362" customWidth="1"/>
    <col min="10461" max="10461" width="52" style="362" customWidth="1"/>
    <col min="10462" max="10462" width="27.28515625" style="362" customWidth="1"/>
    <col min="10463" max="10463" width="20.5703125" style="362" customWidth="1"/>
    <col min="10464" max="10465" width="9.140625" style="362"/>
    <col min="10466" max="10466" width="11.5703125" style="362" bestFit="1" customWidth="1"/>
    <col min="10467" max="10497" width="9.140625" style="362"/>
    <col min="10498" max="10498" width="28.7109375" style="362" customWidth="1"/>
    <col min="10499" max="10499" width="42.85546875" style="362" customWidth="1"/>
    <col min="10500" max="10500" width="26.28515625" style="362" customWidth="1"/>
    <col min="10501" max="10501" width="17.42578125" style="362" customWidth="1"/>
    <col min="10502" max="10715" width="9.140625" style="362"/>
    <col min="10716" max="10716" width="28" style="362" customWidth="1"/>
    <col min="10717" max="10717" width="52" style="362" customWidth="1"/>
    <col min="10718" max="10718" width="27.28515625" style="362" customWidth="1"/>
    <col min="10719" max="10719" width="20.5703125" style="362" customWidth="1"/>
    <col min="10720" max="10721" width="9.140625" style="362"/>
    <col min="10722" max="10722" width="11.5703125" style="362" bestFit="1" customWidth="1"/>
    <col min="10723" max="10753" width="9.140625" style="362"/>
    <col min="10754" max="10754" width="28.7109375" style="362" customWidth="1"/>
    <col min="10755" max="10755" width="42.85546875" style="362" customWidth="1"/>
    <col min="10756" max="10756" width="26.28515625" style="362" customWidth="1"/>
    <col min="10757" max="10757" width="17.42578125" style="362" customWidth="1"/>
    <col min="10758" max="10971" width="9.140625" style="362"/>
    <col min="10972" max="10972" width="28" style="362" customWidth="1"/>
    <col min="10973" max="10973" width="52" style="362" customWidth="1"/>
    <col min="10974" max="10974" width="27.28515625" style="362" customWidth="1"/>
    <col min="10975" max="10975" width="20.5703125" style="362" customWidth="1"/>
    <col min="10976" max="10977" width="9.140625" style="362"/>
    <col min="10978" max="10978" width="11.5703125" style="362" bestFit="1" customWidth="1"/>
    <col min="10979" max="11009" width="9.140625" style="362"/>
    <col min="11010" max="11010" width="28.7109375" style="362" customWidth="1"/>
    <col min="11011" max="11011" width="42.85546875" style="362" customWidth="1"/>
    <col min="11012" max="11012" width="26.28515625" style="362" customWidth="1"/>
    <col min="11013" max="11013" width="17.42578125" style="362" customWidth="1"/>
    <col min="11014" max="11227" width="9.140625" style="362"/>
    <col min="11228" max="11228" width="28" style="362" customWidth="1"/>
    <col min="11229" max="11229" width="52" style="362" customWidth="1"/>
    <col min="11230" max="11230" width="27.28515625" style="362" customWidth="1"/>
    <col min="11231" max="11231" width="20.5703125" style="362" customWidth="1"/>
    <col min="11232" max="11233" width="9.140625" style="362"/>
    <col min="11234" max="11234" width="11.5703125" style="362" bestFit="1" customWidth="1"/>
    <col min="11235" max="11265" width="9.140625" style="362"/>
    <col min="11266" max="11266" width="28.7109375" style="362" customWidth="1"/>
    <col min="11267" max="11267" width="42.85546875" style="362" customWidth="1"/>
    <col min="11268" max="11268" width="26.28515625" style="362" customWidth="1"/>
    <col min="11269" max="11269" width="17.42578125" style="362" customWidth="1"/>
    <col min="11270" max="11483" width="9.140625" style="362"/>
    <col min="11484" max="11484" width="28" style="362" customWidth="1"/>
    <col min="11485" max="11485" width="52" style="362" customWidth="1"/>
    <col min="11486" max="11486" width="27.28515625" style="362" customWidth="1"/>
    <col min="11487" max="11487" width="20.5703125" style="362" customWidth="1"/>
    <col min="11488" max="11489" width="9.140625" style="362"/>
    <col min="11490" max="11490" width="11.5703125" style="362" bestFit="1" customWidth="1"/>
    <col min="11491" max="11521" width="9.140625" style="362"/>
    <col min="11522" max="11522" width="28.7109375" style="362" customWidth="1"/>
    <col min="11523" max="11523" width="42.85546875" style="362" customWidth="1"/>
    <col min="11524" max="11524" width="26.28515625" style="362" customWidth="1"/>
    <col min="11525" max="11525" width="17.42578125" style="362" customWidth="1"/>
    <col min="11526" max="11739" width="9.140625" style="362"/>
    <col min="11740" max="11740" width="28" style="362" customWidth="1"/>
    <col min="11741" max="11741" width="52" style="362" customWidth="1"/>
    <col min="11742" max="11742" width="27.28515625" style="362" customWidth="1"/>
    <col min="11743" max="11743" width="20.5703125" style="362" customWidth="1"/>
    <col min="11744" max="11745" width="9.140625" style="362"/>
    <col min="11746" max="11746" width="11.5703125" style="362" bestFit="1" customWidth="1"/>
    <col min="11747" max="11777" width="9.140625" style="362"/>
    <col min="11778" max="11778" width="28.7109375" style="362" customWidth="1"/>
    <col min="11779" max="11779" width="42.85546875" style="362" customWidth="1"/>
    <col min="11780" max="11780" width="26.28515625" style="362" customWidth="1"/>
    <col min="11781" max="11781" width="17.42578125" style="362" customWidth="1"/>
    <col min="11782" max="11995" width="9.140625" style="362"/>
    <col min="11996" max="11996" width="28" style="362" customWidth="1"/>
    <col min="11997" max="11997" width="52" style="362" customWidth="1"/>
    <col min="11998" max="11998" width="27.28515625" style="362" customWidth="1"/>
    <col min="11999" max="11999" width="20.5703125" style="362" customWidth="1"/>
    <col min="12000" max="12001" width="9.140625" style="362"/>
    <col min="12002" max="12002" width="11.5703125" style="362" bestFit="1" customWidth="1"/>
    <col min="12003" max="12033" width="9.140625" style="362"/>
    <col min="12034" max="12034" width="28.7109375" style="362" customWidth="1"/>
    <col min="12035" max="12035" width="42.85546875" style="362" customWidth="1"/>
    <col min="12036" max="12036" width="26.28515625" style="362" customWidth="1"/>
    <col min="12037" max="12037" width="17.42578125" style="362" customWidth="1"/>
    <col min="12038" max="12251" width="9.140625" style="362"/>
    <col min="12252" max="12252" width="28" style="362" customWidth="1"/>
    <col min="12253" max="12253" width="52" style="362" customWidth="1"/>
    <col min="12254" max="12254" width="27.28515625" style="362" customWidth="1"/>
    <col min="12255" max="12255" width="20.5703125" style="362" customWidth="1"/>
    <col min="12256" max="12257" width="9.140625" style="362"/>
    <col min="12258" max="12258" width="11.5703125" style="362" bestFit="1" customWidth="1"/>
    <col min="12259" max="12289" width="9.140625" style="362"/>
    <col min="12290" max="12290" width="28.7109375" style="362" customWidth="1"/>
    <col min="12291" max="12291" width="42.85546875" style="362" customWidth="1"/>
    <col min="12292" max="12292" width="26.28515625" style="362" customWidth="1"/>
    <col min="12293" max="12293" width="17.42578125" style="362" customWidth="1"/>
    <col min="12294" max="12507" width="9.140625" style="362"/>
    <col min="12508" max="12508" width="28" style="362" customWidth="1"/>
    <col min="12509" max="12509" width="52" style="362" customWidth="1"/>
    <col min="12510" max="12510" width="27.28515625" style="362" customWidth="1"/>
    <col min="12511" max="12511" width="20.5703125" style="362" customWidth="1"/>
    <col min="12512" max="12513" width="9.140625" style="362"/>
    <col min="12514" max="12514" width="11.5703125" style="362" bestFit="1" customWidth="1"/>
    <col min="12515" max="12545" width="9.140625" style="362"/>
    <col min="12546" max="12546" width="28.7109375" style="362" customWidth="1"/>
    <col min="12547" max="12547" width="42.85546875" style="362" customWidth="1"/>
    <col min="12548" max="12548" width="26.28515625" style="362" customWidth="1"/>
    <col min="12549" max="12549" width="17.42578125" style="362" customWidth="1"/>
    <col min="12550" max="12763" width="9.140625" style="362"/>
    <col min="12764" max="12764" width="28" style="362" customWidth="1"/>
    <col min="12765" max="12765" width="52" style="362" customWidth="1"/>
    <col min="12766" max="12766" width="27.28515625" style="362" customWidth="1"/>
    <col min="12767" max="12767" width="20.5703125" style="362" customWidth="1"/>
    <col min="12768" max="12769" width="9.140625" style="362"/>
    <col min="12770" max="12770" width="11.5703125" style="362" bestFit="1" customWidth="1"/>
    <col min="12771" max="12801" width="9.140625" style="362"/>
    <col min="12802" max="12802" width="28.7109375" style="362" customWidth="1"/>
    <col min="12803" max="12803" width="42.85546875" style="362" customWidth="1"/>
    <col min="12804" max="12804" width="26.28515625" style="362" customWidth="1"/>
    <col min="12805" max="12805" width="17.42578125" style="362" customWidth="1"/>
    <col min="12806" max="13019" width="9.140625" style="362"/>
    <col min="13020" max="13020" width="28" style="362" customWidth="1"/>
    <col min="13021" max="13021" width="52" style="362" customWidth="1"/>
    <col min="13022" max="13022" width="27.28515625" style="362" customWidth="1"/>
    <col min="13023" max="13023" width="20.5703125" style="362" customWidth="1"/>
    <col min="13024" max="13025" width="9.140625" style="362"/>
    <col min="13026" max="13026" width="11.5703125" style="362" bestFit="1" customWidth="1"/>
    <col min="13027" max="13057" width="9.140625" style="362"/>
    <col min="13058" max="13058" width="28.7109375" style="362" customWidth="1"/>
    <col min="13059" max="13059" width="42.85546875" style="362" customWidth="1"/>
    <col min="13060" max="13060" width="26.28515625" style="362" customWidth="1"/>
    <col min="13061" max="13061" width="17.42578125" style="362" customWidth="1"/>
    <col min="13062" max="13275" width="9.140625" style="362"/>
    <col min="13276" max="13276" width="28" style="362" customWidth="1"/>
    <col min="13277" max="13277" width="52" style="362" customWidth="1"/>
    <col min="13278" max="13278" width="27.28515625" style="362" customWidth="1"/>
    <col min="13279" max="13279" width="20.5703125" style="362" customWidth="1"/>
    <col min="13280" max="13281" width="9.140625" style="362"/>
    <col min="13282" max="13282" width="11.5703125" style="362" bestFit="1" customWidth="1"/>
    <col min="13283" max="13313" width="9.140625" style="362"/>
    <col min="13314" max="13314" width="28.7109375" style="362" customWidth="1"/>
    <col min="13315" max="13315" width="42.85546875" style="362" customWidth="1"/>
    <col min="13316" max="13316" width="26.28515625" style="362" customWidth="1"/>
    <col min="13317" max="13317" width="17.42578125" style="362" customWidth="1"/>
    <col min="13318" max="13531" width="9.140625" style="362"/>
    <col min="13532" max="13532" width="28" style="362" customWidth="1"/>
    <col min="13533" max="13533" width="52" style="362" customWidth="1"/>
    <col min="13534" max="13534" width="27.28515625" style="362" customWidth="1"/>
    <col min="13535" max="13535" width="20.5703125" style="362" customWidth="1"/>
    <col min="13536" max="13537" width="9.140625" style="362"/>
    <col min="13538" max="13538" width="11.5703125" style="362" bestFit="1" customWidth="1"/>
    <col min="13539" max="13569" width="9.140625" style="362"/>
    <col min="13570" max="13570" width="28.7109375" style="362" customWidth="1"/>
    <col min="13571" max="13571" width="42.85546875" style="362" customWidth="1"/>
    <col min="13572" max="13572" width="26.28515625" style="362" customWidth="1"/>
    <col min="13573" max="13573" width="17.42578125" style="362" customWidth="1"/>
    <col min="13574" max="13787" width="9.140625" style="362"/>
    <col min="13788" max="13788" width="28" style="362" customWidth="1"/>
    <col min="13789" max="13789" width="52" style="362" customWidth="1"/>
    <col min="13790" max="13790" width="27.28515625" style="362" customWidth="1"/>
    <col min="13791" max="13791" width="20.5703125" style="362" customWidth="1"/>
    <col min="13792" max="13793" width="9.140625" style="362"/>
    <col min="13794" max="13794" width="11.5703125" style="362" bestFit="1" customWidth="1"/>
    <col min="13795" max="13825" width="9.140625" style="362"/>
    <col min="13826" max="13826" width="28.7109375" style="362" customWidth="1"/>
    <col min="13827" max="13827" width="42.85546875" style="362" customWidth="1"/>
    <col min="13828" max="13828" width="26.28515625" style="362" customWidth="1"/>
    <col min="13829" max="13829" width="17.42578125" style="362" customWidth="1"/>
    <col min="13830" max="14043" width="9.140625" style="362"/>
    <col min="14044" max="14044" width="28" style="362" customWidth="1"/>
    <col min="14045" max="14045" width="52" style="362" customWidth="1"/>
    <col min="14046" max="14046" width="27.28515625" style="362" customWidth="1"/>
    <col min="14047" max="14047" width="20.5703125" style="362" customWidth="1"/>
    <col min="14048" max="14049" width="9.140625" style="362"/>
    <col min="14050" max="14050" width="11.5703125" style="362" bestFit="1" customWidth="1"/>
    <col min="14051" max="14081" width="9.140625" style="362"/>
    <col min="14082" max="14082" width="28.7109375" style="362" customWidth="1"/>
    <col min="14083" max="14083" width="42.85546875" style="362" customWidth="1"/>
    <col min="14084" max="14084" width="26.28515625" style="362" customWidth="1"/>
    <col min="14085" max="14085" width="17.42578125" style="362" customWidth="1"/>
    <col min="14086" max="14299" width="9.140625" style="362"/>
    <col min="14300" max="14300" width="28" style="362" customWidth="1"/>
    <col min="14301" max="14301" width="52" style="362" customWidth="1"/>
    <col min="14302" max="14302" width="27.28515625" style="362" customWidth="1"/>
    <col min="14303" max="14303" width="20.5703125" style="362" customWidth="1"/>
    <col min="14304" max="14305" width="9.140625" style="362"/>
    <col min="14306" max="14306" width="11.5703125" style="362" bestFit="1" customWidth="1"/>
    <col min="14307" max="14337" width="9.140625" style="362"/>
    <col min="14338" max="14338" width="28.7109375" style="362" customWidth="1"/>
    <col min="14339" max="14339" width="42.85546875" style="362" customWidth="1"/>
    <col min="14340" max="14340" width="26.28515625" style="362" customWidth="1"/>
    <col min="14341" max="14341" width="17.42578125" style="362" customWidth="1"/>
    <col min="14342" max="14555" width="9.140625" style="362"/>
    <col min="14556" max="14556" width="28" style="362" customWidth="1"/>
    <col min="14557" max="14557" width="52" style="362" customWidth="1"/>
    <col min="14558" max="14558" width="27.28515625" style="362" customWidth="1"/>
    <col min="14559" max="14559" width="20.5703125" style="362" customWidth="1"/>
    <col min="14560" max="14561" width="9.140625" style="362"/>
    <col min="14562" max="14562" width="11.5703125" style="362" bestFit="1" customWidth="1"/>
    <col min="14563" max="14593" width="9.140625" style="362"/>
    <col min="14594" max="14594" width="28.7109375" style="362" customWidth="1"/>
    <col min="14595" max="14595" width="42.85546875" style="362" customWidth="1"/>
    <col min="14596" max="14596" width="26.28515625" style="362" customWidth="1"/>
    <col min="14597" max="14597" width="17.42578125" style="362" customWidth="1"/>
    <col min="14598" max="14811" width="9.140625" style="362"/>
    <col min="14812" max="14812" width="28" style="362" customWidth="1"/>
    <col min="14813" max="14813" width="52" style="362" customWidth="1"/>
    <col min="14814" max="14814" width="27.28515625" style="362" customWidth="1"/>
    <col min="14815" max="14815" width="20.5703125" style="362" customWidth="1"/>
    <col min="14816" max="14817" width="9.140625" style="362"/>
    <col min="14818" max="14818" width="11.5703125" style="362" bestFit="1" customWidth="1"/>
    <col min="14819" max="14849" width="9.140625" style="362"/>
    <col min="14850" max="14850" width="28.7109375" style="362" customWidth="1"/>
    <col min="14851" max="14851" width="42.85546875" style="362" customWidth="1"/>
    <col min="14852" max="14852" width="26.28515625" style="362" customWidth="1"/>
    <col min="14853" max="14853" width="17.42578125" style="362" customWidth="1"/>
    <col min="14854" max="15067" width="9.140625" style="362"/>
    <col min="15068" max="15068" width="28" style="362" customWidth="1"/>
    <col min="15069" max="15069" width="52" style="362" customWidth="1"/>
    <col min="15070" max="15070" width="27.28515625" style="362" customWidth="1"/>
    <col min="15071" max="15071" width="20.5703125" style="362" customWidth="1"/>
    <col min="15072" max="15073" width="9.140625" style="362"/>
    <col min="15074" max="15074" width="11.5703125" style="362" bestFit="1" customWidth="1"/>
    <col min="15075" max="15105" width="9.140625" style="362"/>
    <col min="15106" max="15106" width="28.7109375" style="362" customWidth="1"/>
    <col min="15107" max="15107" width="42.85546875" style="362" customWidth="1"/>
    <col min="15108" max="15108" width="26.28515625" style="362" customWidth="1"/>
    <col min="15109" max="15109" width="17.42578125" style="362" customWidth="1"/>
    <col min="15110" max="15323" width="9.140625" style="362"/>
    <col min="15324" max="15324" width="28" style="362" customWidth="1"/>
    <col min="15325" max="15325" width="52" style="362" customWidth="1"/>
    <col min="15326" max="15326" width="27.28515625" style="362" customWidth="1"/>
    <col min="15327" max="15327" width="20.5703125" style="362" customWidth="1"/>
    <col min="15328" max="15329" width="9.140625" style="362"/>
    <col min="15330" max="15330" width="11.5703125" style="362" bestFit="1" customWidth="1"/>
    <col min="15331" max="15361" width="9.140625" style="362"/>
    <col min="15362" max="15362" width="28.7109375" style="362" customWidth="1"/>
    <col min="15363" max="15363" width="42.85546875" style="362" customWidth="1"/>
    <col min="15364" max="15364" width="26.28515625" style="362" customWidth="1"/>
    <col min="15365" max="15365" width="17.42578125" style="362" customWidth="1"/>
    <col min="15366" max="15579" width="9.140625" style="362"/>
    <col min="15580" max="15580" width="28" style="362" customWidth="1"/>
    <col min="15581" max="15581" width="52" style="362" customWidth="1"/>
    <col min="15582" max="15582" width="27.28515625" style="362" customWidth="1"/>
    <col min="15583" max="15583" width="20.5703125" style="362" customWidth="1"/>
    <col min="15584" max="15585" width="9.140625" style="362"/>
    <col min="15586" max="15586" width="11.5703125" style="362" bestFit="1" customWidth="1"/>
    <col min="15587" max="15617" width="9.140625" style="362"/>
    <col min="15618" max="15618" width="28.7109375" style="362" customWidth="1"/>
    <col min="15619" max="15619" width="42.85546875" style="362" customWidth="1"/>
    <col min="15620" max="15620" width="26.28515625" style="362" customWidth="1"/>
    <col min="15621" max="15621" width="17.42578125" style="362" customWidth="1"/>
    <col min="15622" max="15835" width="9.140625" style="362"/>
    <col min="15836" max="15836" width="28" style="362" customWidth="1"/>
    <col min="15837" max="15837" width="52" style="362" customWidth="1"/>
    <col min="15838" max="15838" width="27.28515625" style="362" customWidth="1"/>
    <col min="15839" max="15839" width="20.5703125" style="362" customWidth="1"/>
    <col min="15840" max="15841" width="9.140625" style="362"/>
    <col min="15842" max="15842" width="11.5703125" style="362" bestFit="1" customWidth="1"/>
    <col min="15843" max="15873" width="9.140625" style="362"/>
    <col min="15874" max="15874" width="28.7109375" style="362" customWidth="1"/>
    <col min="15875" max="15875" width="42.85546875" style="362" customWidth="1"/>
    <col min="15876" max="15876" width="26.28515625" style="362" customWidth="1"/>
    <col min="15877" max="15877" width="17.42578125" style="362" customWidth="1"/>
    <col min="15878" max="16091" width="9.140625" style="362"/>
    <col min="16092" max="16092" width="28" style="362" customWidth="1"/>
    <col min="16093" max="16093" width="52" style="362" customWidth="1"/>
    <col min="16094" max="16094" width="27.28515625" style="362" customWidth="1"/>
    <col min="16095" max="16095" width="20.5703125" style="362" customWidth="1"/>
    <col min="16096" max="16097" width="9.140625" style="362"/>
    <col min="16098" max="16098" width="11.5703125" style="362" bestFit="1" customWidth="1"/>
    <col min="16099" max="16129" width="9.140625" style="362"/>
    <col min="16130" max="16130" width="28.7109375" style="362" customWidth="1"/>
    <col min="16131" max="16131" width="42.85546875" style="362" customWidth="1"/>
    <col min="16132" max="16132" width="26.28515625" style="362" customWidth="1"/>
    <col min="16133" max="16133" width="17.42578125" style="362" customWidth="1"/>
    <col min="16134" max="16347" width="9.140625" style="362"/>
    <col min="16348" max="16348" width="28" style="362" customWidth="1"/>
    <col min="16349" max="16349" width="52" style="362" customWidth="1"/>
    <col min="16350" max="16350" width="27.28515625" style="362" customWidth="1"/>
    <col min="16351" max="16351" width="20.5703125" style="362" customWidth="1"/>
    <col min="16352" max="16353" width="9.140625" style="362"/>
    <col min="16354" max="16354" width="11.5703125" style="362" bestFit="1" customWidth="1"/>
    <col min="16355" max="16384" width="9.140625" style="362"/>
  </cols>
  <sheetData>
    <row r="1" spans="1:256" x14ac:dyDescent="0.2">
      <c r="A1" s="365"/>
      <c r="B1" s="366"/>
      <c r="C1" s="367"/>
      <c r="D1" s="372"/>
      <c r="E1" s="369" t="s">
        <v>1310</v>
      </c>
      <c r="F1" s="368"/>
      <c r="G1" s="370"/>
      <c r="H1" s="368"/>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c r="BJ1" s="371"/>
      <c r="BK1" s="371"/>
      <c r="BL1" s="371"/>
      <c r="BM1" s="371"/>
      <c r="BN1" s="371"/>
      <c r="BO1" s="371"/>
      <c r="BP1" s="371"/>
      <c r="BQ1" s="371"/>
      <c r="BR1" s="371"/>
      <c r="BS1" s="371"/>
      <c r="BT1" s="371"/>
      <c r="BU1" s="371"/>
      <c r="BV1" s="371"/>
      <c r="BW1" s="371"/>
      <c r="BX1" s="371"/>
      <c r="BY1" s="371"/>
      <c r="BZ1" s="371"/>
      <c r="CA1" s="371"/>
      <c r="CB1" s="371"/>
      <c r="CC1" s="371"/>
      <c r="CD1" s="371"/>
      <c r="CE1" s="371"/>
      <c r="CF1" s="371"/>
      <c r="CG1" s="371"/>
      <c r="CH1" s="371"/>
      <c r="CI1" s="371"/>
      <c r="CJ1" s="371"/>
      <c r="CK1" s="371"/>
      <c r="CL1" s="371"/>
      <c r="CM1" s="371"/>
      <c r="CN1" s="371"/>
      <c r="CO1" s="371"/>
      <c r="CP1" s="371"/>
      <c r="CQ1" s="371"/>
      <c r="CR1" s="371"/>
      <c r="CS1" s="371"/>
      <c r="CT1" s="371"/>
      <c r="CU1" s="371"/>
      <c r="CV1" s="371"/>
      <c r="CW1" s="371"/>
      <c r="CX1" s="371"/>
      <c r="CY1" s="371"/>
      <c r="CZ1" s="371"/>
      <c r="DA1" s="371"/>
      <c r="DB1" s="371"/>
      <c r="DC1" s="371"/>
      <c r="DD1" s="371"/>
      <c r="DE1" s="371"/>
      <c r="DF1" s="371"/>
      <c r="DG1" s="371"/>
      <c r="DH1" s="371"/>
      <c r="DI1" s="371"/>
      <c r="DJ1" s="371"/>
      <c r="DK1" s="371"/>
      <c r="DL1" s="371"/>
      <c r="DM1" s="371"/>
      <c r="DN1" s="371"/>
      <c r="DO1" s="371"/>
      <c r="DP1" s="371"/>
      <c r="DQ1" s="371"/>
      <c r="DR1" s="371"/>
      <c r="DS1" s="371"/>
      <c r="DT1" s="371"/>
      <c r="DU1" s="371"/>
      <c r="DV1" s="371"/>
      <c r="DW1" s="371"/>
      <c r="DX1" s="371"/>
      <c r="DY1" s="371"/>
      <c r="DZ1" s="371"/>
      <c r="EA1" s="371"/>
      <c r="EB1" s="371"/>
      <c r="EC1" s="371"/>
      <c r="ED1" s="371"/>
      <c r="EE1" s="371"/>
      <c r="EF1" s="371"/>
      <c r="EG1" s="371"/>
      <c r="EH1" s="371"/>
      <c r="EI1" s="371"/>
      <c r="EJ1" s="371"/>
      <c r="EK1" s="371"/>
      <c r="EL1" s="371"/>
      <c r="EM1" s="371"/>
      <c r="EN1" s="371"/>
      <c r="EO1" s="371"/>
      <c r="EP1" s="371"/>
      <c r="EQ1" s="371"/>
      <c r="ER1" s="371"/>
      <c r="ES1" s="371"/>
      <c r="ET1" s="371"/>
      <c r="EU1" s="371"/>
      <c r="EV1" s="371"/>
      <c r="EW1" s="371"/>
      <c r="EX1" s="371"/>
      <c r="EY1" s="371"/>
      <c r="EZ1" s="371"/>
      <c r="FA1" s="371"/>
      <c r="FB1" s="371"/>
      <c r="FC1" s="371"/>
      <c r="FD1" s="371"/>
      <c r="FE1" s="371"/>
      <c r="FF1" s="371"/>
      <c r="FG1" s="371"/>
      <c r="FH1" s="371"/>
      <c r="FI1" s="371"/>
      <c r="FJ1" s="371"/>
      <c r="FK1" s="371"/>
      <c r="FL1" s="371"/>
      <c r="FM1" s="371"/>
      <c r="FN1" s="371"/>
      <c r="FO1" s="371"/>
      <c r="FP1" s="371"/>
      <c r="FQ1" s="371"/>
      <c r="FR1" s="371"/>
      <c r="FS1" s="371"/>
      <c r="FT1" s="371"/>
      <c r="FU1" s="371"/>
      <c r="FV1" s="371"/>
      <c r="FW1" s="371"/>
      <c r="FX1" s="371"/>
      <c r="FY1" s="371"/>
      <c r="FZ1" s="371"/>
      <c r="GA1" s="371"/>
      <c r="GB1" s="371"/>
      <c r="GC1" s="371"/>
      <c r="GD1" s="371"/>
      <c r="GE1" s="371"/>
      <c r="GF1" s="371"/>
      <c r="GG1" s="371"/>
      <c r="GH1" s="371"/>
      <c r="GI1" s="371"/>
      <c r="GJ1" s="371"/>
      <c r="GK1" s="371"/>
      <c r="GL1" s="371"/>
      <c r="GM1" s="371"/>
      <c r="GN1" s="371"/>
      <c r="GO1" s="371"/>
      <c r="GP1" s="371"/>
      <c r="GQ1" s="371"/>
      <c r="GR1" s="371"/>
      <c r="GS1" s="371"/>
      <c r="GT1" s="371"/>
      <c r="GU1" s="371"/>
      <c r="GV1" s="371"/>
      <c r="GW1" s="371"/>
      <c r="GX1" s="371"/>
      <c r="GY1" s="371"/>
      <c r="GZ1" s="371"/>
      <c r="HA1" s="371"/>
      <c r="HB1" s="371"/>
      <c r="HC1" s="371"/>
      <c r="HD1" s="371"/>
      <c r="HE1" s="371"/>
      <c r="HF1" s="371"/>
      <c r="HG1" s="371"/>
      <c r="HH1" s="371"/>
      <c r="HI1" s="371"/>
      <c r="HJ1" s="371"/>
      <c r="HK1" s="371"/>
      <c r="HL1" s="371"/>
      <c r="HM1" s="371"/>
      <c r="HN1" s="371"/>
      <c r="HO1" s="371"/>
      <c r="HP1" s="371"/>
      <c r="HQ1" s="371"/>
      <c r="HR1" s="371"/>
      <c r="HS1" s="371"/>
      <c r="HT1" s="371"/>
      <c r="HU1" s="371"/>
      <c r="HV1" s="371"/>
      <c r="HW1" s="371"/>
      <c r="HX1" s="371"/>
      <c r="HY1" s="371"/>
      <c r="HZ1" s="371"/>
      <c r="IA1" s="371"/>
      <c r="IB1" s="371"/>
      <c r="IC1" s="371"/>
      <c r="ID1" s="371"/>
      <c r="IE1" s="371"/>
      <c r="IF1" s="371"/>
      <c r="IG1" s="371"/>
      <c r="IH1" s="371"/>
      <c r="II1" s="371"/>
      <c r="IJ1" s="371"/>
      <c r="IK1" s="371"/>
      <c r="IL1" s="371"/>
      <c r="IM1" s="371"/>
      <c r="IN1" s="371"/>
      <c r="IO1" s="371"/>
      <c r="IP1" s="371"/>
      <c r="IQ1" s="371"/>
      <c r="IR1" s="371"/>
      <c r="IS1" s="371"/>
      <c r="IT1" s="371"/>
      <c r="IU1" s="371"/>
      <c r="IV1" s="371"/>
    </row>
    <row r="2" spans="1:256" x14ac:dyDescent="0.2">
      <c r="A2" s="365"/>
      <c r="B2" s="368"/>
      <c r="D2" s="372"/>
      <c r="E2" s="372"/>
      <c r="F2" s="368"/>
      <c r="G2" s="370"/>
      <c r="H2" s="368"/>
      <c r="I2" s="370"/>
      <c r="J2" s="371"/>
      <c r="K2" s="371"/>
      <c r="L2" s="371"/>
      <c r="M2" s="371"/>
      <c r="N2" s="371"/>
      <c r="O2" s="371"/>
      <c r="P2" s="371"/>
      <c r="Q2" s="371"/>
      <c r="R2" s="371"/>
      <c r="S2" s="371"/>
      <c r="T2" s="371"/>
      <c r="U2" s="371"/>
      <c r="V2" s="371"/>
      <c r="W2" s="371"/>
      <c r="X2" s="371"/>
      <c r="Y2" s="371"/>
      <c r="Z2" s="371"/>
      <c r="AA2" s="371"/>
      <c r="AB2" s="371"/>
      <c r="AC2" s="371"/>
      <c r="AD2" s="371"/>
      <c r="AE2" s="371"/>
      <c r="AF2" s="371"/>
      <c r="AG2" s="371"/>
      <c r="AH2" s="371"/>
      <c r="AI2" s="371"/>
      <c r="AJ2" s="371"/>
      <c r="AK2" s="371"/>
      <c r="AL2" s="371"/>
      <c r="AM2" s="371"/>
      <c r="AN2" s="371"/>
      <c r="AO2" s="371"/>
      <c r="AP2" s="371"/>
      <c r="AQ2" s="371"/>
      <c r="AR2" s="371"/>
      <c r="AS2" s="371"/>
      <c r="AT2" s="371"/>
      <c r="AU2" s="371"/>
      <c r="AV2" s="371"/>
      <c r="AW2" s="371"/>
      <c r="AX2" s="371"/>
      <c r="AY2" s="371"/>
      <c r="AZ2" s="371"/>
      <c r="BA2" s="371"/>
      <c r="BB2" s="371"/>
      <c r="BC2" s="371"/>
      <c r="BD2" s="371"/>
      <c r="BE2" s="371"/>
      <c r="BF2" s="371"/>
      <c r="BG2" s="371"/>
      <c r="BH2" s="371"/>
      <c r="BI2" s="371"/>
      <c r="BJ2" s="371"/>
      <c r="BK2" s="371"/>
      <c r="BL2" s="371"/>
      <c r="BM2" s="371"/>
      <c r="BN2" s="371"/>
      <c r="BO2" s="371"/>
      <c r="BP2" s="371"/>
      <c r="BQ2" s="371"/>
      <c r="BR2" s="371"/>
      <c r="BS2" s="371"/>
      <c r="BT2" s="371"/>
      <c r="BU2" s="371"/>
      <c r="BV2" s="371"/>
      <c r="BW2" s="371"/>
      <c r="BX2" s="371"/>
      <c r="BY2" s="371"/>
      <c r="BZ2" s="371"/>
      <c r="CA2" s="371"/>
      <c r="CB2" s="371"/>
      <c r="CC2" s="371"/>
      <c r="CD2" s="371"/>
      <c r="CE2" s="371"/>
      <c r="CF2" s="371"/>
      <c r="CG2" s="371"/>
      <c r="CH2" s="371"/>
      <c r="CI2" s="371"/>
      <c r="CJ2" s="371"/>
      <c r="CK2" s="371"/>
      <c r="CL2" s="371"/>
      <c r="CM2" s="371"/>
      <c r="CN2" s="371"/>
      <c r="CO2" s="371"/>
      <c r="CP2" s="371"/>
      <c r="CQ2" s="371"/>
      <c r="CR2" s="371"/>
      <c r="CS2" s="371"/>
      <c r="CT2" s="371"/>
      <c r="CU2" s="371"/>
      <c r="CV2" s="371"/>
      <c r="CW2" s="371"/>
      <c r="CX2" s="371"/>
      <c r="CY2" s="371"/>
      <c r="CZ2" s="371"/>
      <c r="DA2" s="371"/>
      <c r="DB2" s="371"/>
      <c r="DC2" s="371"/>
      <c r="DD2" s="371"/>
      <c r="DE2" s="371"/>
      <c r="DF2" s="371"/>
      <c r="DG2" s="371"/>
      <c r="DH2" s="371"/>
      <c r="DI2" s="371"/>
      <c r="DJ2" s="371"/>
      <c r="DK2" s="371"/>
      <c r="DL2" s="371"/>
      <c r="DM2" s="371"/>
      <c r="DN2" s="371"/>
      <c r="DO2" s="371"/>
      <c r="DP2" s="371"/>
      <c r="DQ2" s="371"/>
      <c r="DR2" s="371"/>
      <c r="DS2" s="371"/>
      <c r="DT2" s="371"/>
      <c r="DU2" s="371"/>
      <c r="DV2" s="371"/>
      <c r="DW2" s="371"/>
      <c r="DX2" s="371"/>
      <c r="DY2" s="371"/>
      <c r="DZ2" s="371"/>
      <c r="EA2" s="371"/>
      <c r="EB2" s="371"/>
      <c r="EC2" s="371"/>
      <c r="ED2" s="371"/>
      <c r="EE2" s="371"/>
      <c r="EF2" s="371"/>
      <c r="EG2" s="371"/>
      <c r="EH2" s="371"/>
      <c r="EI2" s="371"/>
      <c r="EJ2" s="371"/>
      <c r="EK2" s="371"/>
      <c r="EL2" s="371"/>
      <c r="EM2" s="371"/>
      <c r="EN2" s="371"/>
      <c r="EO2" s="371"/>
      <c r="EP2" s="371"/>
      <c r="EQ2" s="371"/>
      <c r="ER2" s="371"/>
      <c r="ES2" s="371"/>
      <c r="ET2" s="371"/>
      <c r="EU2" s="371"/>
      <c r="EV2" s="371"/>
      <c r="EW2" s="371"/>
      <c r="EX2" s="371"/>
      <c r="EY2" s="371"/>
      <c r="EZ2" s="371"/>
      <c r="FA2" s="371"/>
      <c r="FB2" s="371"/>
      <c r="FC2" s="371"/>
      <c r="FD2" s="371"/>
      <c r="FE2" s="371"/>
      <c r="FF2" s="371"/>
      <c r="FG2" s="371"/>
      <c r="FH2" s="371"/>
      <c r="FI2" s="371"/>
      <c r="FJ2" s="371"/>
      <c r="FK2" s="371"/>
      <c r="FL2" s="371"/>
      <c r="FM2" s="371"/>
      <c r="FN2" s="371"/>
      <c r="FO2" s="371"/>
      <c r="FP2" s="371"/>
      <c r="FQ2" s="371"/>
      <c r="FR2" s="371"/>
      <c r="FS2" s="371"/>
      <c r="FT2" s="371"/>
      <c r="FU2" s="371"/>
      <c r="FV2" s="371"/>
      <c r="FW2" s="371"/>
      <c r="FX2" s="371"/>
      <c r="FY2" s="371"/>
      <c r="FZ2" s="371"/>
      <c r="GA2" s="371"/>
      <c r="GB2" s="371"/>
      <c r="GC2" s="371"/>
      <c r="GD2" s="371"/>
      <c r="GE2" s="371"/>
      <c r="GF2" s="371"/>
      <c r="GG2" s="371"/>
      <c r="GH2" s="371"/>
      <c r="GI2" s="371"/>
      <c r="GJ2" s="371"/>
      <c r="GK2" s="371"/>
      <c r="GL2" s="371"/>
      <c r="GM2" s="371"/>
      <c r="GN2" s="371"/>
      <c r="GO2" s="371"/>
      <c r="GP2" s="371"/>
      <c r="GQ2" s="371"/>
      <c r="GR2" s="371"/>
      <c r="GS2" s="371"/>
      <c r="GT2" s="371"/>
      <c r="GU2" s="371"/>
      <c r="GV2" s="371"/>
      <c r="GW2" s="371"/>
      <c r="GX2" s="371"/>
      <c r="GY2" s="371"/>
      <c r="GZ2" s="371"/>
      <c r="HA2" s="371"/>
      <c r="HB2" s="371"/>
      <c r="HC2" s="371"/>
      <c r="HD2" s="371"/>
      <c r="HE2" s="371"/>
      <c r="HF2" s="371"/>
      <c r="HG2" s="371"/>
      <c r="HH2" s="371"/>
      <c r="HI2" s="371"/>
      <c r="HJ2" s="371"/>
      <c r="HK2" s="371"/>
      <c r="HL2" s="371"/>
      <c r="HM2" s="371"/>
      <c r="HN2" s="371"/>
      <c r="HO2" s="371"/>
      <c r="HP2" s="371"/>
      <c r="HQ2" s="371"/>
      <c r="HR2" s="371"/>
      <c r="HS2" s="371"/>
      <c r="HT2" s="371"/>
      <c r="HU2" s="371"/>
      <c r="HV2" s="371"/>
      <c r="HW2" s="371"/>
      <c r="HX2" s="371"/>
      <c r="HY2" s="371"/>
      <c r="HZ2" s="371"/>
      <c r="IA2" s="371"/>
      <c r="IB2" s="371"/>
      <c r="IC2" s="371"/>
      <c r="ID2" s="371"/>
      <c r="IE2" s="371"/>
      <c r="IF2" s="371"/>
      <c r="IG2" s="371"/>
      <c r="IH2" s="371"/>
      <c r="II2" s="371"/>
      <c r="IJ2" s="371"/>
      <c r="IK2" s="371"/>
      <c r="IL2" s="371"/>
      <c r="IM2" s="371"/>
      <c r="IN2" s="371"/>
      <c r="IO2" s="371"/>
      <c r="IP2" s="371"/>
      <c r="IQ2" s="371"/>
      <c r="IR2" s="371"/>
      <c r="IS2" s="371"/>
      <c r="IT2" s="371"/>
      <c r="IU2" s="371"/>
      <c r="IV2" s="371"/>
    </row>
    <row r="3" spans="1:256" x14ac:dyDescent="0.2">
      <c r="A3" s="793" t="s">
        <v>1474</v>
      </c>
      <c r="B3" s="793"/>
      <c r="C3" s="793"/>
      <c r="D3" s="793"/>
      <c r="E3" s="793"/>
      <c r="F3" s="373"/>
      <c r="G3" s="373"/>
      <c r="H3" s="373"/>
      <c r="I3" s="373"/>
      <c r="J3" s="371"/>
      <c r="K3" s="371"/>
      <c r="L3" s="371"/>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O3" s="371"/>
      <c r="AP3" s="371"/>
      <c r="AQ3" s="371"/>
      <c r="AR3" s="371"/>
      <c r="AS3" s="371"/>
      <c r="AT3" s="371"/>
      <c r="AU3" s="371"/>
      <c r="AV3" s="371"/>
      <c r="AW3" s="371"/>
      <c r="AX3" s="371"/>
      <c r="AY3" s="371"/>
      <c r="AZ3" s="371"/>
      <c r="BA3" s="371"/>
      <c r="BB3" s="371"/>
      <c r="BC3" s="371"/>
      <c r="BD3" s="371"/>
      <c r="BE3" s="371"/>
      <c r="BF3" s="371"/>
      <c r="BG3" s="371"/>
      <c r="BH3" s="371"/>
      <c r="BI3" s="371"/>
      <c r="BJ3" s="371"/>
      <c r="BK3" s="371"/>
      <c r="BL3" s="371"/>
      <c r="BM3" s="371"/>
      <c r="BN3" s="371"/>
      <c r="BO3" s="371"/>
      <c r="BP3" s="371"/>
      <c r="BQ3" s="371"/>
      <c r="BR3" s="371"/>
      <c r="BS3" s="371"/>
      <c r="BT3" s="371"/>
      <c r="BU3" s="371"/>
      <c r="BV3" s="371"/>
      <c r="BW3" s="371"/>
      <c r="BX3" s="371"/>
      <c r="BY3" s="371"/>
      <c r="BZ3" s="371"/>
      <c r="CA3" s="371"/>
      <c r="CB3" s="371"/>
      <c r="CC3" s="371"/>
      <c r="CD3" s="371"/>
      <c r="CE3" s="371"/>
      <c r="CF3" s="371"/>
      <c r="CG3" s="371"/>
      <c r="CH3" s="371"/>
      <c r="CI3" s="371"/>
      <c r="CJ3" s="371"/>
      <c r="CK3" s="371"/>
      <c r="CL3" s="371"/>
      <c r="CM3" s="371"/>
      <c r="CN3" s="371"/>
      <c r="CO3" s="371"/>
      <c r="CP3" s="371"/>
      <c r="CQ3" s="371"/>
      <c r="CR3" s="371"/>
      <c r="CS3" s="371"/>
      <c r="CT3" s="371"/>
      <c r="CU3" s="371"/>
      <c r="CV3" s="371"/>
      <c r="CW3" s="371"/>
      <c r="CX3" s="371"/>
      <c r="CY3" s="371"/>
      <c r="CZ3" s="371"/>
      <c r="DA3" s="371"/>
      <c r="DB3" s="371"/>
      <c r="DC3" s="371"/>
      <c r="DD3" s="371"/>
      <c r="DE3" s="371"/>
      <c r="DF3" s="371"/>
      <c r="DG3" s="371"/>
      <c r="DH3" s="371"/>
      <c r="DI3" s="371"/>
      <c r="DJ3" s="371"/>
      <c r="DK3" s="371"/>
      <c r="DL3" s="371"/>
      <c r="DM3" s="371"/>
      <c r="DN3" s="371"/>
      <c r="DO3" s="371"/>
      <c r="DP3" s="371"/>
      <c r="DQ3" s="371"/>
      <c r="DR3" s="371"/>
      <c r="DS3" s="371"/>
      <c r="DT3" s="371"/>
      <c r="DU3" s="371"/>
      <c r="DV3" s="371"/>
      <c r="DW3" s="371"/>
      <c r="DX3" s="371"/>
      <c r="DY3" s="371"/>
      <c r="DZ3" s="371"/>
      <c r="EA3" s="371"/>
      <c r="EB3" s="371"/>
      <c r="EC3" s="371"/>
      <c r="ED3" s="371"/>
      <c r="EE3" s="371"/>
      <c r="EF3" s="371"/>
      <c r="EG3" s="371"/>
      <c r="EH3" s="371"/>
      <c r="EI3" s="371"/>
      <c r="EJ3" s="371"/>
      <c r="EK3" s="371"/>
      <c r="EL3" s="371"/>
      <c r="EM3" s="371"/>
      <c r="EN3" s="371"/>
      <c r="EO3" s="371"/>
      <c r="EP3" s="371"/>
      <c r="EQ3" s="371"/>
      <c r="ER3" s="371"/>
      <c r="ES3" s="371"/>
      <c r="ET3" s="371"/>
      <c r="EU3" s="371"/>
      <c r="EV3" s="371"/>
      <c r="EW3" s="371"/>
      <c r="EX3" s="371"/>
      <c r="EY3" s="371"/>
      <c r="EZ3" s="371"/>
      <c r="FA3" s="371"/>
      <c r="FB3" s="371"/>
      <c r="FC3" s="371"/>
      <c r="FD3" s="371"/>
      <c r="FE3" s="371"/>
      <c r="FF3" s="371"/>
      <c r="FG3" s="371"/>
      <c r="FH3" s="371"/>
      <c r="FI3" s="371"/>
      <c r="FJ3" s="371"/>
      <c r="FK3" s="371"/>
      <c r="FL3" s="371"/>
      <c r="FM3" s="371"/>
      <c r="FN3" s="371"/>
      <c r="FO3" s="371"/>
      <c r="FP3" s="371"/>
      <c r="FQ3" s="371"/>
      <c r="FR3" s="371"/>
      <c r="FS3" s="371"/>
      <c r="FT3" s="371"/>
      <c r="FU3" s="371"/>
      <c r="FV3" s="371"/>
      <c r="FW3" s="371"/>
      <c r="FX3" s="371"/>
      <c r="FY3" s="371"/>
      <c r="FZ3" s="371"/>
      <c r="GA3" s="371"/>
      <c r="GB3" s="371"/>
      <c r="GC3" s="371"/>
      <c r="GD3" s="371"/>
      <c r="GE3" s="371"/>
      <c r="GF3" s="371"/>
      <c r="GG3" s="371"/>
      <c r="GH3" s="371"/>
      <c r="GI3" s="371"/>
      <c r="GJ3" s="371"/>
      <c r="GK3" s="371"/>
      <c r="GL3" s="371"/>
      <c r="GM3" s="371"/>
      <c r="GN3" s="371"/>
      <c r="GO3" s="371"/>
      <c r="GP3" s="371"/>
      <c r="GQ3" s="371"/>
      <c r="GR3" s="371"/>
      <c r="GS3" s="371"/>
      <c r="GT3" s="371"/>
      <c r="GU3" s="371"/>
      <c r="GV3" s="371"/>
      <c r="GW3" s="371"/>
      <c r="GX3" s="371"/>
      <c r="GY3" s="371"/>
      <c r="GZ3" s="371"/>
      <c r="HA3" s="371"/>
      <c r="HB3" s="371"/>
      <c r="HC3" s="371"/>
      <c r="HD3" s="371"/>
      <c r="HE3" s="371"/>
      <c r="HF3" s="371"/>
      <c r="HG3" s="371"/>
      <c r="HH3" s="371"/>
      <c r="HI3" s="371"/>
      <c r="HJ3" s="371"/>
      <c r="HK3" s="371"/>
      <c r="HL3" s="371"/>
      <c r="HM3" s="371"/>
      <c r="HN3" s="371"/>
      <c r="HO3" s="371"/>
      <c r="HP3" s="371"/>
      <c r="HQ3" s="371"/>
      <c r="HR3" s="371"/>
      <c r="HS3" s="371"/>
      <c r="HT3" s="371"/>
      <c r="HU3" s="371"/>
      <c r="HV3" s="371"/>
      <c r="HW3" s="371"/>
      <c r="HX3" s="371"/>
      <c r="HY3" s="371"/>
      <c r="HZ3" s="371"/>
      <c r="IA3" s="371"/>
      <c r="IB3" s="371"/>
      <c r="IC3" s="371"/>
      <c r="ID3" s="371"/>
      <c r="IE3" s="371"/>
      <c r="IF3" s="371"/>
      <c r="IG3" s="371"/>
      <c r="IH3" s="371"/>
      <c r="II3" s="371"/>
      <c r="IJ3" s="371"/>
      <c r="IK3" s="371"/>
      <c r="IL3" s="371"/>
      <c r="IM3" s="371"/>
      <c r="IN3" s="371"/>
      <c r="IO3" s="371"/>
      <c r="IP3" s="371"/>
      <c r="IQ3" s="371"/>
      <c r="IR3" s="371"/>
      <c r="IS3" s="371"/>
      <c r="IT3" s="371"/>
      <c r="IU3" s="371"/>
      <c r="IV3" s="371"/>
    </row>
    <row r="4" spans="1:256" x14ac:dyDescent="0.2">
      <c r="A4" s="794" t="s">
        <v>1312</v>
      </c>
      <c r="B4" s="794"/>
      <c r="C4" s="794"/>
      <c r="D4" s="794"/>
      <c r="E4" s="794"/>
      <c r="F4" s="374"/>
      <c r="G4" s="374"/>
      <c r="H4" s="374"/>
      <c r="I4" s="374"/>
      <c r="J4" s="371"/>
      <c r="K4" s="371"/>
      <c r="L4" s="371"/>
      <c r="M4" s="371"/>
      <c r="N4" s="371"/>
      <c r="O4" s="371"/>
      <c r="P4" s="371"/>
      <c r="Q4" s="371"/>
      <c r="R4" s="371"/>
      <c r="S4" s="371"/>
      <c r="T4" s="371"/>
      <c r="U4" s="371"/>
      <c r="V4" s="371"/>
      <c r="W4" s="371"/>
      <c r="X4" s="371"/>
      <c r="Y4" s="371"/>
      <c r="Z4" s="371"/>
      <c r="AA4" s="371"/>
      <c r="AB4" s="371"/>
      <c r="AC4" s="371"/>
      <c r="AD4" s="371"/>
      <c r="AE4" s="371"/>
      <c r="AF4" s="371"/>
      <c r="AG4" s="371"/>
      <c r="AH4" s="371"/>
      <c r="AI4" s="371"/>
      <c r="AJ4" s="371"/>
      <c r="AK4" s="371"/>
      <c r="AL4" s="371"/>
      <c r="AM4" s="371"/>
      <c r="AN4" s="371"/>
      <c r="AO4" s="371"/>
      <c r="AP4" s="371"/>
      <c r="AQ4" s="371"/>
      <c r="AR4" s="371"/>
      <c r="AS4" s="371"/>
      <c r="AT4" s="371"/>
      <c r="AU4" s="371"/>
      <c r="AV4" s="371"/>
      <c r="AW4" s="371"/>
      <c r="AX4" s="371"/>
      <c r="AY4" s="371"/>
      <c r="AZ4" s="371"/>
      <c r="BA4" s="371"/>
      <c r="BB4" s="371"/>
      <c r="BC4" s="371"/>
      <c r="BD4" s="371"/>
      <c r="BE4" s="371"/>
      <c r="BF4" s="371"/>
      <c r="BG4" s="371"/>
      <c r="BH4" s="371"/>
      <c r="BI4" s="371"/>
      <c r="BJ4" s="371"/>
      <c r="BK4" s="371"/>
      <c r="BL4" s="371"/>
      <c r="BM4" s="371"/>
      <c r="BN4" s="371"/>
      <c r="BO4" s="371"/>
      <c r="BP4" s="371"/>
      <c r="BQ4" s="371"/>
      <c r="BR4" s="371"/>
      <c r="BS4" s="371"/>
      <c r="BT4" s="371"/>
      <c r="BU4" s="371"/>
      <c r="BV4" s="371"/>
      <c r="BW4" s="371"/>
      <c r="BX4" s="371"/>
      <c r="BY4" s="371"/>
      <c r="BZ4" s="371"/>
      <c r="CA4" s="371"/>
      <c r="CB4" s="371"/>
      <c r="CC4" s="371"/>
      <c r="CD4" s="371"/>
      <c r="CE4" s="371"/>
      <c r="CF4" s="371"/>
      <c r="CG4" s="371"/>
      <c r="CH4" s="371"/>
      <c r="CI4" s="371"/>
      <c r="CJ4" s="371"/>
      <c r="CK4" s="371"/>
      <c r="CL4" s="371"/>
      <c r="CM4" s="371"/>
      <c r="CN4" s="371"/>
      <c r="CO4" s="371"/>
      <c r="CP4" s="371"/>
      <c r="CQ4" s="371"/>
      <c r="CR4" s="371"/>
      <c r="CS4" s="371"/>
      <c r="CT4" s="371"/>
      <c r="CU4" s="371"/>
      <c r="CV4" s="371"/>
      <c r="CW4" s="371"/>
      <c r="CX4" s="371"/>
      <c r="CY4" s="371"/>
      <c r="CZ4" s="371"/>
      <c r="DA4" s="371"/>
      <c r="DB4" s="371"/>
      <c r="DC4" s="371"/>
      <c r="DD4" s="371"/>
      <c r="DE4" s="371"/>
      <c r="DF4" s="371"/>
      <c r="DG4" s="371"/>
      <c r="DH4" s="371"/>
      <c r="DI4" s="371"/>
      <c r="DJ4" s="371"/>
      <c r="DK4" s="371"/>
      <c r="DL4" s="371"/>
      <c r="DM4" s="371"/>
      <c r="DN4" s="371"/>
      <c r="DO4" s="371"/>
      <c r="DP4" s="371"/>
      <c r="DQ4" s="371"/>
      <c r="DR4" s="371"/>
      <c r="DS4" s="371"/>
      <c r="DT4" s="371"/>
      <c r="DU4" s="371"/>
      <c r="DV4" s="371"/>
      <c r="DW4" s="371"/>
      <c r="DX4" s="371"/>
      <c r="DY4" s="371"/>
      <c r="DZ4" s="371"/>
      <c r="EA4" s="371"/>
      <c r="EB4" s="371"/>
      <c r="EC4" s="371"/>
      <c r="ED4" s="371"/>
      <c r="EE4" s="371"/>
      <c r="EF4" s="371"/>
      <c r="EG4" s="371"/>
      <c r="EH4" s="371"/>
      <c r="EI4" s="371"/>
      <c r="EJ4" s="371"/>
      <c r="EK4" s="371"/>
      <c r="EL4" s="371"/>
      <c r="EM4" s="371"/>
      <c r="EN4" s="371"/>
      <c r="EO4" s="371"/>
      <c r="EP4" s="371"/>
      <c r="EQ4" s="371"/>
      <c r="ER4" s="371"/>
      <c r="ES4" s="371"/>
      <c r="ET4" s="371"/>
      <c r="EU4" s="371"/>
      <c r="EV4" s="371"/>
      <c r="EW4" s="371"/>
      <c r="EX4" s="371"/>
      <c r="EY4" s="371"/>
      <c r="EZ4" s="371"/>
      <c r="FA4" s="371"/>
      <c r="FB4" s="371"/>
      <c r="FC4" s="371"/>
      <c r="FD4" s="371"/>
      <c r="FE4" s="371"/>
      <c r="FF4" s="371"/>
      <c r="FG4" s="371"/>
      <c r="FH4" s="371"/>
      <c r="FI4" s="371"/>
      <c r="FJ4" s="371"/>
      <c r="FK4" s="371"/>
      <c r="FL4" s="371"/>
      <c r="FM4" s="371"/>
      <c r="FN4" s="371"/>
      <c r="FO4" s="371"/>
      <c r="FP4" s="371"/>
      <c r="FQ4" s="371"/>
      <c r="FR4" s="371"/>
      <c r="FS4" s="371"/>
      <c r="FT4" s="371"/>
      <c r="FU4" s="371"/>
      <c r="FV4" s="371"/>
      <c r="FW4" s="371"/>
      <c r="FX4" s="371"/>
      <c r="FY4" s="371"/>
      <c r="FZ4" s="371"/>
      <c r="GA4" s="371"/>
      <c r="GB4" s="371"/>
      <c r="GC4" s="371"/>
      <c r="GD4" s="371"/>
      <c r="GE4" s="371"/>
      <c r="GF4" s="371"/>
      <c r="GG4" s="371"/>
      <c r="GH4" s="371"/>
      <c r="GI4" s="371"/>
      <c r="GJ4" s="371"/>
      <c r="GK4" s="371"/>
      <c r="GL4" s="371"/>
      <c r="GM4" s="371"/>
      <c r="GN4" s="371"/>
      <c r="GO4" s="371"/>
      <c r="GP4" s="371"/>
      <c r="GQ4" s="371"/>
      <c r="GR4" s="371"/>
      <c r="GS4" s="371"/>
      <c r="GT4" s="371"/>
      <c r="GU4" s="371"/>
      <c r="GV4" s="371"/>
      <c r="GW4" s="371"/>
      <c r="GX4" s="371"/>
      <c r="GY4" s="371"/>
      <c r="GZ4" s="371"/>
      <c r="HA4" s="371"/>
      <c r="HB4" s="371"/>
      <c r="HC4" s="371"/>
      <c r="HD4" s="371"/>
      <c r="HE4" s="371"/>
      <c r="HF4" s="371"/>
      <c r="HG4" s="371"/>
      <c r="HH4" s="371"/>
      <c r="HI4" s="371"/>
      <c r="HJ4" s="371"/>
      <c r="HK4" s="371"/>
      <c r="HL4" s="371"/>
      <c r="HM4" s="371"/>
      <c r="HN4" s="371"/>
      <c r="HO4" s="371"/>
      <c r="HP4" s="371"/>
      <c r="HQ4" s="371"/>
      <c r="HR4" s="371"/>
      <c r="HS4" s="371"/>
      <c r="HT4" s="371"/>
      <c r="HU4" s="371"/>
      <c r="HV4" s="371"/>
      <c r="HW4" s="371"/>
      <c r="HX4" s="371"/>
      <c r="HY4" s="371"/>
      <c r="HZ4" s="371"/>
      <c r="IA4" s="371"/>
      <c r="IB4" s="371"/>
      <c r="IC4" s="371"/>
      <c r="ID4" s="371"/>
      <c r="IE4" s="371"/>
      <c r="IF4" s="371"/>
      <c r="IG4" s="371"/>
      <c r="IH4" s="371"/>
      <c r="II4" s="371"/>
      <c r="IJ4" s="371"/>
      <c r="IK4" s="371"/>
      <c r="IL4" s="371"/>
      <c r="IM4" s="371"/>
      <c r="IN4" s="371"/>
      <c r="IO4" s="371"/>
      <c r="IP4" s="371"/>
      <c r="IQ4" s="371"/>
      <c r="IR4" s="371"/>
      <c r="IS4" s="371"/>
      <c r="IT4" s="371"/>
      <c r="IU4" s="371"/>
      <c r="IV4" s="371"/>
    </row>
    <row r="5" spans="1:256" x14ac:dyDescent="0.2">
      <c r="A5" s="365"/>
      <c r="B5" s="368"/>
      <c r="C5" s="368"/>
      <c r="D5" s="372"/>
      <c r="E5" s="372"/>
      <c r="F5" s="368"/>
      <c r="G5" s="370"/>
      <c r="H5" s="368"/>
      <c r="I5" s="370"/>
      <c r="J5" s="371"/>
      <c r="K5" s="371"/>
      <c r="L5" s="371"/>
      <c r="M5" s="371"/>
      <c r="N5" s="371"/>
      <c r="O5" s="371"/>
      <c r="P5" s="371"/>
      <c r="Q5" s="371"/>
      <c r="R5" s="371"/>
      <c r="S5" s="371"/>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row>
    <row r="6" spans="1:256" ht="25.5" x14ac:dyDescent="0.2">
      <c r="A6" s="365"/>
      <c r="B6" s="375" t="s">
        <v>1313</v>
      </c>
      <c r="C6" s="795" t="str">
        <f>СВОД!B42</f>
        <v>Сети связи и сигнализации</v>
      </c>
      <c r="D6" s="795"/>
      <c r="E6" s="795"/>
      <c r="F6" s="376"/>
      <c r="G6" s="376"/>
      <c r="H6" s="376"/>
      <c r="I6" s="376"/>
      <c r="J6" s="371"/>
      <c r="K6" s="371"/>
      <c r="L6" s="371"/>
      <c r="M6" s="371"/>
      <c r="N6" s="371"/>
      <c r="O6" s="371"/>
      <c r="P6" s="371"/>
      <c r="Q6" s="371"/>
      <c r="R6" s="371"/>
      <c r="S6" s="371"/>
      <c r="T6" s="371"/>
      <c r="U6" s="371"/>
      <c r="V6" s="371"/>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71"/>
      <c r="BF6" s="371"/>
      <c r="BG6" s="371"/>
      <c r="BH6" s="371"/>
      <c r="BI6" s="371"/>
      <c r="BJ6" s="371"/>
      <c r="BK6" s="371"/>
      <c r="BL6" s="371"/>
      <c r="BM6" s="371"/>
      <c r="BN6" s="371"/>
      <c r="BO6" s="371"/>
      <c r="BP6" s="371"/>
      <c r="BQ6" s="371"/>
      <c r="BR6" s="371"/>
      <c r="BS6" s="371"/>
      <c r="BT6" s="371"/>
      <c r="BU6" s="371"/>
      <c r="BV6" s="371"/>
      <c r="BW6" s="371"/>
      <c r="BX6" s="371"/>
      <c r="BY6" s="371"/>
      <c r="BZ6" s="371"/>
      <c r="CA6" s="371"/>
      <c r="CB6" s="371"/>
      <c r="CC6" s="371"/>
      <c r="CD6" s="371"/>
      <c r="CE6" s="371"/>
      <c r="CF6" s="371"/>
      <c r="CG6" s="371"/>
      <c r="CH6" s="371"/>
      <c r="CI6" s="371"/>
      <c r="CJ6" s="371"/>
      <c r="CK6" s="371"/>
      <c r="CL6" s="371"/>
      <c r="CM6" s="371"/>
      <c r="CN6" s="371"/>
      <c r="CO6" s="371"/>
      <c r="CP6" s="371"/>
      <c r="CQ6" s="371"/>
      <c r="CR6" s="371"/>
      <c r="CS6" s="371"/>
      <c r="CT6" s="371"/>
      <c r="CU6" s="371"/>
      <c r="CV6" s="371"/>
      <c r="CW6" s="371"/>
      <c r="CX6" s="371"/>
      <c r="CY6" s="371"/>
      <c r="CZ6" s="371"/>
      <c r="DA6" s="371"/>
      <c r="DB6" s="371"/>
      <c r="DC6" s="371"/>
      <c r="DD6" s="371"/>
      <c r="DE6" s="371"/>
      <c r="DF6" s="371"/>
      <c r="DG6" s="371"/>
      <c r="DH6" s="371"/>
      <c r="DI6" s="371"/>
      <c r="DJ6" s="371"/>
      <c r="DK6" s="371"/>
      <c r="DL6" s="371"/>
      <c r="DM6" s="371"/>
      <c r="DN6" s="371"/>
      <c r="DO6" s="371"/>
      <c r="DP6" s="371"/>
      <c r="DQ6" s="371"/>
      <c r="DR6" s="371"/>
      <c r="DS6" s="371"/>
      <c r="DT6" s="371"/>
      <c r="DU6" s="371"/>
      <c r="DV6" s="371"/>
      <c r="DW6" s="371"/>
      <c r="DX6" s="371"/>
      <c r="DY6" s="371"/>
      <c r="DZ6" s="371"/>
      <c r="EA6" s="371"/>
      <c r="EB6" s="371"/>
      <c r="EC6" s="371"/>
      <c r="ED6" s="371"/>
      <c r="EE6" s="371"/>
      <c r="EF6" s="371"/>
      <c r="EG6" s="371"/>
      <c r="EH6" s="371"/>
      <c r="EI6" s="371"/>
      <c r="EJ6" s="371"/>
      <c r="EK6" s="371"/>
      <c r="EL6" s="371"/>
      <c r="EM6" s="371"/>
      <c r="EN6" s="371"/>
      <c r="EO6" s="371"/>
      <c r="EP6" s="371"/>
      <c r="EQ6" s="371"/>
      <c r="ER6" s="371"/>
      <c r="ES6" s="371"/>
      <c r="ET6" s="371"/>
      <c r="EU6" s="371"/>
      <c r="EV6" s="371"/>
      <c r="EW6" s="371"/>
      <c r="EX6" s="371"/>
      <c r="EY6" s="371"/>
      <c r="EZ6" s="371"/>
      <c r="FA6" s="371"/>
      <c r="FB6" s="371"/>
      <c r="FC6" s="371"/>
      <c r="FD6" s="371"/>
      <c r="FE6" s="371"/>
      <c r="FF6" s="371"/>
      <c r="FG6" s="371"/>
      <c r="FH6" s="371"/>
      <c r="FI6" s="371"/>
      <c r="FJ6" s="371"/>
      <c r="FK6" s="371"/>
      <c r="FL6" s="371"/>
      <c r="FM6" s="371"/>
      <c r="FN6" s="371"/>
      <c r="FO6" s="371"/>
      <c r="FP6" s="371"/>
      <c r="FQ6" s="371"/>
      <c r="FR6" s="371"/>
      <c r="FS6" s="371"/>
      <c r="FT6" s="371"/>
      <c r="FU6" s="371"/>
      <c r="FV6" s="371"/>
      <c r="FW6" s="371"/>
      <c r="FX6" s="371"/>
      <c r="FY6" s="371"/>
      <c r="FZ6" s="371"/>
      <c r="GA6" s="371"/>
      <c r="GB6" s="371"/>
      <c r="GC6" s="371"/>
      <c r="GD6" s="371"/>
      <c r="GE6" s="371"/>
      <c r="GF6" s="371"/>
      <c r="GG6" s="371"/>
      <c r="GH6" s="371"/>
      <c r="GI6" s="371"/>
      <c r="GJ6" s="371"/>
      <c r="GK6" s="371"/>
      <c r="GL6" s="371"/>
      <c r="GM6" s="371"/>
      <c r="GN6" s="371"/>
      <c r="GO6" s="371"/>
      <c r="GP6" s="371"/>
      <c r="GQ6" s="371"/>
      <c r="GR6" s="371"/>
      <c r="GS6" s="371"/>
      <c r="GT6" s="371"/>
      <c r="GU6" s="371"/>
      <c r="GV6" s="371"/>
      <c r="GW6" s="371"/>
      <c r="GX6" s="371"/>
      <c r="GY6" s="371"/>
      <c r="GZ6" s="371"/>
      <c r="HA6" s="371"/>
      <c r="HB6" s="371"/>
      <c r="HC6" s="371"/>
      <c r="HD6" s="371"/>
      <c r="HE6" s="371"/>
      <c r="HF6" s="371"/>
      <c r="HG6" s="371"/>
      <c r="HH6" s="371"/>
      <c r="HI6" s="371"/>
      <c r="HJ6" s="371"/>
      <c r="HK6" s="371"/>
      <c r="HL6" s="371"/>
      <c r="HM6" s="371"/>
      <c r="HN6" s="371"/>
      <c r="HO6" s="371"/>
      <c r="HP6" s="371"/>
      <c r="HQ6" s="371"/>
      <c r="HR6" s="371"/>
      <c r="HS6" s="371"/>
      <c r="HT6" s="371"/>
      <c r="HU6" s="371"/>
      <c r="HV6" s="371"/>
      <c r="HW6" s="371"/>
      <c r="HX6" s="371"/>
      <c r="HY6" s="371"/>
      <c r="HZ6" s="371"/>
      <c r="IA6" s="371"/>
      <c r="IB6" s="371"/>
      <c r="IC6" s="371"/>
      <c r="ID6" s="371"/>
      <c r="IE6" s="371"/>
      <c r="IF6" s="371"/>
      <c r="IG6" s="371"/>
      <c r="IH6" s="371"/>
      <c r="II6" s="371"/>
      <c r="IJ6" s="371"/>
      <c r="IK6" s="371"/>
      <c r="IL6" s="371"/>
      <c r="IM6" s="371"/>
      <c r="IN6" s="371"/>
      <c r="IO6" s="371"/>
      <c r="IP6" s="371"/>
      <c r="IQ6" s="371"/>
      <c r="IR6" s="371"/>
      <c r="IS6" s="371"/>
      <c r="IT6" s="371"/>
      <c r="IU6" s="371"/>
      <c r="IV6" s="371"/>
    </row>
    <row r="7" spans="1:256" x14ac:dyDescent="0.2">
      <c r="A7" s="365"/>
      <c r="B7" s="377"/>
      <c r="C7" s="378" t="s">
        <v>1475</v>
      </c>
      <c r="D7" s="389"/>
      <c r="E7" s="379"/>
      <c r="F7" s="378"/>
      <c r="G7" s="378"/>
      <c r="H7" s="378"/>
      <c r="I7" s="378"/>
      <c r="J7" s="380"/>
      <c r="K7" s="380"/>
      <c r="L7" s="380"/>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0"/>
      <c r="CH7" s="380"/>
      <c r="CI7" s="380"/>
      <c r="CJ7" s="380"/>
      <c r="CK7" s="380"/>
      <c r="CL7" s="380"/>
      <c r="CM7" s="380"/>
      <c r="CN7" s="380"/>
      <c r="CO7" s="380"/>
      <c r="CP7" s="380"/>
      <c r="CQ7" s="380"/>
      <c r="CR7" s="380"/>
      <c r="CS7" s="380"/>
      <c r="CT7" s="380"/>
      <c r="CU7" s="380"/>
      <c r="CV7" s="380"/>
      <c r="CW7" s="380"/>
      <c r="CX7" s="380"/>
      <c r="CY7" s="380"/>
      <c r="CZ7" s="380"/>
      <c r="DA7" s="380"/>
      <c r="DB7" s="380"/>
      <c r="DC7" s="380"/>
      <c r="DD7" s="380"/>
      <c r="DE7" s="380"/>
      <c r="DF7" s="380"/>
      <c r="DG7" s="380"/>
      <c r="DH7" s="380"/>
      <c r="DI7" s="380"/>
      <c r="DJ7" s="380"/>
      <c r="DK7" s="380"/>
      <c r="DL7" s="380"/>
      <c r="DM7" s="380"/>
      <c r="DN7" s="380"/>
      <c r="DO7" s="380"/>
      <c r="DP7" s="380"/>
      <c r="DQ7" s="380"/>
      <c r="DR7" s="380"/>
      <c r="DS7" s="380"/>
      <c r="DT7" s="380"/>
      <c r="DU7" s="380"/>
      <c r="DV7" s="380"/>
      <c r="DW7" s="380"/>
      <c r="DX7" s="380"/>
      <c r="DY7" s="380"/>
      <c r="DZ7" s="380"/>
      <c r="EA7" s="380"/>
      <c r="EB7" s="380"/>
      <c r="EC7" s="380"/>
      <c r="ED7" s="380"/>
      <c r="EE7" s="380"/>
      <c r="EF7" s="380"/>
      <c r="EG7" s="380"/>
      <c r="EH7" s="380"/>
      <c r="EI7" s="380"/>
      <c r="EJ7" s="380"/>
      <c r="EK7" s="380"/>
      <c r="EL7" s="380"/>
      <c r="EM7" s="380"/>
      <c r="EN7" s="380"/>
      <c r="EO7" s="380"/>
      <c r="EP7" s="380"/>
      <c r="EQ7" s="380"/>
      <c r="ER7" s="380"/>
      <c r="ES7" s="380"/>
      <c r="ET7" s="380"/>
      <c r="EU7" s="380"/>
      <c r="EV7" s="380"/>
      <c r="EW7" s="380"/>
      <c r="EX7" s="380"/>
      <c r="EY7" s="380"/>
      <c r="EZ7" s="380"/>
      <c r="FA7" s="380"/>
      <c r="FB7" s="380"/>
      <c r="FC7" s="380"/>
      <c r="FD7" s="380"/>
      <c r="FE7" s="380"/>
      <c r="FF7" s="380"/>
      <c r="FG7" s="380"/>
      <c r="FH7" s="380"/>
      <c r="FI7" s="380"/>
      <c r="FJ7" s="380"/>
      <c r="FK7" s="380"/>
      <c r="FL7" s="380"/>
      <c r="FM7" s="380"/>
      <c r="FN7" s="380"/>
      <c r="FO7" s="380"/>
      <c r="FP7" s="380"/>
      <c r="FQ7" s="380"/>
      <c r="FR7" s="380"/>
      <c r="FS7" s="380"/>
      <c r="FT7" s="380"/>
      <c r="FU7" s="380"/>
      <c r="FV7" s="380"/>
      <c r="FW7" s="380"/>
      <c r="FX7" s="380"/>
      <c r="FY7" s="380"/>
      <c r="FZ7" s="380"/>
      <c r="GA7" s="380"/>
      <c r="GB7" s="380"/>
      <c r="GC7" s="380"/>
      <c r="GD7" s="380"/>
      <c r="GE7" s="380"/>
      <c r="GF7" s="380"/>
      <c r="GG7" s="380"/>
      <c r="GH7" s="380"/>
      <c r="GI7" s="380"/>
      <c r="GJ7" s="380"/>
      <c r="GK7" s="380"/>
      <c r="GL7" s="380"/>
      <c r="GM7" s="380"/>
      <c r="GN7" s="380"/>
      <c r="GO7" s="380"/>
      <c r="GP7" s="380"/>
      <c r="GQ7" s="380"/>
      <c r="GR7" s="380"/>
      <c r="GS7" s="380"/>
      <c r="GT7" s="380"/>
      <c r="GU7" s="380"/>
      <c r="GV7" s="380"/>
      <c r="GW7" s="380"/>
      <c r="GX7" s="380"/>
      <c r="GY7" s="380"/>
      <c r="GZ7" s="380"/>
      <c r="HA7" s="380"/>
      <c r="HB7" s="380"/>
      <c r="HC7" s="380"/>
      <c r="HD7" s="380"/>
      <c r="HE7" s="380"/>
      <c r="HF7" s="380"/>
      <c r="HG7" s="380"/>
      <c r="HH7" s="380"/>
      <c r="HI7" s="380"/>
      <c r="HJ7" s="380"/>
      <c r="HK7" s="380"/>
      <c r="HL7" s="380"/>
      <c r="HM7" s="380"/>
      <c r="HN7" s="380"/>
      <c r="HO7" s="380"/>
      <c r="HP7" s="380"/>
      <c r="HQ7" s="380"/>
      <c r="HR7" s="380"/>
      <c r="HS7" s="380"/>
      <c r="HT7" s="380"/>
      <c r="HU7" s="380"/>
      <c r="HV7" s="380"/>
      <c r="HW7" s="380"/>
      <c r="HX7" s="380"/>
      <c r="HY7" s="380"/>
      <c r="HZ7" s="380"/>
      <c r="IA7" s="380"/>
      <c r="IB7" s="380"/>
      <c r="IC7" s="380"/>
      <c r="ID7" s="380"/>
      <c r="IE7" s="380"/>
      <c r="IF7" s="380"/>
      <c r="IG7" s="380"/>
      <c r="IH7" s="380"/>
      <c r="II7" s="380"/>
      <c r="IJ7" s="380"/>
      <c r="IK7" s="380"/>
      <c r="IL7" s="380"/>
      <c r="IM7" s="380"/>
      <c r="IN7" s="380"/>
      <c r="IO7" s="380"/>
      <c r="IP7" s="380"/>
      <c r="IQ7" s="380"/>
      <c r="IR7" s="380"/>
      <c r="IS7" s="380"/>
      <c r="IT7" s="380"/>
      <c r="IU7" s="380"/>
      <c r="IV7" s="380"/>
    </row>
    <row r="8" spans="1:256" x14ac:dyDescent="0.2">
      <c r="A8" s="365"/>
      <c r="B8" s="381" t="s">
        <v>1314</v>
      </c>
      <c r="C8" s="377" t="str">
        <f>СВОД!D14</f>
        <v>Определяется по итогам конкурентных процедур</v>
      </c>
      <c r="D8" s="389"/>
      <c r="E8" s="382"/>
      <c r="F8" s="383"/>
      <c r="G8" s="384"/>
      <c r="H8" s="377"/>
      <c r="I8" s="385"/>
      <c r="J8" s="371"/>
      <c r="K8" s="371"/>
      <c r="L8" s="371"/>
      <c r="M8" s="371"/>
      <c r="N8" s="371"/>
      <c r="O8" s="371"/>
      <c r="P8" s="371"/>
      <c r="Q8" s="371"/>
      <c r="R8" s="371"/>
      <c r="S8" s="371"/>
      <c r="T8" s="371"/>
      <c r="U8" s="371"/>
      <c r="V8" s="371"/>
      <c r="W8" s="371"/>
      <c r="X8" s="371"/>
      <c r="Y8" s="371"/>
      <c r="Z8" s="371"/>
      <c r="AA8" s="371"/>
      <c r="AB8" s="371"/>
      <c r="AC8" s="371"/>
      <c r="AD8" s="371"/>
      <c r="AE8" s="371"/>
      <c r="AF8" s="371"/>
      <c r="AG8" s="371"/>
      <c r="AH8" s="371"/>
      <c r="AI8" s="371"/>
      <c r="AJ8" s="371"/>
      <c r="AK8" s="371"/>
      <c r="AL8" s="371"/>
      <c r="AM8" s="371"/>
      <c r="AN8" s="371"/>
      <c r="AO8" s="371"/>
      <c r="AP8" s="371"/>
      <c r="AQ8" s="371"/>
      <c r="AR8" s="371"/>
      <c r="AS8" s="371"/>
      <c r="AT8" s="371"/>
      <c r="AU8" s="371"/>
      <c r="AV8" s="371"/>
      <c r="AW8" s="371"/>
      <c r="AX8" s="371"/>
      <c r="AY8" s="371"/>
      <c r="AZ8" s="371"/>
      <c r="BA8" s="371"/>
      <c r="BB8" s="371"/>
      <c r="BC8" s="371"/>
      <c r="BD8" s="371"/>
      <c r="BE8" s="371"/>
      <c r="BF8" s="371"/>
      <c r="BG8" s="371"/>
      <c r="BH8" s="371"/>
      <c r="BI8" s="371"/>
      <c r="BJ8" s="371"/>
      <c r="BK8" s="371"/>
      <c r="BL8" s="371"/>
      <c r="BM8" s="371"/>
      <c r="BN8" s="371"/>
      <c r="BO8" s="371"/>
      <c r="BP8" s="371"/>
      <c r="BQ8" s="371"/>
      <c r="BR8" s="371"/>
      <c r="BS8" s="371"/>
      <c r="BT8" s="371"/>
      <c r="BU8" s="371"/>
      <c r="BV8" s="371"/>
      <c r="BW8" s="371"/>
      <c r="BX8" s="371"/>
      <c r="BY8" s="371"/>
      <c r="BZ8" s="371"/>
      <c r="CA8" s="371"/>
      <c r="CB8" s="371"/>
      <c r="CC8" s="371"/>
      <c r="CD8" s="371"/>
      <c r="CE8" s="371"/>
      <c r="CF8" s="371"/>
      <c r="CG8" s="371"/>
      <c r="CH8" s="371"/>
      <c r="CI8" s="371"/>
      <c r="CJ8" s="371"/>
      <c r="CK8" s="371"/>
      <c r="CL8" s="371"/>
      <c r="CM8" s="371"/>
      <c r="CN8" s="371"/>
      <c r="CO8" s="371"/>
      <c r="CP8" s="371"/>
      <c r="CQ8" s="371"/>
      <c r="CR8" s="371"/>
      <c r="CS8" s="371"/>
      <c r="CT8" s="371"/>
      <c r="CU8" s="371"/>
      <c r="CV8" s="371"/>
      <c r="CW8" s="371"/>
      <c r="CX8" s="371"/>
      <c r="CY8" s="371"/>
      <c r="CZ8" s="371"/>
      <c r="DA8" s="371"/>
      <c r="DB8" s="371"/>
      <c r="DC8" s="371"/>
      <c r="DD8" s="371"/>
      <c r="DE8" s="371"/>
      <c r="DF8" s="371"/>
      <c r="DG8" s="371"/>
      <c r="DH8" s="371"/>
      <c r="DI8" s="371"/>
      <c r="DJ8" s="371"/>
      <c r="DK8" s="371"/>
      <c r="DL8" s="371"/>
      <c r="DM8" s="371"/>
      <c r="DN8" s="371"/>
      <c r="DO8" s="371"/>
      <c r="DP8" s="371"/>
      <c r="DQ8" s="371"/>
      <c r="DR8" s="371"/>
      <c r="DS8" s="371"/>
      <c r="DT8" s="371"/>
      <c r="DU8" s="371"/>
      <c r="DV8" s="371"/>
      <c r="DW8" s="371"/>
      <c r="DX8" s="371"/>
      <c r="DY8" s="371"/>
      <c r="DZ8" s="371"/>
      <c r="EA8" s="371"/>
      <c r="EB8" s="371"/>
      <c r="EC8" s="371"/>
      <c r="ED8" s="371"/>
      <c r="EE8" s="371"/>
      <c r="EF8" s="371"/>
      <c r="EG8" s="371"/>
      <c r="EH8" s="371"/>
      <c r="EI8" s="371"/>
      <c r="EJ8" s="371"/>
      <c r="EK8" s="371"/>
      <c r="EL8" s="371"/>
      <c r="EM8" s="371"/>
      <c r="EN8" s="371"/>
      <c r="EO8" s="371"/>
      <c r="EP8" s="371"/>
      <c r="EQ8" s="371"/>
      <c r="ER8" s="371"/>
      <c r="ES8" s="371"/>
      <c r="ET8" s="371"/>
      <c r="EU8" s="371"/>
      <c r="EV8" s="371"/>
      <c r="EW8" s="371"/>
      <c r="EX8" s="371"/>
      <c r="EY8" s="371"/>
      <c r="EZ8" s="371"/>
      <c r="FA8" s="371"/>
      <c r="FB8" s="371"/>
      <c r="FC8" s="371"/>
      <c r="FD8" s="371"/>
      <c r="FE8" s="371"/>
      <c r="FF8" s="371"/>
      <c r="FG8" s="371"/>
      <c r="FH8" s="371"/>
      <c r="FI8" s="371"/>
      <c r="FJ8" s="371"/>
      <c r="FK8" s="371"/>
      <c r="FL8" s="371"/>
      <c r="FM8" s="371"/>
      <c r="FN8" s="371"/>
      <c r="FO8" s="371"/>
      <c r="FP8" s="371"/>
      <c r="FQ8" s="371"/>
      <c r="FR8" s="371"/>
      <c r="FS8" s="371"/>
      <c r="FT8" s="371"/>
      <c r="FU8" s="371"/>
      <c r="FV8" s="371"/>
      <c r="FW8" s="371"/>
      <c r="FX8" s="371"/>
      <c r="FY8" s="371"/>
      <c r="FZ8" s="371"/>
      <c r="GA8" s="371"/>
      <c r="GB8" s="371"/>
      <c r="GC8" s="371"/>
      <c r="GD8" s="371"/>
      <c r="GE8" s="371"/>
      <c r="GF8" s="371"/>
      <c r="GG8" s="371"/>
      <c r="GH8" s="371"/>
      <c r="GI8" s="371"/>
      <c r="GJ8" s="371"/>
      <c r="GK8" s="371"/>
      <c r="GL8" s="371"/>
      <c r="GM8" s="371"/>
      <c r="GN8" s="371"/>
      <c r="GO8" s="371"/>
      <c r="GP8" s="371"/>
      <c r="GQ8" s="371"/>
      <c r="GR8" s="371"/>
      <c r="GS8" s="371"/>
      <c r="GT8" s="371"/>
      <c r="GU8" s="371"/>
      <c r="GV8" s="371"/>
      <c r="GW8" s="371"/>
      <c r="GX8" s="371"/>
      <c r="GY8" s="371"/>
      <c r="GZ8" s="371"/>
      <c r="HA8" s="371"/>
      <c r="HB8" s="371"/>
      <c r="HC8" s="371"/>
      <c r="HD8" s="371"/>
      <c r="HE8" s="371"/>
      <c r="HF8" s="371"/>
      <c r="HG8" s="371"/>
      <c r="HH8" s="371"/>
      <c r="HI8" s="371"/>
      <c r="HJ8" s="371"/>
      <c r="HK8" s="371"/>
      <c r="HL8" s="371"/>
      <c r="HM8" s="371"/>
      <c r="HN8" s="371"/>
      <c r="HO8" s="371"/>
      <c r="HP8" s="371"/>
      <c r="HQ8" s="371"/>
      <c r="HR8" s="371"/>
      <c r="HS8" s="371"/>
      <c r="HT8" s="371"/>
      <c r="HU8" s="371"/>
      <c r="HV8" s="371"/>
      <c r="HW8" s="371"/>
      <c r="HX8" s="371"/>
      <c r="HY8" s="371"/>
      <c r="HZ8" s="371"/>
      <c r="IA8" s="371"/>
      <c r="IB8" s="371"/>
      <c r="IC8" s="371"/>
      <c r="ID8" s="371"/>
      <c r="IE8" s="371"/>
      <c r="IF8" s="371"/>
      <c r="IG8" s="371"/>
      <c r="IH8" s="371"/>
      <c r="II8" s="371"/>
      <c r="IJ8" s="371"/>
      <c r="IK8" s="371"/>
      <c r="IL8" s="371"/>
      <c r="IM8" s="371"/>
      <c r="IN8" s="371"/>
      <c r="IO8" s="371"/>
      <c r="IP8" s="371"/>
      <c r="IQ8" s="371"/>
      <c r="IR8" s="371"/>
      <c r="IS8" s="371"/>
      <c r="IT8" s="371"/>
      <c r="IU8" s="371"/>
      <c r="IV8" s="371"/>
    </row>
    <row r="9" spans="1:256" x14ac:dyDescent="0.2">
      <c r="A9" s="365"/>
      <c r="B9" s="381" t="s">
        <v>1315</v>
      </c>
      <c r="C9" s="368"/>
      <c r="D9" s="389"/>
      <c r="E9" s="382"/>
      <c r="F9" s="383"/>
      <c r="G9" s="386"/>
      <c r="H9" s="387"/>
      <c r="I9" s="386"/>
      <c r="J9" s="371"/>
      <c r="K9" s="371"/>
      <c r="L9" s="371"/>
      <c r="M9" s="371"/>
      <c r="N9" s="371"/>
      <c r="O9" s="371"/>
      <c r="P9" s="371"/>
      <c r="Q9" s="371"/>
      <c r="R9" s="371"/>
      <c r="S9" s="371"/>
      <c r="T9" s="371"/>
      <c r="U9" s="371"/>
      <c r="V9" s="371"/>
      <c r="W9" s="371"/>
      <c r="X9" s="371"/>
      <c r="Y9" s="371"/>
      <c r="Z9" s="371"/>
      <c r="AA9" s="371"/>
      <c r="AB9" s="371"/>
      <c r="AC9" s="371"/>
      <c r="AD9" s="371"/>
      <c r="AE9" s="371"/>
      <c r="AF9" s="371"/>
      <c r="AG9" s="371"/>
      <c r="AH9" s="371"/>
      <c r="AI9" s="371"/>
      <c r="AJ9" s="371"/>
      <c r="AK9" s="371"/>
      <c r="AL9" s="371"/>
      <c r="AM9" s="371"/>
      <c r="AN9" s="371"/>
      <c r="AO9" s="371"/>
      <c r="AP9" s="371"/>
      <c r="AQ9" s="371"/>
      <c r="AR9" s="371"/>
      <c r="AS9" s="371"/>
      <c r="AT9" s="371"/>
      <c r="AU9" s="371"/>
      <c r="AV9" s="371"/>
      <c r="AW9" s="371"/>
      <c r="AX9" s="371"/>
      <c r="AY9" s="371"/>
      <c r="AZ9" s="371"/>
      <c r="BA9" s="371"/>
      <c r="BB9" s="371"/>
      <c r="BC9" s="371"/>
      <c r="BD9" s="371"/>
      <c r="BE9" s="371"/>
      <c r="BF9" s="371"/>
      <c r="BG9" s="371"/>
      <c r="BH9" s="371"/>
      <c r="BI9" s="371"/>
      <c r="BJ9" s="371"/>
      <c r="BK9" s="371"/>
      <c r="BL9" s="371"/>
      <c r="BM9" s="371"/>
      <c r="BN9" s="371"/>
      <c r="BO9" s="371"/>
      <c r="BP9" s="371"/>
      <c r="BQ9" s="371"/>
      <c r="BR9" s="371"/>
      <c r="BS9" s="371"/>
      <c r="BT9" s="371"/>
      <c r="BU9" s="371"/>
      <c r="BV9" s="371"/>
      <c r="BW9" s="371"/>
      <c r="BX9" s="371"/>
      <c r="BY9" s="371"/>
      <c r="BZ9" s="371"/>
      <c r="CA9" s="371"/>
      <c r="CB9" s="371"/>
      <c r="CC9" s="371"/>
      <c r="CD9" s="371"/>
      <c r="CE9" s="371"/>
      <c r="CF9" s="371"/>
      <c r="CG9" s="371"/>
      <c r="CH9" s="371"/>
      <c r="CI9" s="371"/>
      <c r="CJ9" s="371"/>
      <c r="CK9" s="371"/>
      <c r="CL9" s="371"/>
      <c r="CM9" s="371"/>
      <c r="CN9" s="371"/>
      <c r="CO9" s="371"/>
      <c r="CP9" s="371"/>
      <c r="CQ9" s="371"/>
      <c r="CR9" s="371"/>
      <c r="CS9" s="371"/>
      <c r="CT9" s="371"/>
      <c r="CU9" s="371"/>
      <c r="CV9" s="371"/>
      <c r="CW9" s="371"/>
      <c r="CX9" s="371"/>
      <c r="CY9" s="371"/>
      <c r="CZ9" s="371"/>
      <c r="DA9" s="371"/>
      <c r="DB9" s="371"/>
      <c r="DC9" s="371"/>
      <c r="DD9" s="371"/>
      <c r="DE9" s="371"/>
      <c r="DF9" s="371"/>
      <c r="DG9" s="371"/>
      <c r="DH9" s="371"/>
      <c r="DI9" s="371"/>
      <c r="DJ9" s="371"/>
      <c r="DK9" s="371"/>
      <c r="DL9" s="371"/>
      <c r="DM9" s="371"/>
      <c r="DN9" s="371"/>
      <c r="DO9" s="371"/>
      <c r="DP9" s="371"/>
      <c r="DQ9" s="371"/>
      <c r="DR9" s="371"/>
      <c r="DS9" s="371"/>
      <c r="DT9" s="371"/>
      <c r="DU9" s="371"/>
      <c r="DV9" s="371"/>
      <c r="DW9" s="371"/>
      <c r="DX9" s="371"/>
      <c r="DY9" s="371"/>
      <c r="DZ9" s="371"/>
      <c r="EA9" s="371"/>
      <c r="EB9" s="371"/>
      <c r="EC9" s="371"/>
      <c r="ED9" s="371"/>
      <c r="EE9" s="371"/>
      <c r="EF9" s="371"/>
      <c r="EG9" s="371"/>
      <c r="EH9" s="371"/>
      <c r="EI9" s="371"/>
      <c r="EJ9" s="371"/>
      <c r="EK9" s="371"/>
      <c r="EL9" s="371"/>
      <c r="EM9" s="371"/>
      <c r="EN9" s="371"/>
      <c r="EO9" s="371"/>
      <c r="EP9" s="371"/>
      <c r="EQ9" s="371"/>
      <c r="ER9" s="371"/>
      <c r="ES9" s="371"/>
      <c r="ET9" s="371"/>
      <c r="EU9" s="371"/>
      <c r="EV9" s="371"/>
      <c r="EW9" s="371"/>
      <c r="EX9" s="371"/>
      <c r="EY9" s="371"/>
      <c r="EZ9" s="371"/>
      <c r="FA9" s="371"/>
      <c r="FB9" s="371"/>
      <c r="FC9" s="371"/>
      <c r="FD9" s="371"/>
      <c r="FE9" s="371"/>
      <c r="FF9" s="371"/>
      <c r="FG9" s="371"/>
      <c r="FH9" s="371"/>
      <c r="FI9" s="371"/>
      <c r="FJ9" s="371"/>
      <c r="FK9" s="371"/>
      <c r="FL9" s="371"/>
      <c r="FM9" s="371"/>
      <c r="FN9" s="371"/>
      <c r="FO9" s="371"/>
      <c r="FP9" s="371"/>
      <c r="FQ9" s="371"/>
      <c r="FR9" s="371"/>
      <c r="FS9" s="371"/>
      <c r="FT9" s="371"/>
      <c r="FU9" s="371"/>
      <c r="FV9" s="371"/>
      <c r="FW9" s="371"/>
      <c r="FX9" s="371"/>
      <c r="FY9" s="371"/>
      <c r="FZ9" s="371"/>
      <c r="GA9" s="371"/>
      <c r="GB9" s="371"/>
      <c r="GC9" s="371"/>
      <c r="GD9" s="371"/>
      <c r="GE9" s="371"/>
      <c r="GF9" s="371"/>
      <c r="GG9" s="371"/>
      <c r="GH9" s="371"/>
      <c r="GI9" s="371"/>
      <c r="GJ9" s="371"/>
      <c r="GK9" s="371"/>
      <c r="GL9" s="371"/>
      <c r="GM9" s="371"/>
      <c r="GN9" s="371"/>
      <c r="GO9" s="371"/>
      <c r="GP9" s="371"/>
      <c r="GQ9" s="371"/>
      <c r="GR9" s="371"/>
      <c r="GS9" s="371"/>
      <c r="GT9" s="371"/>
      <c r="GU9" s="371"/>
      <c r="GV9" s="371"/>
      <c r="GW9" s="371"/>
      <c r="GX9" s="371"/>
      <c r="GY9" s="371"/>
      <c r="GZ9" s="371"/>
      <c r="HA9" s="371"/>
      <c r="HB9" s="371"/>
      <c r="HC9" s="371"/>
      <c r="HD9" s="371"/>
      <c r="HE9" s="371"/>
      <c r="HF9" s="371"/>
      <c r="HG9" s="371"/>
      <c r="HH9" s="371"/>
      <c r="HI9" s="371"/>
      <c r="HJ9" s="371"/>
      <c r="HK9" s="371"/>
      <c r="HL9" s="371"/>
      <c r="HM9" s="371"/>
      <c r="HN9" s="371"/>
      <c r="HO9" s="371"/>
      <c r="HP9" s="371"/>
      <c r="HQ9" s="371"/>
      <c r="HR9" s="371"/>
      <c r="HS9" s="371"/>
      <c r="HT9" s="371"/>
      <c r="HU9" s="371"/>
      <c r="HV9" s="371"/>
      <c r="HW9" s="371"/>
      <c r="HX9" s="371"/>
      <c r="HY9" s="371"/>
      <c r="HZ9" s="371"/>
      <c r="IA9" s="371"/>
      <c r="IB9" s="371"/>
      <c r="IC9" s="371"/>
      <c r="ID9" s="371"/>
      <c r="IE9" s="371"/>
      <c r="IF9" s="371"/>
      <c r="IG9" s="371"/>
      <c r="IH9" s="371"/>
      <c r="II9" s="371"/>
      <c r="IJ9" s="371"/>
      <c r="IK9" s="371"/>
      <c r="IL9" s="371"/>
      <c r="IM9" s="371"/>
      <c r="IN9" s="371"/>
      <c r="IO9" s="371"/>
      <c r="IP9" s="371"/>
      <c r="IQ9" s="371"/>
      <c r="IR9" s="371"/>
      <c r="IS9" s="371"/>
      <c r="IT9" s="371"/>
      <c r="IU9" s="371"/>
      <c r="IV9" s="371"/>
    </row>
    <row r="10" spans="1:256" x14ac:dyDescent="0.2">
      <c r="A10" s="365"/>
      <c r="B10" s="381"/>
      <c r="C10" s="377"/>
      <c r="D10" s="389"/>
      <c r="E10" s="382"/>
      <c r="F10" s="383"/>
      <c r="G10" s="386"/>
      <c r="H10" s="387"/>
      <c r="I10" s="386"/>
      <c r="J10" s="371"/>
      <c r="K10" s="371"/>
      <c r="L10" s="371"/>
      <c r="M10" s="371"/>
      <c r="N10" s="371"/>
      <c r="O10" s="371"/>
      <c r="P10" s="371"/>
      <c r="Q10" s="371"/>
      <c r="R10" s="371"/>
      <c r="S10" s="371"/>
      <c r="T10" s="371"/>
      <c r="U10" s="371"/>
      <c r="V10" s="371"/>
      <c r="W10" s="371"/>
      <c r="X10" s="371"/>
      <c r="Y10" s="371"/>
      <c r="Z10" s="371"/>
      <c r="AA10" s="371"/>
      <c r="AB10" s="371"/>
      <c r="AC10" s="371"/>
      <c r="AD10" s="371"/>
      <c r="AE10" s="371"/>
      <c r="AF10" s="371"/>
      <c r="AG10" s="371"/>
      <c r="AH10" s="371"/>
      <c r="AI10" s="371"/>
      <c r="AJ10" s="371"/>
      <c r="AK10" s="371"/>
      <c r="AL10" s="371"/>
      <c r="AM10" s="371"/>
      <c r="AN10" s="371"/>
      <c r="AO10" s="371"/>
      <c r="AP10" s="371"/>
      <c r="AQ10" s="371"/>
      <c r="AR10" s="371"/>
      <c r="AS10" s="371"/>
      <c r="AT10" s="371"/>
      <c r="AU10" s="371"/>
      <c r="AV10" s="371"/>
      <c r="AW10" s="371"/>
      <c r="AX10" s="371"/>
      <c r="AY10" s="371"/>
      <c r="AZ10" s="371"/>
      <c r="BA10" s="371"/>
      <c r="BB10" s="371"/>
      <c r="BC10" s="371"/>
      <c r="BD10" s="371"/>
      <c r="BE10" s="371"/>
      <c r="BF10" s="371"/>
      <c r="BG10" s="371"/>
      <c r="BH10" s="371"/>
      <c r="BI10" s="371"/>
      <c r="BJ10" s="371"/>
      <c r="BK10" s="371"/>
      <c r="BL10" s="371"/>
      <c r="BM10" s="371"/>
      <c r="BN10" s="371"/>
      <c r="BO10" s="371"/>
      <c r="BP10" s="371"/>
      <c r="BQ10" s="371"/>
      <c r="BR10" s="371"/>
      <c r="BS10" s="371"/>
      <c r="BT10" s="371"/>
      <c r="BU10" s="371"/>
      <c r="BV10" s="371"/>
      <c r="BW10" s="371"/>
      <c r="BX10" s="371"/>
      <c r="BY10" s="371"/>
      <c r="BZ10" s="371"/>
      <c r="CA10" s="371"/>
      <c r="CB10" s="371"/>
      <c r="CC10" s="371"/>
      <c r="CD10" s="371"/>
      <c r="CE10" s="371"/>
      <c r="CF10" s="371"/>
      <c r="CG10" s="371"/>
      <c r="CH10" s="371"/>
      <c r="CI10" s="371"/>
      <c r="CJ10" s="371"/>
      <c r="CK10" s="371"/>
      <c r="CL10" s="371"/>
      <c r="CM10" s="371"/>
      <c r="CN10" s="371"/>
      <c r="CO10" s="371"/>
      <c r="CP10" s="371"/>
      <c r="CQ10" s="371"/>
      <c r="CR10" s="371"/>
      <c r="CS10" s="371"/>
      <c r="CT10" s="371"/>
      <c r="CU10" s="371"/>
      <c r="CV10" s="371"/>
      <c r="CW10" s="371"/>
      <c r="CX10" s="371"/>
      <c r="CY10" s="371"/>
      <c r="CZ10" s="371"/>
      <c r="DA10" s="371"/>
      <c r="DB10" s="371"/>
      <c r="DC10" s="371"/>
      <c r="DD10" s="371"/>
      <c r="DE10" s="371"/>
      <c r="DF10" s="371"/>
      <c r="DG10" s="371"/>
      <c r="DH10" s="371"/>
      <c r="DI10" s="371"/>
      <c r="DJ10" s="371"/>
      <c r="DK10" s="371"/>
      <c r="DL10" s="371"/>
      <c r="DM10" s="371"/>
      <c r="DN10" s="371"/>
      <c r="DO10" s="371"/>
      <c r="DP10" s="371"/>
      <c r="DQ10" s="371"/>
      <c r="DR10" s="371"/>
      <c r="DS10" s="371"/>
      <c r="DT10" s="371"/>
      <c r="DU10" s="371"/>
      <c r="DV10" s="371"/>
      <c r="DW10" s="371"/>
      <c r="DX10" s="371"/>
      <c r="DY10" s="371"/>
      <c r="DZ10" s="371"/>
      <c r="EA10" s="371"/>
      <c r="EB10" s="371"/>
      <c r="EC10" s="371"/>
      <c r="ED10" s="371"/>
      <c r="EE10" s="371"/>
      <c r="EF10" s="371"/>
      <c r="EG10" s="371"/>
      <c r="EH10" s="371"/>
      <c r="EI10" s="371"/>
      <c r="EJ10" s="371"/>
      <c r="EK10" s="371"/>
      <c r="EL10" s="371"/>
      <c r="EM10" s="371"/>
      <c r="EN10" s="371"/>
      <c r="EO10" s="371"/>
      <c r="EP10" s="371"/>
      <c r="EQ10" s="371"/>
      <c r="ER10" s="371"/>
      <c r="ES10" s="371"/>
      <c r="ET10" s="371"/>
      <c r="EU10" s="371"/>
      <c r="EV10" s="371"/>
      <c r="EW10" s="371"/>
      <c r="EX10" s="371"/>
      <c r="EY10" s="371"/>
      <c r="EZ10" s="371"/>
      <c r="FA10" s="371"/>
      <c r="FB10" s="371"/>
      <c r="FC10" s="371"/>
      <c r="FD10" s="371"/>
      <c r="FE10" s="371"/>
      <c r="FF10" s="371"/>
      <c r="FG10" s="371"/>
      <c r="FH10" s="371"/>
      <c r="FI10" s="371"/>
      <c r="FJ10" s="371"/>
      <c r="FK10" s="371"/>
      <c r="FL10" s="371"/>
      <c r="FM10" s="371"/>
      <c r="FN10" s="371"/>
      <c r="FO10" s="371"/>
      <c r="FP10" s="371"/>
      <c r="FQ10" s="371"/>
      <c r="FR10" s="371"/>
      <c r="FS10" s="371"/>
      <c r="FT10" s="371"/>
      <c r="FU10" s="371"/>
      <c r="FV10" s="371"/>
      <c r="FW10" s="371"/>
      <c r="FX10" s="371"/>
      <c r="FY10" s="371"/>
      <c r="FZ10" s="371"/>
      <c r="GA10" s="371"/>
      <c r="GB10" s="371"/>
      <c r="GC10" s="371"/>
      <c r="GD10" s="371"/>
      <c r="GE10" s="371"/>
      <c r="GF10" s="371"/>
      <c r="GG10" s="371"/>
      <c r="GH10" s="371"/>
      <c r="GI10" s="371"/>
      <c r="GJ10" s="371"/>
      <c r="GK10" s="371"/>
      <c r="GL10" s="371"/>
      <c r="GM10" s="371"/>
      <c r="GN10" s="371"/>
      <c r="GO10" s="371"/>
      <c r="GP10" s="371"/>
      <c r="GQ10" s="371"/>
      <c r="GR10" s="371"/>
      <c r="GS10" s="371"/>
      <c r="GT10" s="371"/>
      <c r="GU10" s="371"/>
      <c r="GV10" s="371"/>
      <c r="GW10" s="371"/>
      <c r="GX10" s="371"/>
      <c r="GY10" s="371"/>
      <c r="GZ10" s="371"/>
      <c r="HA10" s="371"/>
      <c r="HB10" s="371"/>
      <c r="HC10" s="371"/>
      <c r="HD10" s="371"/>
      <c r="HE10" s="371"/>
      <c r="HF10" s="371"/>
      <c r="HG10" s="371"/>
      <c r="HH10" s="371"/>
      <c r="HI10" s="371"/>
      <c r="HJ10" s="371"/>
      <c r="HK10" s="371"/>
      <c r="HL10" s="371"/>
      <c r="HM10" s="371"/>
      <c r="HN10" s="371"/>
      <c r="HO10" s="371"/>
      <c r="HP10" s="371"/>
      <c r="HQ10" s="371"/>
      <c r="HR10" s="371"/>
      <c r="HS10" s="371"/>
      <c r="HT10" s="371"/>
      <c r="HU10" s="371"/>
      <c r="HV10" s="371"/>
      <c r="HW10" s="371"/>
      <c r="HX10" s="371"/>
      <c r="HY10" s="371"/>
      <c r="HZ10" s="371"/>
      <c r="IA10" s="371"/>
      <c r="IB10" s="371"/>
      <c r="IC10" s="371"/>
      <c r="ID10" s="371"/>
      <c r="IE10" s="371"/>
      <c r="IF10" s="371"/>
      <c r="IG10" s="371"/>
      <c r="IH10" s="371"/>
      <c r="II10" s="371"/>
      <c r="IJ10" s="371"/>
      <c r="IK10" s="371"/>
      <c r="IL10" s="371"/>
      <c r="IM10" s="371"/>
      <c r="IN10" s="371"/>
      <c r="IO10" s="371"/>
      <c r="IP10" s="371"/>
      <c r="IQ10" s="371"/>
      <c r="IR10" s="371"/>
      <c r="IS10" s="371"/>
      <c r="IT10" s="371"/>
      <c r="IU10" s="371"/>
      <c r="IV10" s="371"/>
    </row>
    <row r="11" spans="1:256" x14ac:dyDescent="0.2">
      <c r="A11" s="365"/>
      <c r="B11" s="388" t="s">
        <v>1316</v>
      </c>
      <c r="C11" s="377" t="str">
        <f>СВОД!D16</f>
        <v>ООО «Газпром проектирование»</v>
      </c>
      <c r="D11" s="389"/>
      <c r="E11" s="382"/>
      <c r="F11" s="387"/>
      <c r="G11" s="386"/>
      <c r="H11" s="387"/>
      <c r="I11" s="386"/>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1"/>
      <c r="BR11" s="371"/>
      <c r="BS11" s="371"/>
      <c r="BT11" s="371"/>
      <c r="BU11" s="371"/>
      <c r="BV11" s="371"/>
      <c r="BW11" s="371"/>
      <c r="BX11" s="371"/>
      <c r="BY11" s="371"/>
      <c r="BZ11" s="371"/>
      <c r="CA11" s="371"/>
      <c r="CB11" s="371"/>
      <c r="CC11" s="371"/>
      <c r="CD11" s="371"/>
      <c r="CE11" s="371"/>
      <c r="CF11" s="371"/>
      <c r="CG11" s="371"/>
      <c r="CH11" s="371"/>
      <c r="CI11" s="371"/>
      <c r="CJ11" s="371"/>
      <c r="CK11" s="371"/>
      <c r="CL11" s="371"/>
      <c r="CM11" s="371"/>
      <c r="CN11" s="371"/>
      <c r="CO11" s="371"/>
      <c r="CP11" s="371"/>
      <c r="CQ11" s="371"/>
      <c r="CR11" s="371"/>
      <c r="CS11" s="371"/>
      <c r="CT11" s="371"/>
      <c r="CU11" s="371"/>
      <c r="CV11" s="371"/>
      <c r="CW11" s="371"/>
      <c r="CX11" s="371"/>
      <c r="CY11" s="371"/>
      <c r="CZ11" s="371"/>
      <c r="DA11" s="371"/>
      <c r="DB11" s="371"/>
      <c r="DC11" s="371"/>
      <c r="DD11" s="371"/>
      <c r="DE11" s="371"/>
      <c r="DF11" s="371"/>
      <c r="DG11" s="371"/>
      <c r="DH11" s="371"/>
      <c r="DI11" s="371"/>
      <c r="DJ11" s="371"/>
      <c r="DK11" s="371"/>
      <c r="DL11" s="371"/>
      <c r="DM11" s="371"/>
      <c r="DN11" s="371"/>
      <c r="DO11" s="371"/>
      <c r="DP11" s="371"/>
      <c r="DQ11" s="371"/>
      <c r="DR11" s="371"/>
      <c r="DS11" s="371"/>
      <c r="DT11" s="371"/>
      <c r="DU11" s="371"/>
      <c r="DV11" s="371"/>
      <c r="DW11" s="371"/>
      <c r="DX11" s="371"/>
      <c r="DY11" s="371"/>
      <c r="DZ11" s="371"/>
      <c r="EA11" s="371"/>
      <c r="EB11" s="371"/>
      <c r="EC11" s="371"/>
      <c r="ED11" s="371"/>
      <c r="EE11" s="371"/>
      <c r="EF11" s="371"/>
      <c r="EG11" s="371"/>
      <c r="EH11" s="371"/>
      <c r="EI11" s="371"/>
      <c r="EJ11" s="371"/>
      <c r="EK11" s="371"/>
      <c r="EL11" s="371"/>
      <c r="EM11" s="371"/>
      <c r="EN11" s="371"/>
      <c r="EO11" s="371"/>
      <c r="EP11" s="371"/>
      <c r="EQ11" s="371"/>
      <c r="ER11" s="371"/>
      <c r="ES11" s="371"/>
      <c r="ET11" s="371"/>
      <c r="EU11" s="371"/>
      <c r="EV11" s="371"/>
      <c r="EW11" s="371"/>
      <c r="EX11" s="371"/>
      <c r="EY11" s="371"/>
      <c r="EZ11" s="371"/>
      <c r="FA11" s="371"/>
      <c r="FB11" s="371"/>
      <c r="FC11" s="371"/>
      <c r="FD11" s="371"/>
      <c r="FE11" s="371"/>
      <c r="FF11" s="371"/>
      <c r="FG11" s="371"/>
      <c r="FH11" s="371"/>
      <c r="FI11" s="371"/>
      <c r="FJ11" s="371"/>
      <c r="FK11" s="371"/>
      <c r="FL11" s="371"/>
      <c r="FM11" s="371"/>
      <c r="FN11" s="371"/>
      <c r="FO11" s="371"/>
      <c r="FP11" s="371"/>
      <c r="FQ11" s="371"/>
      <c r="FR11" s="371"/>
      <c r="FS11" s="371"/>
      <c r="FT11" s="371"/>
      <c r="FU11" s="371"/>
      <c r="FV11" s="371"/>
      <c r="FW11" s="371"/>
      <c r="FX11" s="371"/>
      <c r="FY11" s="371"/>
      <c r="FZ11" s="371"/>
      <c r="GA11" s="371"/>
      <c r="GB11" s="371"/>
      <c r="GC11" s="371"/>
      <c r="GD11" s="371"/>
      <c r="GE11" s="371"/>
      <c r="GF11" s="371"/>
      <c r="GG11" s="371"/>
      <c r="GH11" s="371"/>
      <c r="GI11" s="371"/>
      <c r="GJ11" s="371"/>
      <c r="GK11" s="371"/>
      <c r="GL11" s="371"/>
      <c r="GM11" s="371"/>
      <c r="GN11" s="371"/>
      <c r="GO11" s="371"/>
      <c r="GP11" s="371"/>
      <c r="GQ11" s="371"/>
      <c r="GR11" s="371"/>
      <c r="GS11" s="371"/>
      <c r="GT11" s="371"/>
      <c r="GU11" s="371"/>
      <c r="GV11" s="371"/>
      <c r="GW11" s="371"/>
      <c r="GX11" s="371"/>
      <c r="GY11" s="371"/>
      <c r="GZ11" s="371"/>
      <c r="HA11" s="371"/>
      <c r="HB11" s="371"/>
      <c r="HC11" s="371"/>
      <c r="HD11" s="371"/>
      <c r="HE11" s="371"/>
      <c r="HF11" s="371"/>
      <c r="HG11" s="371"/>
      <c r="HH11" s="371"/>
      <c r="HI11" s="371"/>
      <c r="HJ11" s="371"/>
      <c r="HK11" s="371"/>
      <c r="HL11" s="371"/>
      <c r="HM11" s="371"/>
      <c r="HN11" s="371"/>
      <c r="HO11" s="371"/>
      <c r="HP11" s="371"/>
      <c r="HQ11" s="371"/>
      <c r="HR11" s="371"/>
      <c r="HS11" s="371"/>
      <c r="HT11" s="371"/>
      <c r="HU11" s="371"/>
      <c r="HV11" s="371"/>
      <c r="HW11" s="371"/>
      <c r="HX11" s="371"/>
      <c r="HY11" s="371"/>
      <c r="HZ11" s="371"/>
      <c r="IA11" s="371"/>
      <c r="IB11" s="371"/>
      <c r="IC11" s="371"/>
      <c r="ID11" s="371"/>
      <c r="IE11" s="371"/>
      <c r="IF11" s="371"/>
      <c r="IG11" s="371"/>
      <c r="IH11" s="371"/>
      <c r="II11" s="371"/>
      <c r="IJ11" s="371"/>
      <c r="IK11" s="371"/>
      <c r="IL11" s="371"/>
      <c r="IM11" s="371"/>
      <c r="IN11" s="371"/>
      <c r="IO11" s="371"/>
      <c r="IP11" s="371"/>
      <c r="IQ11" s="371"/>
      <c r="IR11" s="371"/>
      <c r="IS11" s="371"/>
      <c r="IT11" s="371"/>
      <c r="IU11" s="371"/>
      <c r="IV11" s="371"/>
    </row>
    <row r="12" spans="1:256" x14ac:dyDescent="0.2">
      <c r="A12" s="365"/>
      <c r="B12" s="388" t="s">
        <v>1317</v>
      </c>
      <c r="C12" s="377"/>
      <c r="D12" s="389"/>
      <c r="E12" s="389"/>
      <c r="F12" s="387"/>
      <c r="G12" s="386"/>
      <c r="H12" s="387"/>
      <c r="I12" s="386"/>
      <c r="J12" s="371"/>
      <c r="K12" s="371"/>
      <c r="L12" s="371"/>
      <c r="M12" s="371"/>
      <c r="N12" s="371"/>
      <c r="O12" s="371"/>
      <c r="P12" s="371"/>
      <c r="Q12" s="371"/>
      <c r="R12" s="371"/>
      <c r="S12" s="371"/>
      <c r="T12" s="371"/>
      <c r="U12" s="371"/>
      <c r="V12" s="371"/>
      <c r="W12" s="371"/>
      <c r="X12" s="371"/>
      <c r="Y12" s="371"/>
      <c r="Z12" s="371"/>
      <c r="AA12" s="371"/>
      <c r="AB12" s="371"/>
      <c r="AC12" s="371"/>
      <c r="AD12" s="371"/>
      <c r="AE12" s="371"/>
      <c r="AF12" s="371"/>
      <c r="AG12" s="371"/>
      <c r="AH12" s="371"/>
      <c r="AI12" s="371"/>
      <c r="AJ12" s="371"/>
      <c r="AK12" s="371"/>
      <c r="AL12" s="371"/>
      <c r="AM12" s="371"/>
      <c r="AN12" s="371"/>
      <c r="AO12" s="371"/>
      <c r="AP12" s="371"/>
      <c r="AQ12" s="371"/>
      <c r="AR12" s="371"/>
      <c r="AS12" s="371"/>
      <c r="AT12" s="371"/>
      <c r="AU12" s="371"/>
      <c r="AV12" s="371"/>
      <c r="AW12" s="371"/>
      <c r="AX12" s="371"/>
      <c r="AY12" s="371"/>
      <c r="AZ12" s="371"/>
      <c r="BA12" s="371"/>
      <c r="BB12" s="371"/>
      <c r="BC12" s="371"/>
      <c r="BD12" s="371"/>
      <c r="BE12" s="371"/>
      <c r="BF12" s="371"/>
      <c r="BG12" s="371"/>
      <c r="BH12" s="371"/>
      <c r="BI12" s="371"/>
      <c r="BJ12" s="371"/>
      <c r="BK12" s="371"/>
      <c r="BL12" s="371"/>
      <c r="BM12" s="371"/>
      <c r="BN12" s="371"/>
      <c r="BO12" s="371"/>
      <c r="BP12" s="371"/>
      <c r="BQ12" s="371"/>
      <c r="BR12" s="371"/>
      <c r="BS12" s="371"/>
      <c r="BT12" s="371"/>
      <c r="BU12" s="371"/>
      <c r="BV12" s="371"/>
      <c r="BW12" s="371"/>
      <c r="BX12" s="371"/>
      <c r="BY12" s="371"/>
      <c r="BZ12" s="371"/>
      <c r="CA12" s="371"/>
      <c r="CB12" s="371"/>
      <c r="CC12" s="371"/>
      <c r="CD12" s="371"/>
      <c r="CE12" s="371"/>
      <c r="CF12" s="371"/>
      <c r="CG12" s="371"/>
      <c r="CH12" s="371"/>
      <c r="CI12" s="371"/>
      <c r="CJ12" s="371"/>
      <c r="CK12" s="371"/>
      <c r="CL12" s="371"/>
      <c r="CM12" s="371"/>
      <c r="CN12" s="371"/>
      <c r="CO12" s="371"/>
      <c r="CP12" s="371"/>
      <c r="CQ12" s="371"/>
      <c r="CR12" s="371"/>
      <c r="CS12" s="371"/>
      <c r="CT12" s="371"/>
      <c r="CU12" s="371"/>
      <c r="CV12" s="371"/>
      <c r="CW12" s="371"/>
      <c r="CX12" s="371"/>
      <c r="CY12" s="371"/>
      <c r="CZ12" s="371"/>
      <c r="DA12" s="371"/>
      <c r="DB12" s="371"/>
      <c r="DC12" s="371"/>
      <c r="DD12" s="371"/>
      <c r="DE12" s="371"/>
      <c r="DF12" s="371"/>
      <c r="DG12" s="371"/>
      <c r="DH12" s="371"/>
      <c r="DI12" s="371"/>
      <c r="DJ12" s="371"/>
      <c r="DK12" s="371"/>
      <c r="DL12" s="371"/>
      <c r="DM12" s="371"/>
      <c r="DN12" s="371"/>
      <c r="DO12" s="371"/>
      <c r="DP12" s="371"/>
      <c r="DQ12" s="371"/>
      <c r="DR12" s="371"/>
      <c r="DS12" s="371"/>
      <c r="DT12" s="371"/>
      <c r="DU12" s="371"/>
      <c r="DV12" s="371"/>
      <c r="DW12" s="371"/>
      <c r="DX12" s="371"/>
      <c r="DY12" s="371"/>
      <c r="DZ12" s="371"/>
      <c r="EA12" s="371"/>
      <c r="EB12" s="371"/>
      <c r="EC12" s="371"/>
      <c r="ED12" s="371"/>
      <c r="EE12" s="371"/>
      <c r="EF12" s="371"/>
      <c r="EG12" s="371"/>
      <c r="EH12" s="371"/>
      <c r="EI12" s="371"/>
      <c r="EJ12" s="371"/>
      <c r="EK12" s="371"/>
      <c r="EL12" s="371"/>
      <c r="EM12" s="371"/>
      <c r="EN12" s="371"/>
      <c r="EO12" s="371"/>
      <c r="EP12" s="371"/>
      <c r="EQ12" s="371"/>
      <c r="ER12" s="371"/>
      <c r="ES12" s="371"/>
      <c r="ET12" s="371"/>
      <c r="EU12" s="371"/>
      <c r="EV12" s="371"/>
      <c r="EW12" s="371"/>
      <c r="EX12" s="371"/>
      <c r="EY12" s="371"/>
      <c r="EZ12" s="371"/>
      <c r="FA12" s="371"/>
      <c r="FB12" s="371"/>
      <c r="FC12" s="371"/>
      <c r="FD12" s="371"/>
      <c r="FE12" s="371"/>
      <c r="FF12" s="371"/>
      <c r="FG12" s="371"/>
      <c r="FH12" s="371"/>
      <c r="FI12" s="371"/>
      <c r="FJ12" s="371"/>
      <c r="FK12" s="371"/>
      <c r="FL12" s="371"/>
      <c r="FM12" s="371"/>
      <c r="FN12" s="371"/>
      <c r="FO12" s="371"/>
      <c r="FP12" s="371"/>
      <c r="FQ12" s="371"/>
      <c r="FR12" s="371"/>
      <c r="FS12" s="371"/>
      <c r="FT12" s="371"/>
      <c r="FU12" s="371"/>
      <c r="FV12" s="371"/>
      <c r="FW12" s="371"/>
      <c r="FX12" s="371"/>
      <c r="FY12" s="371"/>
      <c r="FZ12" s="371"/>
      <c r="GA12" s="371"/>
      <c r="GB12" s="371"/>
      <c r="GC12" s="371"/>
      <c r="GD12" s="371"/>
      <c r="GE12" s="371"/>
      <c r="GF12" s="371"/>
      <c r="GG12" s="371"/>
      <c r="GH12" s="371"/>
      <c r="GI12" s="371"/>
      <c r="GJ12" s="371"/>
      <c r="GK12" s="371"/>
      <c r="GL12" s="371"/>
      <c r="GM12" s="371"/>
      <c r="GN12" s="371"/>
      <c r="GO12" s="371"/>
      <c r="GP12" s="371"/>
      <c r="GQ12" s="371"/>
      <c r="GR12" s="371"/>
      <c r="GS12" s="371"/>
      <c r="GT12" s="371"/>
      <c r="GU12" s="371"/>
      <c r="GV12" s="371"/>
      <c r="GW12" s="371"/>
      <c r="GX12" s="371"/>
      <c r="GY12" s="371"/>
      <c r="GZ12" s="371"/>
      <c r="HA12" s="371"/>
      <c r="HB12" s="371"/>
      <c r="HC12" s="371"/>
      <c r="HD12" s="371"/>
      <c r="HE12" s="371"/>
      <c r="HF12" s="371"/>
      <c r="HG12" s="371"/>
      <c r="HH12" s="371"/>
      <c r="HI12" s="371"/>
      <c r="HJ12" s="371"/>
      <c r="HK12" s="371"/>
      <c r="HL12" s="371"/>
      <c r="HM12" s="371"/>
      <c r="HN12" s="371"/>
      <c r="HO12" s="371"/>
      <c r="HP12" s="371"/>
      <c r="HQ12" s="371"/>
      <c r="HR12" s="371"/>
      <c r="HS12" s="371"/>
      <c r="HT12" s="371"/>
      <c r="HU12" s="371"/>
      <c r="HV12" s="371"/>
      <c r="HW12" s="371"/>
      <c r="HX12" s="371"/>
      <c r="HY12" s="371"/>
      <c r="HZ12" s="371"/>
      <c r="IA12" s="371"/>
      <c r="IB12" s="371"/>
      <c r="IC12" s="371"/>
      <c r="ID12" s="371"/>
      <c r="IE12" s="371"/>
      <c r="IF12" s="371"/>
      <c r="IG12" s="371"/>
      <c r="IH12" s="371"/>
      <c r="II12" s="371"/>
      <c r="IJ12" s="371"/>
      <c r="IK12" s="371"/>
      <c r="IL12" s="371"/>
      <c r="IM12" s="371"/>
      <c r="IN12" s="371"/>
      <c r="IO12" s="371"/>
      <c r="IP12" s="371"/>
      <c r="IQ12" s="371"/>
      <c r="IR12" s="371"/>
      <c r="IS12" s="371"/>
      <c r="IT12" s="371"/>
      <c r="IU12" s="371"/>
      <c r="IV12" s="371"/>
    </row>
    <row r="13" spans="1:256" x14ac:dyDescent="0.2">
      <c r="A13" s="365"/>
      <c r="B13" s="390" t="s">
        <v>15</v>
      </c>
      <c r="C13" s="368"/>
      <c r="D13" s="372"/>
      <c r="E13" s="372"/>
      <c r="F13" s="368"/>
      <c r="G13" s="390"/>
      <c r="H13" s="370"/>
      <c r="I13" s="370"/>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371"/>
      <c r="AN13" s="371"/>
      <c r="AO13" s="371"/>
      <c r="AP13" s="371"/>
      <c r="AQ13" s="371"/>
      <c r="AR13" s="371"/>
      <c r="AS13" s="371"/>
      <c r="AT13" s="371"/>
      <c r="AU13" s="371"/>
      <c r="AV13" s="371"/>
      <c r="AW13" s="371"/>
      <c r="AX13" s="371"/>
      <c r="AY13" s="371"/>
      <c r="AZ13" s="371"/>
      <c r="BA13" s="371"/>
      <c r="BB13" s="371"/>
      <c r="BC13" s="371"/>
      <c r="BD13" s="371"/>
      <c r="BE13" s="371"/>
      <c r="BF13" s="371"/>
      <c r="BG13" s="371"/>
      <c r="BH13" s="371"/>
      <c r="BI13" s="371"/>
      <c r="BJ13" s="371"/>
      <c r="BK13" s="371"/>
      <c r="BL13" s="371"/>
      <c r="BM13" s="371"/>
      <c r="BN13" s="371"/>
      <c r="BO13" s="371"/>
      <c r="BP13" s="371"/>
      <c r="BQ13" s="371"/>
      <c r="BR13" s="371"/>
      <c r="BS13" s="371"/>
      <c r="BT13" s="371"/>
      <c r="BU13" s="371"/>
      <c r="BV13" s="371"/>
      <c r="BW13" s="371"/>
      <c r="BX13" s="371"/>
      <c r="BY13" s="371"/>
      <c r="BZ13" s="371"/>
      <c r="CA13" s="371"/>
      <c r="CB13" s="371"/>
      <c r="CC13" s="371"/>
      <c r="CD13" s="371"/>
      <c r="CE13" s="371"/>
      <c r="CF13" s="371"/>
      <c r="CG13" s="371"/>
      <c r="CH13" s="371"/>
      <c r="CI13" s="371"/>
      <c r="CJ13" s="371"/>
      <c r="CK13" s="371"/>
      <c r="CL13" s="371"/>
      <c r="CM13" s="371"/>
      <c r="CN13" s="371"/>
      <c r="CO13" s="371"/>
      <c r="CP13" s="371"/>
      <c r="CQ13" s="371"/>
      <c r="CR13" s="371"/>
      <c r="CS13" s="371"/>
      <c r="CT13" s="371"/>
      <c r="CU13" s="371"/>
      <c r="CV13" s="371"/>
      <c r="CW13" s="371"/>
      <c r="CX13" s="371"/>
      <c r="CY13" s="371"/>
      <c r="CZ13" s="371"/>
      <c r="DA13" s="371"/>
      <c r="DB13" s="371"/>
      <c r="DC13" s="371"/>
      <c r="DD13" s="371"/>
      <c r="DE13" s="371"/>
      <c r="DF13" s="371"/>
      <c r="DG13" s="371"/>
      <c r="DH13" s="371"/>
      <c r="DI13" s="371"/>
      <c r="DJ13" s="371"/>
      <c r="DK13" s="371"/>
      <c r="DL13" s="371"/>
      <c r="DM13" s="371"/>
      <c r="DN13" s="371"/>
      <c r="DO13" s="371"/>
      <c r="DP13" s="371"/>
      <c r="DQ13" s="371"/>
      <c r="DR13" s="371"/>
      <c r="DS13" s="371"/>
      <c r="DT13" s="371"/>
      <c r="DU13" s="371"/>
      <c r="DV13" s="371"/>
      <c r="DW13" s="371"/>
      <c r="DX13" s="371"/>
      <c r="DY13" s="371"/>
      <c r="DZ13" s="371"/>
      <c r="EA13" s="371"/>
      <c r="EB13" s="371"/>
      <c r="EC13" s="371"/>
      <c r="ED13" s="371"/>
      <c r="EE13" s="371"/>
      <c r="EF13" s="371"/>
      <c r="EG13" s="371"/>
      <c r="EH13" s="371"/>
      <c r="EI13" s="371"/>
      <c r="EJ13" s="371"/>
      <c r="EK13" s="371"/>
      <c r="EL13" s="371"/>
      <c r="EM13" s="371"/>
      <c r="EN13" s="371"/>
      <c r="EO13" s="371"/>
      <c r="EP13" s="371"/>
      <c r="EQ13" s="371"/>
      <c r="ER13" s="371"/>
      <c r="ES13" s="371"/>
      <c r="ET13" s="371"/>
      <c r="EU13" s="371"/>
      <c r="EV13" s="371"/>
      <c r="EW13" s="371"/>
      <c r="EX13" s="371"/>
      <c r="EY13" s="371"/>
      <c r="EZ13" s="371"/>
      <c r="FA13" s="371"/>
      <c r="FB13" s="371"/>
      <c r="FC13" s="371"/>
      <c r="FD13" s="371"/>
      <c r="FE13" s="371"/>
      <c r="FF13" s="371"/>
      <c r="FG13" s="371"/>
      <c r="FH13" s="371"/>
      <c r="FI13" s="371"/>
      <c r="FJ13" s="371"/>
      <c r="FK13" s="371"/>
      <c r="FL13" s="371"/>
      <c r="FM13" s="371"/>
      <c r="FN13" s="371"/>
      <c r="FO13" s="371"/>
      <c r="FP13" s="371"/>
      <c r="FQ13" s="371"/>
      <c r="FR13" s="371"/>
      <c r="FS13" s="371"/>
      <c r="FT13" s="371"/>
      <c r="FU13" s="371"/>
      <c r="FV13" s="371"/>
      <c r="FW13" s="371"/>
      <c r="FX13" s="371"/>
      <c r="FY13" s="371"/>
      <c r="FZ13" s="371"/>
      <c r="GA13" s="371"/>
      <c r="GB13" s="371"/>
      <c r="GC13" s="371"/>
      <c r="GD13" s="371"/>
      <c r="GE13" s="371"/>
      <c r="GF13" s="371"/>
      <c r="GG13" s="371"/>
      <c r="GH13" s="371"/>
      <c r="GI13" s="371"/>
      <c r="GJ13" s="371"/>
      <c r="GK13" s="371"/>
      <c r="GL13" s="371"/>
      <c r="GM13" s="371"/>
      <c r="GN13" s="371"/>
      <c r="GO13" s="371"/>
      <c r="GP13" s="371"/>
      <c r="GQ13" s="371"/>
      <c r="GR13" s="371"/>
      <c r="GS13" s="371"/>
      <c r="GT13" s="371"/>
      <c r="GU13" s="371"/>
      <c r="GV13" s="371"/>
      <c r="GW13" s="371"/>
      <c r="GX13" s="371"/>
      <c r="GY13" s="371"/>
      <c r="GZ13" s="371"/>
      <c r="HA13" s="371"/>
      <c r="HB13" s="371"/>
      <c r="HC13" s="371"/>
      <c r="HD13" s="371"/>
      <c r="HE13" s="371"/>
      <c r="HF13" s="371"/>
      <c r="HG13" s="371"/>
      <c r="HH13" s="371"/>
      <c r="HI13" s="371"/>
      <c r="HJ13" s="371"/>
      <c r="HK13" s="371"/>
      <c r="HL13" s="371"/>
      <c r="HM13" s="371"/>
      <c r="HN13" s="371"/>
      <c r="HO13" s="371"/>
      <c r="HP13" s="371"/>
      <c r="HQ13" s="371"/>
      <c r="HR13" s="371"/>
      <c r="HS13" s="371"/>
      <c r="HT13" s="371"/>
      <c r="HU13" s="371"/>
      <c r="HV13" s="371"/>
      <c r="HW13" s="371"/>
      <c r="HX13" s="371"/>
      <c r="HY13" s="371"/>
      <c r="HZ13" s="371"/>
      <c r="IA13" s="371"/>
      <c r="IB13" s="371"/>
      <c r="IC13" s="371"/>
      <c r="ID13" s="371"/>
      <c r="IE13" s="371"/>
      <c r="IF13" s="371"/>
      <c r="IG13" s="371"/>
      <c r="IH13" s="371"/>
      <c r="II13" s="371"/>
      <c r="IJ13" s="371"/>
      <c r="IK13" s="371"/>
      <c r="IL13" s="371"/>
      <c r="IM13" s="371"/>
      <c r="IN13" s="371"/>
      <c r="IO13" s="371"/>
      <c r="IP13" s="371"/>
      <c r="IQ13" s="371"/>
      <c r="IR13" s="371"/>
      <c r="IS13" s="371"/>
      <c r="IT13" s="371"/>
      <c r="IU13" s="371"/>
      <c r="IV13" s="371"/>
    </row>
    <row r="14" spans="1:256" ht="70.5" customHeight="1" x14ac:dyDescent="0.2">
      <c r="A14" s="391" t="s">
        <v>1318</v>
      </c>
      <c r="B14" s="392" t="s">
        <v>1319</v>
      </c>
      <c r="C14" s="392" t="s">
        <v>1320</v>
      </c>
      <c r="D14" s="393" t="s">
        <v>1321</v>
      </c>
      <c r="E14" s="393" t="s">
        <v>13</v>
      </c>
      <c r="F14" s="394"/>
      <c r="G14" s="394"/>
      <c r="H14" s="394"/>
      <c r="I14" s="394"/>
      <c r="J14" s="394"/>
      <c r="K14" s="394"/>
      <c r="L14" s="394"/>
      <c r="M14" s="394"/>
      <c r="N14" s="394"/>
      <c r="O14" s="394"/>
      <c r="P14" s="394"/>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4"/>
      <c r="AX14" s="394"/>
      <c r="AY14" s="394"/>
      <c r="AZ14" s="394"/>
      <c r="BA14" s="394"/>
      <c r="BB14" s="394"/>
      <c r="BC14" s="394"/>
      <c r="BD14" s="394"/>
      <c r="BE14" s="394"/>
      <c r="BF14" s="394"/>
      <c r="BG14" s="394"/>
      <c r="BH14" s="394"/>
      <c r="BI14" s="394"/>
      <c r="BJ14" s="394"/>
      <c r="BK14" s="394"/>
      <c r="BL14" s="394"/>
      <c r="BM14" s="394"/>
      <c r="BN14" s="394"/>
      <c r="BO14" s="394"/>
      <c r="BP14" s="394"/>
      <c r="BQ14" s="394"/>
      <c r="BR14" s="394"/>
      <c r="BS14" s="394"/>
      <c r="BT14" s="394"/>
      <c r="BU14" s="394"/>
      <c r="BV14" s="394"/>
      <c r="BW14" s="394"/>
      <c r="BX14" s="394"/>
      <c r="BY14" s="394"/>
      <c r="BZ14" s="394"/>
      <c r="CA14" s="394"/>
      <c r="CB14" s="394"/>
      <c r="CC14" s="394"/>
      <c r="CD14" s="394"/>
      <c r="CE14" s="394"/>
      <c r="CF14" s="394"/>
      <c r="CG14" s="394"/>
      <c r="CH14" s="394"/>
      <c r="CI14" s="394"/>
      <c r="CJ14" s="394"/>
      <c r="CK14" s="394"/>
      <c r="CL14" s="394"/>
      <c r="CM14" s="394"/>
      <c r="CN14" s="394"/>
      <c r="CO14" s="394"/>
      <c r="CP14" s="394"/>
      <c r="CQ14" s="394"/>
      <c r="CR14" s="394"/>
      <c r="CS14" s="394"/>
      <c r="CT14" s="394"/>
      <c r="CU14" s="394"/>
      <c r="CV14" s="394"/>
      <c r="CW14" s="394"/>
      <c r="CX14" s="394"/>
      <c r="CY14" s="394"/>
      <c r="CZ14" s="394"/>
      <c r="DA14" s="394"/>
      <c r="DB14" s="394"/>
      <c r="DC14" s="394"/>
      <c r="DD14" s="394"/>
      <c r="DE14" s="394"/>
      <c r="DF14" s="394"/>
      <c r="DG14" s="394"/>
      <c r="DH14" s="394"/>
      <c r="DI14" s="394"/>
      <c r="DJ14" s="394"/>
      <c r="DK14" s="394"/>
      <c r="DL14" s="394"/>
      <c r="DM14" s="394"/>
      <c r="DN14" s="394"/>
      <c r="DO14" s="394"/>
      <c r="DP14" s="394"/>
      <c r="DQ14" s="394"/>
      <c r="DR14" s="394"/>
      <c r="DS14" s="394"/>
      <c r="DT14" s="394"/>
      <c r="DU14" s="394"/>
      <c r="DV14" s="394"/>
      <c r="DW14" s="394"/>
      <c r="DX14" s="394"/>
      <c r="DY14" s="394"/>
      <c r="DZ14" s="394"/>
      <c r="EA14" s="394"/>
      <c r="EB14" s="394"/>
      <c r="EC14" s="394"/>
      <c r="ED14" s="394"/>
      <c r="EE14" s="394"/>
      <c r="EF14" s="394"/>
      <c r="EG14" s="394"/>
      <c r="EH14" s="394"/>
      <c r="EI14" s="394"/>
      <c r="EJ14" s="394"/>
      <c r="EK14" s="394"/>
      <c r="EL14" s="394"/>
      <c r="EM14" s="394"/>
      <c r="EN14" s="394"/>
      <c r="EO14" s="394"/>
      <c r="EP14" s="394"/>
      <c r="EQ14" s="394"/>
      <c r="ER14" s="394"/>
      <c r="ES14" s="394"/>
      <c r="ET14" s="394"/>
      <c r="EU14" s="394"/>
      <c r="EV14" s="394"/>
      <c r="EW14" s="394"/>
      <c r="EX14" s="394"/>
      <c r="EY14" s="394"/>
      <c r="EZ14" s="394"/>
      <c r="FA14" s="394"/>
      <c r="FB14" s="394"/>
      <c r="FC14" s="394"/>
      <c r="FD14" s="394"/>
      <c r="FE14" s="394"/>
      <c r="FF14" s="394"/>
      <c r="FG14" s="394"/>
      <c r="FH14" s="394"/>
      <c r="FI14" s="394"/>
      <c r="FJ14" s="394"/>
      <c r="FK14" s="394"/>
      <c r="FL14" s="394"/>
      <c r="FM14" s="394"/>
      <c r="FN14" s="394"/>
      <c r="FO14" s="394"/>
      <c r="FP14" s="394"/>
      <c r="FQ14" s="394"/>
      <c r="FR14" s="394"/>
      <c r="FS14" s="394"/>
      <c r="FT14" s="394"/>
      <c r="FU14" s="394"/>
      <c r="FV14" s="394"/>
      <c r="FW14" s="394"/>
      <c r="FX14" s="394"/>
      <c r="FY14" s="394"/>
      <c r="FZ14" s="394"/>
      <c r="GA14" s="394"/>
      <c r="GB14" s="394"/>
      <c r="GC14" s="394"/>
      <c r="GD14" s="394"/>
      <c r="GE14" s="394"/>
      <c r="GF14" s="394"/>
      <c r="GG14" s="394"/>
      <c r="GH14" s="394"/>
      <c r="GI14" s="394"/>
      <c r="GJ14" s="394"/>
      <c r="GK14" s="394"/>
      <c r="GL14" s="394"/>
      <c r="GM14" s="394"/>
      <c r="GN14" s="394"/>
      <c r="GO14" s="394"/>
      <c r="GP14" s="394"/>
      <c r="GQ14" s="394"/>
      <c r="GR14" s="394"/>
      <c r="GS14" s="394"/>
      <c r="GT14" s="394"/>
      <c r="GU14" s="394"/>
      <c r="GV14" s="394"/>
      <c r="GW14" s="394"/>
      <c r="GX14" s="394"/>
      <c r="GY14" s="394"/>
      <c r="GZ14" s="394"/>
      <c r="HA14" s="394"/>
      <c r="HB14" s="394"/>
      <c r="HC14" s="394"/>
      <c r="HD14" s="394"/>
      <c r="HE14" s="394"/>
      <c r="HF14" s="394"/>
      <c r="HG14" s="394"/>
      <c r="HH14" s="394"/>
      <c r="HI14" s="394"/>
      <c r="HJ14" s="394"/>
      <c r="HK14" s="394"/>
      <c r="HL14" s="394"/>
      <c r="HM14" s="394"/>
      <c r="HN14" s="394"/>
      <c r="HO14" s="394"/>
      <c r="HP14" s="394"/>
      <c r="HQ14" s="394"/>
      <c r="HR14" s="394"/>
      <c r="HS14" s="394"/>
      <c r="HT14" s="394"/>
      <c r="HU14" s="394"/>
      <c r="HV14" s="394"/>
      <c r="HW14" s="394"/>
      <c r="HX14" s="394"/>
      <c r="HY14" s="394"/>
      <c r="HZ14" s="394"/>
      <c r="IA14" s="394"/>
      <c r="IB14" s="394"/>
      <c r="IC14" s="394"/>
      <c r="ID14" s="394"/>
      <c r="IE14" s="394"/>
      <c r="IF14" s="394"/>
      <c r="IG14" s="394"/>
      <c r="IH14" s="394"/>
      <c r="II14" s="394"/>
      <c r="IJ14" s="394"/>
      <c r="IK14" s="394"/>
      <c r="IL14" s="394"/>
      <c r="IM14" s="394"/>
      <c r="IN14" s="394"/>
      <c r="IO14" s="394"/>
      <c r="IP14" s="394"/>
      <c r="IQ14" s="394"/>
      <c r="IR14" s="394"/>
      <c r="IS14" s="394"/>
      <c r="IT14" s="394"/>
      <c r="IU14" s="394"/>
      <c r="IV14" s="394"/>
    </row>
    <row r="15" spans="1:256" x14ac:dyDescent="0.2">
      <c r="A15" s="395">
        <v>1</v>
      </c>
      <c r="B15" s="395">
        <v>2</v>
      </c>
      <c r="C15" s="395">
        <v>3</v>
      </c>
      <c r="D15" s="395">
        <v>4</v>
      </c>
      <c r="E15" s="395">
        <v>5</v>
      </c>
      <c r="F15" s="394"/>
      <c r="G15" s="394"/>
      <c r="H15" s="394"/>
      <c r="I15" s="394"/>
      <c r="J15" s="394"/>
      <c r="K15" s="394"/>
      <c r="L15" s="394"/>
      <c r="M15" s="394"/>
      <c r="N15" s="394"/>
      <c r="O15" s="394"/>
      <c r="P15" s="394"/>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4"/>
      <c r="BK15" s="394"/>
      <c r="BL15" s="394"/>
      <c r="BM15" s="394"/>
      <c r="BN15" s="394"/>
      <c r="BO15" s="394"/>
      <c r="BP15" s="394"/>
      <c r="BQ15" s="394"/>
      <c r="BR15" s="394"/>
      <c r="BS15" s="394"/>
      <c r="BT15" s="394"/>
      <c r="BU15" s="394"/>
      <c r="BV15" s="394"/>
      <c r="BW15" s="394"/>
      <c r="BX15" s="394"/>
      <c r="BY15" s="394"/>
      <c r="BZ15" s="394"/>
      <c r="CA15" s="394"/>
      <c r="CB15" s="394"/>
      <c r="CC15" s="394"/>
      <c r="CD15" s="394"/>
      <c r="CE15" s="394"/>
      <c r="CF15" s="394"/>
      <c r="CG15" s="394"/>
      <c r="CH15" s="394"/>
      <c r="CI15" s="394"/>
      <c r="CJ15" s="394"/>
      <c r="CK15" s="394"/>
      <c r="CL15" s="394"/>
      <c r="CM15" s="394"/>
      <c r="CN15" s="394"/>
      <c r="CO15" s="394"/>
      <c r="CP15" s="394"/>
      <c r="CQ15" s="394"/>
      <c r="CR15" s="394"/>
      <c r="CS15" s="394"/>
      <c r="CT15" s="394"/>
      <c r="CU15" s="394"/>
      <c r="CV15" s="394"/>
      <c r="CW15" s="394"/>
      <c r="CX15" s="394"/>
      <c r="CY15" s="394"/>
      <c r="CZ15" s="394"/>
      <c r="DA15" s="394"/>
      <c r="DB15" s="394"/>
      <c r="DC15" s="394"/>
      <c r="DD15" s="394"/>
      <c r="DE15" s="394"/>
      <c r="DF15" s="394"/>
      <c r="DG15" s="394"/>
      <c r="DH15" s="394"/>
      <c r="DI15" s="394"/>
      <c r="DJ15" s="394"/>
      <c r="DK15" s="394"/>
      <c r="DL15" s="394"/>
      <c r="DM15" s="394"/>
      <c r="DN15" s="394"/>
      <c r="DO15" s="394"/>
      <c r="DP15" s="394"/>
      <c r="DQ15" s="394"/>
      <c r="DR15" s="394"/>
      <c r="DS15" s="394"/>
      <c r="DT15" s="394"/>
      <c r="DU15" s="394"/>
      <c r="DV15" s="394"/>
      <c r="DW15" s="394"/>
      <c r="DX15" s="394"/>
      <c r="DY15" s="394"/>
      <c r="DZ15" s="394"/>
      <c r="EA15" s="394"/>
      <c r="EB15" s="394"/>
      <c r="EC15" s="394"/>
      <c r="ED15" s="394"/>
      <c r="EE15" s="394"/>
      <c r="EF15" s="394"/>
      <c r="EG15" s="394"/>
      <c r="EH15" s="394"/>
      <c r="EI15" s="394"/>
      <c r="EJ15" s="394"/>
      <c r="EK15" s="394"/>
      <c r="EL15" s="394"/>
      <c r="EM15" s="394"/>
      <c r="EN15" s="394"/>
      <c r="EO15" s="394"/>
      <c r="EP15" s="394"/>
      <c r="EQ15" s="394"/>
      <c r="ER15" s="394"/>
      <c r="ES15" s="394"/>
      <c r="ET15" s="394"/>
      <c r="EU15" s="394"/>
      <c r="EV15" s="394"/>
      <c r="EW15" s="394"/>
      <c r="EX15" s="394"/>
      <c r="EY15" s="394"/>
      <c r="EZ15" s="394"/>
      <c r="FA15" s="394"/>
      <c r="FB15" s="394"/>
      <c r="FC15" s="394"/>
      <c r="FD15" s="394"/>
      <c r="FE15" s="394"/>
      <c r="FF15" s="394"/>
      <c r="FG15" s="394"/>
      <c r="FH15" s="394"/>
      <c r="FI15" s="394"/>
      <c r="FJ15" s="394"/>
      <c r="FK15" s="394"/>
      <c r="FL15" s="394"/>
      <c r="FM15" s="394"/>
      <c r="FN15" s="394"/>
      <c r="FO15" s="394"/>
      <c r="FP15" s="394"/>
      <c r="FQ15" s="394"/>
      <c r="FR15" s="394"/>
      <c r="FS15" s="394"/>
      <c r="FT15" s="394"/>
      <c r="FU15" s="394"/>
      <c r="FV15" s="394"/>
      <c r="FW15" s="394"/>
      <c r="FX15" s="394"/>
      <c r="FY15" s="394"/>
      <c r="FZ15" s="394"/>
      <c r="GA15" s="394"/>
      <c r="GB15" s="394"/>
      <c r="GC15" s="394"/>
      <c r="GD15" s="394"/>
      <c r="GE15" s="394"/>
      <c r="GF15" s="394"/>
      <c r="GG15" s="394"/>
      <c r="GH15" s="394"/>
      <c r="GI15" s="394"/>
      <c r="GJ15" s="394"/>
      <c r="GK15" s="394"/>
      <c r="GL15" s="394"/>
      <c r="GM15" s="394"/>
      <c r="GN15" s="394"/>
      <c r="GO15" s="394"/>
      <c r="GP15" s="394"/>
      <c r="GQ15" s="394"/>
      <c r="GR15" s="394"/>
      <c r="GS15" s="394"/>
      <c r="GT15" s="394"/>
      <c r="GU15" s="394"/>
      <c r="GV15" s="394"/>
      <c r="GW15" s="394"/>
      <c r="GX15" s="394"/>
      <c r="GY15" s="394"/>
      <c r="GZ15" s="394"/>
      <c r="HA15" s="394"/>
      <c r="HB15" s="394"/>
      <c r="HC15" s="394"/>
      <c r="HD15" s="394"/>
      <c r="HE15" s="394"/>
      <c r="HF15" s="394"/>
      <c r="HG15" s="394"/>
      <c r="HH15" s="394"/>
      <c r="HI15" s="394"/>
      <c r="HJ15" s="394"/>
      <c r="HK15" s="394"/>
      <c r="HL15" s="394"/>
      <c r="HM15" s="394"/>
      <c r="HN15" s="394"/>
      <c r="HO15" s="394"/>
      <c r="HP15" s="394"/>
      <c r="HQ15" s="394"/>
      <c r="HR15" s="394"/>
      <c r="HS15" s="394"/>
      <c r="HT15" s="394"/>
      <c r="HU15" s="394"/>
      <c r="HV15" s="394"/>
      <c r="HW15" s="394"/>
      <c r="HX15" s="394"/>
      <c r="HY15" s="394"/>
      <c r="HZ15" s="394"/>
      <c r="IA15" s="394"/>
      <c r="IB15" s="394"/>
      <c r="IC15" s="394"/>
      <c r="ID15" s="394"/>
      <c r="IE15" s="394"/>
      <c r="IF15" s="394"/>
      <c r="IG15" s="394"/>
      <c r="IH15" s="394"/>
      <c r="II15" s="394"/>
      <c r="IJ15" s="394"/>
      <c r="IK15" s="394"/>
      <c r="IL15" s="394"/>
      <c r="IM15" s="394"/>
      <c r="IN15" s="394"/>
      <c r="IO15" s="394"/>
      <c r="IP15" s="394"/>
      <c r="IQ15" s="394"/>
      <c r="IR15" s="394"/>
      <c r="IS15" s="394"/>
      <c r="IT15" s="394"/>
      <c r="IU15" s="394"/>
      <c r="IV15" s="394"/>
    </row>
    <row r="16" spans="1:256" ht="4.5" customHeight="1" x14ac:dyDescent="0.2">
      <c r="A16" s="396"/>
      <c r="B16" s="396"/>
      <c r="C16" s="397"/>
      <c r="D16" s="397"/>
      <c r="E16" s="398"/>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4"/>
      <c r="BK16" s="394"/>
      <c r="BL16" s="394"/>
      <c r="BM16" s="394"/>
      <c r="BN16" s="394"/>
      <c r="BO16" s="394"/>
      <c r="BP16" s="394"/>
      <c r="BQ16" s="394"/>
      <c r="BR16" s="394"/>
      <c r="BS16" s="394"/>
      <c r="BT16" s="394"/>
      <c r="BU16" s="394"/>
      <c r="BV16" s="394"/>
      <c r="BW16" s="394"/>
      <c r="BX16" s="394"/>
      <c r="BY16" s="394"/>
      <c r="BZ16" s="394"/>
      <c r="CA16" s="394"/>
      <c r="CB16" s="394"/>
      <c r="CC16" s="394"/>
      <c r="CD16" s="394"/>
      <c r="CE16" s="394"/>
      <c r="CF16" s="394"/>
      <c r="CG16" s="394"/>
      <c r="CH16" s="394"/>
      <c r="CI16" s="394"/>
      <c r="CJ16" s="394"/>
      <c r="CK16" s="394"/>
      <c r="CL16" s="394"/>
      <c r="CM16" s="394"/>
      <c r="CN16" s="394"/>
      <c r="CO16" s="394"/>
      <c r="CP16" s="394"/>
      <c r="CQ16" s="394"/>
      <c r="CR16" s="394"/>
      <c r="CS16" s="394"/>
      <c r="CT16" s="394"/>
      <c r="CU16" s="394"/>
      <c r="CV16" s="394"/>
      <c r="CW16" s="394"/>
      <c r="CX16" s="394"/>
      <c r="CY16" s="394"/>
      <c r="CZ16" s="394"/>
      <c r="DA16" s="394"/>
      <c r="DB16" s="394"/>
      <c r="DC16" s="394"/>
      <c r="DD16" s="394"/>
      <c r="DE16" s="394"/>
      <c r="DF16" s="394"/>
      <c r="DG16" s="394"/>
      <c r="DH16" s="394"/>
      <c r="DI16" s="394"/>
      <c r="DJ16" s="394"/>
      <c r="DK16" s="394"/>
      <c r="DL16" s="394"/>
      <c r="DM16" s="394"/>
      <c r="DN16" s="394"/>
      <c r="DO16" s="394"/>
      <c r="DP16" s="394"/>
      <c r="DQ16" s="394"/>
      <c r="DR16" s="394"/>
      <c r="DS16" s="394"/>
      <c r="DT16" s="394"/>
      <c r="DU16" s="394"/>
      <c r="DV16" s="394"/>
      <c r="DW16" s="394"/>
      <c r="DX16" s="394"/>
      <c r="DY16" s="394"/>
      <c r="DZ16" s="394"/>
      <c r="EA16" s="394"/>
      <c r="EB16" s="394"/>
      <c r="EC16" s="394"/>
      <c r="ED16" s="394"/>
      <c r="EE16" s="394"/>
      <c r="EF16" s="394"/>
      <c r="EG16" s="394"/>
      <c r="EH16" s="394"/>
      <c r="EI16" s="394"/>
      <c r="EJ16" s="394"/>
      <c r="EK16" s="394"/>
      <c r="EL16" s="394"/>
      <c r="EM16" s="394"/>
      <c r="EN16" s="394"/>
      <c r="EO16" s="394"/>
      <c r="EP16" s="394"/>
      <c r="EQ16" s="394"/>
      <c r="ER16" s="394"/>
      <c r="ES16" s="394"/>
      <c r="ET16" s="394"/>
      <c r="EU16" s="394"/>
      <c r="EV16" s="394"/>
      <c r="EW16" s="394"/>
      <c r="EX16" s="394"/>
      <c r="EY16" s="394"/>
      <c r="EZ16" s="394"/>
      <c r="FA16" s="394"/>
      <c r="FB16" s="394"/>
      <c r="FC16" s="394"/>
      <c r="FD16" s="394"/>
      <c r="FE16" s="394"/>
      <c r="FF16" s="394"/>
      <c r="FG16" s="394"/>
      <c r="FH16" s="394"/>
      <c r="FI16" s="394"/>
      <c r="FJ16" s="394"/>
      <c r="FK16" s="394"/>
      <c r="FL16" s="394"/>
      <c r="FM16" s="394"/>
      <c r="FN16" s="394"/>
      <c r="FO16" s="394"/>
      <c r="FP16" s="394"/>
      <c r="FQ16" s="394"/>
      <c r="FR16" s="394"/>
      <c r="FS16" s="394"/>
      <c r="FT16" s="394"/>
      <c r="FU16" s="394"/>
      <c r="FV16" s="394"/>
      <c r="FW16" s="394"/>
      <c r="FX16" s="394"/>
      <c r="FY16" s="394"/>
      <c r="FZ16" s="394"/>
      <c r="GA16" s="394"/>
      <c r="GB16" s="394"/>
      <c r="GC16" s="394"/>
      <c r="GD16" s="394"/>
      <c r="GE16" s="394"/>
      <c r="GF16" s="394"/>
      <c r="GG16" s="394"/>
      <c r="GH16" s="394"/>
      <c r="GI16" s="394"/>
      <c r="GJ16" s="394"/>
      <c r="GK16" s="394"/>
      <c r="GL16" s="394"/>
      <c r="GM16" s="394"/>
      <c r="GN16" s="394"/>
      <c r="GO16" s="394"/>
      <c r="GP16" s="394"/>
      <c r="GQ16" s="394"/>
      <c r="GR16" s="394"/>
      <c r="GS16" s="394"/>
      <c r="GT16" s="394"/>
      <c r="GU16" s="394"/>
      <c r="GV16" s="394"/>
      <c r="GW16" s="394"/>
      <c r="GX16" s="394"/>
      <c r="GY16" s="394"/>
      <c r="GZ16" s="394"/>
      <c r="HA16" s="394"/>
      <c r="HB16" s="394"/>
      <c r="HC16" s="394"/>
      <c r="HD16" s="394"/>
      <c r="HE16" s="394"/>
      <c r="HF16" s="394"/>
      <c r="HG16" s="394"/>
      <c r="HH16" s="394"/>
      <c r="HI16" s="394"/>
      <c r="HJ16" s="394"/>
      <c r="HK16" s="394"/>
      <c r="HL16" s="394"/>
      <c r="HM16" s="394"/>
      <c r="HN16" s="394"/>
      <c r="HO16" s="394"/>
      <c r="HP16" s="394"/>
      <c r="HQ16" s="394"/>
      <c r="HR16" s="394"/>
      <c r="HS16" s="394"/>
      <c r="HT16" s="394"/>
      <c r="HU16" s="394"/>
      <c r="HV16" s="394"/>
      <c r="HW16" s="394"/>
      <c r="HX16" s="394"/>
      <c r="HY16" s="394"/>
      <c r="HZ16" s="394"/>
      <c r="IA16" s="394"/>
      <c r="IB16" s="394"/>
      <c r="IC16" s="394"/>
      <c r="ID16" s="394"/>
      <c r="IE16" s="394"/>
      <c r="IF16" s="394"/>
      <c r="IG16" s="394"/>
      <c r="IH16" s="394"/>
      <c r="II16" s="394"/>
      <c r="IJ16" s="394"/>
      <c r="IK16" s="394"/>
      <c r="IL16" s="394"/>
      <c r="IM16" s="394"/>
      <c r="IN16" s="394"/>
      <c r="IO16" s="394"/>
      <c r="IP16" s="394"/>
      <c r="IQ16" s="394"/>
      <c r="IR16" s="394"/>
      <c r="IS16" s="394"/>
      <c r="IT16" s="394"/>
      <c r="IU16" s="394"/>
      <c r="IV16" s="399"/>
    </row>
    <row r="17" spans="1:5" x14ac:dyDescent="0.2">
      <c r="A17" s="790" t="s">
        <v>1476</v>
      </c>
      <c r="B17" s="791"/>
      <c r="C17" s="791"/>
      <c r="D17" s="791"/>
      <c r="E17" s="792"/>
    </row>
    <row r="18" spans="1:5" ht="25.5" x14ac:dyDescent="0.2">
      <c r="A18" s="778">
        <v>1</v>
      </c>
      <c r="B18" s="781" t="s">
        <v>1477</v>
      </c>
      <c r="C18" s="401" t="s">
        <v>1478</v>
      </c>
      <c r="D18" s="784" t="s">
        <v>1479</v>
      </c>
      <c r="E18" s="784">
        <f>692*0.6*55.26*1.5*1.2*1.1*1.3</f>
        <v>59057.732448000002</v>
      </c>
    </row>
    <row r="19" spans="1:5" x14ac:dyDescent="0.2">
      <c r="A19" s="779"/>
      <c r="B19" s="782"/>
      <c r="C19" s="401" t="s">
        <v>1325</v>
      </c>
      <c r="D19" s="785"/>
      <c r="E19" s="785"/>
    </row>
    <row r="20" spans="1:5" x14ac:dyDescent="0.2">
      <c r="A20" s="779"/>
      <c r="B20" s="782"/>
      <c r="C20" s="401" t="s">
        <v>1326</v>
      </c>
      <c r="D20" s="785"/>
      <c r="E20" s="785"/>
    </row>
    <row r="21" spans="1:5" x14ac:dyDescent="0.2">
      <c r="A21" s="779"/>
      <c r="B21" s="782"/>
      <c r="C21" s="401" t="s">
        <v>1327</v>
      </c>
      <c r="D21" s="785"/>
      <c r="E21" s="785"/>
    </row>
    <row r="22" spans="1:5" x14ac:dyDescent="0.2">
      <c r="A22" s="779"/>
      <c r="B22" s="782"/>
      <c r="C22" s="401" t="s">
        <v>1328</v>
      </c>
      <c r="D22" s="785"/>
      <c r="E22" s="785"/>
    </row>
    <row r="23" spans="1:5" x14ac:dyDescent="0.2">
      <c r="A23" s="779"/>
      <c r="B23" s="782"/>
      <c r="C23" s="401" t="s">
        <v>1329</v>
      </c>
      <c r="D23" s="785"/>
      <c r="E23" s="785"/>
    </row>
    <row r="24" spans="1:5" x14ac:dyDescent="0.2">
      <c r="A24" s="780"/>
      <c r="B24" s="783"/>
      <c r="C24" s="405" t="s">
        <v>1330</v>
      </c>
      <c r="D24" s="786"/>
      <c r="E24" s="786"/>
    </row>
    <row r="25" spans="1:5" ht="25.5" x14ac:dyDescent="0.2">
      <c r="A25" s="778">
        <v>2</v>
      </c>
      <c r="B25" s="781" t="s">
        <v>1480</v>
      </c>
      <c r="C25" s="401" t="s">
        <v>1481</v>
      </c>
      <c r="D25" s="784" t="s">
        <v>1482</v>
      </c>
      <c r="E25" s="784">
        <f>656*0.6*55.26*1.4*1.1*1.3</f>
        <v>43544.172671999993</v>
      </c>
    </row>
    <row r="26" spans="1:5" x14ac:dyDescent="0.2">
      <c r="A26" s="779"/>
      <c r="B26" s="782"/>
      <c r="C26" s="401" t="s">
        <v>1325</v>
      </c>
      <c r="D26" s="785"/>
      <c r="E26" s="785"/>
    </row>
    <row r="27" spans="1:5" x14ac:dyDescent="0.2">
      <c r="A27" s="779"/>
      <c r="B27" s="782"/>
      <c r="C27" s="401" t="s">
        <v>1326</v>
      </c>
      <c r="D27" s="785"/>
      <c r="E27" s="785"/>
    </row>
    <row r="28" spans="1:5" x14ac:dyDescent="0.2">
      <c r="A28" s="779"/>
      <c r="B28" s="782"/>
      <c r="C28" s="401" t="s">
        <v>1334</v>
      </c>
      <c r="D28" s="785"/>
      <c r="E28" s="785"/>
    </row>
    <row r="29" spans="1:5" x14ac:dyDescent="0.2">
      <c r="A29" s="779"/>
      <c r="B29" s="782"/>
      <c r="C29" s="401" t="s">
        <v>1329</v>
      </c>
      <c r="D29" s="785"/>
      <c r="E29" s="785"/>
    </row>
    <row r="30" spans="1:5" x14ac:dyDescent="0.2">
      <c r="A30" s="780"/>
      <c r="B30" s="783"/>
      <c r="C30" s="405" t="s">
        <v>1335</v>
      </c>
      <c r="D30" s="786"/>
      <c r="E30" s="786"/>
    </row>
    <row r="31" spans="1:5" ht="25.5" x14ac:dyDescent="0.2">
      <c r="A31" s="778">
        <v>3</v>
      </c>
      <c r="B31" s="781" t="s">
        <v>1336</v>
      </c>
      <c r="C31" s="401" t="s">
        <v>1337</v>
      </c>
      <c r="D31" s="784" t="s">
        <v>1366</v>
      </c>
      <c r="E31" s="784">
        <f>(1020+15*10)*0.52*7.22</f>
        <v>4392.6480000000001</v>
      </c>
    </row>
    <row r="32" spans="1:5" x14ac:dyDescent="0.2">
      <c r="A32" s="779"/>
      <c r="B32" s="782"/>
      <c r="C32" s="401" t="s">
        <v>1339</v>
      </c>
      <c r="D32" s="785"/>
      <c r="E32" s="785"/>
    </row>
    <row r="33" spans="1:5" x14ac:dyDescent="0.2">
      <c r="A33" s="780"/>
      <c r="B33" s="783"/>
      <c r="C33" s="405" t="s">
        <v>1340</v>
      </c>
      <c r="D33" s="786"/>
      <c r="E33" s="786"/>
    </row>
    <row r="34" spans="1:5" ht="25.5" x14ac:dyDescent="0.2">
      <c r="A34" s="778">
        <v>4</v>
      </c>
      <c r="B34" s="781" t="s">
        <v>1341</v>
      </c>
      <c r="C34" s="401" t="s">
        <v>1342</v>
      </c>
      <c r="D34" s="784" t="s">
        <v>1367</v>
      </c>
      <c r="E34" s="784">
        <f>(1650+76*10)*0.52*7.22</f>
        <v>9048.1039999999994</v>
      </c>
    </row>
    <row r="35" spans="1:5" x14ac:dyDescent="0.2">
      <c r="A35" s="779"/>
      <c r="B35" s="782"/>
      <c r="C35" s="401" t="s">
        <v>1339</v>
      </c>
      <c r="D35" s="785"/>
      <c r="E35" s="785"/>
    </row>
    <row r="36" spans="1:5" x14ac:dyDescent="0.2">
      <c r="A36" s="780"/>
      <c r="B36" s="783"/>
      <c r="C36" s="405" t="s">
        <v>1340</v>
      </c>
      <c r="D36" s="786"/>
      <c r="E36" s="786"/>
    </row>
    <row r="37" spans="1:5" ht="25.5" x14ac:dyDescent="0.2">
      <c r="A37" s="778">
        <v>5</v>
      </c>
      <c r="B37" s="781" t="s">
        <v>1344</v>
      </c>
      <c r="C37" s="401" t="s">
        <v>1345</v>
      </c>
      <c r="D37" s="784" t="s">
        <v>1346</v>
      </c>
      <c r="E37" s="784">
        <f>(1950+19*10)*0.52*7.22</f>
        <v>8034.4159999999993</v>
      </c>
    </row>
    <row r="38" spans="1:5" x14ac:dyDescent="0.2">
      <c r="A38" s="779"/>
      <c r="B38" s="782"/>
      <c r="C38" s="401" t="s">
        <v>1339</v>
      </c>
      <c r="D38" s="785"/>
      <c r="E38" s="785"/>
    </row>
    <row r="39" spans="1:5" x14ac:dyDescent="0.2">
      <c r="A39" s="780"/>
      <c r="B39" s="783"/>
      <c r="C39" s="405" t="s">
        <v>1340</v>
      </c>
      <c r="D39" s="786"/>
      <c r="E39" s="786"/>
    </row>
    <row r="40" spans="1:5" ht="25.5" x14ac:dyDescent="0.2">
      <c r="A40" s="778">
        <v>6</v>
      </c>
      <c r="B40" s="781" t="s">
        <v>1347</v>
      </c>
      <c r="C40" s="401" t="s">
        <v>1348</v>
      </c>
      <c r="D40" s="784" t="s">
        <v>1349</v>
      </c>
      <c r="E40" s="784">
        <f>(2450+3680*1)*0.5*7.22</f>
        <v>22129.3</v>
      </c>
    </row>
    <row r="41" spans="1:5" x14ac:dyDescent="0.2">
      <c r="A41" s="779"/>
      <c r="B41" s="782"/>
      <c r="C41" s="401" t="s">
        <v>1350</v>
      </c>
      <c r="D41" s="785"/>
      <c r="E41" s="785"/>
    </row>
    <row r="42" spans="1:5" x14ac:dyDescent="0.2">
      <c r="A42" s="780"/>
      <c r="B42" s="783"/>
      <c r="C42" s="405" t="s">
        <v>1340</v>
      </c>
      <c r="D42" s="786"/>
      <c r="E42" s="786"/>
    </row>
    <row r="43" spans="1:5" ht="25.5" x14ac:dyDescent="0.2">
      <c r="A43" s="778">
        <v>7</v>
      </c>
      <c r="B43" s="781" t="s">
        <v>1351</v>
      </c>
      <c r="C43" s="401" t="s">
        <v>1352</v>
      </c>
      <c r="D43" s="784" t="s">
        <v>1368</v>
      </c>
      <c r="E43" s="784">
        <f>(2450+3680*10)*0.5*7.22</f>
        <v>141692.5</v>
      </c>
    </row>
    <row r="44" spans="1:5" x14ac:dyDescent="0.2">
      <c r="A44" s="779"/>
      <c r="B44" s="782"/>
      <c r="C44" s="401" t="s">
        <v>1350</v>
      </c>
      <c r="D44" s="785"/>
      <c r="E44" s="785"/>
    </row>
    <row r="45" spans="1:5" x14ac:dyDescent="0.2">
      <c r="A45" s="780"/>
      <c r="B45" s="783"/>
      <c r="C45" s="405" t="s">
        <v>1340</v>
      </c>
      <c r="D45" s="786"/>
      <c r="E45" s="786"/>
    </row>
    <row r="46" spans="1:5" ht="25.5" x14ac:dyDescent="0.2">
      <c r="A46" s="778">
        <v>8</v>
      </c>
      <c r="B46" s="781" t="s">
        <v>1354</v>
      </c>
      <c r="C46" s="401" t="s">
        <v>1355</v>
      </c>
      <c r="D46" s="784" t="s">
        <v>1370</v>
      </c>
      <c r="E46" s="784">
        <f>(25980+4623*10)*0.58*7.22</f>
        <v>302386.59599999996</v>
      </c>
    </row>
    <row r="47" spans="1:5" x14ac:dyDescent="0.2">
      <c r="A47" s="779"/>
      <c r="B47" s="782"/>
      <c r="C47" s="401" t="s">
        <v>1357</v>
      </c>
      <c r="D47" s="785"/>
      <c r="E47" s="785"/>
    </row>
    <row r="48" spans="1:5" x14ac:dyDescent="0.2">
      <c r="A48" s="780"/>
      <c r="B48" s="783"/>
      <c r="C48" s="405" t="s">
        <v>1340</v>
      </c>
      <c r="D48" s="786"/>
      <c r="E48" s="786"/>
    </row>
    <row r="49" spans="1:5" ht="51" x14ac:dyDescent="0.2">
      <c r="A49" s="403"/>
      <c r="B49" s="405" t="s">
        <v>1483</v>
      </c>
      <c r="C49" s="405"/>
      <c r="D49" s="407"/>
      <c r="E49" s="429">
        <f>SUM(E18:E48)</f>
        <v>590285.46912000002</v>
      </c>
    </row>
    <row r="50" spans="1:5" x14ac:dyDescent="0.2">
      <c r="A50" s="790" t="s">
        <v>1484</v>
      </c>
      <c r="B50" s="791"/>
      <c r="C50" s="791"/>
      <c r="D50" s="791"/>
      <c r="E50" s="792"/>
    </row>
    <row r="51" spans="1:5" ht="25.5" x14ac:dyDescent="0.2">
      <c r="A51" s="778">
        <v>9</v>
      </c>
      <c r="B51" s="781" t="s">
        <v>1485</v>
      </c>
      <c r="C51" s="401" t="s">
        <v>1375</v>
      </c>
      <c r="D51" s="784" t="s">
        <v>1486</v>
      </c>
      <c r="E51" s="784">
        <f>820*0.6*55.26*1.5*1.2*1.1*1.3</f>
        <v>69981.706080000004</v>
      </c>
    </row>
    <row r="52" spans="1:5" x14ac:dyDescent="0.2">
      <c r="A52" s="779"/>
      <c r="B52" s="782"/>
      <c r="C52" s="401" t="s">
        <v>1325</v>
      </c>
      <c r="D52" s="785"/>
      <c r="E52" s="785"/>
    </row>
    <row r="53" spans="1:5" x14ac:dyDescent="0.2">
      <c r="A53" s="779"/>
      <c r="B53" s="782"/>
      <c r="C53" s="401" t="s">
        <v>1326</v>
      </c>
      <c r="D53" s="785"/>
      <c r="E53" s="785"/>
    </row>
    <row r="54" spans="1:5" x14ac:dyDescent="0.2">
      <c r="A54" s="779"/>
      <c r="B54" s="782"/>
      <c r="C54" s="401" t="s">
        <v>1327</v>
      </c>
      <c r="D54" s="785"/>
      <c r="E54" s="785"/>
    </row>
    <row r="55" spans="1:5" x14ac:dyDescent="0.2">
      <c r="A55" s="779"/>
      <c r="B55" s="782"/>
      <c r="C55" s="401" t="s">
        <v>1328</v>
      </c>
      <c r="D55" s="785"/>
      <c r="E55" s="785"/>
    </row>
    <row r="56" spans="1:5" x14ac:dyDescent="0.2">
      <c r="A56" s="779"/>
      <c r="B56" s="782"/>
      <c r="C56" s="401" t="s">
        <v>1329</v>
      </c>
      <c r="D56" s="785"/>
      <c r="E56" s="785"/>
    </row>
    <row r="57" spans="1:5" x14ac:dyDescent="0.2">
      <c r="A57" s="780"/>
      <c r="B57" s="783"/>
      <c r="C57" s="405" t="s">
        <v>1330</v>
      </c>
      <c r="D57" s="786"/>
      <c r="E57" s="786"/>
    </row>
    <row r="58" spans="1:5" ht="25.5" x14ac:dyDescent="0.2">
      <c r="A58" s="778">
        <v>10</v>
      </c>
      <c r="B58" s="781" t="s">
        <v>1487</v>
      </c>
      <c r="C58" s="401" t="s">
        <v>1488</v>
      </c>
      <c r="D58" s="784" t="s">
        <v>1489</v>
      </c>
      <c r="E58" s="784">
        <f>1843*0.6*55.26*1.4*1.1*1.3</f>
        <v>122335.22901599998</v>
      </c>
    </row>
    <row r="59" spans="1:5" x14ac:dyDescent="0.2">
      <c r="A59" s="779"/>
      <c r="B59" s="782"/>
      <c r="C59" s="401" t="s">
        <v>1325</v>
      </c>
      <c r="D59" s="785"/>
      <c r="E59" s="785"/>
    </row>
    <row r="60" spans="1:5" x14ac:dyDescent="0.2">
      <c r="A60" s="779"/>
      <c r="B60" s="782"/>
      <c r="C60" s="401" t="s">
        <v>1326</v>
      </c>
      <c r="D60" s="785"/>
      <c r="E60" s="785"/>
    </row>
    <row r="61" spans="1:5" x14ac:dyDescent="0.2">
      <c r="A61" s="779"/>
      <c r="B61" s="782"/>
      <c r="C61" s="401" t="s">
        <v>1334</v>
      </c>
      <c r="D61" s="785"/>
      <c r="E61" s="785"/>
    </row>
    <row r="62" spans="1:5" x14ac:dyDescent="0.2">
      <c r="A62" s="779"/>
      <c r="B62" s="782"/>
      <c r="C62" s="401" t="s">
        <v>1329</v>
      </c>
      <c r="D62" s="785"/>
      <c r="E62" s="785"/>
    </row>
    <row r="63" spans="1:5" x14ac:dyDescent="0.2">
      <c r="A63" s="780"/>
      <c r="B63" s="783"/>
      <c r="C63" s="405" t="s">
        <v>1335</v>
      </c>
      <c r="D63" s="786"/>
      <c r="E63" s="786"/>
    </row>
    <row r="64" spans="1:5" ht="25.5" x14ac:dyDescent="0.2">
      <c r="A64" s="778">
        <v>11</v>
      </c>
      <c r="B64" s="781" t="s">
        <v>1336</v>
      </c>
      <c r="C64" s="401" t="s">
        <v>1337</v>
      </c>
      <c r="D64" s="784" t="s">
        <v>1490</v>
      </c>
      <c r="E64" s="784">
        <f>(1020+15*15)*0.52*7.22</f>
        <v>4674.2280000000001</v>
      </c>
    </row>
    <row r="65" spans="1:5" x14ac:dyDescent="0.2">
      <c r="A65" s="779"/>
      <c r="B65" s="782"/>
      <c r="C65" s="401" t="s">
        <v>1339</v>
      </c>
      <c r="D65" s="785"/>
      <c r="E65" s="785"/>
    </row>
    <row r="66" spans="1:5" x14ac:dyDescent="0.2">
      <c r="A66" s="780"/>
      <c r="B66" s="783"/>
      <c r="C66" s="405" t="s">
        <v>1340</v>
      </c>
      <c r="D66" s="786"/>
      <c r="E66" s="786"/>
    </row>
    <row r="67" spans="1:5" ht="25.5" x14ac:dyDescent="0.2">
      <c r="A67" s="778">
        <v>12</v>
      </c>
      <c r="B67" s="781" t="s">
        <v>1341</v>
      </c>
      <c r="C67" s="401" t="s">
        <v>1342</v>
      </c>
      <c r="D67" s="784" t="s">
        <v>1491</v>
      </c>
      <c r="E67" s="784">
        <f>(1650+76*15)*0.52*7.22</f>
        <v>10474.776</v>
      </c>
    </row>
    <row r="68" spans="1:5" x14ac:dyDescent="0.2">
      <c r="A68" s="779"/>
      <c r="B68" s="782"/>
      <c r="C68" s="401" t="s">
        <v>1339</v>
      </c>
      <c r="D68" s="785"/>
      <c r="E68" s="785"/>
    </row>
    <row r="69" spans="1:5" x14ac:dyDescent="0.2">
      <c r="A69" s="780"/>
      <c r="B69" s="783"/>
      <c r="C69" s="405" t="s">
        <v>1340</v>
      </c>
      <c r="D69" s="786"/>
      <c r="E69" s="786"/>
    </row>
    <row r="70" spans="1:5" ht="25.5" x14ac:dyDescent="0.2">
      <c r="A70" s="778">
        <v>13</v>
      </c>
      <c r="B70" s="781" t="s">
        <v>1344</v>
      </c>
      <c r="C70" s="401" t="s">
        <v>1345</v>
      </c>
      <c r="D70" s="784" t="s">
        <v>1346</v>
      </c>
      <c r="E70" s="784">
        <f>(1950+19*10)*0.52*7.22</f>
        <v>8034.4159999999993</v>
      </c>
    </row>
    <row r="71" spans="1:5" x14ac:dyDescent="0.2">
      <c r="A71" s="779"/>
      <c r="B71" s="782"/>
      <c r="C71" s="401" t="s">
        <v>1339</v>
      </c>
      <c r="D71" s="785"/>
      <c r="E71" s="785"/>
    </row>
    <row r="72" spans="1:5" x14ac:dyDescent="0.2">
      <c r="A72" s="780"/>
      <c r="B72" s="783"/>
      <c r="C72" s="405" t="s">
        <v>1340</v>
      </c>
      <c r="D72" s="786"/>
      <c r="E72" s="786"/>
    </row>
    <row r="73" spans="1:5" ht="25.5" x14ac:dyDescent="0.2">
      <c r="A73" s="778">
        <v>14</v>
      </c>
      <c r="B73" s="781" t="s">
        <v>1347</v>
      </c>
      <c r="C73" s="401" t="s">
        <v>1348</v>
      </c>
      <c r="D73" s="784" t="s">
        <v>1349</v>
      </c>
      <c r="E73" s="784">
        <f>(2450+3680*1)*0.5*7.22</f>
        <v>22129.3</v>
      </c>
    </row>
    <row r="74" spans="1:5" x14ac:dyDescent="0.2">
      <c r="A74" s="779"/>
      <c r="B74" s="782"/>
      <c r="C74" s="401" t="s">
        <v>1350</v>
      </c>
      <c r="D74" s="785"/>
      <c r="E74" s="785"/>
    </row>
    <row r="75" spans="1:5" x14ac:dyDescent="0.2">
      <c r="A75" s="780"/>
      <c r="B75" s="783"/>
      <c r="C75" s="405" t="s">
        <v>1340</v>
      </c>
      <c r="D75" s="786"/>
      <c r="E75" s="786"/>
    </row>
    <row r="76" spans="1:5" ht="25.5" x14ac:dyDescent="0.2">
      <c r="A76" s="778">
        <v>15</v>
      </c>
      <c r="B76" s="781" t="s">
        <v>1351</v>
      </c>
      <c r="C76" s="401" t="s">
        <v>1352</v>
      </c>
      <c r="D76" s="784" t="s">
        <v>1492</v>
      </c>
      <c r="E76" s="784">
        <f>(2450+3680*15)*0.5*7.22</f>
        <v>208116.5</v>
      </c>
    </row>
    <row r="77" spans="1:5" x14ac:dyDescent="0.2">
      <c r="A77" s="779"/>
      <c r="B77" s="782"/>
      <c r="C77" s="401" t="s">
        <v>1350</v>
      </c>
      <c r="D77" s="785"/>
      <c r="E77" s="785"/>
    </row>
    <row r="78" spans="1:5" x14ac:dyDescent="0.2">
      <c r="A78" s="780"/>
      <c r="B78" s="783"/>
      <c r="C78" s="405" t="s">
        <v>1340</v>
      </c>
      <c r="D78" s="786"/>
      <c r="E78" s="786"/>
    </row>
    <row r="79" spans="1:5" ht="25.5" x14ac:dyDescent="0.2">
      <c r="A79" s="778">
        <v>16</v>
      </c>
      <c r="B79" s="781" t="s">
        <v>1419</v>
      </c>
      <c r="C79" s="401" t="s">
        <v>1355</v>
      </c>
      <c r="D79" s="784" t="s">
        <v>1493</v>
      </c>
      <c r="E79" s="784">
        <f>(25980+4623*20)*0.58*7.22</f>
        <v>495979.34399999998</v>
      </c>
    </row>
    <row r="80" spans="1:5" x14ac:dyDescent="0.2">
      <c r="A80" s="779"/>
      <c r="B80" s="782"/>
      <c r="C80" s="401" t="s">
        <v>1357</v>
      </c>
      <c r="D80" s="785"/>
      <c r="E80" s="785"/>
    </row>
    <row r="81" spans="1:5" x14ac:dyDescent="0.2">
      <c r="A81" s="780"/>
      <c r="B81" s="783"/>
      <c r="C81" s="405" t="s">
        <v>1340</v>
      </c>
      <c r="D81" s="786"/>
      <c r="E81" s="786"/>
    </row>
    <row r="82" spans="1:5" ht="25.5" x14ac:dyDescent="0.2">
      <c r="A82" s="403"/>
      <c r="B82" s="405" t="s">
        <v>1494</v>
      </c>
      <c r="C82" s="405"/>
      <c r="D82" s="407"/>
      <c r="E82" s="429">
        <f>SUM(E51:E81)</f>
        <v>941725.49909599987</v>
      </c>
    </row>
    <row r="83" spans="1:5" x14ac:dyDescent="0.2">
      <c r="A83" s="814" t="s">
        <v>1495</v>
      </c>
      <c r="B83" s="815"/>
      <c r="C83" s="815"/>
      <c r="D83" s="815"/>
      <c r="E83" s="816"/>
    </row>
    <row r="84" spans="1:5" x14ac:dyDescent="0.2">
      <c r="A84" s="817"/>
      <c r="B84" s="818"/>
      <c r="C84" s="818"/>
      <c r="D84" s="818"/>
      <c r="E84" s="819"/>
    </row>
    <row r="85" spans="1:5" ht="25.5" x14ac:dyDescent="0.2">
      <c r="A85" s="778">
        <v>17</v>
      </c>
      <c r="B85" s="781" t="s">
        <v>1496</v>
      </c>
      <c r="C85" s="401" t="s">
        <v>1361</v>
      </c>
      <c r="D85" s="784" t="s">
        <v>1497</v>
      </c>
      <c r="E85" s="784">
        <f>600*0.6*55.26*1.5*1.2*1.1*1.3</f>
        <v>51206.126400000001</v>
      </c>
    </row>
    <row r="86" spans="1:5" x14ac:dyDescent="0.2">
      <c r="A86" s="779"/>
      <c r="B86" s="782"/>
      <c r="C86" s="401" t="s">
        <v>1325</v>
      </c>
      <c r="D86" s="785"/>
      <c r="E86" s="785"/>
    </row>
    <row r="87" spans="1:5" x14ac:dyDescent="0.2">
      <c r="A87" s="779"/>
      <c r="B87" s="782"/>
      <c r="C87" s="401" t="s">
        <v>1326</v>
      </c>
      <c r="D87" s="785"/>
      <c r="E87" s="785"/>
    </row>
    <row r="88" spans="1:5" x14ac:dyDescent="0.2">
      <c r="A88" s="779"/>
      <c r="B88" s="782"/>
      <c r="C88" s="401" t="s">
        <v>1327</v>
      </c>
      <c r="D88" s="785"/>
      <c r="E88" s="785"/>
    </row>
    <row r="89" spans="1:5" x14ac:dyDescent="0.2">
      <c r="A89" s="779"/>
      <c r="B89" s="782"/>
      <c r="C89" s="401" t="s">
        <v>1328</v>
      </c>
      <c r="D89" s="785"/>
      <c r="E89" s="785"/>
    </row>
    <row r="90" spans="1:5" x14ac:dyDescent="0.2">
      <c r="A90" s="779"/>
      <c r="B90" s="782"/>
      <c r="C90" s="401" t="s">
        <v>1329</v>
      </c>
      <c r="D90" s="785"/>
      <c r="E90" s="785"/>
    </row>
    <row r="91" spans="1:5" x14ac:dyDescent="0.2">
      <c r="A91" s="780"/>
      <c r="B91" s="783"/>
      <c r="C91" s="405" t="s">
        <v>1330</v>
      </c>
      <c r="D91" s="786"/>
      <c r="E91" s="786"/>
    </row>
    <row r="92" spans="1:5" ht="25.5" x14ac:dyDescent="0.2">
      <c r="A92" s="778">
        <v>18</v>
      </c>
      <c r="B92" s="781" t="s">
        <v>1498</v>
      </c>
      <c r="C92" s="401" t="s">
        <v>1364</v>
      </c>
      <c r="D92" s="784" t="s">
        <v>1499</v>
      </c>
      <c r="E92" s="784">
        <f>480*0.6*55.26*1.4*1.1*1.3</f>
        <v>31861.589759999999</v>
      </c>
    </row>
    <row r="93" spans="1:5" x14ac:dyDescent="0.2">
      <c r="A93" s="779"/>
      <c r="B93" s="782"/>
      <c r="C93" s="401" t="s">
        <v>1325</v>
      </c>
      <c r="D93" s="785"/>
      <c r="E93" s="785"/>
    </row>
    <row r="94" spans="1:5" x14ac:dyDescent="0.2">
      <c r="A94" s="779"/>
      <c r="B94" s="782"/>
      <c r="C94" s="401" t="s">
        <v>1326</v>
      </c>
      <c r="D94" s="785"/>
      <c r="E94" s="785"/>
    </row>
    <row r="95" spans="1:5" x14ac:dyDescent="0.2">
      <c r="A95" s="779"/>
      <c r="B95" s="782"/>
      <c r="C95" s="401" t="s">
        <v>1334</v>
      </c>
      <c r="D95" s="785"/>
      <c r="E95" s="785"/>
    </row>
    <row r="96" spans="1:5" x14ac:dyDescent="0.2">
      <c r="A96" s="779"/>
      <c r="B96" s="782"/>
      <c r="C96" s="401" t="s">
        <v>1329</v>
      </c>
      <c r="D96" s="785"/>
      <c r="E96" s="785"/>
    </row>
    <row r="97" spans="1:5" x14ac:dyDescent="0.2">
      <c r="A97" s="780"/>
      <c r="B97" s="783"/>
      <c r="C97" s="405" t="s">
        <v>1335</v>
      </c>
      <c r="D97" s="786"/>
      <c r="E97" s="786"/>
    </row>
    <row r="98" spans="1:5" ht="25.5" x14ac:dyDescent="0.2">
      <c r="A98" s="778">
        <v>19</v>
      </c>
      <c r="B98" s="781" t="s">
        <v>1336</v>
      </c>
      <c r="C98" s="401" t="s">
        <v>1337</v>
      </c>
      <c r="D98" s="784" t="s">
        <v>1500</v>
      </c>
      <c r="E98" s="784">
        <f>(1020+15*11)*0.52*7.22</f>
        <v>4448.9639999999999</v>
      </c>
    </row>
    <row r="99" spans="1:5" x14ac:dyDescent="0.2">
      <c r="A99" s="779"/>
      <c r="B99" s="782"/>
      <c r="C99" s="401" t="s">
        <v>1339</v>
      </c>
      <c r="D99" s="785"/>
      <c r="E99" s="785"/>
    </row>
    <row r="100" spans="1:5" x14ac:dyDescent="0.2">
      <c r="A100" s="780"/>
      <c r="B100" s="783"/>
      <c r="C100" s="405" t="s">
        <v>1340</v>
      </c>
      <c r="D100" s="786"/>
      <c r="E100" s="786"/>
    </row>
    <row r="101" spans="1:5" ht="25.5" x14ac:dyDescent="0.2">
      <c r="A101" s="778">
        <v>20</v>
      </c>
      <c r="B101" s="781" t="s">
        <v>1341</v>
      </c>
      <c r="C101" s="401" t="s">
        <v>1342</v>
      </c>
      <c r="D101" s="784" t="s">
        <v>1501</v>
      </c>
      <c r="E101" s="784">
        <f>(1650+76*11)*0.52*7.22</f>
        <v>9333.4383999999991</v>
      </c>
    </row>
    <row r="102" spans="1:5" x14ac:dyDescent="0.2">
      <c r="A102" s="779"/>
      <c r="B102" s="782"/>
      <c r="C102" s="401" t="s">
        <v>1339</v>
      </c>
      <c r="D102" s="785"/>
      <c r="E102" s="785"/>
    </row>
    <row r="103" spans="1:5" x14ac:dyDescent="0.2">
      <c r="A103" s="780"/>
      <c r="B103" s="783"/>
      <c r="C103" s="405" t="s">
        <v>1340</v>
      </c>
      <c r="D103" s="786"/>
      <c r="E103" s="786"/>
    </row>
    <row r="104" spans="1:5" ht="25.5" x14ac:dyDescent="0.2">
      <c r="A104" s="778">
        <v>21</v>
      </c>
      <c r="B104" s="781" t="s">
        <v>1344</v>
      </c>
      <c r="C104" s="401" t="s">
        <v>1345</v>
      </c>
      <c r="D104" s="784" t="s">
        <v>1346</v>
      </c>
      <c r="E104" s="784">
        <f>(1950+19*10)*0.52*7.22</f>
        <v>8034.4159999999993</v>
      </c>
    </row>
    <row r="105" spans="1:5" x14ac:dyDescent="0.2">
      <c r="A105" s="779"/>
      <c r="B105" s="782"/>
      <c r="C105" s="401" t="s">
        <v>1339</v>
      </c>
      <c r="D105" s="785"/>
      <c r="E105" s="785"/>
    </row>
    <row r="106" spans="1:5" x14ac:dyDescent="0.2">
      <c r="A106" s="780"/>
      <c r="B106" s="783"/>
      <c r="C106" s="405" t="s">
        <v>1340</v>
      </c>
      <c r="D106" s="786"/>
      <c r="E106" s="786"/>
    </row>
    <row r="107" spans="1:5" ht="25.5" x14ac:dyDescent="0.2">
      <c r="A107" s="778">
        <v>22</v>
      </c>
      <c r="B107" s="781" t="s">
        <v>1347</v>
      </c>
      <c r="C107" s="401" t="s">
        <v>1348</v>
      </c>
      <c r="D107" s="784" t="s">
        <v>1349</v>
      </c>
      <c r="E107" s="784">
        <f>(2450+3680*1)*0.5*7.22</f>
        <v>22129.3</v>
      </c>
    </row>
    <row r="108" spans="1:5" x14ac:dyDescent="0.2">
      <c r="A108" s="779"/>
      <c r="B108" s="782"/>
      <c r="C108" s="401" t="s">
        <v>1350</v>
      </c>
      <c r="D108" s="785"/>
      <c r="E108" s="785"/>
    </row>
    <row r="109" spans="1:5" x14ac:dyDescent="0.2">
      <c r="A109" s="780"/>
      <c r="B109" s="783"/>
      <c r="C109" s="405" t="s">
        <v>1340</v>
      </c>
      <c r="D109" s="786"/>
      <c r="E109" s="786"/>
    </row>
    <row r="110" spans="1:5" ht="25.5" x14ac:dyDescent="0.2">
      <c r="A110" s="778">
        <v>23</v>
      </c>
      <c r="B110" s="781" t="s">
        <v>1351</v>
      </c>
      <c r="C110" s="401" t="s">
        <v>1352</v>
      </c>
      <c r="D110" s="784" t="s">
        <v>1502</v>
      </c>
      <c r="E110" s="784">
        <f>(2450+3680*11)*0.5*7.22</f>
        <v>154977.29999999999</v>
      </c>
    </row>
    <row r="111" spans="1:5" x14ac:dyDescent="0.2">
      <c r="A111" s="779"/>
      <c r="B111" s="782"/>
      <c r="C111" s="401" t="s">
        <v>1350</v>
      </c>
      <c r="D111" s="785"/>
      <c r="E111" s="785"/>
    </row>
    <row r="112" spans="1:5" x14ac:dyDescent="0.2">
      <c r="A112" s="780"/>
      <c r="B112" s="783"/>
      <c r="C112" s="405" t="s">
        <v>1340</v>
      </c>
      <c r="D112" s="786"/>
      <c r="E112" s="786"/>
    </row>
    <row r="113" spans="1:5" ht="25.5" x14ac:dyDescent="0.2">
      <c r="A113" s="778">
        <v>24</v>
      </c>
      <c r="B113" s="781" t="s">
        <v>1369</v>
      </c>
      <c r="C113" s="401" t="s">
        <v>1355</v>
      </c>
      <c r="D113" s="784" t="s">
        <v>1503</v>
      </c>
      <c r="E113" s="784">
        <f>(25980+4623*5)*0.58*7.22</f>
        <v>205590.22199999998</v>
      </c>
    </row>
    <row r="114" spans="1:5" x14ac:dyDescent="0.2">
      <c r="A114" s="779"/>
      <c r="B114" s="782"/>
      <c r="C114" s="401" t="s">
        <v>1357</v>
      </c>
      <c r="D114" s="785"/>
      <c r="E114" s="785"/>
    </row>
    <row r="115" spans="1:5" x14ac:dyDescent="0.2">
      <c r="A115" s="780"/>
      <c r="B115" s="783"/>
      <c r="C115" s="405" t="s">
        <v>1340</v>
      </c>
      <c r="D115" s="786"/>
      <c r="E115" s="786"/>
    </row>
    <row r="116" spans="1:5" x14ac:dyDescent="0.2">
      <c r="A116" s="403"/>
      <c r="B116" s="405" t="s">
        <v>1504</v>
      </c>
      <c r="C116" s="405"/>
      <c r="D116" s="407"/>
      <c r="E116" s="429">
        <f>SUM(E85:E115)</f>
        <v>487581.35655999999</v>
      </c>
    </row>
    <row r="117" spans="1:5" x14ac:dyDescent="0.2">
      <c r="A117" s="814" t="s">
        <v>1277</v>
      </c>
      <c r="B117" s="815"/>
      <c r="C117" s="815"/>
      <c r="D117" s="815"/>
      <c r="E117" s="816"/>
    </row>
    <row r="118" spans="1:5" x14ac:dyDescent="0.2">
      <c r="A118" s="817"/>
      <c r="B118" s="818"/>
      <c r="C118" s="818"/>
      <c r="D118" s="818"/>
      <c r="E118" s="819"/>
    </row>
    <row r="119" spans="1:5" ht="25.5" x14ac:dyDescent="0.2">
      <c r="A119" s="778">
        <v>25</v>
      </c>
      <c r="B119" s="781" t="s">
        <v>1374</v>
      </c>
      <c r="C119" s="401" t="s">
        <v>1375</v>
      </c>
      <c r="D119" s="784" t="s">
        <v>1376</v>
      </c>
      <c r="E119" s="784">
        <f>820*0.6*55.26*1.5*1.2</f>
        <v>48938.255999999994</v>
      </c>
    </row>
    <row r="120" spans="1:5" x14ac:dyDescent="0.2">
      <c r="A120" s="779"/>
      <c r="B120" s="782"/>
      <c r="C120" s="401" t="s">
        <v>1325</v>
      </c>
      <c r="D120" s="785"/>
      <c r="E120" s="785"/>
    </row>
    <row r="121" spans="1:5" x14ac:dyDescent="0.2">
      <c r="A121" s="779"/>
      <c r="B121" s="782"/>
      <c r="C121" s="401" t="s">
        <v>1326</v>
      </c>
      <c r="D121" s="785"/>
      <c r="E121" s="785"/>
    </row>
    <row r="122" spans="1:5" x14ac:dyDescent="0.2">
      <c r="A122" s="779"/>
      <c r="B122" s="782"/>
      <c r="C122" s="401" t="s">
        <v>1327</v>
      </c>
      <c r="D122" s="785"/>
      <c r="E122" s="785"/>
    </row>
    <row r="123" spans="1:5" x14ac:dyDescent="0.2">
      <c r="A123" s="780"/>
      <c r="B123" s="783"/>
      <c r="C123" s="405" t="s">
        <v>1328</v>
      </c>
      <c r="D123" s="786"/>
      <c r="E123" s="786"/>
    </row>
    <row r="124" spans="1:5" ht="25.5" x14ac:dyDescent="0.2">
      <c r="A124" s="778">
        <v>26</v>
      </c>
      <c r="B124" s="781" t="s">
        <v>1505</v>
      </c>
      <c r="C124" s="401" t="s">
        <v>1378</v>
      </c>
      <c r="D124" s="784" t="s">
        <v>1506</v>
      </c>
      <c r="E124" s="784">
        <f>(2290+5510*3.68)*0.62*7.22</f>
        <v>101018.02351999999</v>
      </c>
    </row>
    <row r="125" spans="1:5" x14ac:dyDescent="0.2">
      <c r="A125" s="779"/>
      <c r="B125" s="782"/>
      <c r="C125" s="401" t="s">
        <v>1380</v>
      </c>
      <c r="D125" s="785"/>
      <c r="E125" s="785"/>
    </row>
    <row r="126" spans="1:5" x14ac:dyDescent="0.2">
      <c r="A126" s="780"/>
      <c r="B126" s="783"/>
      <c r="C126" s="405" t="s">
        <v>1340</v>
      </c>
      <c r="D126" s="786"/>
      <c r="E126" s="786"/>
    </row>
    <row r="127" spans="1:5" ht="25.5" x14ac:dyDescent="0.2">
      <c r="A127" s="778">
        <v>27</v>
      </c>
      <c r="B127" s="781" t="s">
        <v>1381</v>
      </c>
      <c r="C127" s="401" t="s">
        <v>1355</v>
      </c>
      <c r="D127" s="784" t="s">
        <v>1370</v>
      </c>
      <c r="E127" s="784">
        <f>(25980+4623*10)*0.58*7.22</f>
        <v>302386.59599999996</v>
      </c>
    </row>
    <row r="128" spans="1:5" x14ac:dyDescent="0.2">
      <c r="A128" s="779"/>
      <c r="B128" s="782"/>
      <c r="C128" s="401" t="s">
        <v>1357</v>
      </c>
      <c r="D128" s="785"/>
      <c r="E128" s="785"/>
    </row>
    <row r="129" spans="1:5" x14ac:dyDescent="0.2">
      <c r="A129" s="780"/>
      <c r="B129" s="783"/>
      <c r="C129" s="405" t="s">
        <v>1340</v>
      </c>
      <c r="D129" s="786"/>
      <c r="E129" s="786"/>
    </row>
    <row r="130" spans="1:5" ht="25.5" x14ac:dyDescent="0.2">
      <c r="A130" s="778">
        <v>28</v>
      </c>
      <c r="B130" s="781" t="s">
        <v>1507</v>
      </c>
      <c r="C130" s="401" t="s">
        <v>1378</v>
      </c>
      <c r="D130" s="784" t="s">
        <v>1427</v>
      </c>
      <c r="E130" s="784">
        <f>(2290+5510*15)*0.62*7.22</f>
        <v>380225.41600000003</v>
      </c>
    </row>
    <row r="131" spans="1:5" x14ac:dyDescent="0.2">
      <c r="A131" s="779"/>
      <c r="B131" s="782"/>
      <c r="C131" s="401" t="s">
        <v>1380</v>
      </c>
      <c r="D131" s="785"/>
      <c r="E131" s="785"/>
    </row>
    <row r="132" spans="1:5" x14ac:dyDescent="0.2">
      <c r="A132" s="780"/>
      <c r="B132" s="783"/>
      <c r="C132" s="405" t="s">
        <v>1340</v>
      </c>
      <c r="D132" s="786"/>
      <c r="E132" s="786"/>
    </row>
    <row r="133" spans="1:5" ht="25.5" x14ac:dyDescent="0.2">
      <c r="A133" s="778">
        <v>29</v>
      </c>
      <c r="B133" s="781" t="s">
        <v>1508</v>
      </c>
      <c r="C133" s="401" t="s">
        <v>1378</v>
      </c>
      <c r="D133" s="784" t="s">
        <v>1427</v>
      </c>
      <c r="E133" s="784">
        <f>(2290+5510*15)*0.62*7.22</f>
        <v>380225.41600000003</v>
      </c>
    </row>
    <row r="134" spans="1:5" x14ac:dyDescent="0.2">
      <c r="A134" s="779"/>
      <c r="B134" s="782"/>
      <c r="C134" s="401" t="s">
        <v>1380</v>
      </c>
      <c r="D134" s="785"/>
      <c r="E134" s="785"/>
    </row>
    <row r="135" spans="1:5" x14ac:dyDescent="0.2">
      <c r="A135" s="780"/>
      <c r="B135" s="783"/>
      <c r="C135" s="405" t="s">
        <v>1340</v>
      </c>
      <c r="D135" s="786"/>
      <c r="E135" s="786"/>
    </row>
    <row r="136" spans="1:5" ht="25.5" x14ac:dyDescent="0.2">
      <c r="A136" s="778">
        <v>30</v>
      </c>
      <c r="B136" s="781" t="s">
        <v>1384</v>
      </c>
      <c r="C136" s="401" t="s">
        <v>1385</v>
      </c>
      <c r="D136" s="784" t="s">
        <v>1509</v>
      </c>
      <c r="E136" s="784">
        <f>85450*0.5*7.22</f>
        <v>308474.5</v>
      </c>
    </row>
    <row r="137" spans="1:5" x14ac:dyDescent="0.2">
      <c r="A137" s="779"/>
      <c r="B137" s="782"/>
      <c r="C137" s="401" t="s">
        <v>1458</v>
      </c>
      <c r="D137" s="785"/>
      <c r="E137" s="785"/>
    </row>
    <row r="138" spans="1:5" x14ac:dyDescent="0.2">
      <c r="A138" s="780"/>
      <c r="B138" s="783"/>
      <c r="C138" s="405" t="s">
        <v>1340</v>
      </c>
      <c r="D138" s="786"/>
      <c r="E138" s="786"/>
    </row>
    <row r="139" spans="1:5" ht="25.5" x14ac:dyDescent="0.2">
      <c r="A139" s="778">
        <v>31</v>
      </c>
      <c r="B139" s="781" t="s">
        <v>1510</v>
      </c>
      <c r="C139" s="401" t="s">
        <v>1389</v>
      </c>
      <c r="D139" s="784" t="s">
        <v>1511</v>
      </c>
      <c r="E139" s="784">
        <f>(36610+4570*19.8)*0.5*1.1*7.22</f>
        <v>504698.21600000001</v>
      </c>
    </row>
    <row r="140" spans="1:5" x14ac:dyDescent="0.2">
      <c r="A140" s="779"/>
      <c r="B140" s="782"/>
      <c r="C140" s="401" t="s">
        <v>1458</v>
      </c>
      <c r="D140" s="785"/>
      <c r="E140" s="785"/>
    </row>
    <row r="141" spans="1:5" x14ac:dyDescent="0.2">
      <c r="A141" s="779"/>
      <c r="B141" s="782"/>
      <c r="C141" s="401" t="s">
        <v>1391</v>
      </c>
      <c r="D141" s="785"/>
      <c r="E141" s="785"/>
    </row>
    <row r="142" spans="1:5" x14ac:dyDescent="0.2">
      <c r="A142" s="780"/>
      <c r="B142" s="783"/>
      <c r="C142" s="405" t="s">
        <v>1340</v>
      </c>
      <c r="D142" s="786"/>
      <c r="E142" s="786"/>
    </row>
    <row r="143" spans="1:5" ht="25.5" x14ac:dyDescent="0.2">
      <c r="A143" s="778">
        <v>32</v>
      </c>
      <c r="B143" s="781" t="s">
        <v>1392</v>
      </c>
      <c r="C143" s="401" t="s">
        <v>1393</v>
      </c>
      <c r="D143" s="784" t="s">
        <v>1512</v>
      </c>
      <c r="E143" s="784">
        <f>2400*0.5*7.22</f>
        <v>8664</v>
      </c>
    </row>
    <row r="144" spans="1:5" x14ac:dyDescent="0.2">
      <c r="A144" s="779"/>
      <c r="B144" s="782"/>
      <c r="C144" s="401" t="s">
        <v>1458</v>
      </c>
      <c r="D144" s="785"/>
      <c r="E144" s="785"/>
    </row>
    <row r="145" spans="1:5" x14ac:dyDescent="0.2">
      <c r="A145" s="780"/>
      <c r="B145" s="783"/>
      <c r="C145" s="405" t="s">
        <v>1340</v>
      </c>
      <c r="D145" s="786"/>
      <c r="E145" s="786"/>
    </row>
    <row r="146" spans="1:5" ht="25.5" x14ac:dyDescent="0.2">
      <c r="A146" s="778">
        <v>33</v>
      </c>
      <c r="B146" s="781" t="s">
        <v>1395</v>
      </c>
      <c r="C146" s="401" t="s">
        <v>1378</v>
      </c>
      <c r="D146" s="784" t="s">
        <v>1513</v>
      </c>
      <c r="E146" s="784">
        <f>(2290+5510*5)*0.62*7.22</f>
        <v>133575.77599999998</v>
      </c>
    </row>
    <row r="147" spans="1:5" x14ac:dyDescent="0.2">
      <c r="A147" s="779"/>
      <c r="B147" s="782"/>
      <c r="C147" s="401" t="s">
        <v>1380</v>
      </c>
      <c r="D147" s="785"/>
      <c r="E147" s="785"/>
    </row>
    <row r="148" spans="1:5" x14ac:dyDescent="0.2">
      <c r="A148" s="780"/>
      <c r="B148" s="783"/>
      <c r="C148" s="405" t="s">
        <v>1340</v>
      </c>
      <c r="D148" s="786"/>
      <c r="E148" s="786"/>
    </row>
    <row r="149" spans="1:5" ht="25.5" x14ac:dyDescent="0.2">
      <c r="A149" s="778">
        <v>34</v>
      </c>
      <c r="B149" s="781" t="s">
        <v>1397</v>
      </c>
      <c r="C149" s="401" t="s">
        <v>1348</v>
      </c>
      <c r="D149" s="784" t="s">
        <v>1368</v>
      </c>
      <c r="E149" s="784">
        <f>(2450+3680*10)*0.5*7.22</f>
        <v>141692.5</v>
      </c>
    </row>
    <row r="150" spans="1:5" x14ac:dyDescent="0.2">
      <c r="A150" s="779"/>
      <c r="B150" s="782"/>
      <c r="C150" s="401" t="s">
        <v>1458</v>
      </c>
      <c r="D150" s="785"/>
      <c r="E150" s="785"/>
    </row>
    <row r="151" spans="1:5" x14ac:dyDescent="0.2">
      <c r="A151" s="780"/>
      <c r="B151" s="783"/>
      <c r="C151" s="405" t="s">
        <v>1340</v>
      </c>
      <c r="D151" s="786"/>
      <c r="E151" s="786"/>
    </row>
    <row r="152" spans="1:5" x14ac:dyDescent="0.2">
      <c r="A152" s="403">
        <v>35</v>
      </c>
      <c r="B152" s="405" t="s">
        <v>1399</v>
      </c>
      <c r="C152" s="405"/>
      <c r="D152" s="407"/>
      <c r="E152" s="429">
        <f>SUM(E119:E151)</f>
        <v>2309898.6995199998</v>
      </c>
    </row>
    <row r="153" spans="1:5" x14ac:dyDescent="0.2">
      <c r="A153" s="790" t="s">
        <v>1514</v>
      </c>
      <c r="B153" s="791"/>
      <c r="C153" s="791"/>
      <c r="D153" s="791"/>
      <c r="E153" s="792"/>
    </row>
    <row r="154" spans="1:5" ht="25.5" x14ac:dyDescent="0.2">
      <c r="A154" s="778">
        <v>36</v>
      </c>
      <c r="B154" s="401" t="s">
        <v>1515</v>
      </c>
      <c r="C154" s="781"/>
      <c r="D154" s="784"/>
      <c r="E154" s="784">
        <v>500000</v>
      </c>
    </row>
    <row r="155" spans="1:5" ht="25.5" x14ac:dyDescent="0.2">
      <c r="A155" s="780"/>
      <c r="B155" s="405" t="s">
        <v>1372</v>
      </c>
      <c r="C155" s="783"/>
      <c r="D155" s="786"/>
      <c r="E155" s="786"/>
    </row>
    <row r="156" spans="1:5" x14ac:dyDescent="0.2">
      <c r="A156" s="790" t="s">
        <v>1516</v>
      </c>
      <c r="B156" s="791"/>
      <c r="C156" s="791"/>
      <c r="D156" s="791"/>
      <c r="E156" s="792"/>
    </row>
    <row r="157" spans="1:5" ht="25.5" x14ac:dyDescent="0.2">
      <c r="A157" s="778">
        <v>37</v>
      </c>
      <c r="B157" s="401" t="s">
        <v>1517</v>
      </c>
      <c r="C157" s="781"/>
      <c r="D157" s="784"/>
      <c r="E157" s="784">
        <v>500000</v>
      </c>
    </row>
    <row r="158" spans="1:5" ht="25.5" x14ac:dyDescent="0.2">
      <c r="A158" s="780"/>
      <c r="B158" s="405" t="s">
        <v>1372</v>
      </c>
      <c r="C158" s="783"/>
      <c r="D158" s="786"/>
      <c r="E158" s="786"/>
    </row>
    <row r="159" spans="1:5" ht="25.5" x14ac:dyDescent="0.2">
      <c r="A159" s="403">
        <v>38</v>
      </c>
      <c r="B159" s="405" t="s">
        <v>1518</v>
      </c>
      <c r="C159" s="405"/>
      <c r="D159" s="407"/>
      <c r="E159" s="407">
        <f>E157+E154+E152+E116+E82+E49</f>
        <v>5329491.0242959987</v>
      </c>
    </row>
    <row r="160" spans="1:5" ht="51" x14ac:dyDescent="0.2">
      <c r="A160" s="403">
        <v>39</v>
      </c>
      <c r="B160" s="418" t="s">
        <v>1401</v>
      </c>
      <c r="C160" s="418" t="s">
        <v>1402</v>
      </c>
      <c r="D160" s="430" t="s">
        <v>1403</v>
      </c>
      <c r="E160" s="409">
        <f>E159*0.8</f>
        <v>4263592.8194367988</v>
      </c>
    </row>
    <row r="161" spans="1:5" ht="25.5" x14ac:dyDescent="0.2">
      <c r="A161" s="403">
        <v>40</v>
      </c>
      <c r="B161" s="505" t="s">
        <v>2317</v>
      </c>
      <c r="C161" s="505" t="s">
        <v>2314</v>
      </c>
      <c r="D161" s="507" t="s">
        <v>2318</v>
      </c>
      <c r="E161" s="409">
        <f>E160*0.7</f>
        <v>2984514.973605759</v>
      </c>
    </row>
    <row r="162" spans="1:5" ht="12.75" customHeight="1" x14ac:dyDescent="0.2">
      <c r="A162" s="787" t="s">
        <v>252</v>
      </c>
      <c r="B162" s="788"/>
      <c r="C162" s="788"/>
      <c r="D162" s="789"/>
      <c r="E162" s="508">
        <f>E161</f>
        <v>2984514.973605759</v>
      </c>
    </row>
    <row r="163" spans="1:5" x14ac:dyDescent="0.2">
      <c r="A163" s="411"/>
      <c r="B163" s="411"/>
      <c r="C163" s="411"/>
      <c r="D163" s="412"/>
      <c r="E163" s="412"/>
    </row>
  </sheetData>
  <mergeCells count="154">
    <mergeCell ref="A3:E3"/>
    <mergeCell ref="A4:E4"/>
    <mergeCell ref="C6:E6"/>
    <mergeCell ref="A17:E17"/>
    <mergeCell ref="A18:A24"/>
    <mergeCell ref="B18:B24"/>
    <mergeCell ref="D18:D24"/>
    <mergeCell ref="E18:E24"/>
    <mergeCell ref="A25:A30"/>
    <mergeCell ref="B25:B30"/>
    <mergeCell ref="D25:D30"/>
    <mergeCell ref="E25:E30"/>
    <mergeCell ref="A31:A33"/>
    <mergeCell ref="B31:B33"/>
    <mergeCell ref="D31:D33"/>
    <mergeCell ref="E31:E33"/>
    <mergeCell ref="A34:A36"/>
    <mergeCell ref="B34:B36"/>
    <mergeCell ref="D34:D36"/>
    <mergeCell ref="E34:E36"/>
    <mergeCell ref="A37:A39"/>
    <mergeCell ref="B37:B39"/>
    <mergeCell ref="D37:D39"/>
    <mergeCell ref="E37:E39"/>
    <mergeCell ref="A40:A42"/>
    <mergeCell ref="B40:B42"/>
    <mergeCell ref="D40:D42"/>
    <mergeCell ref="E40:E42"/>
    <mergeCell ref="A43:A45"/>
    <mergeCell ref="B43:B45"/>
    <mergeCell ref="D43:D45"/>
    <mergeCell ref="E43:E45"/>
    <mergeCell ref="A46:A48"/>
    <mergeCell ref="B46:B48"/>
    <mergeCell ref="D46:D48"/>
    <mergeCell ref="E46:E48"/>
    <mergeCell ref="A50:E50"/>
    <mergeCell ref="A51:A57"/>
    <mergeCell ref="B51:B57"/>
    <mergeCell ref="D51:D57"/>
    <mergeCell ref="E51:E57"/>
    <mergeCell ref="A58:A63"/>
    <mergeCell ref="B58:B63"/>
    <mergeCell ref="D58:D63"/>
    <mergeCell ref="E58:E63"/>
    <mergeCell ref="A64:A66"/>
    <mergeCell ref="B64:B66"/>
    <mergeCell ref="D64:D66"/>
    <mergeCell ref="E64:E66"/>
    <mergeCell ref="A67:A69"/>
    <mergeCell ref="B67:B69"/>
    <mergeCell ref="D67:D69"/>
    <mergeCell ref="E67:E69"/>
    <mergeCell ref="A70:A72"/>
    <mergeCell ref="B70:B72"/>
    <mergeCell ref="D70:D72"/>
    <mergeCell ref="E70:E72"/>
    <mergeCell ref="A73:A75"/>
    <mergeCell ref="B73:B75"/>
    <mergeCell ref="D73:D75"/>
    <mergeCell ref="E73:E75"/>
    <mergeCell ref="A76:A78"/>
    <mergeCell ref="B76:B78"/>
    <mergeCell ref="D76:D78"/>
    <mergeCell ref="E76:E78"/>
    <mergeCell ref="A79:A81"/>
    <mergeCell ref="B79:B81"/>
    <mergeCell ref="D79:D81"/>
    <mergeCell ref="E79:E81"/>
    <mergeCell ref="A83:E84"/>
    <mergeCell ref="A85:A91"/>
    <mergeCell ref="B85:B91"/>
    <mergeCell ref="D85:D91"/>
    <mergeCell ref="E85:E91"/>
    <mergeCell ref="A92:A97"/>
    <mergeCell ref="B92:B97"/>
    <mergeCell ref="D92:D97"/>
    <mergeCell ref="E92:E97"/>
    <mergeCell ref="A98:A100"/>
    <mergeCell ref="B98:B100"/>
    <mergeCell ref="D98:D100"/>
    <mergeCell ref="E98:E100"/>
    <mergeCell ref="A101:A103"/>
    <mergeCell ref="B101:B103"/>
    <mergeCell ref="D101:D103"/>
    <mergeCell ref="E101:E103"/>
    <mergeCell ref="A104:A106"/>
    <mergeCell ref="B104:B106"/>
    <mergeCell ref="D104:D106"/>
    <mergeCell ref="E104:E106"/>
    <mergeCell ref="A107:A109"/>
    <mergeCell ref="B107:B109"/>
    <mergeCell ref="D107:D109"/>
    <mergeCell ref="E107:E109"/>
    <mergeCell ref="A110:A112"/>
    <mergeCell ref="B110:B112"/>
    <mergeCell ref="D110:D112"/>
    <mergeCell ref="E110:E112"/>
    <mergeCell ref="A113:A115"/>
    <mergeCell ref="B113:B115"/>
    <mergeCell ref="D113:D115"/>
    <mergeCell ref="E113:E115"/>
    <mergeCell ref="A117:E118"/>
    <mergeCell ref="A119:A123"/>
    <mergeCell ref="B119:B123"/>
    <mergeCell ref="D119:D123"/>
    <mergeCell ref="E119:E123"/>
    <mergeCell ref="A124:A126"/>
    <mergeCell ref="B124:B126"/>
    <mergeCell ref="D124:D126"/>
    <mergeCell ref="E124:E126"/>
    <mergeCell ref="A127:A129"/>
    <mergeCell ref="B127:B129"/>
    <mergeCell ref="D127:D129"/>
    <mergeCell ref="E127:E129"/>
    <mergeCell ref="A130:A132"/>
    <mergeCell ref="B130:B132"/>
    <mergeCell ref="D130:D132"/>
    <mergeCell ref="E130:E132"/>
    <mergeCell ref="A133:A135"/>
    <mergeCell ref="B133:B135"/>
    <mergeCell ref="D133:D135"/>
    <mergeCell ref="E133:E135"/>
    <mergeCell ref="A136:A138"/>
    <mergeCell ref="B136:B138"/>
    <mergeCell ref="D136:D138"/>
    <mergeCell ref="E136:E138"/>
    <mergeCell ref="A139:A142"/>
    <mergeCell ref="B139:B142"/>
    <mergeCell ref="D139:D142"/>
    <mergeCell ref="E139:E142"/>
    <mergeCell ref="A143:A145"/>
    <mergeCell ref="B143:B145"/>
    <mergeCell ref="D143:D145"/>
    <mergeCell ref="E143:E145"/>
    <mergeCell ref="A146:A148"/>
    <mergeCell ref="B146:B148"/>
    <mergeCell ref="D146:D148"/>
    <mergeCell ref="E146:E148"/>
    <mergeCell ref="A149:A151"/>
    <mergeCell ref="B149:B151"/>
    <mergeCell ref="D149:D151"/>
    <mergeCell ref="E149:E151"/>
    <mergeCell ref="A153:E153"/>
    <mergeCell ref="A162:D162"/>
    <mergeCell ref="A154:A155"/>
    <mergeCell ref="C154:C155"/>
    <mergeCell ref="D154:D155"/>
    <mergeCell ref="E154:E155"/>
    <mergeCell ref="A156:E156"/>
    <mergeCell ref="A157:A158"/>
    <mergeCell ref="C157:C158"/>
    <mergeCell ref="D157:D158"/>
    <mergeCell ref="E157:E158"/>
  </mergeCells>
  <conditionalFormatting sqref="C1 C3:C16 C163:C64764 D15:E15">
    <cfRule type="containsText" dxfId="34" priority="2" operator="containsText" text="стадия Р">
      <formula>NOT(ISERROR(SEARCH("стадия Р",C1)))</formula>
    </cfRule>
  </conditionalFormatting>
  <conditionalFormatting sqref="C162">
    <cfRule type="containsText" dxfId="33" priority="1" operator="containsText" text="стадия Р">
      <formula>NOT(ISERROR(SEARCH("стадия Р",C162)))</formula>
    </cfRule>
  </conditionalFormatting>
  <pageMargins left="0.23622047244094491" right="0.23622047244094491" top="0.74803149606299213" bottom="0.74803149606299213" header="0.31496062992125984" footer="0.31496062992125984"/>
  <pageSetup paperSize="9" scale="79" fitToHeight="0" orientation="portrait" verticalDpi="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5D000"/>
    <pageSetUpPr fitToPage="1"/>
  </sheetPr>
  <dimension ref="A1:IV245"/>
  <sheetViews>
    <sheetView topLeftCell="A217" zoomScale="85" workbookViewId="0">
      <selection activeCell="C243" sqref="C243"/>
    </sheetView>
  </sheetViews>
  <sheetFormatPr defaultColWidth="9.140625" defaultRowHeight="12.75" x14ac:dyDescent="0.2"/>
  <cols>
    <col min="1" max="1" width="9.140625" style="431"/>
    <col min="2" max="2" width="34.85546875" style="431" customWidth="1"/>
    <col min="3" max="3" width="42.85546875" style="432" customWidth="1"/>
    <col min="4" max="4" width="26.5703125" style="433" customWidth="1"/>
    <col min="5" max="5" width="17.42578125" style="433" customWidth="1"/>
    <col min="6" max="6" width="9.140625" style="431"/>
    <col min="7" max="7" width="11.7109375" style="431" bestFit="1" customWidth="1"/>
    <col min="8" max="219" width="9.140625" style="431"/>
    <col min="220" max="220" width="28" style="431" customWidth="1"/>
    <col min="221" max="221" width="52" style="431" customWidth="1"/>
    <col min="222" max="222" width="27.28515625" style="431" customWidth="1"/>
    <col min="223" max="223" width="20.5703125" style="431" customWidth="1"/>
    <col min="224" max="225" width="9.140625" style="431"/>
    <col min="226" max="226" width="11.5703125" style="431" bestFit="1" customWidth="1"/>
    <col min="227" max="257" width="9.140625" style="431"/>
    <col min="258" max="258" width="28.7109375" style="431" customWidth="1"/>
    <col min="259" max="259" width="42.85546875" style="431" customWidth="1"/>
    <col min="260" max="260" width="26.28515625" style="431" customWidth="1"/>
    <col min="261" max="261" width="17.42578125" style="431" customWidth="1"/>
    <col min="262" max="475" width="9.140625" style="431"/>
    <col min="476" max="476" width="28" style="431" customWidth="1"/>
    <col min="477" max="477" width="52" style="431" customWidth="1"/>
    <col min="478" max="478" width="27.28515625" style="431" customWidth="1"/>
    <col min="479" max="479" width="20.5703125" style="431" customWidth="1"/>
    <col min="480" max="481" width="9.140625" style="431"/>
    <col min="482" max="482" width="11.5703125" style="431" bestFit="1" customWidth="1"/>
    <col min="483" max="513" width="9.140625" style="431"/>
    <col min="514" max="514" width="28.7109375" style="431" customWidth="1"/>
    <col min="515" max="515" width="42.85546875" style="431" customWidth="1"/>
    <col min="516" max="516" width="26.28515625" style="431" customWidth="1"/>
    <col min="517" max="517" width="17.42578125" style="431" customWidth="1"/>
    <col min="518" max="731" width="9.140625" style="431"/>
    <col min="732" max="732" width="28" style="431" customWidth="1"/>
    <col min="733" max="733" width="52" style="431" customWidth="1"/>
    <col min="734" max="734" width="27.28515625" style="431" customWidth="1"/>
    <col min="735" max="735" width="20.5703125" style="431" customWidth="1"/>
    <col min="736" max="737" width="9.140625" style="431"/>
    <col min="738" max="738" width="11.5703125" style="431" bestFit="1" customWidth="1"/>
    <col min="739" max="769" width="9.140625" style="431"/>
    <col min="770" max="770" width="28.7109375" style="431" customWidth="1"/>
    <col min="771" max="771" width="42.85546875" style="431" customWidth="1"/>
    <col min="772" max="772" width="26.28515625" style="431" customWidth="1"/>
    <col min="773" max="773" width="17.42578125" style="431" customWidth="1"/>
    <col min="774" max="987" width="9.140625" style="431"/>
    <col min="988" max="988" width="28" style="431" customWidth="1"/>
    <col min="989" max="989" width="52" style="431" customWidth="1"/>
    <col min="990" max="990" width="27.28515625" style="431" customWidth="1"/>
    <col min="991" max="991" width="20.5703125" style="431" customWidth="1"/>
    <col min="992" max="993" width="9.140625" style="431"/>
    <col min="994" max="994" width="11.5703125" style="431" bestFit="1" customWidth="1"/>
    <col min="995" max="1025" width="9.140625" style="431"/>
    <col min="1026" max="1026" width="28.7109375" style="431" customWidth="1"/>
    <col min="1027" max="1027" width="42.85546875" style="431" customWidth="1"/>
    <col min="1028" max="1028" width="26.28515625" style="431" customWidth="1"/>
    <col min="1029" max="1029" width="17.42578125" style="431" customWidth="1"/>
    <col min="1030" max="1243" width="9.140625" style="431"/>
    <col min="1244" max="1244" width="28" style="431" customWidth="1"/>
    <col min="1245" max="1245" width="52" style="431" customWidth="1"/>
    <col min="1246" max="1246" width="27.28515625" style="431" customWidth="1"/>
    <col min="1247" max="1247" width="20.5703125" style="431" customWidth="1"/>
    <col min="1248" max="1249" width="9.140625" style="431"/>
    <col min="1250" max="1250" width="11.5703125" style="431" bestFit="1" customWidth="1"/>
    <col min="1251" max="1281" width="9.140625" style="431"/>
    <col min="1282" max="1282" width="28.7109375" style="431" customWidth="1"/>
    <col min="1283" max="1283" width="42.85546875" style="431" customWidth="1"/>
    <col min="1284" max="1284" width="26.28515625" style="431" customWidth="1"/>
    <col min="1285" max="1285" width="17.42578125" style="431" customWidth="1"/>
    <col min="1286" max="1499" width="9.140625" style="431"/>
    <col min="1500" max="1500" width="28" style="431" customWidth="1"/>
    <col min="1501" max="1501" width="52" style="431" customWidth="1"/>
    <col min="1502" max="1502" width="27.28515625" style="431" customWidth="1"/>
    <col min="1503" max="1503" width="20.5703125" style="431" customWidth="1"/>
    <col min="1504" max="1505" width="9.140625" style="431"/>
    <col min="1506" max="1506" width="11.5703125" style="431" bestFit="1" customWidth="1"/>
    <col min="1507" max="1537" width="9.140625" style="431"/>
    <col min="1538" max="1538" width="28.7109375" style="431" customWidth="1"/>
    <col min="1539" max="1539" width="42.85546875" style="431" customWidth="1"/>
    <col min="1540" max="1540" width="26.28515625" style="431" customWidth="1"/>
    <col min="1541" max="1541" width="17.42578125" style="431" customWidth="1"/>
    <col min="1542" max="1755" width="9.140625" style="431"/>
    <col min="1756" max="1756" width="28" style="431" customWidth="1"/>
    <col min="1757" max="1757" width="52" style="431" customWidth="1"/>
    <col min="1758" max="1758" width="27.28515625" style="431" customWidth="1"/>
    <col min="1759" max="1759" width="20.5703125" style="431" customWidth="1"/>
    <col min="1760" max="1761" width="9.140625" style="431"/>
    <col min="1762" max="1762" width="11.5703125" style="431" bestFit="1" customWidth="1"/>
    <col min="1763" max="1793" width="9.140625" style="431"/>
    <col min="1794" max="1794" width="28.7109375" style="431" customWidth="1"/>
    <col min="1795" max="1795" width="42.85546875" style="431" customWidth="1"/>
    <col min="1796" max="1796" width="26.28515625" style="431" customWidth="1"/>
    <col min="1797" max="1797" width="17.42578125" style="431" customWidth="1"/>
    <col min="1798" max="2011" width="9.140625" style="431"/>
    <col min="2012" max="2012" width="28" style="431" customWidth="1"/>
    <col min="2013" max="2013" width="52" style="431" customWidth="1"/>
    <col min="2014" max="2014" width="27.28515625" style="431" customWidth="1"/>
    <col min="2015" max="2015" width="20.5703125" style="431" customWidth="1"/>
    <col min="2016" max="2017" width="9.140625" style="431"/>
    <col min="2018" max="2018" width="11.5703125" style="431" bestFit="1" customWidth="1"/>
    <col min="2019" max="2049" width="9.140625" style="431"/>
    <col min="2050" max="2050" width="28.7109375" style="431" customWidth="1"/>
    <col min="2051" max="2051" width="42.85546875" style="431" customWidth="1"/>
    <col min="2052" max="2052" width="26.28515625" style="431" customWidth="1"/>
    <col min="2053" max="2053" width="17.42578125" style="431" customWidth="1"/>
    <col min="2054" max="2267" width="9.140625" style="431"/>
    <col min="2268" max="2268" width="28" style="431" customWidth="1"/>
    <col min="2269" max="2269" width="52" style="431" customWidth="1"/>
    <col min="2270" max="2270" width="27.28515625" style="431" customWidth="1"/>
    <col min="2271" max="2271" width="20.5703125" style="431" customWidth="1"/>
    <col min="2272" max="2273" width="9.140625" style="431"/>
    <col min="2274" max="2274" width="11.5703125" style="431" bestFit="1" customWidth="1"/>
    <col min="2275" max="2305" width="9.140625" style="431"/>
    <col min="2306" max="2306" width="28.7109375" style="431" customWidth="1"/>
    <col min="2307" max="2307" width="42.85546875" style="431" customWidth="1"/>
    <col min="2308" max="2308" width="26.28515625" style="431" customWidth="1"/>
    <col min="2309" max="2309" width="17.42578125" style="431" customWidth="1"/>
    <col min="2310" max="2523" width="9.140625" style="431"/>
    <col min="2524" max="2524" width="28" style="431" customWidth="1"/>
    <col min="2525" max="2525" width="52" style="431" customWidth="1"/>
    <col min="2526" max="2526" width="27.28515625" style="431" customWidth="1"/>
    <col min="2527" max="2527" width="20.5703125" style="431" customWidth="1"/>
    <col min="2528" max="2529" width="9.140625" style="431"/>
    <col min="2530" max="2530" width="11.5703125" style="431" bestFit="1" customWidth="1"/>
    <col min="2531" max="2561" width="9.140625" style="431"/>
    <col min="2562" max="2562" width="28.7109375" style="431" customWidth="1"/>
    <col min="2563" max="2563" width="42.85546875" style="431" customWidth="1"/>
    <col min="2564" max="2564" width="26.28515625" style="431" customWidth="1"/>
    <col min="2565" max="2565" width="17.42578125" style="431" customWidth="1"/>
    <col min="2566" max="2779" width="9.140625" style="431"/>
    <col min="2780" max="2780" width="28" style="431" customWidth="1"/>
    <col min="2781" max="2781" width="52" style="431" customWidth="1"/>
    <col min="2782" max="2782" width="27.28515625" style="431" customWidth="1"/>
    <col min="2783" max="2783" width="20.5703125" style="431" customWidth="1"/>
    <col min="2784" max="2785" width="9.140625" style="431"/>
    <col min="2786" max="2786" width="11.5703125" style="431" bestFit="1" customWidth="1"/>
    <col min="2787" max="2817" width="9.140625" style="431"/>
    <col min="2818" max="2818" width="28.7109375" style="431" customWidth="1"/>
    <col min="2819" max="2819" width="42.85546875" style="431" customWidth="1"/>
    <col min="2820" max="2820" width="26.28515625" style="431" customWidth="1"/>
    <col min="2821" max="2821" width="17.42578125" style="431" customWidth="1"/>
    <col min="2822" max="3035" width="9.140625" style="431"/>
    <col min="3036" max="3036" width="28" style="431" customWidth="1"/>
    <col min="3037" max="3037" width="52" style="431" customWidth="1"/>
    <col min="3038" max="3038" width="27.28515625" style="431" customWidth="1"/>
    <col min="3039" max="3039" width="20.5703125" style="431" customWidth="1"/>
    <col min="3040" max="3041" width="9.140625" style="431"/>
    <col min="3042" max="3042" width="11.5703125" style="431" bestFit="1" customWidth="1"/>
    <col min="3043" max="3073" width="9.140625" style="431"/>
    <col min="3074" max="3074" width="28.7109375" style="431" customWidth="1"/>
    <col min="3075" max="3075" width="42.85546875" style="431" customWidth="1"/>
    <col min="3076" max="3076" width="26.28515625" style="431" customWidth="1"/>
    <col min="3077" max="3077" width="17.42578125" style="431" customWidth="1"/>
    <col min="3078" max="3291" width="9.140625" style="431"/>
    <col min="3292" max="3292" width="28" style="431" customWidth="1"/>
    <col min="3293" max="3293" width="52" style="431" customWidth="1"/>
    <col min="3294" max="3294" width="27.28515625" style="431" customWidth="1"/>
    <col min="3295" max="3295" width="20.5703125" style="431" customWidth="1"/>
    <col min="3296" max="3297" width="9.140625" style="431"/>
    <col min="3298" max="3298" width="11.5703125" style="431" bestFit="1" customWidth="1"/>
    <col min="3299" max="3329" width="9.140625" style="431"/>
    <col min="3330" max="3330" width="28.7109375" style="431" customWidth="1"/>
    <col min="3331" max="3331" width="42.85546875" style="431" customWidth="1"/>
    <col min="3332" max="3332" width="26.28515625" style="431" customWidth="1"/>
    <col min="3333" max="3333" width="17.42578125" style="431" customWidth="1"/>
    <col min="3334" max="3547" width="9.140625" style="431"/>
    <col min="3548" max="3548" width="28" style="431" customWidth="1"/>
    <col min="3549" max="3549" width="52" style="431" customWidth="1"/>
    <col min="3550" max="3550" width="27.28515625" style="431" customWidth="1"/>
    <col min="3551" max="3551" width="20.5703125" style="431" customWidth="1"/>
    <col min="3552" max="3553" width="9.140625" style="431"/>
    <col min="3554" max="3554" width="11.5703125" style="431" bestFit="1" customWidth="1"/>
    <col min="3555" max="3585" width="9.140625" style="431"/>
    <col min="3586" max="3586" width="28.7109375" style="431" customWidth="1"/>
    <col min="3587" max="3587" width="42.85546875" style="431" customWidth="1"/>
    <col min="3588" max="3588" width="26.28515625" style="431" customWidth="1"/>
    <col min="3589" max="3589" width="17.42578125" style="431" customWidth="1"/>
    <col min="3590" max="3803" width="9.140625" style="431"/>
    <col min="3804" max="3804" width="28" style="431" customWidth="1"/>
    <col min="3805" max="3805" width="52" style="431" customWidth="1"/>
    <col min="3806" max="3806" width="27.28515625" style="431" customWidth="1"/>
    <col min="3807" max="3807" width="20.5703125" style="431" customWidth="1"/>
    <col min="3808" max="3809" width="9.140625" style="431"/>
    <col min="3810" max="3810" width="11.5703125" style="431" bestFit="1" customWidth="1"/>
    <col min="3811" max="3841" width="9.140625" style="431"/>
    <col min="3842" max="3842" width="28.7109375" style="431" customWidth="1"/>
    <col min="3843" max="3843" width="42.85546875" style="431" customWidth="1"/>
    <col min="3844" max="3844" width="26.28515625" style="431" customWidth="1"/>
    <col min="3845" max="3845" width="17.42578125" style="431" customWidth="1"/>
    <col min="3846" max="4059" width="9.140625" style="431"/>
    <col min="4060" max="4060" width="28" style="431" customWidth="1"/>
    <col min="4061" max="4061" width="52" style="431" customWidth="1"/>
    <col min="4062" max="4062" width="27.28515625" style="431" customWidth="1"/>
    <col min="4063" max="4063" width="20.5703125" style="431" customWidth="1"/>
    <col min="4064" max="4065" width="9.140625" style="431"/>
    <col min="4066" max="4066" width="11.5703125" style="431" bestFit="1" customWidth="1"/>
    <col min="4067" max="4097" width="9.140625" style="431"/>
    <col min="4098" max="4098" width="28.7109375" style="431" customWidth="1"/>
    <col min="4099" max="4099" width="42.85546875" style="431" customWidth="1"/>
    <col min="4100" max="4100" width="26.28515625" style="431" customWidth="1"/>
    <col min="4101" max="4101" width="17.42578125" style="431" customWidth="1"/>
    <col min="4102" max="4315" width="9.140625" style="431"/>
    <col min="4316" max="4316" width="28" style="431" customWidth="1"/>
    <col min="4317" max="4317" width="52" style="431" customWidth="1"/>
    <col min="4318" max="4318" width="27.28515625" style="431" customWidth="1"/>
    <col min="4319" max="4319" width="20.5703125" style="431" customWidth="1"/>
    <col min="4320" max="4321" width="9.140625" style="431"/>
    <col min="4322" max="4322" width="11.5703125" style="431" bestFit="1" customWidth="1"/>
    <col min="4323" max="4353" width="9.140625" style="431"/>
    <col min="4354" max="4354" width="28.7109375" style="431" customWidth="1"/>
    <col min="4355" max="4355" width="42.85546875" style="431" customWidth="1"/>
    <col min="4356" max="4356" width="26.28515625" style="431" customWidth="1"/>
    <col min="4357" max="4357" width="17.42578125" style="431" customWidth="1"/>
    <col min="4358" max="4571" width="9.140625" style="431"/>
    <col min="4572" max="4572" width="28" style="431" customWidth="1"/>
    <col min="4573" max="4573" width="52" style="431" customWidth="1"/>
    <col min="4574" max="4574" width="27.28515625" style="431" customWidth="1"/>
    <col min="4575" max="4575" width="20.5703125" style="431" customWidth="1"/>
    <col min="4576" max="4577" width="9.140625" style="431"/>
    <col min="4578" max="4578" width="11.5703125" style="431" bestFit="1" customWidth="1"/>
    <col min="4579" max="4609" width="9.140625" style="431"/>
    <col min="4610" max="4610" width="28.7109375" style="431" customWidth="1"/>
    <col min="4611" max="4611" width="42.85546875" style="431" customWidth="1"/>
    <col min="4612" max="4612" width="26.28515625" style="431" customWidth="1"/>
    <col min="4613" max="4613" width="17.42578125" style="431" customWidth="1"/>
    <col min="4614" max="4827" width="9.140625" style="431"/>
    <col min="4828" max="4828" width="28" style="431" customWidth="1"/>
    <col min="4829" max="4829" width="52" style="431" customWidth="1"/>
    <col min="4830" max="4830" width="27.28515625" style="431" customWidth="1"/>
    <col min="4831" max="4831" width="20.5703125" style="431" customWidth="1"/>
    <col min="4832" max="4833" width="9.140625" style="431"/>
    <col min="4834" max="4834" width="11.5703125" style="431" bestFit="1" customWidth="1"/>
    <col min="4835" max="4865" width="9.140625" style="431"/>
    <col min="4866" max="4866" width="28.7109375" style="431" customWidth="1"/>
    <col min="4867" max="4867" width="42.85546875" style="431" customWidth="1"/>
    <col min="4868" max="4868" width="26.28515625" style="431" customWidth="1"/>
    <col min="4869" max="4869" width="17.42578125" style="431" customWidth="1"/>
    <col min="4870" max="5083" width="9.140625" style="431"/>
    <col min="5084" max="5084" width="28" style="431" customWidth="1"/>
    <col min="5085" max="5085" width="52" style="431" customWidth="1"/>
    <col min="5086" max="5086" width="27.28515625" style="431" customWidth="1"/>
    <col min="5087" max="5087" width="20.5703125" style="431" customWidth="1"/>
    <col min="5088" max="5089" width="9.140625" style="431"/>
    <col min="5090" max="5090" width="11.5703125" style="431" bestFit="1" customWidth="1"/>
    <col min="5091" max="5121" width="9.140625" style="431"/>
    <col min="5122" max="5122" width="28.7109375" style="431" customWidth="1"/>
    <col min="5123" max="5123" width="42.85546875" style="431" customWidth="1"/>
    <col min="5124" max="5124" width="26.28515625" style="431" customWidth="1"/>
    <col min="5125" max="5125" width="17.42578125" style="431" customWidth="1"/>
    <col min="5126" max="5339" width="9.140625" style="431"/>
    <col min="5340" max="5340" width="28" style="431" customWidth="1"/>
    <col min="5341" max="5341" width="52" style="431" customWidth="1"/>
    <col min="5342" max="5342" width="27.28515625" style="431" customWidth="1"/>
    <col min="5343" max="5343" width="20.5703125" style="431" customWidth="1"/>
    <col min="5344" max="5345" width="9.140625" style="431"/>
    <col min="5346" max="5346" width="11.5703125" style="431" bestFit="1" customWidth="1"/>
    <col min="5347" max="5377" width="9.140625" style="431"/>
    <col min="5378" max="5378" width="28.7109375" style="431" customWidth="1"/>
    <col min="5379" max="5379" width="42.85546875" style="431" customWidth="1"/>
    <col min="5380" max="5380" width="26.28515625" style="431" customWidth="1"/>
    <col min="5381" max="5381" width="17.42578125" style="431" customWidth="1"/>
    <col min="5382" max="5595" width="9.140625" style="431"/>
    <col min="5596" max="5596" width="28" style="431" customWidth="1"/>
    <col min="5597" max="5597" width="52" style="431" customWidth="1"/>
    <col min="5598" max="5598" width="27.28515625" style="431" customWidth="1"/>
    <col min="5599" max="5599" width="20.5703125" style="431" customWidth="1"/>
    <col min="5600" max="5601" width="9.140625" style="431"/>
    <col min="5602" max="5602" width="11.5703125" style="431" bestFit="1" customWidth="1"/>
    <col min="5603" max="5633" width="9.140625" style="431"/>
    <col min="5634" max="5634" width="28.7109375" style="431" customWidth="1"/>
    <col min="5635" max="5635" width="42.85546875" style="431" customWidth="1"/>
    <col min="5636" max="5636" width="26.28515625" style="431" customWidth="1"/>
    <col min="5637" max="5637" width="17.42578125" style="431" customWidth="1"/>
    <col min="5638" max="5851" width="9.140625" style="431"/>
    <col min="5852" max="5852" width="28" style="431" customWidth="1"/>
    <col min="5853" max="5853" width="52" style="431" customWidth="1"/>
    <col min="5854" max="5854" width="27.28515625" style="431" customWidth="1"/>
    <col min="5855" max="5855" width="20.5703125" style="431" customWidth="1"/>
    <col min="5856" max="5857" width="9.140625" style="431"/>
    <col min="5858" max="5858" width="11.5703125" style="431" bestFit="1" customWidth="1"/>
    <col min="5859" max="5889" width="9.140625" style="431"/>
    <col min="5890" max="5890" width="28.7109375" style="431" customWidth="1"/>
    <col min="5891" max="5891" width="42.85546875" style="431" customWidth="1"/>
    <col min="5892" max="5892" width="26.28515625" style="431" customWidth="1"/>
    <col min="5893" max="5893" width="17.42578125" style="431" customWidth="1"/>
    <col min="5894" max="6107" width="9.140625" style="431"/>
    <col min="6108" max="6108" width="28" style="431" customWidth="1"/>
    <col min="6109" max="6109" width="52" style="431" customWidth="1"/>
    <col min="6110" max="6110" width="27.28515625" style="431" customWidth="1"/>
    <col min="6111" max="6111" width="20.5703125" style="431" customWidth="1"/>
    <col min="6112" max="6113" width="9.140625" style="431"/>
    <col min="6114" max="6114" width="11.5703125" style="431" bestFit="1" customWidth="1"/>
    <col min="6115" max="6145" width="9.140625" style="431"/>
    <col min="6146" max="6146" width="28.7109375" style="431" customWidth="1"/>
    <col min="6147" max="6147" width="42.85546875" style="431" customWidth="1"/>
    <col min="6148" max="6148" width="26.28515625" style="431" customWidth="1"/>
    <col min="6149" max="6149" width="17.42578125" style="431" customWidth="1"/>
    <col min="6150" max="6363" width="9.140625" style="431"/>
    <col min="6364" max="6364" width="28" style="431" customWidth="1"/>
    <col min="6365" max="6365" width="52" style="431" customWidth="1"/>
    <col min="6366" max="6366" width="27.28515625" style="431" customWidth="1"/>
    <col min="6367" max="6367" width="20.5703125" style="431" customWidth="1"/>
    <col min="6368" max="6369" width="9.140625" style="431"/>
    <col min="6370" max="6370" width="11.5703125" style="431" bestFit="1" customWidth="1"/>
    <col min="6371" max="6401" width="9.140625" style="431"/>
    <col min="6402" max="6402" width="28.7109375" style="431" customWidth="1"/>
    <col min="6403" max="6403" width="42.85546875" style="431" customWidth="1"/>
    <col min="6404" max="6404" width="26.28515625" style="431" customWidth="1"/>
    <col min="6405" max="6405" width="17.42578125" style="431" customWidth="1"/>
    <col min="6406" max="6619" width="9.140625" style="431"/>
    <col min="6620" max="6620" width="28" style="431" customWidth="1"/>
    <col min="6621" max="6621" width="52" style="431" customWidth="1"/>
    <col min="6622" max="6622" width="27.28515625" style="431" customWidth="1"/>
    <col min="6623" max="6623" width="20.5703125" style="431" customWidth="1"/>
    <col min="6624" max="6625" width="9.140625" style="431"/>
    <col min="6626" max="6626" width="11.5703125" style="431" bestFit="1" customWidth="1"/>
    <col min="6627" max="6657" width="9.140625" style="431"/>
    <col min="6658" max="6658" width="28.7109375" style="431" customWidth="1"/>
    <col min="6659" max="6659" width="42.85546875" style="431" customWidth="1"/>
    <col min="6660" max="6660" width="26.28515625" style="431" customWidth="1"/>
    <col min="6661" max="6661" width="17.42578125" style="431" customWidth="1"/>
    <col min="6662" max="6875" width="9.140625" style="431"/>
    <col min="6876" max="6876" width="28" style="431" customWidth="1"/>
    <col min="6877" max="6877" width="52" style="431" customWidth="1"/>
    <col min="6878" max="6878" width="27.28515625" style="431" customWidth="1"/>
    <col min="6879" max="6879" width="20.5703125" style="431" customWidth="1"/>
    <col min="6880" max="6881" width="9.140625" style="431"/>
    <col min="6882" max="6882" width="11.5703125" style="431" bestFit="1" customWidth="1"/>
    <col min="6883" max="6913" width="9.140625" style="431"/>
    <col min="6914" max="6914" width="28.7109375" style="431" customWidth="1"/>
    <col min="6915" max="6915" width="42.85546875" style="431" customWidth="1"/>
    <col min="6916" max="6916" width="26.28515625" style="431" customWidth="1"/>
    <col min="6917" max="6917" width="17.42578125" style="431" customWidth="1"/>
    <col min="6918" max="7131" width="9.140625" style="431"/>
    <col min="7132" max="7132" width="28" style="431" customWidth="1"/>
    <col min="7133" max="7133" width="52" style="431" customWidth="1"/>
    <col min="7134" max="7134" width="27.28515625" style="431" customWidth="1"/>
    <col min="7135" max="7135" width="20.5703125" style="431" customWidth="1"/>
    <col min="7136" max="7137" width="9.140625" style="431"/>
    <col min="7138" max="7138" width="11.5703125" style="431" bestFit="1" customWidth="1"/>
    <col min="7139" max="7169" width="9.140625" style="431"/>
    <col min="7170" max="7170" width="28.7109375" style="431" customWidth="1"/>
    <col min="7171" max="7171" width="42.85546875" style="431" customWidth="1"/>
    <col min="7172" max="7172" width="26.28515625" style="431" customWidth="1"/>
    <col min="7173" max="7173" width="17.42578125" style="431" customWidth="1"/>
    <col min="7174" max="7387" width="9.140625" style="431"/>
    <col min="7388" max="7388" width="28" style="431" customWidth="1"/>
    <col min="7389" max="7389" width="52" style="431" customWidth="1"/>
    <col min="7390" max="7390" width="27.28515625" style="431" customWidth="1"/>
    <col min="7391" max="7391" width="20.5703125" style="431" customWidth="1"/>
    <col min="7392" max="7393" width="9.140625" style="431"/>
    <col min="7394" max="7394" width="11.5703125" style="431" bestFit="1" customWidth="1"/>
    <col min="7395" max="7425" width="9.140625" style="431"/>
    <col min="7426" max="7426" width="28.7109375" style="431" customWidth="1"/>
    <col min="7427" max="7427" width="42.85546875" style="431" customWidth="1"/>
    <col min="7428" max="7428" width="26.28515625" style="431" customWidth="1"/>
    <col min="7429" max="7429" width="17.42578125" style="431" customWidth="1"/>
    <col min="7430" max="7643" width="9.140625" style="431"/>
    <col min="7644" max="7644" width="28" style="431" customWidth="1"/>
    <col min="7645" max="7645" width="52" style="431" customWidth="1"/>
    <col min="7646" max="7646" width="27.28515625" style="431" customWidth="1"/>
    <col min="7647" max="7647" width="20.5703125" style="431" customWidth="1"/>
    <col min="7648" max="7649" width="9.140625" style="431"/>
    <col min="7650" max="7650" width="11.5703125" style="431" bestFit="1" customWidth="1"/>
    <col min="7651" max="7681" width="9.140625" style="431"/>
    <col min="7682" max="7682" width="28.7109375" style="431" customWidth="1"/>
    <col min="7683" max="7683" width="42.85546875" style="431" customWidth="1"/>
    <col min="7684" max="7684" width="26.28515625" style="431" customWidth="1"/>
    <col min="7685" max="7685" width="17.42578125" style="431" customWidth="1"/>
    <col min="7686" max="7899" width="9.140625" style="431"/>
    <col min="7900" max="7900" width="28" style="431" customWidth="1"/>
    <col min="7901" max="7901" width="52" style="431" customWidth="1"/>
    <col min="7902" max="7902" width="27.28515625" style="431" customWidth="1"/>
    <col min="7903" max="7903" width="20.5703125" style="431" customWidth="1"/>
    <col min="7904" max="7905" width="9.140625" style="431"/>
    <col min="7906" max="7906" width="11.5703125" style="431" bestFit="1" customWidth="1"/>
    <col min="7907" max="7937" width="9.140625" style="431"/>
    <col min="7938" max="7938" width="28.7109375" style="431" customWidth="1"/>
    <col min="7939" max="7939" width="42.85546875" style="431" customWidth="1"/>
    <col min="7940" max="7940" width="26.28515625" style="431" customWidth="1"/>
    <col min="7941" max="7941" width="17.42578125" style="431" customWidth="1"/>
    <col min="7942" max="8155" width="9.140625" style="431"/>
    <col min="8156" max="8156" width="28" style="431" customWidth="1"/>
    <col min="8157" max="8157" width="52" style="431" customWidth="1"/>
    <col min="8158" max="8158" width="27.28515625" style="431" customWidth="1"/>
    <col min="8159" max="8159" width="20.5703125" style="431" customWidth="1"/>
    <col min="8160" max="8161" width="9.140625" style="431"/>
    <col min="8162" max="8162" width="11.5703125" style="431" bestFit="1" customWidth="1"/>
    <col min="8163" max="8193" width="9.140625" style="431"/>
    <col min="8194" max="8194" width="28.7109375" style="431" customWidth="1"/>
    <col min="8195" max="8195" width="42.85546875" style="431" customWidth="1"/>
    <col min="8196" max="8196" width="26.28515625" style="431" customWidth="1"/>
    <col min="8197" max="8197" width="17.42578125" style="431" customWidth="1"/>
    <col min="8198" max="8411" width="9.140625" style="431"/>
    <col min="8412" max="8412" width="28" style="431" customWidth="1"/>
    <col min="8413" max="8413" width="52" style="431" customWidth="1"/>
    <col min="8414" max="8414" width="27.28515625" style="431" customWidth="1"/>
    <col min="8415" max="8415" width="20.5703125" style="431" customWidth="1"/>
    <col min="8416" max="8417" width="9.140625" style="431"/>
    <col min="8418" max="8418" width="11.5703125" style="431" bestFit="1" customWidth="1"/>
    <col min="8419" max="8449" width="9.140625" style="431"/>
    <col min="8450" max="8450" width="28.7109375" style="431" customWidth="1"/>
    <col min="8451" max="8451" width="42.85546875" style="431" customWidth="1"/>
    <col min="8452" max="8452" width="26.28515625" style="431" customWidth="1"/>
    <col min="8453" max="8453" width="17.42578125" style="431" customWidth="1"/>
    <col min="8454" max="8667" width="9.140625" style="431"/>
    <col min="8668" max="8668" width="28" style="431" customWidth="1"/>
    <col min="8669" max="8669" width="52" style="431" customWidth="1"/>
    <col min="8670" max="8670" width="27.28515625" style="431" customWidth="1"/>
    <col min="8671" max="8671" width="20.5703125" style="431" customWidth="1"/>
    <col min="8672" max="8673" width="9.140625" style="431"/>
    <col min="8674" max="8674" width="11.5703125" style="431" bestFit="1" customWidth="1"/>
    <col min="8675" max="8705" width="9.140625" style="431"/>
    <col min="8706" max="8706" width="28.7109375" style="431" customWidth="1"/>
    <col min="8707" max="8707" width="42.85546875" style="431" customWidth="1"/>
    <col min="8708" max="8708" width="26.28515625" style="431" customWidth="1"/>
    <col min="8709" max="8709" width="17.42578125" style="431" customWidth="1"/>
    <col min="8710" max="8923" width="9.140625" style="431"/>
    <col min="8924" max="8924" width="28" style="431" customWidth="1"/>
    <col min="8925" max="8925" width="52" style="431" customWidth="1"/>
    <col min="8926" max="8926" width="27.28515625" style="431" customWidth="1"/>
    <col min="8927" max="8927" width="20.5703125" style="431" customWidth="1"/>
    <col min="8928" max="8929" width="9.140625" style="431"/>
    <col min="8930" max="8930" width="11.5703125" style="431" bestFit="1" customWidth="1"/>
    <col min="8931" max="8961" width="9.140625" style="431"/>
    <col min="8962" max="8962" width="28.7109375" style="431" customWidth="1"/>
    <col min="8963" max="8963" width="42.85546875" style="431" customWidth="1"/>
    <col min="8964" max="8964" width="26.28515625" style="431" customWidth="1"/>
    <col min="8965" max="8965" width="17.42578125" style="431" customWidth="1"/>
    <col min="8966" max="9179" width="9.140625" style="431"/>
    <col min="9180" max="9180" width="28" style="431" customWidth="1"/>
    <col min="9181" max="9181" width="52" style="431" customWidth="1"/>
    <col min="9182" max="9182" width="27.28515625" style="431" customWidth="1"/>
    <col min="9183" max="9183" width="20.5703125" style="431" customWidth="1"/>
    <col min="9184" max="9185" width="9.140625" style="431"/>
    <col min="9186" max="9186" width="11.5703125" style="431" bestFit="1" customWidth="1"/>
    <col min="9187" max="9217" width="9.140625" style="431"/>
    <col min="9218" max="9218" width="28.7109375" style="431" customWidth="1"/>
    <col min="9219" max="9219" width="42.85546875" style="431" customWidth="1"/>
    <col min="9220" max="9220" width="26.28515625" style="431" customWidth="1"/>
    <col min="9221" max="9221" width="17.42578125" style="431" customWidth="1"/>
    <col min="9222" max="9435" width="9.140625" style="431"/>
    <col min="9436" max="9436" width="28" style="431" customWidth="1"/>
    <col min="9437" max="9437" width="52" style="431" customWidth="1"/>
    <col min="9438" max="9438" width="27.28515625" style="431" customWidth="1"/>
    <col min="9439" max="9439" width="20.5703125" style="431" customWidth="1"/>
    <col min="9440" max="9441" width="9.140625" style="431"/>
    <col min="9442" max="9442" width="11.5703125" style="431" bestFit="1" customWidth="1"/>
    <col min="9443" max="9473" width="9.140625" style="431"/>
    <col min="9474" max="9474" width="28.7109375" style="431" customWidth="1"/>
    <col min="9475" max="9475" width="42.85546875" style="431" customWidth="1"/>
    <col min="9476" max="9476" width="26.28515625" style="431" customWidth="1"/>
    <col min="9477" max="9477" width="17.42578125" style="431" customWidth="1"/>
    <col min="9478" max="9691" width="9.140625" style="431"/>
    <col min="9692" max="9692" width="28" style="431" customWidth="1"/>
    <col min="9693" max="9693" width="52" style="431" customWidth="1"/>
    <col min="9694" max="9694" width="27.28515625" style="431" customWidth="1"/>
    <col min="9695" max="9695" width="20.5703125" style="431" customWidth="1"/>
    <col min="9696" max="9697" width="9.140625" style="431"/>
    <col min="9698" max="9698" width="11.5703125" style="431" bestFit="1" customWidth="1"/>
    <col min="9699" max="9729" width="9.140625" style="431"/>
    <col min="9730" max="9730" width="28.7109375" style="431" customWidth="1"/>
    <col min="9731" max="9731" width="42.85546875" style="431" customWidth="1"/>
    <col min="9732" max="9732" width="26.28515625" style="431" customWidth="1"/>
    <col min="9733" max="9733" width="17.42578125" style="431" customWidth="1"/>
    <col min="9734" max="9947" width="9.140625" style="431"/>
    <col min="9948" max="9948" width="28" style="431" customWidth="1"/>
    <col min="9949" max="9949" width="52" style="431" customWidth="1"/>
    <col min="9950" max="9950" width="27.28515625" style="431" customWidth="1"/>
    <col min="9951" max="9951" width="20.5703125" style="431" customWidth="1"/>
    <col min="9952" max="9953" width="9.140625" style="431"/>
    <col min="9954" max="9954" width="11.5703125" style="431" bestFit="1" customWidth="1"/>
    <col min="9955" max="9985" width="9.140625" style="431"/>
    <col min="9986" max="9986" width="28.7109375" style="431" customWidth="1"/>
    <col min="9987" max="9987" width="42.85546875" style="431" customWidth="1"/>
    <col min="9988" max="9988" width="26.28515625" style="431" customWidth="1"/>
    <col min="9989" max="9989" width="17.42578125" style="431" customWidth="1"/>
    <col min="9990" max="10203" width="9.140625" style="431"/>
    <col min="10204" max="10204" width="28" style="431" customWidth="1"/>
    <col min="10205" max="10205" width="52" style="431" customWidth="1"/>
    <col min="10206" max="10206" width="27.28515625" style="431" customWidth="1"/>
    <col min="10207" max="10207" width="20.5703125" style="431" customWidth="1"/>
    <col min="10208" max="10209" width="9.140625" style="431"/>
    <col min="10210" max="10210" width="11.5703125" style="431" bestFit="1" customWidth="1"/>
    <col min="10211" max="10241" width="9.140625" style="431"/>
    <col min="10242" max="10242" width="28.7109375" style="431" customWidth="1"/>
    <col min="10243" max="10243" width="42.85546875" style="431" customWidth="1"/>
    <col min="10244" max="10244" width="26.28515625" style="431" customWidth="1"/>
    <col min="10245" max="10245" width="17.42578125" style="431" customWidth="1"/>
    <col min="10246" max="10459" width="9.140625" style="431"/>
    <col min="10460" max="10460" width="28" style="431" customWidth="1"/>
    <col min="10461" max="10461" width="52" style="431" customWidth="1"/>
    <col min="10462" max="10462" width="27.28515625" style="431" customWidth="1"/>
    <col min="10463" max="10463" width="20.5703125" style="431" customWidth="1"/>
    <col min="10464" max="10465" width="9.140625" style="431"/>
    <col min="10466" max="10466" width="11.5703125" style="431" bestFit="1" customWidth="1"/>
    <col min="10467" max="10497" width="9.140625" style="431"/>
    <col min="10498" max="10498" width="28.7109375" style="431" customWidth="1"/>
    <col min="10499" max="10499" width="42.85546875" style="431" customWidth="1"/>
    <col min="10500" max="10500" width="26.28515625" style="431" customWidth="1"/>
    <col min="10501" max="10501" width="17.42578125" style="431" customWidth="1"/>
    <col min="10502" max="10715" width="9.140625" style="431"/>
    <col min="10716" max="10716" width="28" style="431" customWidth="1"/>
    <col min="10717" max="10717" width="52" style="431" customWidth="1"/>
    <col min="10718" max="10718" width="27.28515625" style="431" customWidth="1"/>
    <col min="10719" max="10719" width="20.5703125" style="431" customWidth="1"/>
    <col min="10720" max="10721" width="9.140625" style="431"/>
    <col min="10722" max="10722" width="11.5703125" style="431" bestFit="1" customWidth="1"/>
    <col min="10723" max="10753" width="9.140625" style="431"/>
    <col min="10754" max="10754" width="28.7109375" style="431" customWidth="1"/>
    <col min="10755" max="10755" width="42.85546875" style="431" customWidth="1"/>
    <col min="10756" max="10756" width="26.28515625" style="431" customWidth="1"/>
    <col min="10757" max="10757" width="17.42578125" style="431" customWidth="1"/>
    <col min="10758" max="10971" width="9.140625" style="431"/>
    <col min="10972" max="10972" width="28" style="431" customWidth="1"/>
    <col min="10973" max="10973" width="52" style="431" customWidth="1"/>
    <col min="10974" max="10974" width="27.28515625" style="431" customWidth="1"/>
    <col min="10975" max="10975" width="20.5703125" style="431" customWidth="1"/>
    <col min="10976" max="10977" width="9.140625" style="431"/>
    <col min="10978" max="10978" width="11.5703125" style="431" bestFit="1" customWidth="1"/>
    <col min="10979" max="11009" width="9.140625" style="431"/>
    <col min="11010" max="11010" width="28.7109375" style="431" customWidth="1"/>
    <col min="11011" max="11011" width="42.85546875" style="431" customWidth="1"/>
    <col min="11012" max="11012" width="26.28515625" style="431" customWidth="1"/>
    <col min="11013" max="11013" width="17.42578125" style="431" customWidth="1"/>
    <col min="11014" max="11227" width="9.140625" style="431"/>
    <col min="11228" max="11228" width="28" style="431" customWidth="1"/>
    <col min="11229" max="11229" width="52" style="431" customWidth="1"/>
    <col min="11230" max="11230" width="27.28515625" style="431" customWidth="1"/>
    <col min="11231" max="11231" width="20.5703125" style="431" customWidth="1"/>
    <col min="11232" max="11233" width="9.140625" style="431"/>
    <col min="11234" max="11234" width="11.5703125" style="431" bestFit="1" customWidth="1"/>
    <col min="11235" max="11265" width="9.140625" style="431"/>
    <col min="11266" max="11266" width="28.7109375" style="431" customWidth="1"/>
    <col min="11267" max="11267" width="42.85546875" style="431" customWidth="1"/>
    <col min="11268" max="11268" width="26.28515625" style="431" customWidth="1"/>
    <col min="11269" max="11269" width="17.42578125" style="431" customWidth="1"/>
    <col min="11270" max="11483" width="9.140625" style="431"/>
    <col min="11484" max="11484" width="28" style="431" customWidth="1"/>
    <col min="11485" max="11485" width="52" style="431" customWidth="1"/>
    <col min="11486" max="11486" width="27.28515625" style="431" customWidth="1"/>
    <col min="11487" max="11487" width="20.5703125" style="431" customWidth="1"/>
    <col min="11488" max="11489" width="9.140625" style="431"/>
    <col min="11490" max="11490" width="11.5703125" style="431" bestFit="1" customWidth="1"/>
    <col min="11491" max="11521" width="9.140625" style="431"/>
    <col min="11522" max="11522" width="28.7109375" style="431" customWidth="1"/>
    <col min="11523" max="11523" width="42.85546875" style="431" customWidth="1"/>
    <col min="11524" max="11524" width="26.28515625" style="431" customWidth="1"/>
    <col min="11525" max="11525" width="17.42578125" style="431" customWidth="1"/>
    <col min="11526" max="11739" width="9.140625" style="431"/>
    <col min="11740" max="11740" width="28" style="431" customWidth="1"/>
    <col min="11741" max="11741" width="52" style="431" customWidth="1"/>
    <col min="11742" max="11742" width="27.28515625" style="431" customWidth="1"/>
    <col min="11743" max="11743" width="20.5703125" style="431" customWidth="1"/>
    <col min="11744" max="11745" width="9.140625" style="431"/>
    <col min="11746" max="11746" width="11.5703125" style="431" bestFit="1" customWidth="1"/>
    <col min="11747" max="11777" width="9.140625" style="431"/>
    <col min="11778" max="11778" width="28.7109375" style="431" customWidth="1"/>
    <col min="11779" max="11779" width="42.85546875" style="431" customWidth="1"/>
    <col min="11780" max="11780" width="26.28515625" style="431" customWidth="1"/>
    <col min="11781" max="11781" width="17.42578125" style="431" customWidth="1"/>
    <col min="11782" max="11995" width="9.140625" style="431"/>
    <col min="11996" max="11996" width="28" style="431" customWidth="1"/>
    <col min="11997" max="11997" width="52" style="431" customWidth="1"/>
    <col min="11998" max="11998" width="27.28515625" style="431" customWidth="1"/>
    <col min="11999" max="11999" width="20.5703125" style="431" customWidth="1"/>
    <col min="12000" max="12001" width="9.140625" style="431"/>
    <col min="12002" max="12002" width="11.5703125" style="431" bestFit="1" customWidth="1"/>
    <col min="12003" max="12033" width="9.140625" style="431"/>
    <col min="12034" max="12034" width="28.7109375" style="431" customWidth="1"/>
    <col min="12035" max="12035" width="42.85546875" style="431" customWidth="1"/>
    <col min="12036" max="12036" width="26.28515625" style="431" customWidth="1"/>
    <col min="12037" max="12037" width="17.42578125" style="431" customWidth="1"/>
    <col min="12038" max="12251" width="9.140625" style="431"/>
    <col min="12252" max="12252" width="28" style="431" customWidth="1"/>
    <col min="12253" max="12253" width="52" style="431" customWidth="1"/>
    <col min="12254" max="12254" width="27.28515625" style="431" customWidth="1"/>
    <col min="12255" max="12255" width="20.5703125" style="431" customWidth="1"/>
    <col min="12256" max="12257" width="9.140625" style="431"/>
    <col min="12258" max="12258" width="11.5703125" style="431" bestFit="1" customWidth="1"/>
    <col min="12259" max="12289" width="9.140625" style="431"/>
    <col min="12290" max="12290" width="28.7109375" style="431" customWidth="1"/>
    <col min="12291" max="12291" width="42.85546875" style="431" customWidth="1"/>
    <col min="12292" max="12292" width="26.28515625" style="431" customWidth="1"/>
    <col min="12293" max="12293" width="17.42578125" style="431" customWidth="1"/>
    <col min="12294" max="12507" width="9.140625" style="431"/>
    <col min="12508" max="12508" width="28" style="431" customWidth="1"/>
    <col min="12509" max="12509" width="52" style="431" customWidth="1"/>
    <col min="12510" max="12510" width="27.28515625" style="431" customWidth="1"/>
    <col min="12511" max="12511" width="20.5703125" style="431" customWidth="1"/>
    <col min="12512" max="12513" width="9.140625" style="431"/>
    <col min="12514" max="12514" width="11.5703125" style="431" bestFit="1" customWidth="1"/>
    <col min="12515" max="12545" width="9.140625" style="431"/>
    <col min="12546" max="12546" width="28.7109375" style="431" customWidth="1"/>
    <col min="12547" max="12547" width="42.85546875" style="431" customWidth="1"/>
    <col min="12548" max="12548" width="26.28515625" style="431" customWidth="1"/>
    <col min="12549" max="12549" width="17.42578125" style="431" customWidth="1"/>
    <col min="12550" max="12763" width="9.140625" style="431"/>
    <col min="12764" max="12764" width="28" style="431" customWidth="1"/>
    <col min="12765" max="12765" width="52" style="431" customWidth="1"/>
    <col min="12766" max="12766" width="27.28515625" style="431" customWidth="1"/>
    <col min="12767" max="12767" width="20.5703125" style="431" customWidth="1"/>
    <col min="12768" max="12769" width="9.140625" style="431"/>
    <col min="12770" max="12770" width="11.5703125" style="431" bestFit="1" customWidth="1"/>
    <col min="12771" max="12801" width="9.140625" style="431"/>
    <col min="12802" max="12802" width="28.7109375" style="431" customWidth="1"/>
    <col min="12803" max="12803" width="42.85546875" style="431" customWidth="1"/>
    <col min="12804" max="12804" width="26.28515625" style="431" customWidth="1"/>
    <col min="12805" max="12805" width="17.42578125" style="431" customWidth="1"/>
    <col min="12806" max="13019" width="9.140625" style="431"/>
    <col min="13020" max="13020" width="28" style="431" customWidth="1"/>
    <col min="13021" max="13021" width="52" style="431" customWidth="1"/>
    <col min="13022" max="13022" width="27.28515625" style="431" customWidth="1"/>
    <col min="13023" max="13023" width="20.5703125" style="431" customWidth="1"/>
    <col min="13024" max="13025" width="9.140625" style="431"/>
    <col min="13026" max="13026" width="11.5703125" style="431" bestFit="1" customWidth="1"/>
    <col min="13027" max="13057" width="9.140625" style="431"/>
    <col min="13058" max="13058" width="28.7109375" style="431" customWidth="1"/>
    <col min="13059" max="13059" width="42.85546875" style="431" customWidth="1"/>
    <col min="13060" max="13060" width="26.28515625" style="431" customWidth="1"/>
    <col min="13061" max="13061" width="17.42578125" style="431" customWidth="1"/>
    <col min="13062" max="13275" width="9.140625" style="431"/>
    <col min="13276" max="13276" width="28" style="431" customWidth="1"/>
    <col min="13277" max="13277" width="52" style="431" customWidth="1"/>
    <col min="13278" max="13278" width="27.28515625" style="431" customWidth="1"/>
    <col min="13279" max="13279" width="20.5703125" style="431" customWidth="1"/>
    <col min="13280" max="13281" width="9.140625" style="431"/>
    <col min="13282" max="13282" width="11.5703125" style="431" bestFit="1" customWidth="1"/>
    <col min="13283" max="13313" width="9.140625" style="431"/>
    <col min="13314" max="13314" width="28.7109375" style="431" customWidth="1"/>
    <col min="13315" max="13315" width="42.85546875" style="431" customWidth="1"/>
    <col min="13316" max="13316" width="26.28515625" style="431" customWidth="1"/>
    <col min="13317" max="13317" width="17.42578125" style="431" customWidth="1"/>
    <col min="13318" max="13531" width="9.140625" style="431"/>
    <col min="13532" max="13532" width="28" style="431" customWidth="1"/>
    <col min="13533" max="13533" width="52" style="431" customWidth="1"/>
    <col min="13534" max="13534" width="27.28515625" style="431" customWidth="1"/>
    <col min="13535" max="13535" width="20.5703125" style="431" customWidth="1"/>
    <col min="13536" max="13537" width="9.140625" style="431"/>
    <col min="13538" max="13538" width="11.5703125" style="431" bestFit="1" customWidth="1"/>
    <col min="13539" max="13569" width="9.140625" style="431"/>
    <col min="13570" max="13570" width="28.7109375" style="431" customWidth="1"/>
    <col min="13571" max="13571" width="42.85546875" style="431" customWidth="1"/>
    <col min="13572" max="13572" width="26.28515625" style="431" customWidth="1"/>
    <col min="13573" max="13573" width="17.42578125" style="431" customWidth="1"/>
    <col min="13574" max="13787" width="9.140625" style="431"/>
    <col min="13788" max="13788" width="28" style="431" customWidth="1"/>
    <col min="13789" max="13789" width="52" style="431" customWidth="1"/>
    <col min="13790" max="13790" width="27.28515625" style="431" customWidth="1"/>
    <col min="13791" max="13791" width="20.5703125" style="431" customWidth="1"/>
    <col min="13792" max="13793" width="9.140625" style="431"/>
    <col min="13794" max="13794" width="11.5703125" style="431" bestFit="1" customWidth="1"/>
    <col min="13795" max="13825" width="9.140625" style="431"/>
    <col min="13826" max="13826" width="28.7109375" style="431" customWidth="1"/>
    <col min="13827" max="13827" width="42.85546875" style="431" customWidth="1"/>
    <col min="13828" max="13828" width="26.28515625" style="431" customWidth="1"/>
    <col min="13829" max="13829" width="17.42578125" style="431" customWidth="1"/>
    <col min="13830" max="14043" width="9.140625" style="431"/>
    <col min="14044" max="14044" width="28" style="431" customWidth="1"/>
    <col min="14045" max="14045" width="52" style="431" customWidth="1"/>
    <col min="14046" max="14046" width="27.28515625" style="431" customWidth="1"/>
    <col min="14047" max="14047" width="20.5703125" style="431" customWidth="1"/>
    <col min="14048" max="14049" width="9.140625" style="431"/>
    <col min="14050" max="14050" width="11.5703125" style="431" bestFit="1" customWidth="1"/>
    <col min="14051" max="14081" width="9.140625" style="431"/>
    <col min="14082" max="14082" width="28.7109375" style="431" customWidth="1"/>
    <col min="14083" max="14083" width="42.85546875" style="431" customWidth="1"/>
    <col min="14084" max="14084" width="26.28515625" style="431" customWidth="1"/>
    <col min="14085" max="14085" width="17.42578125" style="431" customWidth="1"/>
    <col min="14086" max="14299" width="9.140625" style="431"/>
    <col min="14300" max="14300" width="28" style="431" customWidth="1"/>
    <col min="14301" max="14301" width="52" style="431" customWidth="1"/>
    <col min="14302" max="14302" width="27.28515625" style="431" customWidth="1"/>
    <col min="14303" max="14303" width="20.5703125" style="431" customWidth="1"/>
    <col min="14304" max="14305" width="9.140625" style="431"/>
    <col min="14306" max="14306" width="11.5703125" style="431" bestFit="1" customWidth="1"/>
    <col min="14307" max="14337" width="9.140625" style="431"/>
    <col min="14338" max="14338" width="28.7109375" style="431" customWidth="1"/>
    <col min="14339" max="14339" width="42.85546875" style="431" customWidth="1"/>
    <col min="14340" max="14340" width="26.28515625" style="431" customWidth="1"/>
    <col min="14341" max="14341" width="17.42578125" style="431" customWidth="1"/>
    <col min="14342" max="14555" width="9.140625" style="431"/>
    <col min="14556" max="14556" width="28" style="431" customWidth="1"/>
    <col min="14557" max="14557" width="52" style="431" customWidth="1"/>
    <col min="14558" max="14558" width="27.28515625" style="431" customWidth="1"/>
    <col min="14559" max="14559" width="20.5703125" style="431" customWidth="1"/>
    <col min="14560" max="14561" width="9.140625" style="431"/>
    <col min="14562" max="14562" width="11.5703125" style="431" bestFit="1" customWidth="1"/>
    <col min="14563" max="14593" width="9.140625" style="431"/>
    <col min="14594" max="14594" width="28.7109375" style="431" customWidth="1"/>
    <col min="14595" max="14595" width="42.85546875" style="431" customWidth="1"/>
    <col min="14596" max="14596" width="26.28515625" style="431" customWidth="1"/>
    <col min="14597" max="14597" width="17.42578125" style="431" customWidth="1"/>
    <col min="14598" max="14811" width="9.140625" style="431"/>
    <col min="14812" max="14812" width="28" style="431" customWidth="1"/>
    <col min="14813" max="14813" width="52" style="431" customWidth="1"/>
    <col min="14814" max="14814" width="27.28515625" style="431" customWidth="1"/>
    <col min="14815" max="14815" width="20.5703125" style="431" customWidth="1"/>
    <col min="14816" max="14817" width="9.140625" style="431"/>
    <col min="14818" max="14818" width="11.5703125" style="431" bestFit="1" customWidth="1"/>
    <col min="14819" max="14849" width="9.140625" style="431"/>
    <col min="14850" max="14850" width="28.7109375" style="431" customWidth="1"/>
    <col min="14851" max="14851" width="42.85546875" style="431" customWidth="1"/>
    <col min="14852" max="14852" width="26.28515625" style="431" customWidth="1"/>
    <col min="14853" max="14853" width="17.42578125" style="431" customWidth="1"/>
    <col min="14854" max="15067" width="9.140625" style="431"/>
    <col min="15068" max="15068" width="28" style="431" customWidth="1"/>
    <col min="15069" max="15069" width="52" style="431" customWidth="1"/>
    <col min="15070" max="15070" width="27.28515625" style="431" customWidth="1"/>
    <col min="15071" max="15071" width="20.5703125" style="431" customWidth="1"/>
    <col min="15072" max="15073" width="9.140625" style="431"/>
    <col min="15074" max="15074" width="11.5703125" style="431" bestFit="1" customWidth="1"/>
    <col min="15075" max="15105" width="9.140625" style="431"/>
    <col min="15106" max="15106" width="28.7109375" style="431" customWidth="1"/>
    <col min="15107" max="15107" width="42.85546875" style="431" customWidth="1"/>
    <col min="15108" max="15108" width="26.28515625" style="431" customWidth="1"/>
    <col min="15109" max="15109" width="17.42578125" style="431" customWidth="1"/>
    <col min="15110" max="15323" width="9.140625" style="431"/>
    <col min="15324" max="15324" width="28" style="431" customWidth="1"/>
    <col min="15325" max="15325" width="52" style="431" customWidth="1"/>
    <col min="15326" max="15326" width="27.28515625" style="431" customWidth="1"/>
    <col min="15327" max="15327" width="20.5703125" style="431" customWidth="1"/>
    <col min="15328" max="15329" width="9.140625" style="431"/>
    <col min="15330" max="15330" width="11.5703125" style="431" bestFit="1" customWidth="1"/>
    <col min="15331" max="15361" width="9.140625" style="431"/>
    <col min="15362" max="15362" width="28.7109375" style="431" customWidth="1"/>
    <col min="15363" max="15363" width="42.85546875" style="431" customWidth="1"/>
    <col min="15364" max="15364" width="26.28515625" style="431" customWidth="1"/>
    <col min="15365" max="15365" width="17.42578125" style="431" customWidth="1"/>
    <col min="15366" max="15579" width="9.140625" style="431"/>
    <col min="15580" max="15580" width="28" style="431" customWidth="1"/>
    <col min="15581" max="15581" width="52" style="431" customWidth="1"/>
    <col min="15582" max="15582" width="27.28515625" style="431" customWidth="1"/>
    <col min="15583" max="15583" width="20.5703125" style="431" customWidth="1"/>
    <col min="15584" max="15585" width="9.140625" style="431"/>
    <col min="15586" max="15586" width="11.5703125" style="431" bestFit="1" customWidth="1"/>
    <col min="15587" max="15617" width="9.140625" style="431"/>
    <col min="15618" max="15618" width="28.7109375" style="431" customWidth="1"/>
    <col min="15619" max="15619" width="42.85546875" style="431" customWidth="1"/>
    <col min="15620" max="15620" width="26.28515625" style="431" customWidth="1"/>
    <col min="15621" max="15621" width="17.42578125" style="431" customWidth="1"/>
    <col min="15622" max="15835" width="9.140625" style="431"/>
    <col min="15836" max="15836" width="28" style="431" customWidth="1"/>
    <col min="15837" max="15837" width="52" style="431" customWidth="1"/>
    <col min="15838" max="15838" width="27.28515625" style="431" customWidth="1"/>
    <col min="15839" max="15839" width="20.5703125" style="431" customWidth="1"/>
    <col min="15840" max="15841" width="9.140625" style="431"/>
    <col min="15842" max="15842" width="11.5703125" style="431" bestFit="1" customWidth="1"/>
    <col min="15843" max="15873" width="9.140625" style="431"/>
    <col min="15874" max="15874" width="28.7109375" style="431" customWidth="1"/>
    <col min="15875" max="15875" width="42.85546875" style="431" customWidth="1"/>
    <col min="15876" max="15876" width="26.28515625" style="431" customWidth="1"/>
    <col min="15877" max="15877" width="17.42578125" style="431" customWidth="1"/>
    <col min="15878" max="16091" width="9.140625" style="431"/>
    <col min="16092" max="16092" width="28" style="431" customWidth="1"/>
    <col min="16093" max="16093" width="52" style="431" customWidth="1"/>
    <col min="16094" max="16094" width="27.28515625" style="431" customWidth="1"/>
    <col min="16095" max="16095" width="20.5703125" style="431" customWidth="1"/>
    <col min="16096" max="16097" width="9.140625" style="431"/>
    <col min="16098" max="16098" width="11.5703125" style="431" bestFit="1" customWidth="1"/>
    <col min="16099" max="16129" width="9.140625" style="431"/>
    <col min="16130" max="16130" width="28.7109375" style="431" customWidth="1"/>
    <col min="16131" max="16131" width="42.85546875" style="431" customWidth="1"/>
    <col min="16132" max="16132" width="26.28515625" style="431" customWidth="1"/>
    <col min="16133" max="16133" width="17.42578125" style="431" customWidth="1"/>
    <col min="16134" max="16347" width="9.140625" style="431"/>
    <col min="16348" max="16348" width="28" style="431" customWidth="1"/>
    <col min="16349" max="16349" width="52" style="431" customWidth="1"/>
    <col min="16350" max="16350" width="27.28515625" style="431" customWidth="1"/>
    <col min="16351" max="16351" width="20.5703125" style="431" customWidth="1"/>
    <col min="16352" max="16353" width="9.140625" style="431"/>
    <col min="16354" max="16354" width="11.5703125" style="431" bestFit="1" customWidth="1"/>
    <col min="16355" max="16384" width="9.140625" style="431"/>
  </cols>
  <sheetData>
    <row r="1" spans="1:256" x14ac:dyDescent="0.2">
      <c r="A1" s="365"/>
      <c r="B1" s="366"/>
      <c r="C1" s="367"/>
      <c r="D1" s="368"/>
      <c r="E1" s="369" t="s">
        <v>1310</v>
      </c>
      <c r="F1" s="368"/>
      <c r="G1" s="370"/>
      <c r="H1" s="368"/>
      <c r="I1" s="434"/>
      <c r="J1" s="434"/>
      <c r="K1" s="434"/>
      <c r="L1" s="434"/>
      <c r="M1" s="434"/>
      <c r="N1" s="434"/>
      <c r="O1" s="434"/>
      <c r="P1" s="434"/>
      <c r="Q1" s="434"/>
      <c r="R1" s="434"/>
      <c r="S1" s="434"/>
      <c r="T1" s="434"/>
      <c r="U1" s="434"/>
      <c r="V1" s="434"/>
      <c r="W1" s="434"/>
      <c r="X1" s="434"/>
      <c r="Y1" s="434"/>
      <c r="Z1" s="434"/>
      <c r="AA1" s="434"/>
      <c r="AB1" s="434"/>
      <c r="AC1" s="434"/>
      <c r="AD1" s="434"/>
      <c r="AE1" s="434"/>
      <c r="AF1" s="434"/>
      <c r="AG1" s="434"/>
      <c r="AH1" s="434"/>
      <c r="AI1" s="434"/>
      <c r="AJ1" s="434"/>
      <c r="AK1" s="434"/>
      <c r="AL1" s="434"/>
      <c r="AM1" s="434"/>
      <c r="AN1" s="434"/>
      <c r="AO1" s="434"/>
      <c r="AP1" s="434"/>
      <c r="AQ1" s="434"/>
      <c r="AR1" s="434"/>
      <c r="AS1" s="434"/>
      <c r="AT1" s="434"/>
      <c r="AU1" s="434"/>
      <c r="AV1" s="434"/>
      <c r="AW1" s="434"/>
      <c r="AX1" s="434"/>
      <c r="AY1" s="434"/>
      <c r="AZ1" s="434"/>
      <c r="BA1" s="434"/>
      <c r="BB1" s="434"/>
      <c r="BC1" s="434"/>
      <c r="BD1" s="434"/>
      <c r="BE1" s="434"/>
      <c r="BF1" s="434"/>
      <c r="BG1" s="434"/>
      <c r="BH1" s="434"/>
      <c r="BI1" s="434"/>
      <c r="BJ1" s="434"/>
      <c r="BK1" s="434"/>
      <c r="BL1" s="434"/>
      <c r="BM1" s="434"/>
      <c r="BN1" s="434"/>
      <c r="BO1" s="434"/>
      <c r="BP1" s="434"/>
      <c r="BQ1" s="434"/>
      <c r="BR1" s="434"/>
      <c r="BS1" s="434"/>
      <c r="BT1" s="434"/>
      <c r="BU1" s="434"/>
      <c r="BV1" s="434"/>
      <c r="BW1" s="434"/>
      <c r="BX1" s="434"/>
      <c r="BY1" s="434"/>
      <c r="BZ1" s="434"/>
      <c r="CA1" s="434"/>
      <c r="CB1" s="434"/>
      <c r="CC1" s="434"/>
      <c r="CD1" s="434"/>
      <c r="CE1" s="434"/>
      <c r="CF1" s="434"/>
      <c r="CG1" s="434"/>
      <c r="CH1" s="434"/>
      <c r="CI1" s="434"/>
      <c r="CJ1" s="434"/>
      <c r="CK1" s="434"/>
      <c r="CL1" s="434"/>
      <c r="CM1" s="434"/>
      <c r="CN1" s="434"/>
      <c r="CO1" s="434"/>
      <c r="CP1" s="434"/>
      <c r="CQ1" s="434"/>
      <c r="CR1" s="434"/>
      <c r="CS1" s="434"/>
      <c r="CT1" s="434"/>
      <c r="CU1" s="434"/>
      <c r="CV1" s="434"/>
      <c r="CW1" s="434"/>
      <c r="CX1" s="434"/>
      <c r="CY1" s="434"/>
      <c r="CZ1" s="434"/>
      <c r="DA1" s="434"/>
      <c r="DB1" s="434"/>
      <c r="DC1" s="434"/>
      <c r="DD1" s="434"/>
      <c r="DE1" s="434"/>
      <c r="DF1" s="434"/>
      <c r="DG1" s="434"/>
      <c r="DH1" s="434"/>
      <c r="DI1" s="434"/>
      <c r="DJ1" s="434"/>
      <c r="DK1" s="434"/>
      <c r="DL1" s="434"/>
      <c r="DM1" s="434"/>
      <c r="DN1" s="434"/>
      <c r="DO1" s="434"/>
      <c r="DP1" s="434"/>
      <c r="DQ1" s="434"/>
      <c r="DR1" s="434"/>
      <c r="DS1" s="434"/>
      <c r="DT1" s="434"/>
      <c r="DU1" s="434"/>
      <c r="DV1" s="434"/>
      <c r="DW1" s="434"/>
      <c r="DX1" s="434"/>
      <c r="DY1" s="434"/>
      <c r="DZ1" s="434"/>
      <c r="EA1" s="434"/>
      <c r="EB1" s="434"/>
      <c r="EC1" s="434"/>
      <c r="ED1" s="434"/>
      <c r="EE1" s="434"/>
      <c r="EF1" s="434"/>
      <c r="EG1" s="434"/>
      <c r="EH1" s="434"/>
      <c r="EI1" s="434"/>
      <c r="EJ1" s="434"/>
      <c r="EK1" s="434"/>
      <c r="EL1" s="434"/>
      <c r="EM1" s="434"/>
      <c r="EN1" s="434"/>
      <c r="EO1" s="434"/>
      <c r="EP1" s="434"/>
      <c r="EQ1" s="434"/>
      <c r="ER1" s="434"/>
      <c r="ES1" s="434"/>
      <c r="ET1" s="434"/>
      <c r="EU1" s="434"/>
      <c r="EV1" s="434"/>
      <c r="EW1" s="434"/>
      <c r="EX1" s="434"/>
      <c r="EY1" s="434"/>
      <c r="EZ1" s="434"/>
      <c r="FA1" s="434"/>
      <c r="FB1" s="434"/>
      <c r="FC1" s="434"/>
      <c r="FD1" s="434"/>
      <c r="FE1" s="434"/>
      <c r="FF1" s="434"/>
      <c r="FG1" s="434"/>
      <c r="FH1" s="434"/>
      <c r="FI1" s="434"/>
      <c r="FJ1" s="434"/>
      <c r="FK1" s="434"/>
      <c r="FL1" s="434"/>
      <c r="FM1" s="434"/>
      <c r="FN1" s="434"/>
      <c r="FO1" s="434"/>
      <c r="FP1" s="434"/>
      <c r="FQ1" s="434"/>
      <c r="FR1" s="434"/>
      <c r="FS1" s="434"/>
      <c r="FT1" s="434"/>
      <c r="FU1" s="434"/>
      <c r="FV1" s="434"/>
      <c r="FW1" s="434"/>
      <c r="FX1" s="434"/>
      <c r="FY1" s="434"/>
      <c r="FZ1" s="434"/>
      <c r="GA1" s="434"/>
      <c r="GB1" s="434"/>
      <c r="GC1" s="434"/>
      <c r="GD1" s="434"/>
      <c r="GE1" s="434"/>
      <c r="GF1" s="434"/>
      <c r="GG1" s="434"/>
      <c r="GH1" s="434"/>
      <c r="GI1" s="434"/>
      <c r="GJ1" s="434"/>
      <c r="GK1" s="434"/>
      <c r="GL1" s="434"/>
      <c r="GM1" s="434"/>
      <c r="GN1" s="434"/>
      <c r="GO1" s="434"/>
      <c r="GP1" s="434"/>
      <c r="GQ1" s="434"/>
      <c r="GR1" s="434"/>
      <c r="GS1" s="434"/>
      <c r="GT1" s="434"/>
      <c r="GU1" s="434"/>
      <c r="GV1" s="434"/>
      <c r="GW1" s="434"/>
      <c r="GX1" s="434"/>
      <c r="GY1" s="434"/>
      <c r="GZ1" s="434"/>
      <c r="HA1" s="434"/>
      <c r="HB1" s="434"/>
      <c r="HC1" s="434"/>
      <c r="HD1" s="434"/>
      <c r="HE1" s="434"/>
      <c r="HF1" s="434"/>
      <c r="HG1" s="434"/>
      <c r="HH1" s="434"/>
      <c r="HI1" s="434"/>
      <c r="HJ1" s="434"/>
      <c r="HK1" s="434"/>
      <c r="HL1" s="434"/>
      <c r="HM1" s="434"/>
      <c r="HN1" s="434"/>
      <c r="HO1" s="434"/>
      <c r="HP1" s="434"/>
      <c r="HQ1" s="434"/>
      <c r="HR1" s="434"/>
      <c r="HS1" s="434"/>
      <c r="HT1" s="434"/>
      <c r="HU1" s="434"/>
      <c r="HV1" s="434"/>
      <c r="HW1" s="434"/>
      <c r="HX1" s="434"/>
      <c r="HY1" s="434"/>
      <c r="HZ1" s="434"/>
      <c r="IA1" s="434"/>
      <c r="IB1" s="434"/>
      <c r="IC1" s="434"/>
      <c r="ID1" s="434"/>
      <c r="IE1" s="434"/>
      <c r="IF1" s="434"/>
      <c r="IG1" s="434"/>
      <c r="IH1" s="434"/>
      <c r="II1" s="434"/>
      <c r="IJ1" s="434"/>
      <c r="IK1" s="434"/>
      <c r="IL1" s="434"/>
      <c r="IM1" s="434"/>
      <c r="IN1" s="434"/>
      <c r="IO1" s="434"/>
      <c r="IP1" s="434"/>
      <c r="IQ1" s="434"/>
      <c r="IR1" s="434"/>
      <c r="IS1" s="434"/>
      <c r="IT1" s="434"/>
      <c r="IU1" s="434"/>
      <c r="IV1" s="434"/>
    </row>
    <row r="2" spans="1:256" x14ac:dyDescent="0.2">
      <c r="A2" s="365"/>
      <c r="B2" s="368"/>
      <c r="D2" s="368"/>
      <c r="E2" s="372"/>
      <c r="F2" s="368"/>
      <c r="G2" s="370"/>
      <c r="H2" s="368"/>
      <c r="I2" s="370"/>
      <c r="J2" s="434"/>
      <c r="K2" s="434"/>
      <c r="L2" s="434"/>
      <c r="M2" s="434"/>
      <c r="N2" s="434"/>
      <c r="O2" s="434"/>
      <c r="P2" s="434"/>
      <c r="Q2" s="434"/>
      <c r="R2" s="434"/>
      <c r="S2" s="434"/>
      <c r="T2" s="434"/>
      <c r="U2" s="434"/>
      <c r="V2" s="434"/>
      <c r="W2" s="434"/>
      <c r="X2" s="434"/>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c r="AX2" s="434"/>
      <c r="AY2" s="434"/>
      <c r="AZ2" s="434"/>
      <c r="BA2" s="434"/>
      <c r="BB2" s="434"/>
      <c r="BC2" s="434"/>
      <c r="BD2" s="434"/>
      <c r="BE2" s="434"/>
      <c r="BF2" s="434"/>
      <c r="BG2" s="434"/>
      <c r="BH2" s="434"/>
      <c r="BI2" s="434"/>
      <c r="BJ2" s="434"/>
      <c r="BK2" s="434"/>
      <c r="BL2" s="434"/>
      <c r="BM2" s="434"/>
      <c r="BN2" s="434"/>
      <c r="BO2" s="434"/>
      <c r="BP2" s="434"/>
      <c r="BQ2" s="434"/>
      <c r="BR2" s="434"/>
      <c r="BS2" s="434"/>
      <c r="BT2" s="434"/>
      <c r="BU2" s="434"/>
      <c r="BV2" s="434"/>
      <c r="BW2" s="434"/>
      <c r="BX2" s="434"/>
      <c r="BY2" s="434"/>
      <c r="BZ2" s="434"/>
      <c r="CA2" s="434"/>
      <c r="CB2" s="434"/>
      <c r="CC2" s="434"/>
      <c r="CD2" s="434"/>
      <c r="CE2" s="434"/>
      <c r="CF2" s="434"/>
      <c r="CG2" s="434"/>
      <c r="CH2" s="434"/>
      <c r="CI2" s="434"/>
      <c r="CJ2" s="434"/>
      <c r="CK2" s="434"/>
      <c r="CL2" s="434"/>
      <c r="CM2" s="434"/>
      <c r="CN2" s="434"/>
      <c r="CO2" s="434"/>
      <c r="CP2" s="434"/>
      <c r="CQ2" s="434"/>
      <c r="CR2" s="434"/>
      <c r="CS2" s="434"/>
      <c r="CT2" s="434"/>
      <c r="CU2" s="434"/>
      <c r="CV2" s="434"/>
      <c r="CW2" s="434"/>
      <c r="CX2" s="434"/>
      <c r="CY2" s="434"/>
      <c r="CZ2" s="434"/>
      <c r="DA2" s="434"/>
      <c r="DB2" s="434"/>
      <c r="DC2" s="434"/>
      <c r="DD2" s="434"/>
      <c r="DE2" s="434"/>
      <c r="DF2" s="434"/>
      <c r="DG2" s="434"/>
      <c r="DH2" s="434"/>
      <c r="DI2" s="434"/>
      <c r="DJ2" s="434"/>
      <c r="DK2" s="434"/>
      <c r="DL2" s="434"/>
      <c r="DM2" s="434"/>
      <c r="DN2" s="434"/>
      <c r="DO2" s="434"/>
      <c r="DP2" s="434"/>
      <c r="DQ2" s="434"/>
      <c r="DR2" s="434"/>
      <c r="DS2" s="434"/>
      <c r="DT2" s="434"/>
      <c r="DU2" s="434"/>
      <c r="DV2" s="434"/>
      <c r="DW2" s="434"/>
      <c r="DX2" s="434"/>
      <c r="DY2" s="434"/>
      <c r="DZ2" s="434"/>
      <c r="EA2" s="434"/>
      <c r="EB2" s="434"/>
      <c r="EC2" s="434"/>
      <c r="ED2" s="434"/>
      <c r="EE2" s="434"/>
      <c r="EF2" s="434"/>
      <c r="EG2" s="434"/>
      <c r="EH2" s="434"/>
      <c r="EI2" s="434"/>
      <c r="EJ2" s="434"/>
      <c r="EK2" s="434"/>
      <c r="EL2" s="434"/>
      <c r="EM2" s="434"/>
      <c r="EN2" s="434"/>
      <c r="EO2" s="434"/>
      <c r="EP2" s="434"/>
      <c r="EQ2" s="434"/>
      <c r="ER2" s="434"/>
      <c r="ES2" s="434"/>
      <c r="ET2" s="434"/>
      <c r="EU2" s="434"/>
      <c r="EV2" s="434"/>
      <c r="EW2" s="434"/>
      <c r="EX2" s="434"/>
      <c r="EY2" s="434"/>
      <c r="EZ2" s="434"/>
      <c r="FA2" s="434"/>
      <c r="FB2" s="434"/>
      <c r="FC2" s="434"/>
      <c r="FD2" s="434"/>
      <c r="FE2" s="434"/>
      <c r="FF2" s="434"/>
      <c r="FG2" s="434"/>
      <c r="FH2" s="434"/>
      <c r="FI2" s="434"/>
      <c r="FJ2" s="434"/>
      <c r="FK2" s="434"/>
      <c r="FL2" s="434"/>
      <c r="FM2" s="434"/>
      <c r="FN2" s="434"/>
      <c r="FO2" s="434"/>
      <c r="FP2" s="434"/>
      <c r="FQ2" s="434"/>
      <c r="FR2" s="434"/>
      <c r="FS2" s="434"/>
      <c r="FT2" s="434"/>
      <c r="FU2" s="434"/>
      <c r="FV2" s="434"/>
      <c r="FW2" s="434"/>
      <c r="FX2" s="434"/>
      <c r="FY2" s="434"/>
      <c r="FZ2" s="434"/>
      <c r="GA2" s="434"/>
      <c r="GB2" s="434"/>
      <c r="GC2" s="434"/>
      <c r="GD2" s="434"/>
      <c r="GE2" s="434"/>
      <c r="GF2" s="434"/>
      <c r="GG2" s="434"/>
      <c r="GH2" s="434"/>
      <c r="GI2" s="434"/>
      <c r="GJ2" s="434"/>
      <c r="GK2" s="434"/>
      <c r="GL2" s="434"/>
      <c r="GM2" s="434"/>
      <c r="GN2" s="434"/>
      <c r="GO2" s="434"/>
      <c r="GP2" s="434"/>
      <c r="GQ2" s="434"/>
      <c r="GR2" s="434"/>
      <c r="GS2" s="434"/>
      <c r="GT2" s="434"/>
      <c r="GU2" s="434"/>
      <c r="GV2" s="434"/>
      <c r="GW2" s="434"/>
      <c r="GX2" s="434"/>
      <c r="GY2" s="434"/>
      <c r="GZ2" s="434"/>
      <c r="HA2" s="434"/>
      <c r="HB2" s="434"/>
      <c r="HC2" s="434"/>
      <c r="HD2" s="434"/>
      <c r="HE2" s="434"/>
      <c r="HF2" s="434"/>
      <c r="HG2" s="434"/>
      <c r="HH2" s="434"/>
      <c r="HI2" s="434"/>
      <c r="HJ2" s="434"/>
      <c r="HK2" s="434"/>
      <c r="HL2" s="434"/>
      <c r="HM2" s="434"/>
      <c r="HN2" s="434"/>
      <c r="HO2" s="434"/>
      <c r="HP2" s="434"/>
      <c r="HQ2" s="434"/>
      <c r="HR2" s="434"/>
      <c r="HS2" s="434"/>
      <c r="HT2" s="434"/>
      <c r="HU2" s="434"/>
      <c r="HV2" s="434"/>
      <c r="HW2" s="434"/>
      <c r="HX2" s="434"/>
      <c r="HY2" s="434"/>
      <c r="HZ2" s="434"/>
      <c r="IA2" s="434"/>
      <c r="IB2" s="434"/>
      <c r="IC2" s="434"/>
      <c r="ID2" s="434"/>
      <c r="IE2" s="434"/>
      <c r="IF2" s="434"/>
      <c r="IG2" s="434"/>
      <c r="IH2" s="434"/>
      <c r="II2" s="434"/>
      <c r="IJ2" s="434"/>
      <c r="IK2" s="434"/>
      <c r="IL2" s="434"/>
      <c r="IM2" s="434"/>
      <c r="IN2" s="434"/>
      <c r="IO2" s="434"/>
      <c r="IP2" s="434"/>
      <c r="IQ2" s="434"/>
      <c r="IR2" s="434"/>
      <c r="IS2" s="434"/>
      <c r="IT2" s="434"/>
      <c r="IU2" s="434"/>
      <c r="IV2" s="434"/>
    </row>
    <row r="3" spans="1:256" x14ac:dyDescent="0.2">
      <c r="A3" s="793" t="s">
        <v>1519</v>
      </c>
      <c r="B3" s="793"/>
      <c r="C3" s="793"/>
      <c r="D3" s="793"/>
      <c r="E3" s="793"/>
      <c r="F3" s="373"/>
      <c r="G3" s="373"/>
      <c r="H3" s="373"/>
      <c r="I3" s="373"/>
      <c r="J3" s="434"/>
      <c r="K3" s="434"/>
      <c r="L3" s="434"/>
      <c r="M3" s="434"/>
      <c r="N3" s="434"/>
      <c r="O3" s="434"/>
      <c r="P3" s="434"/>
      <c r="Q3" s="434"/>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c r="AX3" s="434"/>
      <c r="AY3" s="434"/>
      <c r="AZ3" s="434"/>
      <c r="BA3" s="434"/>
      <c r="BB3" s="434"/>
      <c r="BC3" s="434"/>
      <c r="BD3" s="434"/>
      <c r="BE3" s="434"/>
      <c r="BF3" s="434"/>
      <c r="BG3" s="434"/>
      <c r="BH3" s="434"/>
      <c r="BI3" s="434"/>
      <c r="BJ3" s="434"/>
      <c r="BK3" s="434"/>
      <c r="BL3" s="434"/>
      <c r="BM3" s="434"/>
      <c r="BN3" s="434"/>
      <c r="BO3" s="434"/>
      <c r="BP3" s="434"/>
      <c r="BQ3" s="434"/>
      <c r="BR3" s="434"/>
      <c r="BS3" s="434"/>
      <c r="BT3" s="434"/>
      <c r="BU3" s="434"/>
      <c r="BV3" s="434"/>
      <c r="BW3" s="434"/>
      <c r="BX3" s="434"/>
      <c r="BY3" s="434"/>
      <c r="BZ3" s="434"/>
      <c r="CA3" s="434"/>
      <c r="CB3" s="434"/>
      <c r="CC3" s="434"/>
      <c r="CD3" s="434"/>
      <c r="CE3" s="434"/>
      <c r="CF3" s="434"/>
      <c r="CG3" s="434"/>
      <c r="CH3" s="434"/>
      <c r="CI3" s="434"/>
      <c r="CJ3" s="434"/>
      <c r="CK3" s="434"/>
      <c r="CL3" s="434"/>
      <c r="CM3" s="434"/>
      <c r="CN3" s="434"/>
      <c r="CO3" s="434"/>
      <c r="CP3" s="434"/>
      <c r="CQ3" s="434"/>
      <c r="CR3" s="434"/>
      <c r="CS3" s="434"/>
      <c r="CT3" s="434"/>
      <c r="CU3" s="434"/>
      <c r="CV3" s="434"/>
      <c r="CW3" s="434"/>
      <c r="CX3" s="434"/>
      <c r="CY3" s="434"/>
      <c r="CZ3" s="434"/>
      <c r="DA3" s="434"/>
      <c r="DB3" s="434"/>
      <c r="DC3" s="434"/>
      <c r="DD3" s="434"/>
      <c r="DE3" s="434"/>
      <c r="DF3" s="434"/>
      <c r="DG3" s="434"/>
      <c r="DH3" s="434"/>
      <c r="DI3" s="434"/>
      <c r="DJ3" s="434"/>
      <c r="DK3" s="434"/>
      <c r="DL3" s="434"/>
      <c r="DM3" s="434"/>
      <c r="DN3" s="434"/>
      <c r="DO3" s="434"/>
      <c r="DP3" s="434"/>
      <c r="DQ3" s="434"/>
      <c r="DR3" s="434"/>
      <c r="DS3" s="434"/>
      <c r="DT3" s="434"/>
      <c r="DU3" s="434"/>
      <c r="DV3" s="434"/>
      <c r="DW3" s="434"/>
      <c r="DX3" s="434"/>
      <c r="DY3" s="434"/>
      <c r="DZ3" s="434"/>
      <c r="EA3" s="434"/>
      <c r="EB3" s="434"/>
      <c r="EC3" s="434"/>
      <c r="ED3" s="434"/>
      <c r="EE3" s="434"/>
      <c r="EF3" s="434"/>
      <c r="EG3" s="434"/>
      <c r="EH3" s="434"/>
      <c r="EI3" s="434"/>
      <c r="EJ3" s="434"/>
      <c r="EK3" s="434"/>
      <c r="EL3" s="434"/>
      <c r="EM3" s="434"/>
      <c r="EN3" s="434"/>
      <c r="EO3" s="434"/>
      <c r="EP3" s="434"/>
      <c r="EQ3" s="434"/>
      <c r="ER3" s="434"/>
      <c r="ES3" s="434"/>
      <c r="ET3" s="434"/>
      <c r="EU3" s="434"/>
      <c r="EV3" s="434"/>
      <c r="EW3" s="434"/>
      <c r="EX3" s="434"/>
      <c r="EY3" s="434"/>
      <c r="EZ3" s="434"/>
      <c r="FA3" s="434"/>
      <c r="FB3" s="434"/>
      <c r="FC3" s="434"/>
      <c r="FD3" s="434"/>
      <c r="FE3" s="434"/>
      <c r="FF3" s="434"/>
      <c r="FG3" s="434"/>
      <c r="FH3" s="434"/>
      <c r="FI3" s="434"/>
      <c r="FJ3" s="434"/>
      <c r="FK3" s="434"/>
      <c r="FL3" s="434"/>
      <c r="FM3" s="434"/>
      <c r="FN3" s="434"/>
      <c r="FO3" s="434"/>
      <c r="FP3" s="434"/>
      <c r="FQ3" s="434"/>
      <c r="FR3" s="434"/>
      <c r="FS3" s="434"/>
      <c r="FT3" s="434"/>
      <c r="FU3" s="434"/>
      <c r="FV3" s="434"/>
      <c r="FW3" s="434"/>
      <c r="FX3" s="434"/>
      <c r="FY3" s="434"/>
      <c r="FZ3" s="434"/>
      <c r="GA3" s="434"/>
      <c r="GB3" s="434"/>
      <c r="GC3" s="434"/>
      <c r="GD3" s="434"/>
      <c r="GE3" s="434"/>
      <c r="GF3" s="434"/>
      <c r="GG3" s="434"/>
      <c r="GH3" s="434"/>
      <c r="GI3" s="434"/>
      <c r="GJ3" s="434"/>
      <c r="GK3" s="434"/>
      <c r="GL3" s="434"/>
      <c r="GM3" s="434"/>
      <c r="GN3" s="434"/>
      <c r="GO3" s="434"/>
      <c r="GP3" s="434"/>
      <c r="GQ3" s="434"/>
      <c r="GR3" s="434"/>
      <c r="GS3" s="434"/>
      <c r="GT3" s="434"/>
      <c r="GU3" s="434"/>
      <c r="GV3" s="434"/>
      <c r="GW3" s="434"/>
      <c r="GX3" s="434"/>
      <c r="GY3" s="434"/>
      <c r="GZ3" s="434"/>
      <c r="HA3" s="434"/>
      <c r="HB3" s="434"/>
      <c r="HC3" s="434"/>
      <c r="HD3" s="434"/>
      <c r="HE3" s="434"/>
      <c r="HF3" s="434"/>
      <c r="HG3" s="434"/>
      <c r="HH3" s="434"/>
      <c r="HI3" s="434"/>
      <c r="HJ3" s="434"/>
      <c r="HK3" s="434"/>
      <c r="HL3" s="434"/>
      <c r="HM3" s="434"/>
      <c r="HN3" s="434"/>
      <c r="HO3" s="434"/>
      <c r="HP3" s="434"/>
      <c r="HQ3" s="434"/>
      <c r="HR3" s="434"/>
      <c r="HS3" s="434"/>
      <c r="HT3" s="434"/>
      <c r="HU3" s="434"/>
      <c r="HV3" s="434"/>
      <c r="HW3" s="434"/>
      <c r="HX3" s="434"/>
      <c r="HY3" s="434"/>
      <c r="HZ3" s="434"/>
      <c r="IA3" s="434"/>
      <c r="IB3" s="434"/>
      <c r="IC3" s="434"/>
      <c r="ID3" s="434"/>
      <c r="IE3" s="434"/>
      <c r="IF3" s="434"/>
      <c r="IG3" s="434"/>
      <c r="IH3" s="434"/>
      <c r="II3" s="434"/>
      <c r="IJ3" s="434"/>
      <c r="IK3" s="434"/>
      <c r="IL3" s="434"/>
      <c r="IM3" s="434"/>
      <c r="IN3" s="434"/>
      <c r="IO3" s="434"/>
      <c r="IP3" s="434"/>
      <c r="IQ3" s="434"/>
      <c r="IR3" s="434"/>
      <c r="IS3" s="434"/>
      <c r="IT3" s="434"/>
      <c r="IU3" s="434"/>
      <c r="IV3" s="434"/>
    </row>
    <row r="4" spans="1:256" x14ac:dyDescent="0.2">
      <c r="A4" s="794" t="s">
        <v>1312</v>
      </c>
      <c r="B4" s="794"/>
      <c r="C4" s="794"/>
      <c r="D4" s="794"/>
      <c r="E4" s="794"/>
      <c r="F4" s="374"/>
      <c r="G4" s="374"/>
      <c r="H4" s="374"/>
      <c r="I4" s="374"/>
      <c r="J4" s="434"/>
      <c r="K4" s="434"/>
      <c r="L4" s="434"/>
      <c r="M4" s="434"/>
      <c r="N4" s="434"/>
      <c r="O4" s="434"/>
      <c r="P4" s="434"/>
      <c r="Q4" s="434"/>
      <c r="R4" s="434"/>
      <c r="S4" s="434"/>
      <c r="T4" s="434"/>
      <c r="U4" s="434"/>
      <c r="V4" s="434"/>
      <c r="W4" s="434"/>
      <c r="X4" s="434"/>
      <c r="Y4" s="434"/>
      <c r="Z4" s="434"/>
      <c r="AA4" s="434"/>
      <c r="AB4" s="434"/>
      <c r="AC4" s="434"/>
      <c r="AD4" s="434"/>
      <c r="AE4" s="434"/>
      <c r="AF4" s="434"/>
      <c r="AG4" s="434"/>
      <c r="AH4" s="434"/>
      <c r="AI4" s="434"/>
      <c r="AJ4" s="434"/>
      <c r="AK4" s="434"/>
      <c r="AL4" s="434"/>
      <c r="AM4" s="434"/>
      <c r="AN4" s="434"/>
      <c r="AO4" s="434"/>
      <c r="AP4" s="434"/>
      <c r="AQ4" s="434"/>
      <c r="AR4" s="434"/>
      <c r="AS4" s="434"/>
      <c r="AT4" s="434"/>
      <c r="AU4" s="434"/>
      <c r="AV4" s="434"/>
      <c r="AW4" s="434"/>
      <c r="AX4" s="434"/>
      <c r="AY4" s="434"/>
      <c r="AZ4" s="434"/>
      <c r="BA4" s="434"/>
      <c r="BB4" s="434"/>
      <c r="BC4" s="434"/>
      <c r="BD4" s="434"/>
      <c r="BE4" s="434"/>
      <c r="BF4" s="434"/>
      <c r="BG4" s="434"/>
      <c r="BH4" s="434"/>
      <c r="BI4" s="434"/>
      <c r="BJ4" s="434"/>
      <c r="BK4" s="434"/>
      <c r="BL4" s="434"/>
      <c r="BM4" s="434"/>
      <c r="BN4" s="434"/>
      <c r="BO4" s="434"/>
      <c r="BP4" s="434"/>
      <c r="BQ4" s="434"/>
      <c r="BR4" s="434"/>
      <c r="BS4" s="434"/>
      <c r="BT4" s="434"/>
      <c r="BU4" s="434"/>
      <c r="BV4" s="434"/>
      <c r="BW4" s="434"/>
      <c r="BX4" s="434"/>
      <c r="BY4" s="434"/>
      <c r="BZ4" s="434"/>
      <c r="CA4" s="434"/>
      <c r="CB4" s="434"/>
      <c r="CC4" s="434"/>
      <c r="CD4" s="434"/>
      <c r="CE4" s="434"/>
      <c r="CF4" s="434"/>
      <c r="CG4" s="434"/>
      <c r="CH4" s="434"/>
      <c r="CI4" s="434"/>
      <c r="CJ4" s="434"/>
      <c r="CK4" s="434"/>
      <c r="CL4" s="434"/>
      <c r="CM4" s="434"/>
      <c r="CN4" s="434"/>
      <c r="CO4" s="434"/>
      <c r="CP4" s="434"/>
      <c r="CQ4" s="434"/>
      <c r="CR4" s="434"/>
      <c r="CS4" s="434"/>
      <c r="CT4" s="434"/>
      <c r="CU4" s="434"/>
      <c r="CV4" s="434"/>
      <c r="CW4" s="434"/>
      <c r="CX4" s="434"/>
      <c r="CY4" s="434"/>
      <c r="CZ4" s="434"/>
      <c r="DA4" s="434"/>
      <c r="DB4" s="434"/>
      <c r="DC4" s="434"/>
      <c r="DD4" s="434"/>
      <c r="DE4" s="434"/>
      <c r="DF4" s="434"/>
      <c r="DG4" s="434"/>
      <c r="DH4" s="434"/>
      <c r="DI4" s="434"/>
      <c r="DJ4" s="434"/>
      <c r="DK4" s="434"/>
      <c r="DL4" s="434"/>
      <c r="DM4" s="434"/>
      <c r="DN4" s="434"/>
      <c r="DO4" s="434"/>
      <c r="DP4" s="434"/>
      <c r="DQ4" s="434"/>
      <c r="DR4" s="434"/>
      <c r="DS4" s="434"/>
      <c r="DT4" s="434"/>
      <c r="DU4" s="434"/>
      <c r="DV4" s="434"/>
      <c r="DW4" s="434"/>
      <c r="DX4" s="434"/>
      <c r="DY4" s="434"/>
      <c r="DZ4" s="434"/>
      <c r="EA4" s="434"/>
      <c r="EB4" s="434"/>
      <c r="EC4" s="434"/>
      <c r="ED4" s="434"/>
      <c r="EE4" s="434"/>
      <c r="EF4" s="434"/>
      <c r="EG4" s="434"/>
      <c r="EH4" s="434"/>
      <c r="EI4" s="434"/>
      <c r="EJ4" s="434"/>
      <c r="EK4" s="434"/>
      <c r="EL4" s="434"/>
      <c r="EM4" s="434"/>
      <c r="EN4" s="434"/>
      <c r="EO4" s="434"/>
      <c r="EP4" s="434"/>
      <c r="EQ4" s="434"/>
      <c r="ER4" s="434"/>
      <c r="ES4" s="434"/>
      <c r="ET4" s="434"/>
      <c r="EU4" s="434"/>
      <c r="EV4" s="434"/>
      <c r="EW4" s="434"/>
      <c r="EX4" s="434"/>
      <c r="EY4" s="434"/>
      <c r="EZ4" s="434"/>
      <c r="FA4" s="434"/>
      <c r="FB4" s="434"/>
      <c r="FC4" s="434"/>
      <c r="FD4" s="434"/>
      <c r="FE4" s="434"/>
      <c r="FF4" s="434"/>
      <c r="FG4" s="434"/>
      <c r="FH4" s="434"/>
      <c r="FI4" s="434"/>
      <c r="FJ4" s="434"/>
      <c r="FK4" s="434"/>
      <c r="FL4" s="434"/>
      <c r="FM4" s="434"/>
      <c r="FN4" s="434"/>
      <c r="FO4" s="434"/>
      <c r="FP4" s="434"/>
      <c r="FQ4" s="434"/>
      <c r="FR4" s="434"/>
      <c r="FS4" s="434"/>
      <c r="FT4" s="434"/>
      <c r="FU4" s="434"/>
      <c r="FV4" s="434"/>
      <c r="FW4" s="434"/>
      <c r="FX4" s="434"/>
      <c r="FY4" s="434"/>
      <c r="FZ4" s="434"/>
      <c r="GA4" s="434"/>
      <c r="GB4" s="434"/>
      <c r="GC4" s="434"/>
      <c r="GD4" s="434"/>
      <c r="GE4" s="434"/>
      <c r="GF4" s="434"/>
      <c r="GG4" s="434"/>
      <c r="GH4" s="434"/>
      <c r="GI4" s="434"/>
      <c r="GJ4" s="434"/>
      <c r="GK4" s="434"/>
      <c r="GL4" s="434"/>
      <c r="GM4" s="434"/>
      <c r="GN4" s="434"/>
      <c r="GO4" s="434"/>
      <c r="GP4" s="434"/>
      <c r="GQ4" s="434"/>
      <c r="GR4" s="434"/>
      <c r="GS4" s="434"/>
      <c r="GT4" s="434"/>
      <c r="GU4" s="434"/>
      <c r="GV4" s="434"/>
      <c r="GW4" s="434"/>
      <c r="GX4" s="434"/>
      <c r="GY4" s="434"/>
      <c r="GZ4" s="434"/>
      <c r="HA4" s="434"/>
      <c r="HB4" s="434"/>
      <c r="HC4" s="434"/>
      <c r="HD4" s="434"/>
      <c r="HE4" s="434"/>
      <c r="HF4" s="434"/>
      <c r="HG4" s="434"/>
      <c r="HH4" s="434"/>
      <c r="HI4" s="434"/>
      <c r="HJ4" s="434"/>
      <c r="HK4" s="434"/>
      <c r="HL4" s="434"/>
      <c r="HM4" s="434"/>
      <c r="HN4" s="434"/>
      <c r="HO4" s="434"/>
      <c r="HP4" s="434"/>
      <c r="HQ4" s="434"/>
      <c r="HR4" s="434"/>
      <c r="HS4" s="434"/>
      <c r="HT4" s="434"/>
      <c r="HU4" s="434"/>
      <c r="HV4" s="434"/>
      <c r="HW4" s="434"/>
      <c r="HX4" s="434"/>
      <c r="HY4" s="434"/>
      <c r="HZ4" s="434"/>
      <c r="IA4" s="434"/>
      <c r="IB4" s="434"/>
      <c r="IC4" s="434"/>
      <c r="ID4" s="434"/>
      <c r="IE4" s="434"/>
      <c r="IF4" s="434"/>
      <c r="IG4" s="434"/>
      <c r="IH4" s="434"/>
      <c r="II4" s="434"/>
      <c r="IJ4" s="434"/>
      <c r="IK4" s="434"/>
      <c r="IL4" s="434"/>
      <c r="IM4" s="434"/>
      <c r="IN4" s="434"/>
      <c r="IO4" s="434"/>
      <c r="IP4" s="434"/>
      <c r="IQ4" s="434"/>
      <c r="IR4" s="434"/>
      <c r="IS4" s="434"/>
      <c r="IT4" s="434"/>
      <c r="IU4" s="434"/>
      <c r="IV4" s="434"/>
    </row>
    <row r="5" spans="1:256" x14ac:dyDescent="0.2">
      <c r="A5" s="365"/>
      <c r="B5" s="368"/>
      <c r="C5" s="368"/>
      <c r="D5" s="368"/>
      <c r="E5" s="372"/>
      <c r="F5" s="368"/>
      <c r="G5" s="370"/>
      <c r="H5" s="368"/>
      <c r="I5" s="370"/>
      <c r="J5" s="434"/>
      <c r="K5" s="434"/>
      <c r="L5" s="434"/>
      <c r="M5" s="434"/>
      <c r="N5" s="434"/>
      <c r="O5" s="434"/>
      <c r="P5" s="434"/>
      <c r="Q5" s="434"/>
      <c r="R5" s="434"/>
      <c r="S5" s="434"/>
      <c r="T5" s="434"/>
      <c r="U5" s="434"/>
      <c r="V5" s="434"/>
      <c r="W5" s="434"/>
      <c r="X5" s="434"/>
      <c r="Y5" s="434"/>
      <c r="Z5" s="434"/>
      <c r="AA5" s="434"/>
      <c r="AB5" s="434"/>
      <c r="AC5" s="434"/>
      <c r="AD5" s="434"/>
      <c r="AE5" s="434"/>
      <c r="AF5" s="434"/>
      <c r="AG5" s="434"/>
      <c r="AH5" s="434"/>
      <c r="AI5" s="434"/>
      <c r="AJ5" s="434"/>
      <c r="AK5" s="434"/>
      <c r="AL5" s="434"/>
      <c r="AM5" s="434"/>
      <c r="AN5" s="434"/>
      <c r="AO5" s="434"/>
      <c r="AP5" s="434"/>
      <c r="AQ5" s="434"/>
      <c r="AR5" s="434"/>
      <c r="AS5" s="434"/>
      <c r="AT5" s="434"/>
      <c r="AU5" s="434"/>
      <c r="AV5" s="434"/>
      <c r="AW5" s="434"/>
      <c r="AX5" s="434"/>
      <c r="AY5" s="434"/>
      <c r="AZ5" s="434"/>
      <c r="BA5" s="434"/>
      <c r="BB5" s="434"/>
      <c r="BC5" s="434"/>
      <c r="BD5" s="434"/>
      <c r="BE5" s="434"/>
      <c r="BF5" s="434"/>
      <c r="BG5" s="434"/>
      <c r="BH5" s="434"/>
      <c r="BI5" s="434"/>
      <c r="BJ5" s="434"/>
      <c r="BK5" s="434"/>
      <c r="BL5" s="434"/>
      <c r="BM5" s="434"/>
      <c r="BN5" s="434"/>
      <c r="BO5" s="434"/>
      <c r="BP5" s="434"/>
      <c r="BQ5" s="434"/>
      <c r="BR5" s="434"/>
      <c r="BS5" s="434"/>
      <c r="BT5" s="434"/>
      <c r="BU5" s="434"/>
      <c r="BV5" s="434"/>
      <c r="BW5" s="434"/>
      <c r="BX5" s="434"/>
      <c r="BY5" s="434"/>
      <c r="BZ5" s="434"/>
      <c r="CA5" s="434"/>
      <c r="CB5" s="434"/>
      <c r="CC5" s="434"/>
      <c r="CD5" s="434"/>
      <c r="CE5" s="434"/>
      <c r="CF5" s="434"/>
      <c r="CG5" s="434"/>
      <c r="CH5" s="434"/>
      <c r="CI5" s="434"/>
      <c r="CJ5" s="434"/>
      <c r="CK5" s="434"/>
      <c r="CL5" s="434"/>
      <c r="CM5" s="434"/>
      <c r="CN5" s="434"/>
      <c r="CO5" s="434"/>
      <c r="CP5" s="434"/>
      <c r="CQ5" s="434"/>
      <c r="CR5" s="434"/>
      <c r="CS5" s="434"/>
      <c r="CT5" s="434"/>
      <c r="CU5" s="434"/>
      <c r="CV5" s="434"/>
      <c r="CW5" s="434"/>
      <c r="CX5" s="434"/>
      <c r="CY5" s="434"/>
      <c r="CZ5" s="434"/>
      <c r="DA5" s="434"/>
      <c r="DB5" s="434"/>
      <c r="DC5" s="434"/>
      <c r="DD5" s="434"/>
      <c r="DE5" s="434"/>
      <c r="DF5" s="434"/>
      <c r="DG5" s="434"/>
      <c r="DH5" s="434"/>
      <c r="DI5" s="434"/>
      <c r="DJ5" s="434"/>
      <c r="DK5" s="434"/>
      <c r="DL5" s="434"/>
      <c r="DM5" s="434"/>
      <c r="DN5" s="434"/>
      <c r="DO5" s="434"/>
      <c r="DP5" s="434"/>
      <c r="DQ5" s="434"/>
      <c r="DR5" s="434"/>
      <c r="DS5" s="434"/>
      <c r="DT5" s="434"/>
      <c r="DU5" s="434"/>
      <c r="DV5" s="434"/>
      <c r="DW5" s="434"/>
      <c r="DX5" s="434"/>
      <c r="DY5" s="434"/>
      <c r="DZ5" s="434"/>
      <c r="EA5" s="434"/>
      <c r="EB5" s="434"/>
      <c r="EC5" s="434"/>
      <c r="ED5" s="434"/>
      <c r="EE5" s="434"/>
      <c r="EF5" s="434"/>
      <c r="EG5" s="434"/>
      <c r="EH5" s="434"/>
      <c r="EI5" s="434"/>
      <c r="EJ5" s="434"/>
      <c r="EK5" s="434"/>
      <c r="EL5" s="434"/>
      <c r="EM5" s="434"/>
      <c r="EN5" s="434"/>
      <c r="EO5" s="434"/>
      <c r="EP5" s="434"/>
      <c r="EQ5" s="434"/>
      <c r="ER5" s="434"/>
      <c r="ES5" s="434"/>
      <c r="ET5" s="434"/>
      <c r="EU5" s="434"/>
      <c r="EV5" s="434"/>
      <c r="EW5" s="434"/>
      <c r="EX5" s="434"/>
      <c r="EY5" s="434"/>
      <c r="EZ5" s="434"/>
      <c r="FA5" s="434"/>
      <c r="FB5" s="434"/>
      <c r="FC5" s="434"/>
      <c r="FD5" s="434"/>
      <c r="FE5" s="434"/>
      <c r="FF5" s="434"/>
      <c r="FG5" s="434"/>
      <c r="FH5" s="434"/>
      <c r="FI5" s="434"/>
      <c r="FJ5" s="434"/>
      <c r="FK5" s="434"/>
      <c r="FL5" s="434"/>
      <c r="FM5" s="434"/>
      <c r="FN5" s="434"/>
      <c r="FO5" s="434"/>
      <c r="FP5" s="434"/>
      <c r="FQ5" s="434"/>
      <c r="FR5" s="434"/>
      <c r="FS5" s="434"/>
      <c r="FT5" s="434"/>
      <c r="FU5" s="434"/>
      <c r="FV5" s="434"/>
      <c r="FW5" s="434"/>
      <c r="FX5" s="434"/>
      <c r="FY5" s="434"/>
      <c r="FZ5" s="434"/>
      <c r="GA5" s="434"/>
      <c r="GB5" s="434"/>
      <c r="GC5" s="434"/>
      <c r="GD5" s="434"/>
      <c r="GE5" s="434"/>
      <c r="GF5" s="434"/>
      <c r="GG5" s="434"/>
      <c r="GH5" s="434"/>
      <c r="GI5" s="434"/>
      <c r="GJ5" s="434"/>
      <c r="GK5" s="434"/>
      <c r="GL5" s="434"/>
      <c r="GM5" s="434"/>
      <c r="GN5" s="434"/>
      <c r="GO5" s="434"/>
      <c r="GP5" s="434"/>
      <c r="GQ5" s="434"/>
      <c r="GR5" s="434"/>
      <c r="GS5" s="434"/>
      <c r="GT5" s="434"/>
      <c r="GU5" s="434"/>
      <c r="GV5" s="434"/>
      <c r="GW5" s="434"/>
      <c r="GX5" s="434"/>
      <c r="GY5" s="434"/>
      <c r="GZ5" s="434"/>
      <c r="HA5" s="434"/>
      <c r="HB5" s="434"/>
      <c r="HC5" s="434"/>
      <c r="HD5" s="434"/>
      <c r="HE5" s="434"/>
      <c r="HF5" s="434"/>
      <c r="HG5" s="434"/>
      <c r="HH5" s="434"/>
      <c r="HI5" s="434"/>
      <c r="HJ5" s="434"/>
      <c r="HK5" s="434"/>
      <c r="HL5" s="434"/>
      <c r="HM5" s="434"/>
      <c r="HN5" s="434"/>
      <c r="HO5" s="434"/>
      <c r="HP5" s="434"/>
      <c r="HQ5" s="434"/>
      <c r="HR5" s="434"/>
      <c r="HS5" s="434"/>
      <c r="HT5" s="434"/>
      <c r="HU5" s="434"/>
      <c r="HV5" s="434"/>
      <c r="HW5" s="434"/>
      <c r="HX5" s="434"/>
      <c r="HY5" s="434"/>
      <c r="HZ5" s="434"/>
      <c r="IA5" s="434"/>
      <c r="IB5" s="434"/>
      <c r="IC5" s="434"/>
      <c r="ID5" s="434"/>
      <c r="IE5" s="434"/>
      <c r="IF5" s="434"/>
      <c r="IG5" s="434"/>
      <c r="IH5" s="434"/>
      <c r="II5" s="434"/>
      <c r="IJ5" s="434"/>
      <c r="IK5" s="434"/>
      <c r="IL5" s="434"/>
      <c r="IM5" s="434"/>
      <c r="IN5" s="434"/>
      <c r="IO5" s="434"/>
      <c r="IP5" s="434"/>
      <c r="IQ5" s="434"/>
      <c r="IR5" s="434"/>
      <c r="IS5" s="434"/>
      <c r="IT5" s="434"/>
      <c r="IU5" s="434"/>
      <c r="IV5" s="434"/>
    </row>
    <row r="6" spans="1:256" ht="25.5" x14ac:dyDescent="0.2">
      <c r="A6" s="365"/>
      <c r="B6" s="375" t="s">
        <v>1313</v>
      </c>
      <c r="C6" s="795" t="s">
        <v>72</v>
      </c>
      <c r="D6" s="795"/>
      <c r="E6" s="795"/>
      <c r="F6" s="376"/>
      <c r="G6" s="376"/>
      <c r="H6" s="376"/>
      <c r="I6" s="376"/>
      <c r="J6" s="434"/>
      <c r="K6" s="434"/>
      <c r="L6" s="434"/>
      <c r="M6" s="434"/>
      <c r="N6" s="434"/>
      <c r="O6" s="434"/>
      <c r="P6" s="434"/>
      <c r="Q6" s="434"/>
      <c r="R6" s="434"/>
      <c r="S6" s="434"/>
      <c r="T6" s="434"/>
      <c r="U6" s="434"/>
      <c r="V6" s="434"/>
      <c r="W6" s="434"/>
      <c r="X6" s="434"/>
      <c r="Y6" s="434"/>
      <c r="Z6" s="434"/>
      <c r="AA6" s="434"/>
      <c r="AB6" s="434"/>
      <c r="AC6" s="434"/>
      <c r="AD6" s="434"/>
      <c r="AE6" s="434"/>
      <c r="AF6" s="434"/>
      <c r="AG6" s="434"/>
      <c r="AH6" s="434"/>
      <c r="AI6" s="434"/>
      <c r="AJ6" s="434"/>
      <c r="AK6" s="434"/>
      <c r="AL6" s="434"/>
      <c r="AM6" s="434"/>
      <c r="AN6" s="434"/>
      <c r="AO6" s="434"/>
      <c r="AP6" s="434"/>
      <c r="AQ6" s="434"/>
      <c r="AR6" s="434"/>
      <c r="AS6" s="434"/>
      <c r="AT6" s="434"/>
      <c r="AU6" s="434"/>
      <c r="AV6" s="434"/>
      <c r="AW6" s="434"/>
      <c r="AX6" s="434"/>
      <c r="AY6" s="434"/>
      <c r="AZ6" s="434"/>
      <c r="BA6" s="434"/>
      <c r="BB6" s="434"/>
      <c r="BC6" s="434"/>
      <c r="BD6" s="434"/>
      <c r="BE6" s="434"/>
      <c r="BF6" s="434"/>
      <c r="BG6" s="434"/>
      <c r="BH6" s="434"/>
      <c r="BI6" s="434"/>
      <c r="BJ6" s="434"/>
      <c r="BK6" s="434"/>
      <c r="BL6" s="434"/>
      <c r="BM6" s="434"/>
      <c r="BN6" s="434"/>
      <c r="BO6" s="434"/>
      <c r="BP6" s="434"/>
      <c r="BQ6" s="434"/>
      <c r="BR6" s="434"/>
      <c r="BS6" s="434"/>
      <c r="BT6" s="434"/>
      <c r="BU6" s="434"/>
      <c r="BV6" s="434"/>
      <c r="BW6" s="434"/>
      <c r="BX6" s="434"/>
      <c r="BY6" s="434"/>
      <c r="BZ6" s="434"/>
      <c r="CA6" s="434"/>
      <c r="CB6" s="434"/>
      <c r="CC6" s="434"/>
      <c r="CD6" s="434"/>
      <c r="CE6" s="434"/>
      <c r="CF6" s="434"/>
      <c r="CG6" s="434"/>
      <c r="CH6" s="434"/>
      <c r="CI6" s="434"/>
      <c r="CJ6" s="434"/>
      <c r="CK6" s="434"/>
      <c r="CL6" s="434"/>
      <c r="CM6" s="434"/>
      <c r="CN6" s="434"/>
      <c r="CO6" s="434"/>
      <c r="CP6" s="434"/>
      <c r="CQ6" s="434"/>
      <c r="CR6" s="434"/>
      <c r="CS6" s="434"/>
      <c r="CT6" s="434"/>
      <c r="CU6" s="434"/>
      <c r="CV6" s="434"/>
      <c r="CW6" s="434"/>
      <c r="CX6" s="434"/>
      <c r="CY6" s="434"/>
      <c r="CZ6" s="434"/>
      <c r="DA6" s="434"/>
      <c r="DB6" s="434"/>
      <c r="DC6" s="434"/>
      <c r="DD6" s="434"/>
      <c r="DE6" s="434"/>
      <c r="DF6" s="434"/>
      <c r="DG6" s="434"/>
      <c r="DH6" s="434"/>
      <c r="DI6" s="434"/>
      <c r="DJ6" s="434"/>
      <c r="DK6" s="434"/>
      <c r="DL6" s="434"/>
      <c r="DM6" s="434"/>
      <c r="DN6" s="434"/>
      <c r="DO6" s="434"/>
      <c r="DP6" s="434"/>
      <c r="DQ6" s="434"/>
      <c r="DR6" s="434"/>
      <c r="DS6" s="434"/>
      <c r="DT6" s="434"/>
      <c r="DU6" s="434"/>
      <c r="DV6" s="434"/>
      <c r="DW6" s="434"/>
      <c r="DX6" s="434"/>
      <c r="DY6" s="434"/>
      <c r="DZ6" s="434"/>
      <c r="EA6" s="434"/>
      <c r="EB6" s="434"/>
      <c r="EC6" s="434"/>
      <c r="ED6" s="434"/>
      <c r="EE6" s="434"/>
      <c r="EF6" s="434"/>
      <c r="EG6" s="434"/>
      <c r="EH6" s="434"/>
      <c r="EI6" s="434"/>
      <c r="EJ6" s="434"/>
      <c r="EK6" s="434"/>
      <c r="EL6" s="434"/>
      <c r="EM6" s="434"/>
      <c r="EN6" s="434"/>
      <c r="EO6" s="434"/>
      <c r="EP6" s="434"/>
      <c r="EQ6" s="434"/>
      <c r="ER6" s="434"/>
      <c r="ES6" s="434"/>
      <c r="ET6" s="434"/>
      <c r="EU6" s="434"/>
      <c r="EV6" s="434"/>
      <c r="EW6" s="434"/>
      <c r="EX6" s="434"/>
      <c r="EY6" s="434"/>
      <c r="EZ6" s="434"/>
      <c r="FA6" s="434"/>
      <c r="FB6" s="434"/>
      <c r="FC6" s="434"/>
      <c r="FD6" s="434"/>
      <c r="FE6" s="434"/>
      <c r="FF6" s="434"/>
      <c r="FG6" s="434"/>
      <c r="FH6" s="434"/>
      <c r="FI6" s="434"/>
      <c r="FJ6" s="434"/>
      <c r="FK6" s="434"/>
      <c r="FL6" s="434"/>
      <c r="FM6" s="434"/>
      <c r="FN6" s="434"/>
      <c r="FO6" s="434"/>
      <c r="FP6" s="434"/>
      <c r="FQ6" s="434"/>
      <c r="FR6" s="434"/>
      <c r="FS6" s="434"/>
      <c r="FT6" s="434"/>
      <c r="FU6" s="434"/>
      <c r="FV6" s="434"/>
      <c r="FW6" s="434"/>
      <c r="FX6" s="434"/>
      <c r="FY6" s="434"/>
      <c r="FZ6" s="434"/>
      <c r="GA6" s="434"/>
      <c r="GB6" s="434"/>
      <c r="GC6" s="434"/>
      <c r="GD6" s="434"/>
      <c r="GE6" s="434"/>
      <c r="GF6" s="434"/>
      <c r="GG6" s="434"/>
      <c r="GH6" s="434"/>
      <c r="GI6" s="434"/>
      <c r="GJ6" s="434"/>
      <c r="GK6" s="434"/>
      <c r="GL6" s="434"/>
      <c r="GM6" s="434"/>
      <c r="GN6" s="434"/>
      <c r="GO6" s="434"/>
      <c r="GP6" s="434"/>
      <c r="GQ6" s="434"/>
      <c r="GR6" s="434"/>
      <c r="GS6" s="434"/>
      <c r="GT6" s="434"/>
      <c r="GU6" s="434"/>
      <c r="GV6" s="434"/>
      <c r="GW6" s="434"/>
      <c r="GX6" s="434"/>
      <c r="GY6" s="434"/>
      <c r="GZ6" s="434"/>
      <c r="HA6" s="434"/>
      <c r="HB6" s="434"/>
      <c r="HC6" s="434"/>
      <c r="HD6" s="434"/>
      <c r="HE6" s="434"/>
      <c r="HF6" s="434"/>
      <c r="HG6" s="434"/>
      <c r="HH6" s="434"/>
      <c r="HI6" s="434"/>
      <c r="HJ6" s="434"/>
      <c r="HK6" s="434"/>
      <c r="HL6" s="434"/>
      <c r="HM6" s="434"/>
      <c r="HN6" s="434"/>
      <c r="HO6" s="434"/>
      <c r="HP6" s="434"/>
      <c r="HQ6" s="434"/>
      <c r="HR6" s="434"/>
      <c r="HS6" s="434"/>
      <c r="HT6" s="434"/>
      <c r="HU6" s="434"/>
      <c r="HV6" s="434"/>
      <c r="HW6" s="434"/>
      <c r="HX6" s="434"/>
      <c r="HY6" s="434"/>
      <c r="HZ6" s="434"/>
      <c r="IA6" s="434"/>
      <c r="IB6" s="434"/>
      <c r="IC6" s="434"/>
      <c r="ID6" s="434"/>
      <c r="IE6" s="434"/>
      <c r="IF6" s="434"/>
      <c r="IG6" s="434"/>
      <c r="IH6" s="434"/>
      <c r="II6" s="434"/>
      <c r="IJ6" s="434"/>
      <c r="IK6" s="434"/>
      <c r="IL6" s="434"/>
      <c r="IM6" s="434"/>
      <c r="IN6" s="434"/>
      <c r="IO6" s="434"/>
      <c r="IP6" s="434"/>
      <c r="IQ6" s="434"/>
      <c r="IR6" s="434"/>
      <c r="IS6" s="434"/>
      <c r="IT6" s="434"/>
      <c r="IU6" s="434"/>
      <c r="IV6" s="434"/>
    </row>
    <row r="7" spans="1:256" x14ac:dyDescent="0.2">
      <c r="A7" s="365"/>
      <c r="B7" s="377"/>
      <c r="C7" s="435" t="s">
        <v>703</v>
      </c>
      <c r="D7" s="377"/>
      <c r="E7" s="436"/>
      <c r="F7" s="378"/>
      <c r="G7" s="378"/>
      <c r="H7" s="378"/>
      <c r="I7" s="378"/>
      <c r="J7" s="437"/>
      <c r="K7" s="437"/>
      <c r="L7" s="437"/>
      <c r="M7" s="437"/>
      <c r="N7" s="437"/>
      <c r="O7" s="437"/>
      <c r="P7" s="437"/>
      <c r="Q7" s="437"/>
      <c r="R7" s="437"/>
      <c r="S7" s="437"/>
      <c r="T7" s="437"/>
      <c r="U7" s="437"/>
      <c r="V7" s="437"/>
      <c r="W7" s="437"/>
      <c r="X7" s="437"/>
      <c r="Y7" s="437"/>
      <c r="Z7" s="437"/>
      <c r="AA7" s="437"/>
      <c r="AB7" s="437"/>
      <c r="AC7" s="437"/>
      <c r="AD7" s="437"/>
      <c r="AE7" s="437"/>
      <c r="AF7" s="437"/>
      <c r="AG7" s="437"/>
      <c r="AH7" s="437"/>
      <c r="AI7" s="437"/>
      <c r="AJ7" s="437"/>
      <c r="AK7" s="437"/>
      <c r="AL7" s="437"/>
      <c r="AM7" s="437"/>
      <c r="AN7" s="437"/>
      <c r="AO7" s="437"/>
      <c r="AP7" s="437"/>
      <c r="AQ7" s="437"/>
      <c r="AR7" s="437"/>
      <c r="AS7" s="437"/>
      <c r="AT7" s="437"/>
      <c r="AU7" s="437"/>
      <c r="AV7" s="437"/>
      <c r="AW7" s="437"/>
      <c r="AX7" s="437"/>
      <c r="AY7" s="437"/>
      <c r="AZ7" s="437"/>
      <c r="BA7" s="437"/>
      <c r="BB7" s="437"/>
      <c r="BC7" s="437"/>
      <c r="BD7" s="437"/>
      <c r="BE7" s="437"/>
      <c r="BF7" s="437"/>
      <c r="BG7" s="437"/>
      <c r="BH7" s="437"/>
      <c r="BI7" s="437"/>
      <c r="BJ7" s="437"/>
      <c r="BK7" s="437"/>
      <c r="BL7" s="437"/>
      <c r="BM7" s="437"/>
      <c r="BN7" s="437"/>
      <c r="BO7" s="437"/>
      <c r="BP7" s="437"/>
      <c r="BQ7" s="437"/>
      <c r="BR7" s="437"/>
      <c r="BS7" s="437"/>
      <c r="BT7" s="437"/>
      <c r="BU7" s="437"/>
      <c r="BV7" s="437"/>
      <c r="BW7" s="437"/>
      <c r="BX7" s="437"/>
      <c r="BY7" s="437"/>
      <c r="BZ7" s="437"/>
      <c r="CA7" s="437"/>
      <c r="CB7" s="437"/>
      <c r="CC7" s="437"/>
      <c r="CD7" s="437"/>
      <c r="CE7" s="437"/>
      <c r="CF7" s="437"/>
      <c r="CG7" s="437"/>
      <c r="CH7" s="437"/>
      <c r="CI7" s="437"/>
      <c r="CJ7" s="437"/>
      <c r="CK7" s="437"/>
      <c r="CL7" s="437"/>
      <c r="CM7" s="437"/>
      <c r="CN7" s="437"/>
      <c r="CO7" s="437"/>
      <c r="CP7" s="437"/>
      <c r="CQ7" s="437"/>
      <c r="CR7" s="437"/>
      <c r="CS7" s="437"/>
      <c r="CT7" s="437"/>
      <c r="CU7" s="437"/>
      <c r="CV7" s="437"/>
      <c r="CW7" s="437"/>
      <c r="CX7" s="437"/>
      <c r="CY7" s="437"/>
      <c r="CZ7" s="437"/>
      <c r="DA7" s="437"/>
      <c r="DB7" s="437"/>
      <c r="DC7" s="437"/>
      <c r="DD7" s="437"/>
      <c r="DE7" s="437"/>
      <c r="DF7" s="437"/>
      <c r="DG7" s="437"/>
      <c r="DH7" s="437"/>
      <c r="DI7" s="437"/>
      <c r="DJ7" s="437"/>
      <c r="DK7" s="437"/>
      <c r="DL7" s="437"/>
      <c r="DM7" s="437"/>
      <c r="DN7" s="437"/>
      <c r="DO7" s="437"/>
      <c r="DP7" s="437"/>
      <c r="DQ7" s="437"/>
      <c r="DR7" s="437"/>
      <c r="DS7" s="437"/>
      <c r="DT7" s="437"/>
      <c r="DU7" s="437"/>
      <c r="DV7" s="437"/>
      <c r="DW7" s="437"/>
      <c r="DX7" s="437"/>
      <c r="DY7" s="437"/>
      <c r="DZ7" s="437"/>
      <c r="EA7" s="437"/>
      <c r="EB7" s="437"/>
      <c r="EC7" s="437"/>
      <c r="ED7" s="437"/>
      <c r="EE7" s="437"/>
      <c r="EF7" s="437"/>
      <c r="EG7" s="437"/>
      <c r="EH7" s="437"/>
      <c r="EI7" s="437"/>
      <c r="EJ7" s="437"/>
      <c r="EK7" s="437"/>
      <c r="EL7" s="437"/>
      <c r="EM7" s="437"/>
      <c r="EN7" s="437"/>
      <c r="EO7" s="437"/>
      <c r="EP7" s="437"/>
      <c r="EQ7" s="437"/>
      <c r="ER7" s="437"/>
      <c r="ES7" s="437"/>
      <c r="ET7" s="437"/>
      <c r="EU7" s="437"/>
      <c r="EV7" s="437"/>
      <c r="EW7" s="437"/>
      <c r="EX7" s="437"/>
      <c r="EY7" s="437"/>
      <c r="EZ7" s="437"/>
      <c r="FA7" s="437"/>
      <c r="FB7" s="437"/>
      <c r="FC7" s="437"/>
      <c r="FD7" s="437"/>
      <c r="FE7" s="437"/>
      <c r="FF7" s="437"/>
      <c r="FG7" s="437"/>
      <c r="FH7" s="437"/>
      <c r="FI7" s="437"/>
      <c r="FJ7" s="437"/>
      <c r="FK7" s="437"/>
      <c r="FL7" s="437"/>
      <c r="FM7" s="437"/>
      <c r="FN7" s="437"/>
      <c r="FO7" s="437"/>
      <c r="FP7" s="437"/>
      <c r="FQ7" s="437"/>
      <c r="FR7" s="437"/>
      <c r="FS7" s="437"/>
      <c r="FT7" s="437"/>
      <c r="FU7" s="437"/>
      <c r="FV7" s="437"/>
      <c r="FW7" s="437"/>
      <c r="FX7" s="437"/>
      <c r="FY7" s="437"/>
      <c r="FZ7" s="437"/>
      <c r="GA7" s="437"/>
      <c r="GB7" s="437"/>
      <c r="GC7" s="437"/>
      <c r="GD7" s="437"/>
      <c r="GE7" s="437"/>
      <c r="GF7" s="437"/>
      <c r="GG7" s="437"/>
      <c r="GH7" s="437"/>
      <c r="GI7" s="437"/>
      <c r="GJ7" s="437"/>
      <c r="GK7" s="437"/>
      <c r="GL7" s="437"/>
      <c r="GM7" s="437"/>
      <c r="GN7" s="437"/>
      <c r="GO7" s="437"/>
      <c r="GP7" s="437"/>
      <c r="GQ7" s="437"/>
      <c r="GR7" s="437"/>
      <c r="GS7" s="437"/>
      <c r="GT7" s="437"/>
      <c r="GU7" s="437"/>
      <c r="GV7" s="437"/>
      <c r="GW7" s="437"/>
      <c r="GX7" s="437"/>
      <c r="GY7" s="437"/>
      <c r="GZ7" s="437"/>
      <c r="HA7" s="437"/>
      <c r="HB7" s="437"/>
      <c r="HC7" s="437"/>
      <c r="HD7" s="437"/>
      <c r="HE7" s="437"/>
      <c r="HF7" s="437"/>
      <c r="HG7" s="437"/>
      <c r="HH7" s="437"/>
      <c r="HI7" s="437"/>
      <c r="HJ7" s="437"/>
      <c r="HK7" s="437"/>
      <c r="HL7" s="437"/>
      <c r="HM7" s="437"/>
      <c r="HN7" s="437"/>
      <c r="HO7" s="437"/>
      <c r="HP7" s="437"/>
      <c r="HQ7" s="437"/>
      <c r="HR7" s="437"/>
      <c r="HS7" s="437"/>
      <c r="HT7" s="437"/>
      <c r="HU7" s="437"/>
      <c r="HV7" s="437"/>
      <c r="HW7" s="437"/>
      <c r="HX7" s="437"/>
      <c r="HY7" s="437"/>
      <c r="HZ7" s="437"/>
      <c r="IA7" s="437"/>
      <c r="IB7" s="437"/>
      <c r="IC7" s="437"/>
      <c r="ID7" s="437"/>
      <c r="IE7" s="437"/>
      <c r="IF7" s="437"/>
      <c r="IG7" s="437"/>
      <c r="IH7" s="437"/>
      <c r="II7" s="437"/>
      <c r="IJ7" s="437"/>
      <c r="IK7" s="437"/>
      <c r="IL7" s="437"/>
      <c r="IM7" s="437"/>
      <c r="IN7" s="437"/>
      <c r="IO7" s="437"/>
      <c r="IP7" s="437"/>
      <c r="IQ7" s="437"/>
      <c r="IR7" s="437"/>
      <c r="IS7" s="437"/>
      <c r="IT7" s="437"/>
      <c r="IU7" s="437"/>
      <c r="IV7" s="437"/>
    </row>
    <row r="8" spans="1:256" x14ac:dyDescent="0.2">
      <c r="A8" s="365"/>
      <c r="B8" s="381" t="s">
        <v>1314</v>
      </c>
      <c r="C8" s="820" t="s">
        <v>7</v>
      </c>
      <c r="D8" s="820"/>
      <c r="E8" s="438"/>
      <c r="F8" s="383"/>
      <c r="G8" s="384"/>
      <c r="H8" s="377"/>
      <c r="I8" s="385"/>
      <c r="J8" s="434"/>
      <c r="K8" s="434"/>
      <c r="L8" s="434"/>
      <c r="M8" s="434"/>
      <c r="N8" s="434"/>
      <c r="O8" s="434"/>
      <c r="P8" s="434"/>
      <c r="Q8" s="434"/>
      <c r="R8" s="434"/>
      <c r="S8" s="434"/>
      <c r="T8" s="434"/>
      <c r="U8" s="434"/>
      <c r="V8" s="434"/>
      <c r="W8" s="434"/>
      <c r="X8" s="434"/>
      <c r="Y8" s="434"/>
      <c r="Z8" s="434"/>
      <c r="AA8" s="434"/>
      <c r="AB8" s="434"/>
      <c r="AC8" s="434"/>
      <c r="AD8" s="434"/>
      <c r="AE8" s="434"/>
      <c r="AF8" s="434"/>
      <c r="AG8" s="434"/>
      <c r="AH8" s="434"/>
      <c r="AI8" s="434"/>
      <c r="AJ8" s="434"/>
      <c r="AK8" s="434"/>
      <c r="AL8" s="434"/>
      <c r="AM8" s="434"/>
      <c r="AN8" s="434"/>
      <c r="AO8" s="434"/>
      <c r="AP8" s="434"/>
      <c r="AQ8" s="434"/>
      <c r="AR8" s="434"/>
      <c r="AS8" s="434"/>
      <c r="AT8" s="434"/>
      <c r="AU8" s="434"/>
      <c r="AV8" s="434"/>
      <c r="AW8" s="434"/>
      <c r="AX8" s="434"/>
      <c r="AY8" s="434"/>
      <c r="AZ8" s="434"/>
      <c r="BA8" s="434"/>
      <c r="BB8" s="434"/>
      <c r="BC8" s="434"/>
      <c r="BD8" s="434"/>
      <c r="BE8" s="434"/>
      <c r="BF8" s="434"/>
      <c r="BG8" s="434"/>
      <c r="BH8" s="434"/>
      <c r="BI8" s="434"/>
      <c r="BJ8" s="434"/>
      <c r="BK8" s="434"/>
      <c r="BL8" s="434"/>
      <c r="BM8" s="434"/>
      <c r="BN8" s="434"/>
      <c r="BO8" s="434"/>
      <c r="BP8" s="434"/>
      <c r="BQ8" s="434"/>
      <c r="BR8" s="434"/>
      <c r="BS8" s="434"/>
      <c r="BT8" s="434"/>
      <c r="BU8" s="434"/>
      <c r="BV8" s="434"/>
      <c r="BW8" s="434"/>
      <c r="BX8" s="434"/>
      <c r="BY8" s="434"/>
      <c r="BZ8" s="434"/>
      <c r="CA8" s="434"/>
      <c r="CB8" s="434"/>
      <c r="CC8" s="434"/>
      <c r="CD8" s="434"/>
      <c r="CE8" s="434"/>
      <c r="CF8" s="434"/>
      <c r="CG8" s="434"/>
      <c r="CH8" s="434"/>
      <c r="CI8" s="434"/>
      <c r="CJ8" s="434"/>
      <c r="CK8" s="434"/>
      <c r="CL8" s="434"/>
      <c r="CM8" s="434"/>
      <c r="CN8" s="434"/>
      <c r="CO8" s="434"/>
      <c r="CP8" s="434"/>
      <c r="CQ8" s="434"/>
      <c r="CR8" s="434"/>
      <c r="CS8" s="434"/>
      <c r="CT8" s="434"/>
      <c r="CU8" s="434"/>
      <c r="CV8" s="434"/>
      <c r="CW8" s="434"/>
      <c r="CX8" s="434"/>
      <c r="CY8" s="434"/>
      <c r="CZ8" s="434"/>
      <c r="DA8" s="434"/>
      <c r="DB8" s="434"/>
      <c r="DC8" s="434"/>
      <c r="DD8" s="434"/>
      <c r="DE8" s="434"/>
      <c r="DF8" s="434"/>
      <c r="DG8" s="434"/>
      <c r="DH8" s="434"/>
      <c r="DI8" s="434"/>
      <c r="DJ8" s="434"/>
      <c r="DK8" s="434"/>
      <c r="DL8" s="434"/>
      <c r="DM8" s="434"/>
      <c r="DN8" s="434"/>
      <c r="DO8" s="434"/>
      <c r="DP8" s="434"/>
      <c r="DQ8" s="434"/>
      <c r="DR8" s="434"/>
      <c r="DS8" s="434"/>
      <c r="DT8" s="434"/>
      <c r="DU8" s="434"/>
      <c r="DV8" s="434"/>
      <c r="DW8" s="434"/>
      <c r="DX8" s="434"/>
      <c r="DY8" s="434"/>
      <c r="DZ8" s="434"/>
      <c r="EA8" s="434"/>
      <c r="EB8" s="434"/>
      <c r="EC8" s="434"/>
      <c r="ED8" s="434"/>
      <c r="EE8" s="434"/>
      <c r="EF8" s="434"/>
      <c r="EG8" s="434"/>
      <c r="EH8" s="434"/>
      <c r="EI8" s="434"/>
      <c r="EJ8" s="434"/>
      <c r="EK8" s="434"/>
      <c r="EL8" s="434"/>
      <c r="EM8" s="434"/>
      <c r="EN8" s="434"/>
      <c r="EO8" s="434"/>
      <c r="EP8" s="434"/>
      <c r="EQ8" s="434"/>
      <c r="ER8" s="434"/>
      <c r="ES8" s="434"/>
      <c r="ET8" s="434"/>
      <c r="EU8" s="434"/>
      <c r="EV8" s="434"/>
      <c r="EW8" s="434"/>
      <c r="EX8" s="434"/>
      <c r="EY8" s="434"/>
      <c r="EZ8" s="434"/>
      <c r="FA8" s="434"/>
      <c r="FB8" s="434"/>
      <c r="FC8" s="434"/>
      <c r="FD8" s="434"/>
      <c r="FE8" s="434"/>
      <c r="FF8" s="434"/>
      <c r="FG8" s="434"/>
      <c r="FH8" s="434"/>
      <c r="FI8" s="434"/>
      <c r="FJ8" s="434"/>
      <c r="FK8" s="434"/>
      <c r="FL8" s="434"/>
      <c r="FM8" s="434"/>
      <c r="FN8" s="434"/>
      <c r="FO8" s="434"/>
      <c r="FP8" s="434"/>
      <c r="FQ8" s="434"/>
      <c r="FR8" s="434"/>
      <c r="FS8" s="434"/>
      <c r="FT8" s="434"/>
      <c r="FU8" s="434"/>
      <c r="FV8" s="434"/>
      <c r="FW8" s="434"/>
      <c r="FX8" s="434"/>
      <c r="FY8" s="434"/>
      <c r="FZ8" s="434"/>
      <c r="GA8" s="434"/>
      <c r="GB8" s="434"/>
      <c r="GC8" s="434"/>
      <c r="GD8" s="434"/>
      <c r="GE8" s="434"/>
      <c r="GF8" s="434"/>
      <c r="GG8" s="434"/>
      <c r="GH8" s="434"/>
      <c r="GI8" s="434"/>
      <c r="GJ8" s="434"/>
      <c r="GK8" s="434"/>
      <c r="GL8" s="434"/>
      <c r="GM8" s="434"/>
      <c r="GN8" s="434"/>
      <c r="GO8" s="434"/>
      <c r="GP8" s="434"/>
      <c r="GQ8" s="434"/>
      <c r="GR8" s="434"/>
      <c r="GS8" s="434"/>
      <c r="GT8" s="434"/>
      <c r="GU8" s="434"/>
      <c r="GV8" s="434"/>
      <c r="GW8" s="434"/>
      <c r="GX8" s="434"/>
      <c r="GY8" s="434"/>
      <c r="GZ8" s="434"/>
      <c r="HA8" s="434"/>
      <c r="HB8" s="434"/>
      <c r="HC8" s="434"/>
      <c r="HD8" s="434"/>
      <c r="HE8" s="434"/>
      <c r="HF8" s="434"/>
      <c r="HG8" s="434"/>
      <c r="HH8" s="434"/>
      <c r="HI8" s="434"/>
      <c r="HJ8" s="434"/>
      <c r="HK8" s="434"/>
      <c r="HL8" s="434"/>
      <c r="HM8" s="434"/>
      <c r="HN8" s="434"/>
      <c r="HO8" s="434"/>
      <c r="HP8" s="434"/>
      <c r="HQ8" s="434"/>
      <c r="HR8" s="434"/>
      <c r="HS8" s="434"/>
      <c r="HT8" s="434"/>
      <c r="HU8" s="434"/>
      <c r="HV8" s="434"/>
      <c r="HW8" s="434"/>
      <c r="HX8" s="434"/>
      <c r="HY8" s="434"/>
      <c r="HZ8" s="434"/>
      <c r="IA8" s="434"/>
      <c r="IB8" s="434"/>
      <c r="IC8" s="434"/>
      <c r="ID8" s="434"/>
      <c r="IE8" s="434"/>
      <c r="IF8" s="434"/>
      <c r="IG8" s="434"/>
      <c r="IH8" s="434"/>
      <c r="II8" s="434"/>
      <c r="IJ8" s="434"/>
      <c r="IK8" s="434"/>
      <c r="IL8" s="434"/>
      <c r="IM8" s="434"/>
      <c r="IN8" s="434"/>
      <c r="IO8" s="434"/>
      <c r="IP8" s="434"/>
      <c r="IQ8" s="434"/>
      <c r="IR8" s="434"/>
      <c r="IS8" s="434"/>
      <c r="IT8" s="434"/>
      <c r="IU8" s="434"/>
      <c r="IV8" s="434"/>
    </row>
    <row r="9" spans="1:256" x14ac:dyDescent="0.2">
      <c r="A9" s="365"/>
      <c r="B9" s="381" t="s">
        <v>1315</v>
      </c>
      <c r="C9" s="368"/>
      <c r="D9" s="377"/>
      <c r="E9" s="438"/>
      <c r="F9" s="383"/>
      <c r="G9" s="386"/>
      <c r="H9" s="387"/>
      <c r="I9" s="386"/>
      <c r="J9" s="434"/>
      <c r="K9" s="434"/>
      <c r="L9" s="434"/>
      <c r="M9" s="434"/>
      <c r="N9" s="434"/>
      <c r="O9" s="434"/>
      <c r="P9" s="434"/>
      <c r="Q9" s="434"/>
      <c r="R9" s="434"/>
      <c r="S9" s="434"/>
      <c r="T9" s="434"/>
      <c r="U9" s="434"/>
      <c r="V9" s="434"/>
      <c r="W9" s="434"/>
      <c r="X9" s="434"/>
      <c r="Y9" s="434"/>
      <c r="Z9" s="434"/>
      <c r="AA9" s="434"/>
      <c r="AB9" s="434"/>
      <c r="AC9" s="434"/>
      <c r="AD9" s="434"/>
      <c r="AE9" s="434"/>
      <c r="AF9" s="434"/>
      <c r="AG9" s="434"/>
      <c r="AH9" s="434"/>
      <c r="AI9" s="434"/>
      <c r="AJ9" s="434"/>
      <c r="AK9" s="434"/>
      <c r="AL9" s="434"/>
      <c r="AM9" s="434"/>
      <c r="AN9" s="434"/>
      <c r="AO9" s="434"/>
      <c r="AP9" s="434"/>
      <c r="AQ9" s="434"/>
      <c r="AR9" s="434"/>
      <c r="AS9" s="434"/>
      <c r="AT9" s="434"/>
      <c r="AU9" s="434"/>
      <c r="AV9" s="434"/>
      <c r="AW9" s="434"/>
      <c r="AX9" s="434"/>
      <c r="AY9" s="434"/>
      <c r="AZ9" s="434"/>
      <c r="BA9" s="434"/>
      <c r="BB9" s="434"/>
      <c r="BC9" s="434"/>
      <c r="BD9" s="434"/>
      <c r="BE9" s="434"/>
      <c r="BF9" s="434"/>
      <c r="BG9" s="434"/>
      <c r="BH9" s="434"/>
      <c r="BI9" s="434"/>
      <c r="BJ9" s="434"/>
      <c r="BK9" s="434"/>
      <c r="BL9" s="434"/>
      <c r="BM9" s="434"/>
      <c r="BN9" s="434"/>
      <c r="BO9" s="434"/>
      <c r="BP9" s="434"/>
      <c r="BQ9" s="434"/>
      <c r="BR9" s="434"/>
      <c r="BS9" s="434"/>
      <c r="BT9" s="434"/>
      <c r="BU9" s="434"/>
      <c r="BV9" s="434"/>
      <c r="BW9" s="434"/>
      <c r="BX9" s="434"/>
      <c r="BY9" s="434"/>
      <c r="BZ9" s="434"/>
      <c r="CA9" s="434"/>
      <c r="CB9" s="434"/>
      <c r="CC9" s="434"/>
      <c r="CD9" s="434"/>
      <c r="CE9" s="434"/>
      <c r="CF9" s="434"/>
      <c r="CG9" s="434"/>
      <c r="CH9" s="434"/>
      <c r="CI9" s="434"/>
      <c r="CJ9" s="434"/>
      <c r="CK9" s="434"/>
      <c r="CL9" s="434"/>
      <c r="CM9" s="434"/>
      <c r="CN9" s="434"/>
      <c r="CO9" s="434"/>
      <c r="CP9" s="434"/>
      <c r="CQ9" s="434"/>
      <c r="CR9" s="434"/>
      <c r="CS9" s="434"/>
      <c r="CT9" s="434"/>
      <c r="CU9" s="434"/>
      <c r="CV9" s="434"/>
      <c r="CW9" s="434"/>
      <c r="CX9" s="434"/>
      <c r="CY9" s="434"/>
      <c r="CZ9" s="434"/>
      <c r="DA9" s="434"/>
      <c r="DB9" s="434"/>
      <c r="DC9" s="434"/>
      <c r="DD9" s="434"/>
      <c r="DE9" s="434"/>
      <c r="DF9" s="434"/>
      <c r="DG9" s="434"/>
      <c r="DH9" s="434"/>
      <c r="DI9" s="434"/>
      <c r="DJ9" s="434"/>
      <c r="DK9" s="434"/>
      <c r="DL9" s="434"/>
      <c r="DM9" s="434"/>
      <c r="DN9" s="434"/>
      <c r="DO9" s="434"/>
      <c r="DP9" s="434"/>
      <c r="DQ9" s="434"/>
      <c r="DR9" s="434"/>
      <c r="DS9" s="434"/>
      <c r="DT9" s="434"/>
      <c r="DU9" s="434"/>
      <c r="DV9" s="434"/>
      <c r="DW9" s="434"/>
      <c r="DX9" s="434"/>
      <c r="DY9" s="434"/>
      <c r="DZ9" s="434"/>
      <c r="EA9" s="434"/>
      <c r="EB9" s="434"/>
      <c r="EC9" s="434"/>
      <c r="ED9" s="434"/>
      <c r="EE9" s="434"/>
      <c r="EF9" s="434"/>
      <c r="EG9" s="434"/>
      <c r="EH9" s="434"/>
      <c r="EI9" s="434"/>
      <c r="EJ9" s="434"/>
      <c r="EK9" s="434"/>
      <c r="EL9" s="434"/>
      <c r="EM9" s="434"/>
      <c r="EN9" s="434"/>
      <c r="EO9" s="434"/>
      <c r="EP9" s="434"/>
      <c r="EQ9" s="434"/>
      <c r="ER9" s="434"/>
      <c r="ES9" s="434"/>
      <c r="ET9" s="434"/>
      <c r="EU9" s="434"/>
      <c r="EV9" s="434"/>
      <c r="EW9" s="434"/>
      <c r="EX9" s="434"/>
      <c r="EY9" s="434"/>
      <c r="EZ9" s="434"/>
      <c r="FA9" s="434"/>
      <c r="FB9" s="434"/>
      <c r="FC9" s="434"/>
      <c r="FD9" s="434"/>
      <c r="FE9" s="434"/>
      <c r="FF9" s="434"/>
      <c r="FG9" s="434"/>
      <c r="FH9" s="434"/>
      <c r="FI9" s="434"/>
      <c r="FJ9" s="434"/>
      <c r="FK9" s="434"/>
      <c r="FL9" s="434"/>
      <c r="FM9" s="434"/>
      <c r="FN9" s="434"/>
      <c r="FO9" s="434"/>
      <c r="FP9" s="434"/>
      <c r="FQ9" s="434"/>
      <c r="FR9" s="434"/>
      <c r="FS9" s="434"/>
      <c r="FT9" s="434"/>
      <c r="FU9" s="434"/>
      <c r="FV9" s="434"/>
      <c r="FW9" s="434"/>
      <c r="FX9" s="434"/>
      <c r="FY9" s="434"/>
      <c r="FZ9" s="434"/>
      <c r="GA9" s="434"/>
      <c r="GB9" s="434"/>
      <c r="GC9" s="434"/>
      <c r="GD9" s="434"/>
      <c r="GE9" s="434"/>
      <c r="GF9" s="434"/>
      <c r="GG9" s="434"/>
      <c r="GH9" s="434"/>
      <c r="GI9" s="434"/>
      <c r="GJ9" s="434"/>
      <c r="GK9" s="434"/>
      <c r="GL9" s="434"/>
      <c r="GM9" s="434"/>
      <c r="GN9" s="434"/>
      <c r="GO9" s="434"/>
      <c r="GP9" s="434"/>
      <c r="GQ9" s="434"/>
      <c r="GR9" s="434"/>
      <c r="GS9" s="434"/>
      <c r="GT9" s="434"/>
      <c r="GU9" s="434"/>
      <c r="GV9" s="434"/>
      <c r="GW9" s="434"/>
      <c r="GX9" s="434"/>
      <c r="GY9" s="434"/>
      <c r="GZ9" s="434"/>
      <c r="HA9" s="434"/>
      <c r="HB9" s="434"/>
      <c r="HC9" s="434"/>
      <c r="HD9" s="434"/>
      <c r="HE9" s="434"/>
      <c r="HF9" s="434"/>
      <c r="HG9" s="434"/>
      <c r="HH9" s="434"/>
      <c r="HI9" s="434"/>
      <c r="HJ9" s="434"/>
      <c r="HK9" s="434"/>
      <c r="HL9" s="434"/>
      <c r="HM9" s="434"/>
      <c r="HN9" s="434"/>
      <c r="HO9" s="434"/>
      <c r="HP9" s="434"/>
      <c r="HQ9" s="434"/>
      <c r="HR9" s="434"/>
      <c r="HS9" s="434"/>
      <c r="HT9" s="434"/>
      <c r="HU9" s="434"/>
      <c r="HV9" s="434"/>
      <c r="HW9" s="434"/>
      <c r="HX9" s="434"/>
      <c r="HY9" s="434"/>
      <c r="HZ9" s="434"/>
      <c r="IA9" s="434"/>
      <c r="IB9" s="434"/>
      <c r="IC9" s="434"/>
      <c r="ID9" s="434"/>
      <c r="IE9" s="434"/>
      <c r="IF9" s="434"/>
      <c r="IG9" s="434"/>
      <c r="IH9" s="434"/>
      <c r="II9" s="434"/>
      <c r="IJ9" s="434"/>
      <c r="IK9" s="434"/>
      <c r="IL9" s="434"/>
      <c r="IM9" s="434"/>
      <c r="IN9" s="434"/>
      <c r="IO9" s="434"/>
      <c r="IP9" s="434"/>
      <c r="IQ9" s="434"/>
      <c r="IR9" s="434"/>
      <c r="IS9" s="434"/>
      <c r="IT9" s="434"/>
      <c r="IU9" s="434"/>
      <c r="IV9" s="434"/>
    </row>
    <row r="10" spans="1:256" x14ac:dyDescent="0.2">
      <c r="A10" s="365"/>
      <c r="B10" s="381"/>
      <c r="C10" s="377"/>
      <c r="D10" s="377"/>
      <c r="E10" s="438"/>
      <c r="F10" s="383"/>
      <c r="G10" s="386"/>
      <c r="H10" s="387"/>
      <c r="I10" s="386"/>
      <c r="J10" s="434"/>
      <c r="K10" s="434"/>
      <c r="L10" s="434"/>
      <c r="M10" s="434"/>
      <c r="N10" s="434"/>
      <c r="O10" s="434"/>
      <c r="P10" s="434"/>
      <c r="Q10" s="434"/>
      <c r="R10" s="434"/>
      <c r="S10" s="434"/>
      <c r="T10" s="434"/>
      <c r="U10" s="434"/>
      <c r="V10" s="434"/>
      <c r="W10" s="434"/>
      <c r="X10" s="434"/>
      <c r="Y10" s="434"/>
      <c r="Z10" s="434"/>
      <c r="AA10" s="434"/>
      <c r="AB10" s="434"/>
      <c r="AC10" s="434"/>
      <c r="AD10" s="434"/>
      <c r="AE10" s="434"/>
      <c r="AF10" s="434"/>
      <c r="AG10" s="434"/>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4"/>
      <c r="BD10" s="434"/>
      <c r="BE10" s="434"/>
      <c r="BF10" s="434"/>
      <c r="BG10" s="434"/>
      <c r="BH10" s="434"/>
      <c r="BI10" s="434"/>
      <c r="BJ10" s="434"/>
      <c r="BK10" s="434"/>
      <c r="BL10" s="434"/>
      <c r="BM10" s="434"/>
      <c r="BN10" s="434"/>
      <c r="BO10" s="434"/>
      <c r="BP10" s="434"/>
      <c r="BQ10" s="434"/>
      <c r="BR10" s="434"/>
      <c r="BS10" s="434"/>
      <c r="BT10" s="434"/>
      <c r="BU10" s="434"/>
      <c r="BV10" s="434"/>
      <c r="BW10" s="434"/>
      <c r="BX10" s="434"/>
      <c r="BY10" s="434"/>
      <c r="BZ10" s="434"/>
      <c r="CA10" s="434"/>
      <c r="CB10" s="434"/>
      <c r="CC10" s="434"/>
      <c r="CD10" s="434"/>
      <c r="CE10" s="434"/>
      <c r="CF10" s="434"/>
      <c r="CG10" s="434"/>
      <c r="CH10" s="434"/>
      <c r="CI10" s="434"/>
      <c r="CJ10" s="434"/>
      <c r="CK10" s="434"/>
      <c r="CL10" s="434"/>
      <c r="CM10" s="434"/>
      <c r="CN10" s="434"/>
      <c r="CO10" s="434"/>
      <c r="CP10" s="434"/>
      <c r="CQ10" s="434"/>
      <c r="CR10" s="434"/>
      <c r="CS10" s="434"/>
      <c r="CT10" s="434"/>
      <c r="CU10" s="434"/>
      <c r="CV10" s="434"/>
      <c r="CW10" s="434"/>
      <c r="CX10" s="434"/>
      <c r="CY10" s="434"/>
      <c r="CZ10" s="434"/>
      <c r="DA10" s="434"/>
      <c r="DB10" s="434"/>
      <c r="DC10" s="434"/>
      <c r="DD10" s="434"/>
      <c r="DE10" s="434"/>
      <c r="DF10" s="434"/>
      <c r="DG10" s="434"/>
      <c r="DH10" s="434"/>
      <c r="DI10" s="434"/>
      <c r="DJ10" s="434"/>
      <c r="DK10" s="434"/>
      <c r="DL10" s="434"/>
      <c r="DM10" s="434"/>
      <c r="DN10" s="434"/>
      <c r="DO10" s="434"/>
      <c r="DP10" s="434"/>
      <c r="DQ10" s="434"/>
      <c r="DR10" s="434"/>
      <c r="DS10" s="434"/>
      <c r="DT10" s="434"/>
      <c r="DU10" s="434"/>
      <c r="DV10" s="434"/>
      <c r="DW10" s="434"/>
      <c r="DX10" s="434"/>
      <c r="DY10" s="434"/>
      <c r="DZ10" s="434"/>
      <c r="EA10" s="434"/>
      <c r="EB10" s="434"/>
      <c r="EC10" s="434"/>
      <c r="ED10" s="434"/>
      <c r="EE10" s="434"/>
      <c r="EF10" s="434"/>
      <c r="EG10" s="434"/>
      <c r="EH10" s="434"/>
      <c r="EI10" s="434"/>
      <c r="EJ10" s="434"/>
      <c r="EK10" s="434"/>
      <c r="EL10" s="434"/>
      <c r="EM10" s="434"/>
      <c r="EN10" s="434"/>
      <c r="EO10" s="434"/>
      <c r="EP10" s="434"/>
      <c r="EQ10" s="434"/>
      <c r="ER10" s="434"/>
      <c r="ES10" s="434"/>
      <c r="ET10" s="434"/>
      <c r="EU10" s="434"/>
      <c r="EV10" s="434"/>
      <c r="EW10" s="434"/>
      <c r="EX10" s="434"/>
      <c r="EY10" s="434"/>
      <c r="EZ10" s="434"/>
      <c r="FA10" s="434"/>
      <c r="FB10" s="434"/>
      <c r="FC10" s="434"/>
      <c r="FD10" s="434"/>
      <c r="FE10" s="434"/>
      <c r="FF10" s="434"/>
      <c r="FG10" s="434"/>
      <c r="FH10" s="434"/>
      <c r="FI10" s="434"/>
      <c r="FJ10" s="434"/>
      <c r="FK10" s="434"/>
      <c r="FL10" s="434"/>
      <c r="FM10" s="434"/>
      <c r="FN10" s="434"/>
      <c r="FO10" s="434"/>
      <c r="FP10" s="434"/>
      <c r="FQ10" s="434"/>
      <c r="FR10" s="434"/>
      <c r="FS10" s="434"/>
      <c r="FT10" s="434"/>
      <c r="FU10" s="434"/>
      <c r="FV10" s="434"/>
      <c r="FW10" s="434"/>
      <c r="FX10" s="434"/>
      <c r="FY10" s="434"/>
      <c r="FZ10" s="434"/>
      <c r="GA10" s="434"/>
      <c r="GB10" s="434"/>
      <c r="GC10" s="434"/>
      <c r="GD10" s="434"/>
      <c r="GE10" s="434"/>
      <c r="GF10" s="434"/>
      <c r="GG10" s="434"/>
      <c r="GH10" s="434"/>
      <c r="GI10" s="434"/>
      <c r="GJ10" s="434"/>
      <c r="GK10" s="434"/>
      <c r="GL10" s="434"/>
      <c r="GM10" s="434"/>
      <c r="GN10" s="434"/>
      <c r="GO10" s="434"/>
      <c r="GP10" s="434"/>
      <c r="GQ10" s="434"/>
      <c r="GR10" s="434"/>
      <c r="GS10" s="434"/>
      <c r="GT10" s="434"/>
      <c r="GU10" s="434"/>
      <c r="GV10" s="434"/>
      <c r="GW10" s="434"/>
      <c r="GX10" s="434"/>
      <c r="GY10" s="434"/>
      <c r="GZ10" s="434"/>
      <c r="HA10" s="434"/>
      <c r="HB10" s="434"/>
      <c r="HC10" s="434"/>
      <c r="HD10" s="434"/>
      <c r="HE10" s="434"/>
      <c r="HF10" s="434"/>
      <c r="HG10" s="434"/>
      <c r="HH10" s="434"/>
      <c r="HI10" s="434"/>
      <c r="HJ10" s="434"/>
      <c r="HK10" s="434"/>
      <c r="HL10" s="434"/>
      <c r="HM10" s="434"/>
      <c r="HN10" s="434"/>
      <c r="HO10" s="434"/>
      <c r="HP10" s="434"/>
      <c r="HQ10" s="434"/>
      <c r="HR10" s="434"/>
      <c r="HS10" s="434"/>
      <c r="HT10" s="434"/>
      <c r="HU10" s="434"/>
      <c r="HV10" s="434"/>
      <c r="HW10" s="434"/>
      <c r="HX10" s="434"/>
      <c r="HY10" s="434"/>
      <c r="HZ10" s="434"/>
      <c r="IA10" s="434"/>
      <c r="IB10" s="434"/>
      <c r="IC10" s="434"/>
      <c r="ID10" s="434"/>
      <c r="IE10" s="434"/>
      <c r="IF10" s="434"/>
      <c r="IG10" s="434"/>
      <c r="IH10" s="434"/>
      <c r="II10" s="434"/>
      <c r="IJ10" s="434"/>
      <c r="IK10" s="434"/>
      <c r="IL10" s="434"/>
      <c r="IM10" s="434"/>
      <c r="IN10" s="434"/>
      <c r="IO10" s="434"/>
      <c r="IP10" s="434"/>
      <c r="IQ10" s="434"/>
      <c r="IR10" s="434"/>
      <c r="IS10" s="434"/>
      <c r="IT10" s="434"/>
      <c r="IU10" s="434"/>
      <c r="IV10" s="434"/>
    </row>
    <row r="11" spans="1:256" x14ac:dyDescent="0.2">
      <c r="A11" s="365"/>
      <c r="B11" s="388" t="s">
        <v>1316</v>
      </c>
      <c r="C11" s="377" t="s">
        <v>21</v>
      </c>
      <c r="D11" s="377"/>
      <c r="E11" s="438"/>
      <c r="F11" s="387"/>
      <c r="G11" s="386"/>
      <c r="H11" s="387"/>
      <c r="I11" s="386"/>
      <c r="J11" s="434"/>
      <c r="K11" s="434"/>
      <c r="L11" s="434"/>
      <c r="M11" s="434"/>
      <c r="N11" s="434"/>
      <c r="O11" s="434"/>
      <c r="P11" s="434"/>
      <c r="Q11" s="434"/>
      <c r="R11" s="434"/>
      <c r="S11" s="434"/>
      <c r="T11" s="434"/>
      <c r="U11" s="434"/>
      <c r="V11" s="434"/>
      <c r="W11" s="434"/>
      <c r="X11" s="434"/>
      <c r="Y11" s="434"/>
      <c r="Z11" s="434"/>
      <c r="AA11" s="434"/>
      <c r="AB11" s="434"/>
      <c r="AC11" s="434"/>
      <c r="AD11" s="434"/>
      <c r="AE11" s="434"/>
      <c r="AF11" s="434"/>
      <c r="AG11" s="434"/>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4"/>
      <c r="BD11" s="434"/>
      <c r="BE11" s="434"/>
      <c r="BF11" s="434"/>
      <c r="BG11" s="434"/>
      <c r="BH11" s="434"/>
      <c r="BI11" s="434"/>
      <c r="BJ11" s="434"/>
      <c r="BK11" s="434"/>
      <c r="BL11" s="434"/>
      <c r="BM11" s="434"/>
      <c r="BN11" s="434"/>
      <c r="BO11" s="434"/>
      <c r="BP11" s="434"/>
      <c r="BQ11" s="434"/>
      <c r="BR11" s="434"/>
      <c r="BS11" s="434"/>
      <c r="BT11" s="434"/>
      <c r="BU11" s="434"/>
      <c r="BV11" s="434"/>
      <c r="BW11" s="434"/>
      <c r="BX11" s="434"/>
      <c r="BY11" s="434"/>
      <c r="BZ11" s="434"/>
      <c r="CA11" s="434"/>
      <c r="CB11" s="434"/>
      <c r="CC11" s="434"/>
      <c r="CD11" s="434"/>
      <c r="CE11" s="434"/>
      <c r="CF11" s="434"/>
      <c r="CG11" s="434"/>
      <c r="CH11" s="434"/>
      <c r="CI11" s="434"/>
      <c r="CJ11" s="434"/>
      <c r="CK11" s="434"/>
      <c r="CL11" s="434"/>
      <c r="CM11" s="434"/>
      <c r="CN11" s="434"/>
      <c r="CO11" s="434"/>
      <c r="CP11" s="434"/>
      <c r="CQ11" s="434"/>
      <c r="CR11" s="434"/>
      <c r="CS11" s="434"/>
      <c r="CT11" s="434"/>
      <c r="CU11" s="434"/>
      <c r="CV11" s="434"/>
      <c r="CW11" s="434"/>
      <c r="CX11" s="434"/>
      <c r="CY11" s="434"/>
      <c r="CZ11" s="434"/>
      <c r="DA11" s="434"/>
      <c r="DB11" s="434"/>
      <c r="DC11" s="434"/>
      <c r="DD11" s="434"/>
      <c r="DE11" s="434"/>
      <c r="DF11" s="434"/>
      <c r="DG11" s="434"/>
      <c r="DH11" s="434"/>
      <c r="DI11" s="434"/>
      <c r="DJ11" s="434"/>
      <c r="DK11" s="434"/>
      <c r="DL11" s="434"/>
      <c r="DM11" s="434"/>
      <c r="DN11" s="434"/>
      <c r="DO11" s="434"/>
      <c r="DP11" s="434"/>
      <c r="DQ11" s="434"/>
      <c r="DR11" s="434"/>
      <c r="DS11" s="434"/>
      <c r="DT11" s="434"/>
      <c r="DU11" s="434"/>
      <c r="DV11" s="434"/>
      <c r="DW11" s="434"/>
      <c r="DX11" s="434"/>
      <c r="DY11" s="434"/>
      <c r="DZ11" s="434"/>
      <c r="EA11" s="434"/>
      <c r="EB11" s="434"/>
      <c r="EC11" s="434"/>
      <c r="ED11" s="434"/>
      <c r="EE11" s="434"/>
      <c r="EF11" s="434"/>
      <c r="EG11" s="434"/>
      <c r="EH11" s="434"/>
      <c r="EI11" s="434"/>
      <c r="EJ11" s="434"/>
      <c r="EK11" s="434"/>
      <c r="EL11" s="434"/>
      <c r="EM11" s="434"/>
      <c r="EN11" s="434"/>
      <c r="EO11" s="434"/>
      <c r="EP11" s="434"/>
      <c r="EQ11" s="434"/>
      <c r="ER11" s="434"/>
      <c r="ES11" s="434"/>
      <c r="ET11" s="434"/>
      <c r="EU11" s="434"/>
      <c r="EV11" s="434"/>
      <c r="EW11" s="434"/>
      <c r="EX11" s="434"/>
      <c r="EY11" s="434"/>
      <c r="EZ11" s="434"/>
      <c r="FA11" s="434"/>
      <c r="FB11" s="434"/>
      <c r="FC11" s="434"/>
      <c r="FD11" s="434"/>
      <c r="FE11" s="434"/>
      <c r="FF11" s="434"/>
      <c r="FG11" s="434"/>
      <c r="FH11" s="434"/>
      <c r="FI11" s="434"/>
      <c r="FJ11" s="434"/>
      <c r="FK11" s="434"/>
      <c r="FL11" s="434"/>
      <c r="FM11" s="434"/>
      <c r="FN11" s="434"/>
      <c r="FO11" s="434"/>
      <c r="FP11" s="434"/>
      <c r="FQ11" s="434"/>
      <c r="FR11" s="434"/>
      <c r="FS11" s="434"/>
      <c r="FT11" s="434"/>
      <c r="FU11" s="434"/>
      <c r="FV11" s="434"/>
      <c r="FW11" s="434"/>
      <c r="FX11" s="434"/>
      <c r="FY11" s="434"/>
      <c r="FZ11" s="434"/>
      <c r="GA11" s="434"/>
      <c r="GB11" s="434"/>
      <c r="GC11" s="434"/>
      <c r="GD11" s="434"/>
      <c r="GE11" s="434"/>
      <c r="GF11" s="434"/>
      <c r="GG11" s="434"/>
      <c r="GH11" s="434"/>
      <c r="GI11" s="434"/>
      <c r="GJ11" s="434"/>
      <c r="GK11" s="434"/>
      <c r="GL11" s="434"/>
      <c r="GM11" s="434"/>
      <c r="GN11" s="434"/>
      <c r="GO11" s="434"/>
      <c r="GP11" s="434"/>
      <c r="GQ11" s="434"/>
      <c r="GR11" s="434"/>
      <c r="GS11" s="434"/>
      <c r="GT11" s="434"/>
      <c r="GU11" s="434"/>
      <c r="GV11" s="434"/>
      <c r="GW11" s="434"/>
      <c r="GX11" s="434"/>
      <c r="GY11" s="434"/>
      <c r="GZ11" s="434"/>
      <c r="HA11" s="434"/>
      <c r="HB11" s="434"/>
      <c r="HC11" s="434"/>
      <c r="HD11" s="434"/>
      <c r="HE11" s="434"/>
      <c r="HF11" s="434"/>
      <c r="HG11" s="434"/>
      <c r="HH11" s="434"/>
      <c r="HI11" s="434"/>
      <c r="HJ11" s="434"/>
      <c r="HK11" s="434"/>
      <c r="HL11" s="434"/>
      <c r="HM11" s="434"/>
      <c r="HN11" s="434"/>
      <c r="HO11" s="434"/>
      <c r="HP11" s="434"/>
      <c r="HQ11" s="434"/>
      <c r="HR11" s="434"/>
      <c r="HS11" s="434"/>
      <c r="HT11" s="434"/>
      <c r="HU11" s="434"/>
      <c r="HV11" s="434"/>
      <c r="HW11" s="434"/>
      <c r="HX11" s="434"/>
      <c r="HY11" s="434"/>
      <c r="HZ11" s="434"/>
      <c r="IA11" s="434"/>
      <c r="IB11" s="434"/>
      <c r="IC11" s="434"/>
      <c r="ID11" s="434"/>
      <c r="IE11" s="434"/>
      <c r="IF11" s="434"/>
      <c r="IG11" s="434"/>
      <c r="IH11" s="434"/>
      <c r="II11" s="434"/>
      <c r="IJ11" s="434"/>
      <c r="IK11" s="434"/>
      <c r="IL11" s="434"/>
      <c r="IM11" s="434"/>
      <c r="IN11" s="434"/>
      <c r="IO11" s="434"/>
      <c r="IP11" s="434"/>
      <c r="IQ11" s="434"/>
      <c r="IR11" s="434"/>
      <c r="IS11" s="434"/>
      <c r="IT11" s="434"/>
      <c r="IU11" s="434"/>
      <c r="IV11" s="434"/>
    </row>
    <row r="12" spans="1:256" x14ac:dyDescent="0.2">
      <c r="A12" s="365"/>
      <c r="B12" s="388" t="s">
        <v>1317</v>
      </c>
      <c r="C12" s="377"/>
      <c r="D12" s="377"/>
      <c r="E12" s="389"/>
      <c r="F12" s="387"/>
      <c r="G12" s="386"/>
      <c r="H12" s="387"/>
      <c r="I12" s="386"/>
      <c r="J12" s="434"/>
      <c r="K12" s="434"/>
      <c r="L12" s="434"/>
      <c r="M12" s="434"/>
      <c r="N12" s="434"/>
      <c r="O12" s="434"/>
      <c r="P12" s="434"/>
      <c r="Q12" s="434"/>
      <c r="R12" s="434"/>
      <c r="S12" s="434"/>
      <c r="T12" s="434"/>
      <c r="U12" s="434"/>
      <c r="V12" s="434"/>
      <c r="W12" s="434"/>
      <c r="X12" s="434"/>
      <c r="Y12" s="434"/>
      <c r="Z12" s="434"/>
      <c r="AA12" s="434"/>
      <c r="AB12" s="434"/>
      <c r="AC12" s="434"/>
      <c r="AD12" s="434"/>
      <c r="AE12" s="434"/>
      <c r="AF12" s="434"/>
      <c r="AG12" s="434"/>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4"/>
      <c r="BD12" s="434"/>
      <c r="BE12" s="434"/>
      <c r="BF12" s="434"/>
      <c r="BG12" s="434"/>
      <c r="BH12" s="434"/>
      <c r="BI12" s="434"/>
      <c r="BJ12" s="434"/>
      <c r="BK12" s="434"/>
      <c r="BL12" s="434"/>
      <c r="BM12" s="434"/>
      <c r="BN12" s="434"/>
      <c r="BO12" s="434"/>
      <c r="BP12" s="434"/>
      <c r="BQ12" s="434"/>
      <c r="BR12" s="434"/>
      <c r="BS12" s="434"/>
      <c r="BT12" s="434"/>
      <c r="BU12" s="434"/>
      <c r="BV12" s="434"/>
      <c r="BW12" s="434"/>
      <c r="BX12" s="434"/>
      <c r="BY12" s="434"/>
      <c r="BZ12" s="434"/>
      <c r="CA12" s="434"/>
      <c r="CB12" s="434"/>
      <c r="CC12" s="434"/>
      <c r="CD12" s="434"/>
      <c r="CE12" s="434"/>
      <c r="CF12" s="434"/>
      <c r="CG12" s="434"/>
      <c r="CH12" s="434"/>
      <c r="CI12" s="434"/>
      <c r="CJ12" s="434"/>
      <c r="CK12" s="434"/>
      <c r="CL12" s="434"/>
      <c r="CM12" s="434"/>
      <c r="CN12" s="434"/>
      <c r="CO12" s="434"/>
      <c r="CP12" s="434"/>
      <c r="CQ12" s="434"/>
      <c r="CR12" s="434"/>
      <c r="CS12" s="434"/>
      <c r="CT12" s="434"/>
      <c r="CU12" s="434"/>
      <c r="CV12" s="434"/>
      <c r="CW12" s="434"/>
      <c r="CX12" s="434"/>
      <c r="CY12" s="434"/>
      <c r="CZ12" s="434"/>
      <c r="DA12" s="434"/>
      <c r="DB12" s="434"/>
      <c r="DC12" s="434"/>
      <c r="DD12" s="434"/>
      <c r="DE12" s="434"/>
      <c r="DF12" s="434"/>
      <c r="DG12" s="434"/>
      <c r="DH12" s="434"/>
      <c r="DI12" s="434"/>
      <c r="DJ12" s="434"/>
      <c r="DK12" s="434"/>
      <c r="DL12" s="434"/>
      <c r="DM12" s="434"/>
      <c r="DN12" s="434"/>
      <c r="DO12" s="434"/>
      <c r="DP12" s="434"/>
      <c r="DQ12" s="434"/>
      <c r="DR12" s="434"/>
      <c r="DS12" s="434"/>
      <c r="DT12" s="434"/>
      <c r="DU12" s="434"/>
      <c r="DV12" s="434"/>
      <c r="DW12" s="434"/>
      <c r="DX12" s="434"/>
      <c r="DY12" s="434"/>
      <c r="DZ12" s="434"/>
      <c r="EA12" s="434"/>
      <c r="EB12" s="434"/>
      <c r="EC12" s="434"/>
      <c r="ED12" s="434"/>
      <c r="EE12" s="434"/>
      <c r="EF12" s="434"/>
      <c r="EG12" s="434"/>
      <c r="EH12" s="434"/>
      <c r="EI12" s="434"/>
      <c r="EJ12" s="434"/>
      <c r="EK12" s="434"/>
      <c r="EL12" s="434"/>
      <c r="EM12" s="434"/>
      <c r="EN12" s="434"/>
      <c r="EO12" s="434"/>
      <c r="EP12" s="434"/>
      <c r="EQ12" s="434"/>
      <c r="ER12" s="434"/>
      <c r="ES12" s="434"/>
      <c r="ET12" s="434"/>
      <c r="EU12" s="434"/>
      <c r="EV12" s="434"/>
      <c r="EW12" s="434"/>
      <c r="EX12" s="434"/>
      <c r="EY12" s="434"/>
      <c r="EZ12" s="434"/>
      <c r="FA12" s="434"/>
      <c r="FB12" s="434"/>
      <c r="FC12" s="434"/>
      <c r="FD12" s="434"/>
      <c r="FE12" s="434"/>
      <c r="FF12" s="434"/>
      <c r="FG12" s="434"/>
      <c r="FH12" s="434"/>
      <c r="FI12" s="434"/>
      <c r="FJ12" s="434"/>
      <c r="FK12" s="434"/>
      <c r="FL12" s="434"/>
      <c r="FM12" s="434"/>
      <c r="FN12" s="434"/>
      <c r="FO12" s="434"/>
      <c r="FP12" s="434"/>
      <c r="FQ12" s="434"/>
      <c r="FR12" s="434"/>
      <c r="FS12" s="434"/>
      <c r="FT12" s="434"/>
      <c r="FU12" s="434"/>
      <c r="FV12" s="434"/>
      <c r="FW12" s="434"/>
      <c r="FX12" s="434"/>
      <c r="FY12" s="434"/>
      <c r="FZ12" s="434"/>
      <c r="GA12" s="434"/>
      <c r="GB12" s="434"/>
      <c r="GC12" s="434"/>
      <c r="GD12" s="434"/>
      <c r="GE12" s="434"/>
      <c r="GF12" s="434"/>
      <c r="GG12" s="434"/>
      <c r="GH12" s="434"/>
      <c r="GI12" s="434"/>
      <c r="GJ12" s="434"/>
      <c r="GK12" s="434"/>
      <c r="GL12" s="434"/>
      <c r="GM12" s="434"/>
      <c r="GN12" s="434"/>
      <c r="GO12" s="434"/>
      <c r="GP12" s="434"/>
      <c r="GQ12" s="434"/>
      <c r="GR12" s="434"/>
      <c r="GS12" s="434"/>
      <c r="GT12" s="434"/>
      <c r="GU12" s="434"/>
      <c r="GV12" s="434"/>
      <c r="GW12" s="434"/>
      <c r="GX12" s="434"/>
      <c r="GY12" s="434"/>
      <c r="GZ12" s="434"/>
      <c r="HA12" s="434"/>
      <c r="HB12" s="434"/>
      <c r="HC12" s="434"/>
      <c r="HD12" s="434"/>
      <c r="HE12" s="434"/>
      <c r="HF12" s="434"/>
      <c r="HG12" s="434"/>
      <c r="HH12" s="434"/>
      <c r="HI12" s="434"/>
      <c r="HJ12" s="434"/>
      <c r="HK12" s="434"/>
      <c r="HL12" s="434"/>
      <c r="HM12" s="434"/>
      <c r="HN12" s="434"/>
      <c r="HO12" s="434"/>
      <c r="HP12" s="434"/>
      <c r="HQ12" s="434"/>
      <c r="HR12" s="434"/>
      <c r="HS12" s="434"/>
      <c r="HT12" s="434"/>
      <c r="HU12" s="434"/>
      <c r="HV12" s="434"/>
      <c r="HW12" s="434"/>
      <c r="HX12" s="434"/>
      <c r="HY12" s="434"/>
      <c r="HZ12" s="434"/>
      <c r="IA12" s="434"/>
      <c r="IB12" s="434"/>
      <c r="IC12" s="434"/>
      <c r="ID12" s="434"/>
      <c r="IE12" s="434"/>
      <c r="IF12" s="434"/>
      <c r="IG12" s="434"/>
      <c r="IH12" s="434"/>
      <c r="II12" s="434"/>
      <c r="IJ12" s="434"/>
      <c r="IK12" s="434"/>
      <c r="IL12" s="434"/>
      <c r="IM12" s="434"/>
      <c r="IN12" s="434"/>
      <c r="IO12" s="434"/>
      <c r="IP12" s="434"/>
      <c r="IQ12" s="434"/>
      <c r="IR12" s="434"/>
      <c r="IS12" s="434"/>
      <c r="IT12" s="434"/>
      <c r="IU12" s="434"/>
      <c r="IV12" s="434"/>
    </row>
    <row r="13" spans="1:256" x14ac:dyDescent="0.2">
      <c r="A13" s="365"/>
      <c r="B13" s="390" t="s">
        <v>15</v>
      </c>
      <c r="C13" s="368"/>
      <c r="D13" s="368"/>
      <c r="E13" s="372"/>
      <c r="F13" s="368"/>
      <c r="G13" s="390"/>
      <c r="H13" s="370"/>
      <c r="I13" s="370"/>
      <c r="J13" s="434"/>
      <c r="K13" s="434"/>
      <c r="L13" s="434"/>
      <c r="M13" s="434"/>
      <c r="N13" s="434"/>
      <c r="O13" s="434"/>
      <c r="P13" s="434"/>
      <c r="Q13" s="434"/>
      <c r="R13" s="434"/>
      <c r="S13" s="434"/>
      <c r="T13" s="434"/>
      <c r="U13" s="434"/>
      <c r="V13" s="434"/>
      <c r="W13" s="434"/>
      <c r="X13" s="434"/>
      <c r="Y13" s="434"/>
      <c r="Z13" s="434"/>
      <c r="AA13" s="434"/>
      <c r="AB13" s="434"/>
      <c r="AC13" s="434"/>
      <c r="AD13" s="434"/>
      <c r="AE13" s="434"/>
      <c r="AF13" s="434"/>
      <c r="AG13" s="434"/>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4"/>
      <c r="BD13" s="434"/>
      <c r="BE13" s="434"/>
      <c r="BF13" s="434"/>
      <c r="BG13" s="434"/>
      <c r="BH13" s="434"/>
      <c r="BI13" s="434"/>
      <c r="BJ13" s="434"/>
      <c r="BK13" s="434"/>
      <c r="BL13" s="434"/>
      <c r="BM13" s="434"/>
      <c r="BN13" s="434"/>
      <c r="BO13" s="434"/>
      <c r="BP13" s="434"/>
      <c r="BQ13" s="434"/>
      <c r="BR13" s="434"/>
      <c r="BS13" s="434"/>
      <c r="BT13" s="434"/>
      <c r="BU13" s="434"/>
      <c r="BV13" s="434"/>
      <c r="BW13" s="434"/>
      <c r="BX13" s="434"/>
      <c r="BY13" s="434"/>
      <c r="BZ13" s="434"/>
      <c r="CA13" s="434"/>
      <c r="CB13" s="434"/>
      <c r="CC13" s="434"/>
      <c r="CD13" s="434"/>
      <c r="CE13" s="434"/>
      <c r="CF13" s="434"/>
      <c r="CG13" s="434"/>
      <c r="CH13" s="434"/>
      <c r="CI13" s="434"/>
      <c r="CJ13" s="434"/>
      <c r="CK13" s="434"/>
      <c r="CL13" s="434"/>
      <c r="CM13" s="434"/>
      <c r="CN13" s="434"/>
      <c r="CO13" s="434"/>
      <c r="CP13" s="434"/>
      <c r="CQ13" s="434"/>
      <c r="CR13" s="434"/>
      <c r="CS13" s="434"/>
      <c r="CT13" s="434"/>
      <c r="CU13" s="434"/>
      <c r="CV13" s="434"/>
      <c r="CW13" s="434"/>
      <c r="CX13" s="434"/>
      <c r="CY13" s="434"/>
      <c r="CZ13" s="434"/>
      <c r="DA13" s="434"/>
      <c r="DB13" s="434"/>
      <c r="DC13" s="434"/>
      <c r="DD13" s="434"/>
      <c r="DE13" s="434"/>
      <c r="DF13" s="434"/>
      <c r="DG13" s="434"/>
      <c r="DH13" s="434"/>
      <c r="DI13" s="434"/>
      <c r="DJ13" s="434"/>
      <c r="DK13" s="434"/>
      <c r="DL13" s="434"/>
      <c r="DM13" s="434"/>
      <c r="DN13" s="434"/>
      <c r="DO13" s="434"/>
      <c r="DP13" s="434"/>
      <c r="DQ13" s="434"/>
      <c r="DR13" s="434"/>
      <c r="DS13" s="434"/>
      <c r="DT13" s="434"/>
      <c r="DU13" s="434"/>
      <c r="DV13" s="434"/>
      <c r="DW13" s="434"/>
      <c r="DX13" s="434"/>
      <c r="DY13" s="434"/>
      <c r="DZ13" s="434"/>
      <c r="EA13" s="434"/>
      <c r="EB13" s="434"/>
      <c r="EC13" s="434"/>
      <c r="ED13" s="434"/>
      <c r="EE13" s="434"/>
      <c r="EF13" s="434"/>
      <c r="EG13" s="434"/>
      <c r="EH13" s="434"/>
      <c r="EI13" s="434"/>
      <c r="EJ13" s="434"/>
      <c r="EK13" s="434"/>
      <c r="EL13" s="434"/>
      <c r="EM13" s="434"/>
      <c r="EN13" s="434"/>
      <c r="EO13" s="434"/>
      <c r="EP13" s="434"/>
      <c r="EQ13" s="434"/>
      <c r="ER13" s="434"/>
      <c r="ES13" s="434"/>
      <c r="ET13" s="434"/>
      <c r="EU13" s="434"/>
      <c r="EV13" s="434"/>
      <c r="EW13" s="434"/>
      <c r="EX13" s="434"/>
      <c r="EY13" s="434"/>
      <c r="EZ13" s="434"/>
      <c r="FA13" s="434"/>
      <c r="FB13" s="434"/>
      <c r="FC13" s="434"/>
      <c r="FD13" s="434"/>
      <c r="FE13" s="434"/>
      <c r="FF13" s="434"/>
      <c r="FG13" s="434"/>
      <c r="FH13" s="434"/>
      <c r="FI13" s="434"/>
      <c r="FJ13" s="434"/>
      <c r="FK13" s="434"/>
      <c r="FL13" s="434"/>
      <c r="FM13" s="434"/>
      <c r="FN13" s="434"/>
      <c r="FO13" s="434"/>
      <c r="FP13" s="434"/>
      <c r="FQ13" s="434"/>
      <c r="FR13" s="434"/>
      <c r="FS13" s="434"/>
      <c r="FT13" s="434"/>
      <c r="FU13" s="434"/>
      <c r="FV13" s="434"/>
      <c r="FW13" s="434"/>
      <c r="FX13" s="434"/>
      <c r="FY13" s="434"/>
      <c r="FZ13" s="434"/>
      <c r="GA13" s="434"/>
      <c r="GB13" s="434"/>
      <c r="GC13" s="434"/>
      <c r="GD13" s="434"/>
      <c r="GE13" s="434"/>
      <c r="GF13" s="434"/>
      <c r="GG13" s="434"/>
      <c r="GH13" s="434"/>
      <c r="GI13" s="434"/>
      <c r="GJ13" s="434"/>
      <c r="GK13" s="434"/>
      <c r="GL13" s="434"/>
      <c r="GM13" s="434"/>
      <c r="GN13" s="434"/>
      <c r="GO13" s="434"/>
      <c r="GP13" s="434"/>
      <c r="GQ13" s="434"/>
      <c r="GR13" s="434"/>
      <c r="GS13" s="434"/>
      <c r="GT13" s="434"/>
      <c r="GU13" s="434"/>
      <c r="GV13" s="434"/>
      <c r="GW13" s="434"/>
      <c r="GX13" s="434"/>
      <c r="GY13" s="434"/>
      <c r="GZ13" s="434"/>
      <c r="HA13" s="434"/>
      <c r="HB13" s="434"/>
      <c r="HC13" s="434"/>
      <c r="HD13" s="434"/>
      <c r="HE13" s="434"/>
      <c r="HF13" s="434"/>
      <c r="HG13" s="434"/>
      <c r="HH13" s="434"/>
      <c r="HI13" s="434"/>
      <c r="HJ13" s="434"/>
      <c r="HK13" s="434"/>
      <c r="HL13" s="434"/>
      <c r="HM13" s="434"/>
      <c r="HN13" s="434"/>
      <c r="HO13" s="434"/>
      <c r="HP13" s="434"/>
      <c r="HQ13" s="434"/>
      <c r="HR13" s="434"/>
      <c r="HS13" s="434"/>
      <c r="HT13" s="434"/>
      <c r="HU13" s="434"/>
      <c r="HV13" s="434"/>
      <c r="HW13" s="434"/>
      <c r="HX13" s="434"/>
      <c r="HY13" s="434"/>
      <c r="HZ13" s="434"/>
      <c r="IA13" s="434"/>
      <c r="IB13" s="434"/>
      <c r="IC13" s="434"/>
      <c r="ID13" s="434"/>
      <c r="IE13" s="434"/>
      <c r="IF13" s="434"/>
      <c r="IG13" s="434"/>
      <c r="IH13" s="434"/>
      <c r="II13" s="434"/>
      <c r="IJ13" s="434"/>
      <c r="IK13" s="434"/>
      <c r="IL13" s="434"/>
      <c r="IM13" s="434"/>
      <c r="IN13" s="434"/>
      <c r="IO13" s="434"/>
      <c r="IP13" s="434"/>
      <c r="IQ13" s="434"/>
      <c r="IR13" s="434"/>
      <c r="IS13" s="434"/>
      <c r="IT13" s="434"/>
      <c r="IU13" s="434"/>
      <c r="IV13" s="434"/>
    </row>
    <row r="14" spans="1:256" ht="70.5" customHeight="1" x14ac:dyDescent="0.2">
      <c r="A14" s="439" t="s">
        <v>1318</v>
      </c>
      <c r="B14" s="440" t="s">
        <v>1319</v>
      </c>
      <c r="C14" s="440" t="s">
        <v>1320</v>
      </c>
      <c r="D14" s="440" t="s">
        <v>1520</v>
      </c>
      <c r="E14" s="441" t="s">
        <v>13</v>
      </c>
      <c r="F14" s="442"/>
      <c r="G14" s="442"/>
      <c r="H14" s="442"/>
      <c r="I14" s="442"/>
      <c r="J14" s="442"/>
      <c r="K14" s="442"/>
      <c r="L14" s="442"/>
      <c r="M14" s="442"/>
      <c r="N14" s="442"/>
      <c r="O14" s="442"/>
      <c r="P14" s="442"/>
      <c r="Q14" s="442"/>
      <c r="R14" s="442"/>
      <c r="S14" s="442"/>
      <c r="T14" s="442"/>
      <c r="U14" s="442"/>
      <c r="V14" s="442"/>
      <c r="W14" s="442"/>
      <c r="X14" s="442"/>
      <c r="Y14" s="442"/>
      <c r="Z14" s="442"/>
      <c r="AA14" s="442"/>
      <c r="AB14" s="442"/>
      <c r="AC14" s="442"/>
      <c r="AD14" s="442"/>
      <c r="AE14" s="442"/>
      <c r="AF14" s="442"/>
      <c r="AG14" s="442"/>
      <c r="AH14" s="442"/>
      <c r="AI14" s="442"/>
      <c r="AJ14" s="442"/>
      <c r="AK14" s="442"/>
      <c r="AL14" s="442"/>
      <c r="AM14" s="442"/>
      <c r="AN14" s="442"/>
      <c r="AO14" s="442"/>
      <c r="AP14" s="442"/>
      <c r="AQ14" s="442"/>
      <c r="AR14" s="442"/>
      <c r="AS14" s="442"/>
      <c r="AT14" s="442"/>
      <c r="AU14" s="442"/>
      <c r="AV14" s="442"/>
      <c r="AW14" s="442"/>
      <c r="AX14" s="442"/>
      <c r="AY14" s="442"/>
      <c r="AZ14" s="442"/>
      <c r="BA14" s="442"/>
      <c r="BB14" s="442"/>
      <c r="BC14" s="442"/>
      <c r="BD14" s="442"/>
      <c r="BE14" s="442"/>
      <c r="BF14" s="442"/>
      <c r="BG14" s="442"/>
      <c r="BH14" s="442"/>
      <c r="BI14" s="442"/>
      <c r="BJ14" s="442"/>
      <c r="BK14" s="442"/>
      <c r="BL14" s="442"/>
      <c r="BM14" s="442"/>
      <c r="BN14" s="442"/>
      <c r="BO14" s="442"/>
      <c r="BP14" s="442"/>
      <c r="BQ14" s="442"/>
      <c r="BR14" s="442"/>
      <c r="BS14" s="442"/>
      <c r="BT14" s="442"/>
      <c r="BU14" s="442"/>
      <c r="BV14" s="442"/>
      <c r="BW14" s="442"/>
      <c r="BX14" s="442"/>
      <c r="BY14" s="442"/>
      <c r="BZ14" s="442"/>
      <c r="CA14" s="442"/>
      <c r="CB14" s="442"/>
      <c r="CC14" s="442"/>
      <c r="CD14" s="442"/>
      <c r="CE14" s="442"/>
      <c r="CF14" s="442"/>
      <c r="CG14" s="442"/>
      <c r="CH14" s="442"/>
      <c r="CI14" s="442"/>
      <c r="CJ14" s="442"/>
      <c r="CK14" s="442"/>
      <c r="CL14" s="442"/>
      <c r="CM14" s="442"/>
      <c r="CN14" s="442"/>
      <c r="CO14" s="442"/>
      <c r="CP14" s="442"/>
      <c r="CQ14" s="442"/>
      <c r="CR14" s="442"/>
      <c r="CS14" s="442"/>
      <c r="CT14" s="442"/>
      <c r="CU14" s="442"/>
      <c r="CV14" s="442"/>
      <c r="CW14" s="442"/>
      <c r="CX14" s="442"/>
      <c r="CY14" s="442"/>
      <c r="CZ14" s="442"/>
      <c r="DA14" s="442"/>
      <c r="DB14" s="442"/>
      <c r="DC14" s="442"/>
      <c r="DD14" s="442"/>
      <c r="DE14" s="442"/>
      <c r="DF14" s="442"/>
      <c r="DG14" s="442"/>
      <c r="DH14" s="442"/>
      <c r="DI14" s="442"/>
      <c r="DJ14" s="442"/>
      <c r="DK14" s="442"/>
      <c r="DL14" s="442"/>
      <c r="DM14" s="442"/>
      <c r="DN14" s="442"/>
      <c r="DO14" s="442"/>
      <c r="DP14" s="442"/>
      <c r="DQ14" s="442"/>
      <c r="DR14" s="442"/>
      <c r="DS14" s="442"/>
      <c r="DT14" s="442"/>
      <c r="DU14" s="442"/>
      <c r="DV14" s="442"/>
      <c r="DW14" s="442"/>
      <c r="DX14" s="442"/>
      <c r="DY14" s="442"/>
      <c r="DZ14" s="442"/>
      <c r="EA14" s="442"/>
      <c r="EB14" s="442"/>
      <c r="EC14" s="442"/>
      <c r="ED14" s="442"/>
      <c r="EE14" s="442"/>
      <c r="EF14" s="442"/>
      <c r="EG14" s="442"/>
      <c r="EH14" s="442"/>
      <c r="EI14" s="442"/>
      <c r="EJ14" s="442"/>
      <c r="EK14" s="442"/>
      <c r="EL14" s="442"/>
      <c r="EM14" s="442"/>
      <c r="EN14" s="442"/>
      <c r="EO14" s="442"/>
      <c r="EP14" s="442"/>
      <c r="EQ14" s="442"/>
      <c r="ER14" s="442"/>
      <c r="ES14" s="442"/>
      <c r="ET14" s="442"/>
      <c r="EU14" s="442"/>
      <c r="EV14" s="442"/>
      <c r="EW14" s="442"/>
      <c r="EX14" s="442"/>
      <c r="EY14" s="442"/>
      <c r="EZ14" s="442"/>
      <c r="FA14" s="442"/>
      <c r="FB14" s="442"/>
      <c r="FC14" s="442"/>
      <c r="FD14" s="442"/>
      <c r="FE14" s="442"/>
      <c r="FF14" s="442"/>
      <c r="FG14" s="442"/>
      <c r="FH14" s="442"/>
      <c r="FI14" s="442"/>
      <c r="FJ14" s="442"/>
      <c r="FK14" s="442"/>
      <c r="FL14" s="442"/>
      <c r="FM14" s="442"/>
      <c r="FN14" s="442"/>
      <c r="FO14" s="442"/>
      <c r="FP14" s="442"/>
      <c r="FQ14" s="442"/>
      <c r="FR14" s="442"/>
      <c r="FS14" s="442"/>
      <c r="FT14" s="442"/>
      <c r="FU14" s="442"/>
      <c r="FV14" s="442"/>
      <c r="FW14" s="442"/>
      <c r="FX14" s="442"/>
      <c r="FY14" s="442"/>
      <c r="FZ14" s="442"/>
      <c r="GA14" s="442"/>
      <c r="GB14" s="442"/>
      <c r="GC14" s="442"/>
      <c r="GD14" s="442"/>
      <c r="GE14" s="442"/>
      <c r="GF14" s="442"/>
      <c r="GG14" s="442"/>
      <c r="GH14" s="442"/>
      <c r="GI14" s="442"/>
      <c r="GJ14" s="442"/>
      <c r="GK14" s="442"/>
      <c r="GL14" s="442"/>
      <c r="GM14" s="442"/>
      <c r="GN14" s="442"/>
      <c r="GO14" s="442"/>
      <c r="GP14" s="442"/>
      <c r="GQ14" s="442"/>
      <c r="GR14" s="442"/>
      <c r="GS14" s="442"/>
      <c r="GT14" s="442"/>
      <c r="GU14" s="442"/>
      <c r="GV14" s="442"/>
      <c r="GW14" s="442"/>
      <c r="GX14" s="442"/>
      <c r="GY14" s="442"/>
      <c r="GZ14" s="442"/>
      <c r="HA14" s="442"/>
      <c r="HB14" s="442"/>
      <c r="HC14" s="442"/>
      <c r="HD14" s="442"/>
      <c r="HE14" s="442"/>
      <c r="HF14" s="442"/>
      <c r="HG14" s="442"/>
      <c r="HH14" s="442"/>
      <c r="HI14" s="442"/>
      <c r="HJ14" s="442"/>
      <c r="HK14" s="442"/>
      <c r="HL14" s="442"/>
      <c r="HM14" s="442"/>
      <c r="HN14" s="442"/>
      <c r="HO14" s="442"/>
      <c r="HP14" s="442"/>
      <c r="HQ14" s="442"/>
      <c r="HR14" s="442"/>
      <c r="HS14" s="442"/>
      <c r="HT14" s="442"/>
      <c r="HU14" s="442"/>
      <c r="HV14" s="442"/>
      <c r="HW14" s="442"/>
      <c r="HX14" s="442"/>
      <c r="HY14" s="442"/>
      <c r="HZ14" s="442"/>
      <c r="IA14" s="442"/>
      <c r="IB14" s="442"/>
      <c r="IC14" s="442"/>
      <c r="ID14" s="442"/>
      <c r="IE14" s="442"/>
      <c r="IF14" s="442"/>
      <c r="IG14" s="442"/>
      <c r="IH14" s="442"/>
      <c r="II14" s="442"/>
      <c r="IJ14" s="442"/>
      <c r="IK14" s="442"/>
      <c r="IL14" s="442"/>
      <c r="IM14" s="442"/>
      <c r="IN14" s="442"/>
      <c r="IO14" s="442"/>
      <c r="IP14" s="442"/>
      <c r="IQ14" s="442"/>
      <c r="IR14" s="442"/>
      <c r="IS14" s="442"/>
      <c r="IT14" s="442"/>
      <c r="IU14" s="442"/>
      <c r="IV14" s="442"/>
    </row>
    <row r="15" spans="1:256" x14ac:dyDescent="0.2">
      <c r="A15" s="443">
        <v>1</v>
      </c>
      <c r="B15" s="443">
        <v>2</v>
      </c>
      <c r="C15" s="443">
        <v>3</v>
      </c>
      <c r="D15" s="443">
        <v>4</v>
      </c>
      <c r="E15" s="444">
        <v>5</v>
      </c>
      <c r="F15" s="442"/>
      <c r="G15" s="442"/>
      <c r="H15" s="442"/>
      <c r="I15" s="442"/>
      <c r="J15" s="442"/>
      <c r="K15" s="442"/>
      <c r="L15" s="442"/>
      <c r="M15" s="442"/>
      <c r="N15" s="442"/>
      <c r="O15" s="442"/>
      <c r="P15" s="442"/>
      <c r="Q15" s="442"/>
      <c r="R15" s="442"/>
      <c r="S15" s="442"/>
      <c r="T15" s="442"/>
      <c r="U15" s="442"/>
      <c r="V15" s="442"/>
      <c r="W15" s="442"/>
      <c r="X15" s="442"/>
      <c r="Y15" s="442"/>
      <c r="Z15" s="442"/>
      <c r="AA15" s="442"/>
      <c r="AB15" s="442"/>
      <c r="AC15" s="442"/>
      <c r="AD15" s="442"/>
      <c r="AE15" s="442"/>
      <c r="AF15" s="442"/>
      <c r="AG15" s="442"/>
      <c r="AH15" s="442"/>
      <c r="AI15" s="442"/>
      <c r="AJ15" s="442"/>
      <c r="AK15" s="442"/>
      <c r="AL15" s="442"/>
      <c r="AM15" s="442"/>
      <c r="AN15" s="442"/>
      <c r="AO15" s="442"/>
      <c r="AP15" s="442"/>
      <c r="AQ15" s="442"/>
      <c r="AR15" s="442"/>
      <c r="AS15" s="442"/>
      <c r="AT15" s="442"/>
      <c r="AU15" s="442"/>
      <c r="AV15" s="442"/>
      <c r="AW15" s="442"/>
      <c r="AX15" s="442"/>
      <c r="AY15" s="442"/>
      <c r="AZ15" s="442"/>
      <c r="BA15" s="442"/>
      <c r="BB15" s="442"/>
      <c r="BC15" s="442"/>
      <c r="BD15" s="442"/>
      <c r="BE15" s="442"/>
      <c r="BF15" s="442"/>
      <c r="BG15" s="442"/>
      <c r="BH15" s="442"/>
      <c r="BI15" s="442"/>
      <c r="BJ15" s="442"/>
      <c r="BK15" s="442"/>
      <c r="BL15" s="442"/>
      <c r="BM15" s="442"/>
      <c r="BN15" s="442"/>
      <c r="BO15" s="442"/>
      <c r="BP15" s="442"/>
      <c r="BQ15" s="442"/>
      <c r="BR15" s="442"/>
      <c r="BS15" s="442"/>
      <c r="BT15" s="442"/>
      <c r="BU15" s="442"/>
      <c r="BV15" s="442"/>
      <c r="BW15" s="442"/>
      <c r="BX15" s="442"/>
      <c r="BY15" s="442"/>
      <c r="BZ15" s="442"/>
      <c r="CA15" s="442"/>
      <c r="CB15" s="442"/>
      <c r="CC15" s="442"/>
      <c r="CD15" s="442"/>
      <c r="CE15" s="442"/>
      <c r="CF15" s="442"/>
      <c r="CG15" s="442"/>
      <c r="CH15" s="442"/>
      <c r="CI15" s="442"/>
      <c r="CJ15" s="442"/>
      <c r="CK15" s="442"/>
      <c r="CL15" s="442"/>
      <c r="CM15" s="442"/>
      <c r="CN15" s="442"/>
      <c r="CO15" s="442"/>
      <c r="CP15" s="442"/>
      <c r="CQ15" s="442"/>
      <c r="CR15" s="442"/>
      <c r="CS15" s="442"/>
      <c r="CT15" s="442"/>
      <c r="CU15" s="442"/>
      <c r="CV15" s="442"/>
      <c r="CW15" s="442"/>
      <c r="CX15" s="442"/>
      <c r="CY15" s="442"/>
      <c r="CZ15" s="442"/>
      <c r="DA15" s="442"/>
      <c r="DB15" s="442"/>
      <c r="DC15" s="442"/>
      <c r="DD15" s="442"/>
      <c r="DE15" s="442"/>
      <c r="DF15" s="442"/>
      <c r="DG15" s="442"/>
      <c r="DH15" s="442"/>
      <c r="DI15" s="442"/>
      <c r="DJ15" s="442"/>
      <c r="DK15" s="442"/>
      <c r="DL15" s="442"/>
      <c r="DM15" s="442"/>
      <c r="DN15" s="442"/>
      <c r="DO15" s="442"/>
      <c r="DP15" s="442"/>
      <c r="DQ15" s="442"/>
      <c r="DR15" s="442"/>
      <c r="DS15" s="442"/>
      <c r="DT15" s="442"/>
      <c r="DU15" s="442"/>
      <c r="DV15" s="442"/>
      <c r="DW15" s="442"/>
      <c r="DX15" s="442"/>
      <c r="DY15" s="442"/>
      <c r="DZ15" s="442"/>
      <c r="EA15" s="442"/>
      <c r="EB15" s="442"/>
      <c r="EC15" s="442"/>
      <c r="ED15" s="442"/>
      <c r="EE15" s="442"/>
      <c r="EF15" s="442"/>
      <c r="EG15" s="442"/>
      <c r="EH15" s="442"/>
      <c r="EI15" s="442"/>
      <c r="EJ15" s="442"/>
      <c r="EK15" s="442"/>
      <c r="EL15" s="442"/>
      <c r="EM15" s="442"/>
      <c r="EN15" s="442"/>
      <c r="EO15" s="442"/>
      <c r="EP15" s="442"/>
      <c r="EQ15" s="442"/>
      <c r="ER15" s="442"/>
      <c r="ES15" s="442"/>
      <c r="ET15" s="442"/>
      <c r="EU15" s="442"/>
      <c r="EV15" s="442"/>
      <c r="EW15" s="442"/>
      <c r="EX15" s="442"/>
      <c r="EY15" s="442"/>
      <c r="EZ15" s="442"/>
      <c r="FA15" s="442"/>
      <c r="FB15" s="442"/>
      <c r="FC15" s="442"/>
      <c r="FD15" s="442"/>
      <c r="FE15" s="442"/>
      <c r="FF15" s="442"/>
      <c r="FG15" s="442"/>
      <c r="FH15" s="442"/>
      <c r="FI15" s="442"/>
      <c r="FJ15" s="442"/>
      <c r="FK15" s="442"/>
      <c r="FL15" s="442"/>
      <c r="FM15" s="442"/>
      <c r="FN15" s="442"/>
      <c r="FO15" s="442"/>
      <c r="FP15" s="442"/>
      <c r="FQ15" s="442"/>
      <c r="FR15" s="442"/>
      <c r="FS15" s="442"/>
      <c r="FT15" s="442"/>
      <c r="FU15" s="442"/>
      <c r="FV15" s="442"/>
      <c r="FW15" s="442"/>
      <c r="FX15" s="442"/>
      <c r="FY15" s="442"/>
      <c r="FZ15" s="442"/>
      <c r="GA15" s="442"/>
      <c r="GB15" s="442"/>
      <c r="GC15" s="442"/>
      <c r="GD15" s="442"/>
      <c r="GE15" s="442"/>
      <c r="GF15" s="442"/>
      <c r="GG15" s="442"/>
      <c r="GH15" s="442"/>
      <c r="GI15" s="442"/>
      <c r="GJ15" s="442"/>
      <c r="GK15" s="442"/>
      <c r="GL15" s="442"/>
      <c r="GM15" s="442"/>
      <c r="GN15" s="442"/>
      <c r="GO15" s="442"/>
      <c r="GP15" s="442"/>
      <c r="GQ15" s="442"/>
      <c r="GR15" s="442"/>
      <c r="GS15" s="442"/>
      <c r="GT15" s="442"/>
      <c r="GU15" s="442"/>
      <c r="GV15" s="442"/>
      <c r="GW15" s="442"/>
      <c r="GX15" s="442"/>
      <c r="GY15" s="442"/>
      <c r="GZ15" s="442"/>
      <c r="HA15" s="442"/>
      <c r="HB15" s="442"/>
      <c r="HC15" s="442"/>
      <c r="HD15" s="442"/>
      <c r="HE15" s="442"/>
      <c r="HF15" s="442"/>
      <c r="HG15" s="442"/>
      <c r="HH15" s="442"/>
      <c r="HI15" s="442"/>
      <c r="HJ15" s="442"/>
      <c r="HK15" s="442"/>
      <c r="HL15" s="442"/>
      <c r="HM15" s="442"/>
      <c r="HN15" s="442"/>
      <c r="HO15" s="442"/>
      <c r="HP15" s="442"/>
      <c r="HQ15" s="442"/>
      <c r="HR15" s="442"/>
      <c r="HS15" s="442"/>
      <c r="HT15" s="442"/>
      <c r="HU15" s="442"/>
      <c r="HV15" s="442"/>
      <c r="HW15" s="442"/>
      <c r="HX15" s="442"/>
      <c r="HY15" s="442"/>
      <c r="HZ15" s="442"/>
      <c r="IA15" s="442"/>
      <c r="IB15" s="442"/>
      <c r="IC15" s="442"/>
      <c r="ID15" s="442"/>
      <c r="IE15" s="442"/>
      <c r="IF15" s="442"/>
      <c r="IG15" s="442"/>
      <c r="IH15" s="442"/>
      <c r="II15" s="442"/>
      <c r="IJ15" s="442"/>
      <c r="IK15" s="442"/>
      <c r="IL15" s="442"/>
      <c r="IM15" s="442"/>
      <c r="IN15" s="442"/>
      <c r="IO15" s="442"/>
      <c r="IP15" s="442"/>
      <c r="IQ15" s="442"/>
      <c r="IR15" s="442"/>
      <c r="IS15" s="442"/>
      <c r="IT15" s="442"/>
      <c r="IU15" s="442"/>
      <c r="IV15" s="442"/>
    </row>
    <row r="16" spans="1:256" ht="3.75" customHeight="1" x14ac:dyDescent="0.2">
      <c r="A16" s="445"/>
      <c r="B16" s="445"/>
      <c r="C16" s="446"/>
      <c r="D16" s="446"/>
      <c r="E16" s="447"/>
      <c r="F16" s="442"/>
      <c r="G16" s="442"/>
      <c r="H16" s="442"/>
      <c r="I16" s="442"/>
      <c r="J16" s="442"/>
      <c r="K16" s="442"/>
      <c r="L16" s="442"/>
      <c r="M16" s="442"/>
      <c r="N16" s="442"/>
      <c r="O16" s="442"/>
      <c r="P16" s="442"/>
      <c r="Q16" s="442"/>
      <c r="R16" s="442"/>
      <c r="S16" s="442"/>
      <c r="T16" s="442"/>
      <c r="U16" s="442"/>
      <c r="V16" s="442"/>
      <c r="W16" s="442"/>
      <c r="X16" s="442"/>
      <c r="Y16" s="442"/>
      <c r="Z16" s="442"/>
      <c r="AA16" s="442"/>
      <c r="AB16" s="442"/>
      <c r="AC16" s="442"/>
      <c r="AD16" s="442"/>
      <c r="AE16" s="442"/>
      <c r="AF16" s="442"/>
      <c r="AG16" s="442"/>
      <c r="AH16" s="442"/>
      <c r="AI16" s="442"/>
      <c r="AJ16" s="442"/>
      <c r="AK16" s="442"/>
      <c r="AL16" s="442"/>
      <c r="AM16" s="442"/>
      <c r="AN16" s="442"/>
      <c r="AO16" s="442"/>
      <c r="AP16" s="442"/>
      <c r="AQ16" s="442"/>
      <c r="AR16" s="442"/>
      <c r="AS16" s="442"/>
      <c r="AT16" s="442"/>
      <c r="AU16" s="442"/>
      <c r="AV16" s="442"/>
      <c r="AW16" s="442"/>
      <c r="AX16" s="442"/>
      <c r="AY16" s="442"/>
      <c r="AZ16" s="442"/>
      <c r="BA16" s="442"/>
      <c r="BB16" s="442"/>
      <c r="BC16" s="442"/>
      <c r="BD16" s="442"/>
      <c r="BE16" s="442"/>
      <c r="BF16" s="442"/>
      <c r="BG16" s="442"/>
      <c r="BH16" s="442"/>
      <c r="BI16" s="442"/>
      <c r="BJ16" s="442"/>
      <c r="BK16" s="442"/>
      <c r="BL16" s="442"/>
      <c r="BM16" s="442"/>
      <c r="BN16" s="442"/>
      <c r="BO16" s="442"/>
      <c r="BP16" s="442"/>
      <c r="BQ16" s="442"/>
      <c r="BR16" s="442"/>
      <c r="BS16" s="442"/>
      <c r="BT16" s="442"/>
      <c r="BU16" s="442"/>
      <c r="BV16" s="442"/>
      <c r="BW16" s="442"/>
      <c r="BX16" s="442"/>
      <c r="BY16" s="442"/>
      <c r="BZ16" s="442"/>
      <c r="CA16" s="442"/>
      <c r="CB16" s="442"/>
      <c r="CC16" s="442"/>
      <c r="CD16" s="442"/>
      <c r="CE16" s="442"/>
      <c r="CF16" s="442"/>
      <c r="CG16" s="442"/>
      <c r="CH16" s="442"/>
      <c r="CI16" s="442"/>
      <c r="CJ16" s="442"/>
      <c r="CK16" s="442"/>
      <c r="CL16" s="442"/>
      <c r="CM16" s="442"/>
      <c r="CN16" s="442"/>
      <c r="CO16" s="442"/>
      <c r="CP16" s="442"/>
      <c r="CQ16" s="442"/>
      <c r="CR16" s="442"/>
      <c r="CS16" s="442"/>
      <c r="CT16" s="442"/>
      <c r="CU16" s="442"/>
      <c r="CV16" s="442"/>
      <c r="CW16" s="442"/>
      <c r="CX16" s="442"/>
      <c r="CY16" s="442"/>
      <c r="CZ16" s="442"/>
      <c r="DA16" s="442"/>
      <c r="DB16" s="442"/>
      <c r="DC16" s="442"/>
      <c r="DD16" s="442"/>
      <c r="DE16" s="442"/>
      <c r="DF16" s="442"/>
      <c r="DG16" s="442"/>
      <c r="DH16" s="442"/>
      <c r="DI16" s="442"/>
      <c r="DJ16" s="442"/>
      <c r="DK16" s="442"/>
      <c r="DL16" s="442"/>
      <c r="DM16" s="442"/>
      <c r="DN16" s="442"/>
      <c r="DO16" s="442"/>
      <c r="DP16" s="442"/>
      <c r="DQ16" s="442"/>
      <c r="DR16" s="442"/>
      <c r="DS16" s="442"/>
      <c r="DT16" s="442"/>
      <c r="DU16" s="442"/>
      <c r="DV16" s="442"/>
      <c r="DW16" s="442"/>
      <c r="DX16" s="442"/>
      <c r="DY16" s="442"/>
      <c r="DZ16" s="442"/>
      <c r="EA16" s="442"/>
      <c r="EB16" s="442"/>
      <c r="EC16" s="442"/>
      <c r="ED16" s="442"/>
      <c r="EE16" s="442"/>
      <c r="EF16" s="442"/>
      <c r="EG16" s="442"/>
      <c r="EH16" s="442"/>
      <c r="EI16" s="442"/>
      <c r="EJ16" s="442"/>
      <c r="EK16" s="442"/>
      <c r="EL16" s="442"/>
      <c r="EM16" s="442"/>
      <c r="EN16" s="442"/>
      <c r="EO16" s="442"/>
      <c r="EP16" s="442"/>
      <c r="EQ16" s="442"/>
      <c r="ER16" s="442"/>
      <c r="ES16" s="442"/>
      <c r="ET16" s="442"/>
      <c r="EU16" s="442"/>
      <c r="EV16" s="442"/>
      <c r="EW16" s="442"/>
      <c r="EX16" s="442"/>
      <c r="EY16" s="442"/>
      <c r="EZ16" s="442"/>
      <c r="FA16" s="442"/>
      <c r="FB16" s="442"/>
      <c r="FC16" s="442"/>
      <c r="FD16" s="442"/>
      <c r="FE16" s="442"/>
      <c r="FF16" s="442"/>
      <c r="FG16" s="442"/>
      <c r="FH16" s="442"/>
      <c r="FI16" s="442"/>
      <c r="FJ16" s="442"/>
      <c r="FK16" s="442"/>
      <c r="FL16" s="442"/>
      <c r="FM16" s="442"/>
      <c r="FN16" s="442"/>
      <c r="FO16" s="442"/>
      <c r="FP16" s="442"/>
      <c r="FQ16" s="442"/>
      <c r="FR16" s="442"/>
      <c r="FS16" s="442"/>
      <c r="FT16" s="442"/>
      <c r="FU16" s="442"/>
      <c r="FV16" s="442"/>
      <c r="FW16" s="442"/>
      <c r="FX16" s="442"/>
      <c r="FY16" s="442"/>
      <c r="FZ16" s="442"/>
      <c r="GA16" s="442"/>
      <c r="GB16" s="442"/>
      <c r="GC16" s="442"/>
      <c r="GD16" s="442"/>
      <c r="GE16" s="442"/>
      <c r="GF16" s="442"/>
      <c r="GG16" s="442"/>
      <c r="GH16" s="442"/>
      <c r="GI16" s="442"/>
      <c r="GJ16" s="442"/>
      <c r="GK16" s="442"/>
      <c r="GL16" s="442"/>
      <c r="GM16" s="442"/>
      <c r="GN16" s="442"/>
      <c r="GO16" s="442"/>
      <c r="GP16" s="442"/>
      <c r="GQ16" s="442"/>
      <c r="GR16" s="442"/>
      <c r="GS16" s="442"/>
      <c r="GT16" s="442"/>
      <c r="GU16" s="442"/>
      <c r="GV16" s="442"/>
      <c r="GW16" s="442"/>
      <c r="GX16" s="442"/>
      <c r="GY16" s="442"/>
      <c r="GZ16" s="442"/>
      <c r="HA16" s="442"/>
      <c r="HB16" s="442"/>
      <c r="HC16" s="442"/>
      <c r="HD16" s="442"/>
      <c r="HE16" s="442"/>
      <c r="HF16" s="442"/>
      <c r="HG16" s="442"/>
      <c r="HH16" s="442"/>
      <c r="HI16" s="442"/>
      <c r="HJ16" s="442"/>
      <c r="HK16" s="442"/>
      <c r="HL16" s="442"/>
      <c r="HM16" s="442"/>
      <c r="HN16" s="442"/>
      <c r="HO16" s="442"/>
      <c r="HP16" s="442"/>
      <c r="HQ16" s="442"/>
      <c r="HR16" s="442"/>
      <c r="HS16" s="442"/>
      <c r="HT16" s="442"/>
      <c r="HU16" s="442"/>
      <c r="HV16" s="442"/>
      <c r="HW16" s="442"/>
      <c r="HX16" s="442"/>
      <c r="HY16" s="442"/>
      <c r="HZ16" s="442"/>
      <c r="IA16" s="442"/>
      <c r="IB16" s="442"/>
      <c r="IC16" s="442"/>
      <c r="ID16" s="442"/>
      <c r="IE16" s="442"/>
      <c r="IF16" s="442"/>
      <c r="IG16" s="442"/>
      <c r="IH16" s="442"/>
      <c r="II16" s="442"/>
      <c r="IJ16" s="442"/>
      <c r="IK16" s="442"/>
      <c r="IL16" s="442"/>
      <c r="IM16" s="442"/>
      <c r="IN16" s="442"/>
      <c r="IO16" s="442"/>
      <c r="IP16" s="442"/>
      <c r="IQ16" s="442"/>
      <c r="IR16" s="442"/>
      <c r="IS16" s="442"/>
      <c r="IT16" s="442"/>
      <c r="IU16" s="442"/>
      <c r="IV16" s="399"/>
    </row>
    <row r="17" spans="1:256" x14ac:dyDescent="0.2">
      <c r="A17" s="821" t="s">
        <v>1521</v>
      </c>
      <c r="B17" s="822"/>
      <c r="C17" s="822"/>
      <c r="D17" s="822"/>
      <c r="E17" s="823"/>
      <c r="F17" s="442"/>
      <c r="G17" s="442"/>
      <c r="H17" s="442"/>
      <c r="I17" s="442"/>
      <c r="J17" s="442"/>
      <c r="K17" s="442"/>
      <c r="L17" s="442"/>
      <c r="M17" s="442"/>
      <c r="N17" s="442"/>
      <c r="O17" s="442"/>
      <c r="P17" s="442"/>
      <c r="Q17" s="442"/>
      <c r="R17" s="442"/>
      <c r="S17" s="442"/>
      <c r="T17" s="442"/>
      <c r="U17" s="442"/>
      <c r="V17" s="442"/>
      <c r="W17" s="442"/>
      <c r="X17" s="442"/>
      <c r="Y17" s="442"/>
      <c r="Z17" s="442"/>
      <c r="AA17" s="442"/>
      <c r="AB17" s="442"/>
      <c r="AC17" s="442"/>
      <c r="AD17" s="442"/>
      <c r="AE17" s="442"/>
      <c r="AF17" s="442"/>
      <c r="AG17" s="442"/>
      <c r="AH17" s="442"/>
      <c r="AI17" s="442"/>
      <c r="AJ17" s="442"/>
      <c r="AK17" s="442"/>
      <c r="AL17" s="442"/>
      <c r="AM17" s="442"/>
      <c r="AN17" s="442"/>
      <c r="AO17" s="442"/>
      <c r="AP17" s="442"/>
      <c r="AQ17" s="442"/>
      <c r="AR17" s="442"/>
      <c r="AS17" s="442"/>
      <c r="AT17" s="442"/>
      <c r="AU17" s="442"/>
      <c r="AV17" s="442"/>
      <c r="AW17" s="442"/>
      <c r="AX17" s="442"/>
      <c r="AY17" s="442"/>
      <c r="AZ17" s="442"/>
      <c r="BA17" s="442"/>
      <c r="BB17" s="442"/>
      <c r="BC17" s="442"/>
      <c r="BD17" s="442"/>
      <c r="BE17" s="442"/>
      <c r="BF17" s="442"/>
      <c r="BG17" s="442"/>
      <c r="BH17" s="442"/>
      <c r="BI17" s="442"/>
      <c r="BJ17" s="442"/>
      <c r="BK17" s="442"/>
      <c r="BL17" s="442"/>
      <c r="BM17" s="442"/>
      <c r="BN17" s="442"/>
      <c r="BO17" s="442"/>
      <c r="BP17" s="442"/>
      <c r="BQ17" s="442"/>
      <c r="BR17" s="442"/>
      <c r="BS17" s="442"/>
      <c r="BT17" s="442"/>
      <c r="BU17" s="442"/>
      <c r="BV17" s="442"/>
      <c r="BW17" s="442"/>
      <c r="BX17" s="442"/>
      <c r="BY17" s="442"/>
      <c r="BZ17" s="442"/>
      <c r="CA17" s="442"/>
      <c r="CB17" s="442"/>
      <c r="CC17" s="442"/>
      <c r="CD17" s="442"/>
      <c r="CE17" s="442"/>
      <c r="CF17" s="442"/>
      <c r="CG17" s="442"/>
      <c r="CH17" s="442"/>
      <c r="CI17" s="442"/>
      <c r="CJ17" s="442"/>
      <c r="CK17" s="442"/>
      <c r="CL17" s="442"/>
      <c r="CM17" s="442"/>
      <c r="CN17" s="442"/>
      <c r="CO17" s="442"/>
      <c r="CP17" s="442"/>
      <c r="CQ17" s="442"/>
      <c r="CR17" s="442"/>
      <c r="CS17" s="442"/>
      <c r="CT17" s="442"/>
      <c r="CU17" s="442"/>
      <c r="CV17" s="442"/>
      <c r="CW17" s="442"/>
      <c r="CX17" s="442"/>
      <c r="CY17" s="442"/>
      <c r="CZ17" s="442"/>
      <c r="DA17" s="442"/>
      <c r="DB17" s="442"/>
      <c r="DC17" s="442"/>
      <c r="DD17" s="442"/>
      <c r="DE17" s="442"/>
      <c r="DF17" s="442"/>
      <c r="DG17" s="442"/>
      <c r="DH17" s="442"/>
      <c r="DI17" s="442"/>
      <c r="DJ17" s="442"/>
      <c r="DK17" s="442"/>
      <c r="DL17" s="442"/>
      <c r="DM17" s="442"/>
      <c r="DN17" s="442"/>
      <c r="DO17" s="442"/>
      <c r="DP17" s="442"/>
      <c r="DQ17" s="442"/>
      <c r="DR17" s="442"/>
      <c r="DS17" s="442"/>
      <c r="DT17" s="442"/>
      <c r="DU17" s="442"/>
      <c r="DV17" s="442"/>
      <c r="DW17" s="442"/>
      <c r="DX17" s="442"/>
      <c r="DY17" s="442"/>
      <c r="DZ17" s="442"/>
      <c r="EA17" s="442"/>
      <c r="EB17" s="442"/>
      <c r="EC17" s="442"/>
      <c r="ED17" s="442"/>
      <c r="EE17" s="442"/>
      <c r="EF17" s="442"/>
      <c r="EG17" s="442"/>
      <c r="EH17" s="442"/>
      <c r="EI17" s="442"/>
      <c r="EJ17" s="442"/>
      <c r="EK17" s="442"/>
      <c r="EL17" s="442"/>
      <c r="EM17" s="442"/>
      <c r="EN17" s="442"/>
      <c r="EO17" s="442"/>
      <c r="EP17" s="442"/>
      <c r="EQ17" s="442"/>
      <c r="ER17" s="442"/>
      <c r="ES17" s="442"/>
      <c r="ET17" s="442"/>
      <c r="EU17" s="442"/>
      <c r="EV17" s="442"/>
      <c r="EW17" s="442"/>
      <c r="EX17" s="442"/>
      <c r="EY17" s="442"/>
      <c r="EZ17" s="442"/>
      <c r="FA17" s="442"/>
      <c r="FB17" s="442"/>
      <c r="FC17" s="442"/>
      <c r="FD17" s="442"/>
      <c r="FE17" s="442"/>
      <c r="FF17" s="442"/>
      <c r="FG17" s="442"/>
      <c r="FH17" s="442"/>
      <c r="FI17" s="442"/>
      <c r="FJ17" s="442"/>
      <c r="FK17" s="442"/>
      <c r="FL17" s="442"/>
      <c r="FM17" s="442"/>
      <c r="FN17" s="442"/>
      <c r="FO17" s="442"/>
      <c r="FP17" s="442"/>
      <c r="FQ17" s="442"/>
      <c r="FR17" s="442"/>
      <c r="FS17" s="442"/>
      <c r="FT17" s="442"/>
      <c r="FU17" s="442"/>
      <c r="FV17" s="442"/>
      <c r="FW17" s="442"/>
      <c r="FX17" s="442"/>
      <c r="FY17" s="442"/>
      <c r="FZ17" s="442"/>
      <c r="GA17" s="442"/>
      <c r="GB17" s="442"/>
      <c r="GC17" s="442"/>
      <c r="GD17" s="442"/>
      <c r="GE17" s="442"/>
      <c r="GF17" s="442"/>
      <c r="GG17" s="442"/>
      <c r="GH17" s="442"/>
      <c r="GI17" s="442"/>
      <c r="GJ17" s="442"/>
      <c r="GK17" s="442"/>
      <c r="GL17" s="442"/>
      <c r="GM17" s="442"/>
      <c r="GN17" s="442"/>
      <c r="GO17" s="442"/>
      <c r="GP17" s="442"/>
      <c r="GQ17" s="442"/>
      <c r="GR17" s="442"/>
      <c r="GS17" s="442"/>
      <c r="GT17" s="442"/>
      <c r="GU17" s="442"/>
      <c r="GV17" s="442"/>
      <c r="GW17" s="442"/>
      <c r="GX17" s="442"/>
      <c r="GY17" s="442"/>
      <c r="GZ17" s="442"/>
      <c r="HA17" s="442"/>
      <c r="HB17" s="442"/>
      <c r="HC17" s="442"/>
      <c r="HD17" s="442"/>
      <c r="HE17" s="442"/>
      <c r="HF17" s="442"/>
      <c r="HG17" s="442"/>
      <c r="HH17" s="442"/>
      <c r="HI17" s="442"/>
      <c r="HJ17" s="442"/>
      <c r="HK17" s="442"/>
      <c r="HL17" s="442"/>
      <c r="HM17" s="442"/>
      <c r="HN17" s="442"/>
      <c r="HO17" s="442"/>
      <c r="HP17" s="442"/>
      <c r="HQ17" s="442"/>
      <c r="HR17" s="442"/>
      <c r="HS17" s="442"/>
      <c r="HT17" s="442"/>
      <c r="HU17" s="442"/>
      <c r="HV17" s="442"/>
      <c r="HW17" s="442"/>
      <c r="HX17" s="442"/>
      <c r="HY17" s="442"/>
      <c r="HZ17" s="442"/>
      <c r="IA17" s="442"/>
      <c r="IB17" s="442"/>
      <c r="IC17" s="442"/>
      <c r="ID17" s="442"/>
      <c r="IE17" s="442"/>
      <c r="IF17" s="442"/>
      <c r="IG17" s="442"/>
      <c r="IH17" s="442"/>
      <c r="II17" s="442"/>
      <c r="IJ17" s="442"/>
      <c r="IK17" s="442"/>
      <c r="IL17" s="442"/>
      <c r="IM17" s="442"/>
      <c r="IN17" s="442"/>
      <c r="IO17" s="442"/>
      <c r="IP17" s="442"/>
      <c r="IQ17" s="442"/>
      <c r="IR17" s="442"/>
      <c r="IS17" s="442"/>
      <c r="IT17" s="442"/>
      <c r="IU17" s="442"/>
      <c r="IV17" s="399"/>
    </row>
    <row r="18" spans="1:256" x14ac:dyDescent="0.2">
      <c r="A18" s="790" t="s">
        <v>1522</v>
      </c>
      <c r="B18" s="791"/>
      <c r="C18" s="791"/>
      <c r="D18" s="791"/>
      <c r="E18" s="792"/>
    </row>
    <row r="19" spans="1:256" ht="25.5" x14ac:dyDescent="0.2">
      <c r="A19" s="778">
        <v>1</v>
      </c>
      <c r="B19" s="781" t="s">
        <v>1523</v>
      </c>
      <c r="C19" s="401" t="s">
        <v>1524</v>
      </c>
      <c r="D19" s="778" t="s">
        <v>1525</v>
      </c>
      <c r="E19" s="784">
        <f>2304*0.6*55.26*1.5*1.2*1.1*1.3</f>
        <v>196631.52537599995</v>
      </c>
    </row>
    <row r="20" spans="1:256" x14ac:dyDescent="0.2">
      <c r="A20" s="779"/>
      <c r="B20" s="782"/>
      <c r="C20" s="401" t="s">
        <v>1325</v>
      </c>
      <c r="D20" s="779"/>
      <c r="E20" s="785"/>
    </row>
    <row r="21" spans="1:256" x14ac:dyDescent="0.2">
      <c r="A21" s="779"/>
      <c r="B21" s="782"/>
      <c r="C21" s="401" t="s">
        <v>1326</v>
      </c>
      <c r="D21" s="779"/>
      <c r="E21" s="785"/>
    </row>
    <row r="22" spans="1:256" x14ac:dyDescent="0.2">
      <c r="A22" s="779"/>
      <c r="B22" s="782"/>
      <c r="C22" s="401" t="s">
        <v>1327</v>
      </c>
      <c r="D22" s="779"/>
      <c r="E22" s="785"/>
    </row>
    <row r="23" spans="1:256" x14ac:dyDescent="0.2">
      <c r="A23" s="779"/>
      <c r="B23" s="782"/>
      <c r="C23" s="401" t="s">
        <v>1328</v>
      </c>
      <c r="D23" s="779"/>
      <c r="E23" s="785"/>
    </row>
    <row r="24" spans="1:256" x14ac:dyDescent="0.2">
      <c r="A24" s="779"/>
      <c r="B24" s="782"/>
      <c r="C24" s="401" t="s">
        <v>1329</v>
      </c>
      <c r="D24" s="779"/>
      <c r="E24" s="785"/>
    </row>
    <row r="25" spans="1:256" x14ac:dyDescent="0.2">
      <c r="A25" s="780"/>
      <c r="B25" s="783"/>
      <c r="C25" s="405" t="s">
        <v>1330</v>
      </c>
      <c r="D25" s="780"/>
      <c r="E25" s="786"/>
    </row>
    <row r="26" spans="1:256" ht="25.5" x14ac:dyDescent="0.2">
      <c r="A26" s="778">
        <v>2</v>
      </c>
      <c r="B26" s="781" t="s">
        <v>1526</v>
      </c>
      <c r="C26" s="401" t="s">
        <v>1488</v>
      </c>
      <c r="D26" s="778" t="s">
        <v>1527</v>
      </c>
      <c r="E26" s="784">
        <f>1843*0.6*55.26*1.4*1.1*1.3</f>
        <v>122335.22901599998</v>
      </c>
    </row>
    <row r="27" spans="1:256" x14ac:dyDescent="0.2">
      <c r="A27" s="779"/>
      <c r="B27" s="782"/>
      <c r="C27" s="401" t="s">
        <v>1325</v>
      </c>
      <c r="D27" s="779"/>
      <c r="E27" s="785"/>
    </row>
    <row r="28" spans="1:256" x14ac:dyDescent="0.2">
      <c r="A28" s="779"/>
      <c r="B28" s="782"/>
      <c r="C28" s="401" t="s">
        <v>1326</v>
      </c>
      <c r="D28" s="779"/>
      <c r="E28" s="785"/>
    </row>
    <row r="29" spans="1:256" x14ac:dyDescent="0.2">
      <c r="A29" s="779"/>
      <c r="B29" s="782"/>
      <c r="C29" s="401" t="s">
        <v>1334</v>
      </c>
      <c r="D29" s="779"/>
      <c r="E29" s="785"/>
    </row>
    <row r="30" spans="1:256" x14ac:dyDescent="0.2">
      <c r="A30" s="779"/>
      <c r="B30" s="782"/>
      <c r="C30" s="401" t="s">
        <v>1329</v>
      </c>
      <c r="D30" s="779"/>
      <c r="E30" s="785"/>
    </row>
    <row r="31" spans="1:256" x14ac:dyDescent="0.2">
      <c r="A31" s="780"/>
      <c r="B31" s="783"/>
      <c r="C31" s="405" t="s">
        <v>1335</v>
      </c>
      <c r="D31" s="780"/>
      <c r="E31" s="786"/>
    </row>
    <row r="32" spans="1:256" ht="25.5" x14ac:dyDescent="0.2">
      <c r="A32" s="778">
        <v>3</v>
      </c>
      <c r="B32" s="781" t="s">
        <v>1336</v>
      </c>
      <c r="C32" s="401" t="s">
        <v>1337</v>
      </c>
      <c r="D32" s="778" t="s">
        <v>1528</v>
      </c>
      <c r="E32" s="784">
        <f>(1020+15*15)*0.52*7.22</f>
        <v>4674.2280000000001</v>
      </c>
    </row>
    <row r="33" spans="1:5" x14ac:dyDescent="0.2">
      <c r="A33" s="779"/>
      <c r="B33" s="782"/>
      <c r="C33" s="401" t="s">
        <v>1339</v>
      </c>
      <c r="D33" s="779"/>
      <c r="E33" s="785"/>
    </row>
    <row r="34" spans="1:5" x14ac:dyDescent="0.2">
      <c r="A34" s="780"/>
      <c r="B34" s="783"/>
      <c r="C34" s="405" t="s">
        <v>1340</v>
      </c>
      <c r="D34" s="780"/>
      <c r="E34" s="786"/>
    </row>
    <row r="35" spans="1:5" ht="25.5" x14ac:dyDescent="0.2">
      <c r="A35" s="778">
        <v>4</v>
      </c>
      <c r="B35" s="781" t="s">
        <v>1341</v>
      </c>
      <c r="C35" s="401" t="s">
        <v>1342</v>
      </c>
      <c r="D35" s="778" t="s">
        <v>1529</v>
      </c>
      <c r="E35" s="784">
        <f>(1650+76*15)*0.52*7.22</f>
        <v>10474.776</v>
      </c>
    </row>
    <row r="36" spans="1:5" x14ac:dyDescent="0.2">
      <c r="A36" s="779"/>
      <c r="B36" s="782"/>
      <c r="C36" s="401" t="s">
        <v>1339</v>
      </c>
      <c r="D36" s="779"/>
      <c r="E36" s="785"/>
    </row>
    <row r="37" spans="1:5" x14ac:dyDescent="0.2">
      <c r="A37" s="780"/>
      <c r="B37" s="783"/>
      <c r="C37" s="405" t="s">
        <v>1340</v>
      </c>
      <c r="D37" s="780"/>
      <c r="E37" s="786"/>
    </row>
    <row r="38" spans="1:5" ht="25.5" x14ac:dyDescent="0.2">
      <c r="A38" s="778">
        <v>5</v>
      </c>
      <c r="B38" s="781" t="s">
        <v>1344</v>
      </c>
      <c r="C38" s="401" t="s">
        <v>1345</v>
      </c>
      <c r="D38" s="778" t="s">
        <v>1530</v>
      </c>
      <c r="E38" s="784">
        <f>(1950+19*10)*0.52*7.22</f>
        <v>8034.4159999999993</v>
      </c>
    </row>
    <row r="39" spans="1:5" x14ac:dyDescent="0.2">
      <c r="A39" s="779"/>
      <c r="B39" s="782"/>
      <c r="C39" s="401" t="s">
        <v>1339</v>
      </c>
      <c r="D39" s="779"/>
      <c r="E39" s="785"/>
    </row>
    <row r="40" spans="1:5" x14ac:dyDescent="0.2">
      <c r="A40" s="780"/>
      <c r="B40" s="783"/>
      <c r="C40" s="405" t="s">
        <v>1340</v>
      </c>
      <c r="D40" s="780"/>
      <c r="E40" s="786"/>
    </row>
    <row r="41" spans="1:5" ht="25.5" x14ac:dyDescent="0.2">
      <c r="A41" s="778">
        <v>6</v>
      </c>
      <c r="B41" s="781" t="s">
        <v>1347</v>
      </c>
      <c r="C41" s="401" t="s">
        <v>1348</v>
      </c>
      <c r="D41" s="778" t="s">
        <v>1531</v>
      </c>
      <c r="E41" s="784">
        <f>(2450+3680*1)*0.5*7.22</f>
        <v>22129.3</v>
      </c>
    </row>
    <row r="42" spans="1:5" x14ac:dyDescent="0.2">
      <c r="A42" s="779"/>
      <c r="B42" s="782"/>
      <c r="C42" s="401" t="s">
        <v>1350</v>
      </c>
      <c r="D42" s="779"/>
      <c r="E42" s="785"/>
    </row>
    <row r="43" spans="1:5" x14ac:dyDescent="0.2">
      <c r="A43" s="780"/>
      <c r="B43" s="783"/>
      <c r="C43" s="405" t="s">
        <v>1340</v>
      </c>
      <c r="D43" s="780"/>
      <c r="E43" s="786"/>
    </row>
    <row r="44" spans="1:5" ht="25.5" x14ac:dyDescent="0.2">
      <c r="A44" s="778">
        <v>7</v>
      </c>
      <c r="B44" s="781" t="s">
        <v>1351</v>
      </c>
      <c r="C44" s="401" t="s">
        <v>1352</v>
      </c>
      <c r="D44" s="778" t="s">
        <v>1532</v>
      </c>
      <c r="E44" s="784">
        <f>(2450+3680*15)*0.5*7.22</f>
        <v>208116.5</v>
      </c>
    </row>
    <row r="45" spans="1:5" x14ac:dyDescent="0.2">
      <c r="A45" s="779"/>
      <c r="B45" s="782"/>
      <c r="C45" s="401" t="s">
        <v>1350</v>
      </c>
      <c r="D45" s="779"/>
      <c r="E45" s="785"/>
    </row>
    <row r="46" spans="1:5" x14ac:dyDescent="0.2">
      <c r="A46" s="780"/>
      <c r="B46" s="783"/>
      <c r="C46" s="405" t="s">
        <v>1340</v>
      </c>
      <c r="D46" s="780"/>
      <c r="E46" s="786"/>
    </row>
    <row r="47" spans="1:5" ht="25.5" x14ac:dyDescent="0.2">
      <c r="A47" s="778">
        <v>8</v>
      </c>
      <c r="B47" s="781" t="s">
        <v>1354</v>
      </c>
      <c r="C47" s="401" t="s">
        <v>1355</v>
      </c>
      <c r="D47" s="778" t="s">
        <v>1533</v>
      </c>
      <c r="E47" s="784">
        <f>(25980+4623*20)*0.58*7.22</f>
        <v>495979.34399999998</v>
      </c>
    </row>
    <row r="48" spans="1:5" x14ac:dyDescent="0.2">
      <c r="A48" s="779"/>
      <c r="B48" s="782"/>
      <c r="C48" s="401" t="s">
        <v>1357</v>
      </c>
      <c r="D48" s="779"/>
      <c r="E48" s="785"/>
    </row>
    <row r="49" spans="1:5" x14ac:dyDescent="0.2">
      <c r="A49" s="780"/>
      <c r="B49" s="783"/>
      <c r="C49" s="405" t="s">
        <v>1340</v>
      </c>
      <c r="D49" s="780"/>
      <c r="E49" s="786"/>
    </row>
    <row r="50" spans="1:5" ht="25.5" x14ac:dyDescent="0.2">
      <c r="A50" s="403"/>
      <c r="B50" s="405" t="s">
        <v>1534</v>
      </c>
      <c r="C50" s="405"/>
      <c r="D50" s="406"/>
      <c r="E50" s="427">
        <f>SUM(E19:E49)</f>
        <v>1068375.3183919999</v>
      </c>
    </row>
    <row r="51" spans="1:5" x14ac:dyDescent="0.2">
      <c r="A51" s="790" t="s">
        <v>1535</v>
      </c>
      <c r="B51" s="791"/>
      <c r="C51" s="791"/>
      <c r="D51" s="791"/>
      <c r="E51" s="792"/>
    </row>
    <row r="52" spans="1:5" ht="25.5" x14ac:dyDescent="0.2">
      <c r="A52" s="778">
        <v>9</v>
      </c>
      <c r="B52" s="781" t="s">
        <v>1536</v>
      </c>
      <c r="C52" s="401" t="s">
        <v>1524</v>
      </c>
      <c r="D52" s="778" t="s">
        <v>1525</v>
      </c>
      <c r="E52" s="784">
        <f>2304*0.6*55.26*1.5*1.2*1.1*1.3</f>
        <v>196631.52537599995</v>
      </c>
    </row>
    <row r="53" spans="1:5" x14ac:dyDescent="0.2">
      <c r="A53" s="779"/>
      <c r="B53" s="782"/>
      <c r="C53" s="401" t="s">
        <v>1325</v>
      </c>
      <c r="D53" s="779"/>
      <c r="E53" s="785"/>
    </row>
    <row r="54" spans="1:5" x14ac:dyDescent="0.2">
      <c r="A54" s="779"/>
      <c r="B54" s="782"/>
      <c r="C54" s="401" t="s">
        <v>1326</v>
      </c>
      <c r="D54" s="779"/>
      <c r="E54" s="785"/>
    </row>
    <row r="55" spans="1:5" x14ac:dyDescent="0.2">
      <c r="A55" s="779"/>
      <c r="B55" s="782"/>
      <c r="C55" s="401" t="s">
        <v>1327</v>
      </c>
      <c r="D55" s="779"/>
      <c r="E55" s="785"/>
    </row>
    <row r="56" spans="1:5" x14ac:dyDescent="0.2">
      <c r="A56" s="779"/>
      <c r="B56" s="782"/>
      <c r="C56" s="401" t="s">
        <v>1328</v>
      </c>
      <c r="D56" s="779"/>
      <c r="E56" s="785"/>
    </row>
    <row r="57" spans="1:5" x14ac:dyDescent="0.2">
      <c r="A57" s="779"/>
      <c r="B57" s="782"/>
      <c r="C57" s="401" t="s">
        <v>1329</v>
      </c>
      <c r="D57" s="779"/>
      <c r="E57" s="785"/>
    </row>
    <row r="58" spans="1:5" x14ac:dyDescent="0.2">
      <c r="A58" s="780"/>
      <c r="B58" s="783"/>
      <c r="C58" s="405" t="s">
        <v>1330</v>
      </c>
      <c r="D58" s="780"/>
      <c r="E58" s="786"/>
    </row>
    <row r="59" spans="1:5" ht="25.5" x14ac:dyDescent="0.2">
      <c r="A59" s="778">
        <v>10</v>
      </c>
      <c r="B59" s="781" t="s">
        <v>1487</v>
      </c>
      <c r="C59" s="401" t="s">
        <v>1488</v>
      </c>
      <c r="D59" s="778" t="s">
        <v>1527</v>
      </c>
      <c r="E59" s="784">
        <f>1843*0.6*55.26*1.4*1.1*1.3</f>
        <v>122335.22901599998</v>
      </c>
    </row>
    <row r="60" spans="1:5" x14ac:dyDescent="0.2">
      <c r="A60" s="779"/>
      <c r="B60" s="782"/>
      <c r="C60" s="401" t="s">
        <v>1325</v>
      </c>
      <c r="D60" s="779"/>
      <c r="E60" s="785"/>
    </row>
    <row r="61" spans="1:5" x14ac:dyDescent="0.2">
      <c r="A61" s="779"/>
      <c r="B61" s="782"/>
      <c r="C61" s="401" t="s">
        <v>1326</v>
      </c>
      <c r="D61" s="779"/>
      <c r="E61" s="785"/>
    </row>
    <row r="62" spans="1:5" x14ac:dyDescent="0.2">
      <c r="A62" s="779"/>
      <c r="B62" s="782"/>
      <c r="C62" s="401" t="s">
        <v>1334</v>
      </c>
      <c r="D62" s="779"/>
      <c r="E62" s="785"/>
    </row>
    <row r="63" spans="1:5" x14ac:dyDescent="0.2">
      <c r="A63" s="779"/>
      <c r="B63" s="782"/>
      <c r="C63" s="401" t="s">
        <v>1329</v>
      </c>
      <c r="D63" s="779"/>
      <c r="E63" s="785"/>
    </row>
    <row r="64" spans="1:5" x14ac:dyDescent="0.2">
      <c r="A64" s="780"/>
      <c r="B64" s="783"/>
      <c r="C64" s="405" t="s">
        <v>1335</v>
      </c>
      <c r="D64" s="780"/>
      <c r="E64" s="786"/>
    </row>
    <row r="65" spans="1:5" ht="25.5" x14ac:dyDescent="0.2">
      <c r="A65" s="778">
        <v>11</v>
      </c>
      <c r="B65" s="781" t="s">
        <v>1336</v>
      </c>
      <c r="C65" s="401" t="s">
        <v>1337</v>
      </c>
      <c r="D65" s="778" t="s">
        <v>1528</v>
      </c>
      <c r="E65" s="784">
        <f>(1020+15*15)*0.52*7.22</f>
        <v>4674.2280000000001</v>
      </c>
    </row>
    <row r="66" spans="1:5" x14ac:dyDescent="0.2">
      <c r="A66" s="779"/>
      <c r="B66" s="782"/>
      <c r="C66" s="401" t="s">
        <v>1339</v>
      </c>
      <c r="D66" s="779"/>
      <c r="E66" s="785"/>
    </row>
    <row r="67" spans="1:5" x14ac:dyDescent="0.2">
      <c r="A67" s="780"/>
      <c r="B67" s="783"/>
      <c r="C67" s="405" t="s">
        <v>1340</v>
      </c>
      <c r="D67" s="780"/>
      <c r="E67" s="786"/>
    </row>
    <row r="68" spans="1:5" ht="25.5" x14ac:dyDescent="0.2">
      <c r="A68" s="778">
        <v>12</v>
      </c>
      <c r="B68" s="781" t="s">
        <v>1341</v>
      </c>
      <c r="C68" s="401" t="s">
        <v>1342</v>
      </c>
      <c r="D68" s="778" t="s">
        <v>1529</v>
      </c>
      <c r="E68" s="784">
        <f>(1650+76*15)*0.52*7.22</f>
        <v>10474.776</v>
      </c>
    </row>
    <row r="69" spans="1:5" x14ac:dyDescent="0.2">
      <c r="A69" s="779"/>
      <c r="B69" s="782"/>
      <c r="C69" s="401" t="s">
        <v>1339</v>
      </c>
      <c r="D69" s="779"/>
      <c r="E69" s="785"/>
    </row>
    <row r="70" spans="1:5" x14ac:dyDescent="0.2">
      <c r="A70" s="780"/>
      <c r="B70" s="783"/>
      <c r="C70" s="405" t="s">
        <v>1340</v>
      </c>
      <c r="D70" s="780"/>
      <c r="E70" s="786"/>
    </row>
    <row r="71" spans="1:5" ht="25.5" x14ac:dyDescent="0.2">
      <c r="A71" s="778">
        <v>13</v>
      </c>
      <c r="B71" s="781" t="s">
        <v>1344</v>
      </c>
      <c r="C71" s="401" t="s">
        <v>1345</v>
      </c>
      <c r="D71" s="778" t="s">
        <v>1530</v>
      </c>
      <c r="E71" s="784">
        <f>(1950+19*10)*0.52*7.22</f>
        <v>8034.4159999999993</v>
      </c>
    </row>
    <row r="72" spans="1:5" x14ac:dyDescent="0.2">
      <c r="A72" s="779"/>
      <c r="B72" s="782"/>
      <c r="C72" s="401" t="s">
        <v>1339</v>
      </c>
      <c r="D72" s="779"/>
      <c r="E72" s="785"/>
    </row>
    <row r="73" spans="1:5" x14ac:dyDescent="0.2">
      <c r="A73" s="780"/>
      <c r="B73" s="783"/>
      <c r="C73" s="405" t="s">
        <v>1340</v>
      </c>
      <c r="D73" s="780"/>
      <c r="E73" s="786"/>
    </row>
    <row r="74" spans="1:5" ht="25.5" x14ac:dyDescent="0.2">
      <c r="A74" s="778">
        <v>14</v>
      </c>
      <c r="B74" s="781" t="s">
        <v>1347</v>
      </c>
      <c r="C74" s="401" t="s">
        <v>1348</v>
      </c>
      <c r="D74" s="778" t="s">
        <v>1531</v>
      </c>
      <c r="E74" s="784">
        <f>(2450+3680*1)*0.5*7.22</f>
        <v>22129.3</v>
      </c>
    </row>
    <row r="75" spans="1:5" x14ac:dyDescent="0.2">
      <c r="A75" s="779"/>
      <c r="B75" s="782"/>
      <c r="C75" s="401" t="s">
        <v>1350</v>
      </c>
      <c r="D75" s="779"/>
      <c r="E75" s="785"/>
    </row>
    <row r="76" spans="1:5" x14ac:dyDescent="0.2">
      <c r="A76" s="780"/>
      <c r="B76" s="783"/>
      <c r="C76" s="405" t="s">
        <v>1340</v>
      </c>
      <c r="D76" s="780"/>
      <c r="E76" s="786"/>
    </row>
    <row r="77" spans="1:5" ht="25.5" x14ac:dyDescent="0.2">
      <c r="A77" s="778">
        <v>15</v>
      </c>
      <c r="B77" s="781" t="s">
        <v>1351</v>
      </c>
      <c r="C77" s="401" t="s">
        <v>1352</v>
      </c>
      <c r="D77" s="778" t="s">
        <v>1532</v>
      </c>
      <c r="E77" s="784">
        <f>(2450+3680*15)*0.5*7.22</f>
        <v>208116.5</v>
      </c>
    </row>
    <row r="78" spans="1:5" x14ac:dyDescent="0.2">
      <c r="A78" s="779"/>
      <c r="B78" s="782"/>
      <c r="C78" s="401" t="s">
        <v>1350</v>
      </c>
      <c r="D78" s="779"/>
      <c r="E78" s="785"/>
    </row>
    <row r="79" spans="1:5" x14ac:dyDescent="0.2">
      <c r="A79" s="780"/>
      <c r="B79" s="783"/>
      <c r="C79" s="405" t="s">
        <v>1340</v>
      </c>
      <c r="D79" s="780"/>
      <c r="E79" s="786"/>
    </row>
    <row r="80" spans="1:5" ht="25.5" x14ac:dyDescent="0.2">
      <c r="A80" s="778">
        <v>16</v>
      </c>
      <c r="B80" s="781" t="s">
        <v>1354</v>
      </c>
      <c r="C80" s="401" t="s">
        <v>1355</v>
      </c>
      <c r="D80" s="778" t="s">
        <v>1533</v>
      </c>
      <c r="E80" s="784">
        <f>(25980+4623*20)*0.58*7.22</f>
        <v>495979.34399999998</v>
      </c>
    </row>
    <row r="81" spans="1:5" x14ac:dyDescent="0.2">
      <c r="A81" s="779"/>
      <c r="B81" s="782"/>
      <c r="C81" s="401" t="s">
        <v>1357</v>
      </c>
      <c r="D81" s="779"/>
      <c r="E81" s="785"/>
    </row>
    <row r="82" spans="1:5" x14ac:dyDescent="0.2">
      <c r="A82" s="780"/>
      <c r="B82" s="783"/>
      <c r="C82" s="405" t="s">
        <v>1340</v>
      </c>
      <c r="D82" s="780"/>
      <c r="E82" s="786"/>
    </row>
    <row r="83" spans="1:5" ht="25.5" x14ac:dyDescent="0.2">
      <c r="A83" s="403"/>
      <c r="B83" s="405" t="s">
        <v>1537</v>
      </c>
      <c r="C83" s="405"/>
      <c r="D83" s="406"/>
      <c r="E83" s="427">
        <f>SUM(E52:E82)</f>
        <v>1068375.3183919999</v>
      </c>
    </row>
    <row r="84" spans="1:5" x14ac:dyDescent="0.2">
      <c r="A84" s="790" t="s">
        <v>1538</v>
      </c>
      <c r="B84" s="791"/>
      <c r="C84" s="791"/>
      <c r="D84" s="791"/>
      <c r="E84" s="792"/>
    </row>
    <row r="85" spans="1:5" ht="25.5" x14ac:dyDescent="0.2">
      <c r="A85" s="778">
        <v>17</v>
      </c>
      <c r="B85" s="781" t="s">
        <v>1539</v>
      </c>
      <c r="C85" s="401" t="s">
        <v>1375</v>
      </c>
      <c r="D85" s="778" t="s">
        <v>1540</v>
      </c>
      <c r="E85" s="784">
        <f>820*0.6*55.26*1.5*1.2*1.1*1.3</f>
        <v>69981.706080000004</v>
      </c>
    </row>
    <row r="86" spans="1:5" x14ac:dyDescent="0.2">
      <c r="A86" s="779"/>
      <c r="B86" s="782"/>
      <c r="C86" s="401" t="s">
        <v>1325</v>
      </c>
      <c r="D86" s="779"/>
      <c r="E86" s="785"/>
    </row>
    <row r="87" spans="1:5" x14ac:dyDescent="0.2">
      <c r="A87" s="779"/>
      <c r="B87" s="782"/>
      <c r="C87" s="401" t="s">
        <v>1326</v>
      </c>
      <c r="D87" s="779"/>
      <c r="E87" s="785"/>
    </row>
    <row r="88" spans="1:5" x14ac:dyDescent="0.2">
      <c r="A88" s="779"/>
      <c r="B88" s="782"/>
      <c r="C88" s="401" t="s">
        <v>1327</v>
      </c>
      <c r="D88" s="779"/>
      <c r="E88" s="785"/>
    </row>
    <row r="89" spans="1:5" x14ac:dyDescent="0.2">
      <c r="A89" s="779"/>
      <c r="B89" s="782"/>
      <c r="C89" s="401" t="s">
        <v>1328</v>
      </c>
      <c r="D89" s="779"/>
      <c r="E89" s="785"/>
    </row>
    <row r="90" spans="1:5" x14ac:dyDescent="0.2">
      <c r="A90" s="779"/>
      <c r="B90" s="782"/>
      <c r="C90" s="401" t="s">
        <v>1329</v>
      </c>
      <c r="D90" s="779"/>
      <c r="E90" s="785"/>
    </row>
    <row r="91" spans="1:5" x14ac:dyDescent="0.2">
      <c r="A91" s="780"/>
      <c r="B91" s="783"/>
      <c r="C91" s="405" t="s">
        <v>1330</v>
      </c>
      <c r="D91" s="780"/>
      <c r="E91" s="786"/>
    </row>
    <row r="92" spans="1:5" ht="25.5" x14ac:dyDescent="0.2">
      <c r="A92" s="778">
        <v>18</v>
      </c>
      <c r="B92" s="781" t="s">
        <v>1541</v>
      </c>
      <c r="C92" s="401" t="s">
        <v>1481</v>
      </c>
      <c r="D92" s="778" t="s">
        <v>1542</v>
      </c>
      <c r="E92" s="784">
        <f>656*0.6*55.26*1.4*1.1*1.3</f>
        <v>43544.172671999993</v>
      </c>
    </row>
    <row r="93" spans="1:5" x14ac:dyDescent="0.2">
      <c r="A93" s="779"/>
      <c r="B93" s="782"/>
      <c r="C93" s="401" t="s">
        <v>1325</v>
      </c>
      <c r="D93" s="779"/>
      <c r="E93" s="785"/>
    </row>
    <row r="94" spans="1:5" x14ac:dyDescent="0.2">
      <c r="A94" s="779"/>
      <c r="B94" s="782"/>
      <c r="C94" s="401" t="s">
        <v>1326</v>
      </c>
      <c r="D94" s="779"/>
      <c r="E94" s="785"/>
    </row>
    <row r="95" spans="1:5" x14ac:dyDescent="0.2">
      <c r="A95" s="779"/>
      <c r="B95" s="782"/>
      <c r="C95" s="401" t="s">
        <v>1334</v>
      </c>
      <c r="D95" s="779"/>
      <c r="E95" s="785"/>
    </row>
    <row r="96" spans="1:5" x14ac:dyDescent="0.2">
      <c r="A96" s="779"/>
      <c r="B96" s="782"/>
      <c r="C96" s="401" t="s">
        <v>1329</v>
      </c>
      <c r="D96" s="779"/>
      <c r="E96" s="785"/>
    </row>
    <row r="97" spans="1:5" x14ac:dyDescent="0.2">
      <c r="A97" s="780"/>
      <c r="B97" s="783"/>
      <c r="C97" s="405" t="s">
        <v>1335</v>
      </c>
      <c r="D97" s="780"/>
      <c r="E97" s="786"/>
    </row>
    <row r="98" spans="1:5" ht="25.5" x14ac:dyDescent="0.2">
      <c r="A98" s="778">
        <v>19</v>
      </c>
      <c r="B98" s="781" t="s">
        <v>1336</v>
      </c>
      <c r="C98" s="401" t="s">
        <v>1337</v>
      </c>
      <c r="D98" s="778" t="s">
        <v>1543</v>
      </c>
      <c r="E98" s="784">
        <f>(1020+15*11)*0.52*7.22</f>
        <v>4448.9639999999999</v>
      </c>
    </row>
    <row r="99" spans="1:5" x14ac:dyDescent="0.2">
      <c r="A99" s="779"/>
      <c r="B99" s="782"/>
      <c r="C99" s="401" t="s">
        <v>1339</v>
      </c>
      <c r="D99" s="779"/>
      <c r="E99" s="785"/>
    </row>
    <row r="100" spans="1:5" x14ac:dyDescent="0.2">
      <c r="A100" s="780"/>
      <c r="B100" s="783"/>
      <c r="C100" s="405" t="s">
        <v>1340</v>
      </c>
      <c r="D100" s="780"/>
      <c r="E100" s="786"/>
    </row>
    <row r="101" spans="1:5" ht="25.5" x14ac:dyDescent="0.2">
      <c r="A101" s="778">
        <v>20</v>
      </c>
      <c r="B101" s="781" t="s">
        <v>1341</v>
      </c>
      <c r="C101" s="401" t="s">
        <v>1342</v>
      </c>
      <c r="D101" s="778" t="s">
        <v>1544</v>
      </c>
      <c r="E101" s="784">
        <f>(1650+76*11)*0.52*7.22</f>
        <v>9333.4383999999991</v>
      </c>
    </row>
    <row r="102" spans="1:5" x14ac:dyDescent="0.2">
      <c r="A102" s="779"/>
      <c r="B102" s="782"/>
      <c r="C102" s="401" t="s">
        <v>1339</v>
      </c>
      <c r="D102" s="779"/>
      <c r="E102" s="785"/>
    </row>
    <row r="103" spans="1:5" x14ac:dyDescent="0.2">
      <c r="A103" s="780"/>
      <c r="B103" s="783"/>
      <c r="C103" s="405" t="s">
        <v>1340</v>
      </c>
      <c r="D103" s="780"/>
      <c r="E103" s="786"/>
    </row>
    <row r="104" spans="1:5" ht="25.5" x14ac:dyDescent="0.2">
      <c r="A104" s="778">
        <v>21</v>
      </c>
      <c r="B104" s="781" t="s">
        <v>1344</v>
      </c>
      <c r="C104" s="401" t="s">
        <v>1345</v>
      </c>
      <c r="D104" s="778" t="s">
        <v>1530</v>
      </c>
      <c r="E104" s="784">
        <f>(1950+19*10)*0.52*7.22</f>
        <v>8034.4159999999993</v>
      </c>
    </row>
    <row r="105" spans="1:5" x14ac:dyDescent="0.2">
      <c r="A105" s="779"/>
      <c r="B105" s="782"/>
      <c r="C105" s="401" t="s">
        <v>1339</v>
      </c>
      <c r="D105" s="779"/>
      <c r="E105" s="785"/>
    </row>
    <row r="106" spans="1:5" x14ac:dyDescent="0.2">
      <c r="A106" s="780"/>
      <c r="B106" s="783"/>
      <c r="C106" s="405" t="s">
        <v>1340</v>
      </c>
      <c r="D106" s="780"/>
      <c r="E106" s="786"/>
    </row>
    <row r="107" spans="1:5" ht="25.5" x14ac:dyDescent="0.2">
      <c r="A107" s="778">
        <v>22</v>
      </c>
      <c r="B107" s="781" t="s">
        <v>1347</v>
      </c>
      <c r="C107" s="401" t="s">
        <v>1348</v>
      </c>
      <c r="D107" s="778" t="s">
        <v>1531</v>
      </c>
      <c r="E107" s="784">
        <f>(2450+3680*1)*0.5*7.22</f>
        <v>22129.3</v>
      </c>
    </row>
    <row r="108" spans="1:5" x14ac:dyDescent="0.2">
      <c r="A108" s="779"/>
      <c r="B108" s="782"/>
      <c r="C108" s="401" t="s">
        <v>1350</v>
      </c>
      <c r="D108" s="779"/>
      <c r="E108" s="785"/>
    </row>
    <row r="109" spans="1:5" x14ac:dyDescent="0.2">
      <c r="A109" s="780"/>
      <c r="B109" s="783"/>
      <c r="C109" s="405" t="s">
        <v>1340</v>
      </c>
      <c r="D109" s="780"/>
      <c r="E109" s="786"/>
    </row>
    <row r="110" spans="1:5" ht="25.5" x14ac:dyDescent="0.2">
      <c r="A110" s="778">
        <v>23</v>
      </c>
      <c r="B110" s="781" t="s">
        <v>1351</v>
      </c>
      <c r="C110" s="401" t="s">
        <v>1352</v>
      </c>
      <c r="D110" s="778" t="s">
        <v>1545</v>
      </c>
      <c r="E110" s="784">
        <f>(2450+3680*11)*0.5*7.22</f>
        <v>154977.29999999999</v>
      </c>
    </row>
    <row r="111" spans="1:5" x14ac:dyDescent="0.2">
      <c r="A111" s="779"/>
      <c r="B111" s="782"/>
      <c r="C111" s="401" t="s">
        <v>1350</v>
      </c>
      <c r="D111" s="779"/>
      <c r="E111" s="785"/>
    </row>
    <row r="112" spans="1:5" x14ac:dyDescent="0.2">
      <c r="A112" s="780"/>
      <c r="B112" s="783"/>
      <c r="C112" s="405" t="s">
        <v>1340</v>
      </c>
      <c r="D112" s="780"/>
      <c r="E112" s="786"/>
    </row>
    <row r="113" spans="1:5" ht="25.5" x14ac:dyDescent="0.2">
      <c r="A113" s="778">
        <v>24</v>
      </c>
      <c r="B113" s="781" t="s">
        <v>1546</v>
      </c>
      <c r="C113" s="401" t="s">
        <v>1355</v>
      </c>
      <c r="D113" s="778" t="s">
        <v>1547</v>
      </c>
      <c r="E113" s="784">
        <f>(25980+4623*10)*0.58*7.22</f>
        <v>302386.59599999996</v>
      </c>
    </row>
    <row r="114" spans="1:5" x14ac:dyDescent="0.2">
      <c r="A114" s="779"/>
      <c r="B114" s="782"/>
      <c r="C114" s="401" t="s">
        <v>1357</v>
      </c>
      <c r="D114" s="779"/>
      <c r="E114" s="785"/>
    </row>
    <row r="115" spans="1:5" x14ac:dyDescent="0.2">
      <c r="A115" s="780"/>
      <c r="B115" s="783"/>
      <c r="C115" s="405" t="s">
        <v>1340</v>
      </c>
      <c r="D115" s="780"/>
      <c r="E115" s="786"/>
    </row>
    <row r="116" spans="1:5" x14ac:dyDescent="0.2">
      <c r="A116" s="403"/>
      <c r="B116" s="405" t="s">
        <v>1548</v>
      </c>
      <c r="C116" s="405"/>
      <c r="D116" s="406"/>
      <c r="E116" s="427">
        <f>SUM(E85:E115)</f>
        <v>614835.89315199992</v>
      </c>
    </row>
    <row r="117" spans="1:5" x14ac:dyDescent="0.2">
      <c r="A117" s="790" t="s">
        <v>1549</v>
      </c>
      <c r="B117" s="791"/>
      <c r="C117" s="791"/>
      <c r="D117" s="791"/>
      <c r="E117" s="792"/>
    </row>
    <row r="118" spans="1:5" ht="25.5" x14ac:dyDescent="0.2">
      <c r="A118" s="778">
        <v>25</v>
      </c>
      <c r="B118" s="781" t="s">
        <v>1550</v>
      </c>
      <c r="C118" s="401" t="s">
        <v>1361</v>
      </c>
      <c r="D118" s="778" t="s">
        <v>1551</v>
      </c>
      <c r="E118" s="784">
        <f>600*0.6*55.26*1.5*1.2*1.1*1.3</f>
        <v>51206.126400000001</v>
      </c>
    </row>
    <row r="119" spans="1:5" x14ac:dyDescent="0.2">
      <c r="A119" s="779"/>
      <c r="B119" s="782"/>
      <c r="C119" s="401" t="s">
        <v>1325</v>
      </c>
      <c r="D119" s="779"/>
      <c r="E119" s="785"/>
    </row>
    <row r="120" spans="1:5" x14ac:dyDescent="0.2">
      <c r="A120" s="779"/>
      <c r="B120" s="782"/>
      <c r="C120" s="401" t="s">
        <v>1326</v>
      </c>
      <c r="D120" s="779"/>
      <c r="E120" s="785"/>
    </row>
    <row r="121" spans="1:5" x14ac:dyDescent="0.2">
      <c r="A121" s="779"/>
      <c r="B121" s="782"/>
      <c r="C121" s="401" t="s">
        <v>1327</v>
      </c>
      <c r="D121" s="779"/>
      <c r="E121" s="785"/>
    </row>
    <row r="122" spans="1:5" x14ac:dyDescent="0.2">
      <c r="A122" s="779"/>
      <c r="B122" s="782"/>
      <c r="C122" s="401" t="s">
        <v>1328</v>
      </c>
      <c r="D122" s="779"/>
      <c r="E122" s="785"/>
    </row>
    <row r="123" spans="1:5" x14ac:dyDescent="0.2">
      <c r="A123" s="779"/>
      <c r="B123" s="782"/>
      <c r="C123" s="401" t="s">
        <v>1329</v>
      </c>
      <c r="D123" s="779"/>
      <c r="E123" s="785"/>
    </row>
    <row r="124" spans="1:5" x14ac:dyDescent="0.2">
      <c r="A124" s="780"/>
      <c r="B124" s="783"/>
      <c r="C124" s="405" t="s">
        <v>1330</v>
      </c>
      <c r="D124" s="780"/>
      <c r="E124" s="786"/>
    </row>
    <row r="125" spans="1:5" ht="25.5" x14ac:dyDescent="0.2">
      <c r="A125" s="778">
        <v>26</v>
      </c>
      <c r="B125" s="781" t="s">
        <v>1552</v>
      </c>
      <c r="C125" s="401" t="s">
        <v>1364</v>
      </c>
      <c r="D125" s="778" t="s">
        <v>1553</v>
      </c>
      <c r="E125" s="784">
        <f>480*0.6*55.26*1.4*1.1*1.3</f>
        <v>31861.589759999999</v>
      </c>
    </row>
    <row r="126" spans="1:5" x14ac:dyDescent="0.2">
      <c r="A126" s="779"/>
      <c r="B126" s="782"/>
      <c r="C126" s="401" t="s">
        <v>1325</v>
      </c>
      <c r="D126" s="779"/>
      <c r="E126" s="785"/>
    </row>
    <row r="127" spans="1:5" x14ac:dyDescent="0.2">
      <c r="A127" s="779"/>
      <c r="B127" s="782"/>
      <c r="C127" s="401" t="s">
        <v>1326</v>
      </c>
      <c r="D127" s="779"/>
      <c r="E127" s="785"/>
    </row>
    <row r="128" spans="1:5" x14ac:dyDescent="0.2">
      <c r="A128" s="779"/>
      <c r="B128" s="782"/>
      <c r="C128" s="401" t="s">
        <v>1334</v>
      </c>
      <c r="D128" s="779"/>
      <c r="E128" s="785"/>
    </row>
    <row r="129" spans="1:5" x14ac:dyDescent="0.2">
      <c r="A129" s="779"/>
      <c r="B129" s="782"/>
      <c r="C129" s="401" t="s">
        <v>1329</v>
      </c>
      <c r="D129" s="779"/>
      <c r="E129" s="785"/>
    </row>
    <row r="130" spans="1:5" x14ac:dyDescent="0.2">
      <c r="A130" s="780"/>
      <c r="B130" s="783"/>
      <c r="C130" s="405" t="s">
        <v>1335</v>
      </c>
      <c r="D130" s="780"/>
      <c r="E130" s="786"/>
    </row>
    <row r="131" spans="1:5" ht="25.5" x14ac:dyDescent="0.2">
      <c r="A131" s="778">
        <v>27</v>
      </c>
      <c r="B131" s="781" t="s">
        <v>1336</v>
      </c>
      <c r="C131" s="401" t="s">
        <v>1337</v>
      </c>
      <c r="D131" s="778" t="s">
        <v>1543</v>
      </c>
      <c r="E131" s="784">
        <f>(1020+15*11)*0.52*7.22</f>
        <v>4448.9639999999999</v>
      </c>
    </row>
    <row r="132" spans="1:5" x14ac:dyDescent="0.2">
      <c r="A132" s="779"/>
      <c r="B132" s="782"/>
      <c r="C132" s="401" t="s">
        <v>1339</v>
      </c>
      <c r="D132" s="779"/>
      <c r="E132" s="785"/>
    </row>
    <row r="133" spans="1:5" x14ac:dyDescent="0.2">
      <c r="A133" s="780"/>
      <c r="B133" s="783"/>
      <c r="C133" s="405" t="s">
        <v>1340</v>
      </c>
      <c r="D133" s="780"/>
      <c r="E133" s="786"/>
    </row>
    <row r="134" spans="1:5" ht="25.5" x14ac:dyDescent="0.2">
      <c r="A134" s="778">
        <v>28</v>
      </c>
      <c r="B134" s="781" t="s">
        <v>1341</v>
      </c>
      <c r="C134" s="401" t="s">
        <v>1342</v>
      </c>
      <c r="D134" s="778" t="s">
        <v>1544</v>
      </c>
      <c r="E134" s="784">
        <f>(1650+76*11)*0.52*7.22</f>
        <v>9333.4383999999991</v>
      </c>
    </row>
    <row r="135" spans="1:5" x14ac:dyDescent="0.2">
      <c r="A135" s="779"/>
      <c r="B135" s="782"/>
      <c r="C135" s="401" t="s">
        <v>1339</v>
      </c>
      <c r="D135" s="779"/>
      <c r="E135" s="785"/>
    </row>
    <row r="136" spans="1:5" x14ac:dyDescent="0.2">
      <c r="A136" s="780"/>
      <c r="B136" s="783"/>
      <c r="C136" s="405" t="s">
        <v>1340</v>
      </c>
      <c r="D136" s="780"/>
      <c r="E136" s="786"/>
    </row>
    <row r="137" spans="1:5" ht="25.5" x14ac:dyDescent="0.2">
      <c r="A137" s="778">
        <v>29</v>
      </c>
      <c r="B137" s="781" t="s">
        <v>1344</v>
      </c>
      <c r="C137" s="401" t="s">
        <v>1345</v>
      </c>
      <c r="D137" s="778" t="s">
        <v>1530</v>
      </c>
      <c r="E137" s="784">
        <f>(1950+19*10)*0.52*7.22</f>
        <v>8034.4159999999993</v>
      </c>
    </row>
    <row r="138" spans="1:5" x14ac:dyDescent="0.2">
      <c r="A138" s="779"/>
      <c r="B138" s="782"/>
      <c r="C138" s="401" t="s">
        <v>1339</v>
      </c>
      <c r="D138" s="779"/>
      <c r="E138" s="785"/>
    </row>
    <row r="139" spans="1:5" x14ac:dyDescent="0.2">
      <c r="A139" s="780"/>
      <c r="B139" s="783"/>
      <c r="C139" s="405" t="s">
        <v>1340</v>
      </c>
      <c r="D139" s="780"/>
      <c r="E139" s="786"/>
    </row>
    <row r="140" spans="1:5" ht="25.5" x14ac:dyDescent="0.2">
      <c r="A140" s="778">
        <v>30</v>
      </c>
      <c r="B140" s="781" t="s">
        <v>1347</v>
      </c>
      <c r="C140" s="401" t="s">
        <v>1348</v>
      </c>
      <c r="D140" s="778" t="s">
        <v>1531</v>
      </c>
      <c r="E140" s="784">
        <f>(2450+3680*1)*0.5*7.22</f>
        <v>22129.3</v>
      </c>
    </row>
    <row r="141" spans="1:5" x14ac:dyDescent="0.2">
      <c r="A141" s="779"/>
      <c r="B141" s="782"/>
      <c r="C141" s="401" t="s">
        <v>1350</v>
      </c>
      <c r="D141" s="779"/>
      <c r="E141" s="785"/>
    </row>
    <row r="142" spans="1:5" x14ac:dyDescent="0.2">
      <c r="A142" s="780"/>
      <c r="B142" s="783"/>
      <c r="C142" s="405" t="s">
        <v>1340</v>
      </c>
      <c r="D142" s="780"/>
      <c r="E142" s="786"/>
    </row>
    <row r="143" spans="1:5" ht="25.5" x14ac:dyDescent="0.2">
      <c r="A143" s="778">
        <v>31</v>
      </c>
      <c r="B143" s="781" t="s">
        <v>1351</v>
      </c>
      <c r="C143" s="401" t="s">
        <v>1352</v>
      </c>
      <c r="D143" s="778" t="s">
        <v>1545</v>
      </c>
      <c r="E143" s="784">
        <f>(2450+3680*11)*0.5*7.22</f>
        <v>154977.29999999999</v>
      </c>
    </row>
    <row r="144" spans="1:5" x14ac:dyDescent="0.2">
      <c r="A144" s="779"/>
      <c r="B144" s="782"/>
      <c r="C144" s="401" t="s">
        <v>1350</v>
      </c>
      <c r="D144" s="779"/>
      <c r="E144" s="785"/>
    </row>
    <row r="145" spans="1:5" x14ac:dyDescent="0.2">
      <c r="A145" s="780"/>
      <c r="B145" s="783"/>
      <c r="C145" s="405" t="s">
        <v>1340</v>
      </c>
      <c r="D145" s="780"/>
      <c r="E145" s="786"/>
    </row>
    <row r="146" spans="1:5" ht="25.5" x14ac:dyDescent="0.2">
      <c r="A146" s="778">
        <v>32</v>
      </c>
      <c r="B146" s="781" t="s">
        <v>1369</v>
      </c>
      <c r="C146" s="401" t="s">
        <v>1355</v>
      </c>
      <c r="D146" s="778" t="s">
        <v>1554</v>
      </c>
      <c r="E146" s="784">
        <f>(25980+4623*5)*0.58*7.22</f>
        <v>205590.22199999998</v>
      </c>
    </row>
    <row r="147" spans="1:5" x14ac:dyDescent="0.2">
      <c r="A147" s="779"/>
      <c r="B147" s="782"/>
      <c r="C147" s="401" t="s">
        <v>1357</v>
      </c>
      <c r="D147" s="779"/>
      <c r="E147" s="785"/>
    </row>
    <row r="148" spans="1:5" x14ac:dyDescent="0.2">
      <c r="A148" s="780"/>
      <c r="B148" s="783"/>
      <c r="C148" s="405" t="s">
        <v>1340</v>
      </c>
      <c r="D148" s="780"/>
      <c r="E148" s="786"/>
    </row>
    <row r="149" spans="1:5" ht="38.25" x14ac:dyDescent="0.2">
      <c r="A149" s="403"/>
      <c r="B149" s="405" t="s">
        <v>1555</v>
      </c>
      <c r="C149" s="405"/>
      <c r="D149" s="406"/>
      <c r="E149" s="427">
        <f>SUM(E118:E148)</f>
        <v>487581.35655999999</v>
      </c>
    </row>
    <row r="150" spans="1:5" x14ac:dyDescent="0.2">
      <c r="A150" s="790" t="s">
        <v>916</v>
      </c>
      <c r="B150" s="791"/>
      <c r="C150" s="791"/>
      <c r="D150" s="791"/>
      <c r="E150" s="792"/>
    </row>
    <row r="151" spans="1:5" ht="25.5" x14ac:dyDescent="0.2">
      <c r="A151" s="778">
        <v>33</v>
      </c>
      <c r="B151" s="781" t="s">
        <v>1556</v>
      </c>
      <c r="C151" s="401" t="s">
        <v>1375</v>
      </c>
      <c r="D151" s="778" t="s">
        <v>1557</v>
      </c>
      <c r="E151" s="784">
        <f>820*0.6*55.26*1.5*1.2</f>
        <v>48938.255999999994</v>
      </c>
    </row>
    <row r="152" spans="1:5" x14ac:dyDescent="0.2">
      <c r="A152" s="779"/>
      <c r="B152" s="782"/>
      <c r="C152" s="401" t="s">
        <v>1325</v>
      </c>
      <c r="D152" s="779"/>
      <c r="E152" s="785"/>
    </row>
    <row r="153" spans="1:5" x14ac:dyDescent="0.2">
      <c r="A153" s="779"/>
      <c r="B153" s="782"/>
      <c r="C153" s="401" t="s">
        <v>1326</v>
      </c>
      <c r="D153" s="779"/>
      <c r="E153" s="785"/>
    </row>
    <row r="154" spans="1:5" x14ac:dyDescent="0.2">
      <c r="A154" s="779"/>
      <c r="B154" s="782"/>
      <c r="C154" s="401" t="s">
        <v>1327</v>
      </c>
      <c r="D154" s="779"/>
      <c r="E154" s="785"/>
    </row>
    <row r="155" spans="1:5" x14ac:dyDescent="0.2">
      <c r="A155" s="780"/>
      <c r="B155" s="783"/>
      <c r="C155" s="405" t="s">
        <v>1328</v>
      </c>
      <c r="D155" s="780"/>
      <c r="E155" s="786"/>
    </row>
    <row r="156" spans="1:5" ht="25.5" x14ac:dyDescent="0.2">
      <c r="A156" s="778">
        <v>34</v>
      </c>
      <c r="B156" s="781" t="s">
        <v>1558</v>
      </c>
      <c r="C156" s="401" t="s">
        <v>1481</v>
      </c>
      <c r="D156" s="778" t="s">
        <v>1559</v>
      </c>
      <c r="E156" s="784">
        <f>656*0.6*55.26*1.4*1.1</f>
        <v>33495.517439999996</v>
      </c>
    </row>
    <row r="157" spans="1:5" x14ac:dyDescent="0.2">
      <c r="A157" s="779"/>
      <c r="B157" s="782"/>
      <c r="C157" s="401" t="s">
        <v>1325</v>
      </c>
      <c r="D157" s="779"/>
      <c r="E157" s="785"/>
    </row>
    <row r="158" spans="1:5" x14ac:dyDescent="0.2">
      <c r="A158" s="779"/>
      <c r="B158" s="782"/>
      <c r="C158" s="401" t="s">
        <v>1326</v>
      </c>
      <c r="D158" s="779"/>
      <c r="E158" s="785"/>
    </row>
    <row r="159" spans="1:5" x14ac:dyDescent="0.2">
      <c r="A159" s="779"/>
      <c r="B159" s="782"/>
      <c r="C159" s="401" t="s">
        <v>1334</v>
      </c>
      <c r="D159" s="779"/>
      <c r="E159" s="785"/>
    </row>
    <row r="160" spans="1:5" x14ac:dyDescent="0.2">
      <c r="A160" s="780"/>
      <c r="B160" s="783"/>
      <c r="C160" s="405" t="s">
        <v>1329</v>
      </c>
      <c r="D160" s="780"/>
      <c r="E160" s="786"/>
    </row>
    <row r="161" spans="1:5" ht="25.5" x14ac:dyDescent="0.2">
      <c r="A161" s="778">
        <v>35</v>
      </c>
      <c r="B161" s="781" t="s">
        <v>1336</v>
      </c>
      <c r="C161" s="401" t="s">
        <v>1337</v>
      </c>
      <c r="D161" s="778" t="s">
        <v>1543</v>
      </c>
      <c r="E161" s="784">
        <f>(1020+15*11)*0.52*7.22</f>
        <v>4448.9639999999999</v>
      </c>
    </row>
    <row r="162" spans="1:5" x14ac:dyDescent="0.2">
      <c r="A162" s="779"/>
      <c r="B162" s="782"/>
      <c r="C162" s="401" t="s">
        <v>1339</v>
      </c>
      <c r="D162" s="779"/>
      <c r="E162" s="785"/>
    </row>
    <row r="163" spans="1:5" x14ac:dyDescent="0.2">
      <c r="A163" s="780"/>
      <c r="B163" s="783"/>
      <c r="C163" s="405" t="s">
        <v>1340</v>
      </c>
      <c r="D163" s="780"/>
      <c r="E163" s="786"/>
    </row>
    <row r="164" spans="1:5" ht="25.5" x14ac:dyDescent="0.2">
      <c r="A164" s="778">
        <v>36</v>
      </c>
      <c r="B164" s="781" t="s">
        <v>1341</v>
      </c>
      <c r="C164" s="401" t="s">
        <v>1342</v>
      </c>
      <c r="D164" s="778" t="s">
        <v>1544</v>
      </c>
      <c r="E164" s="784">
        <f>(1650+76*11)*0.52*7.22</f>
        <v>9333.4383999999991</v>
      </c>
    </row>
    <row r="165" spans="1:5" x14ac:dyDescent="0.2">
      <c r="A165" s="779"/>
      <c r="B165" s="782"/>
      <c r="C165" s="401" t="s">
        <v>1339</v>
      </c>
      <c r="D165" s="779"/>
      <c r="E165" s="785"/>
    </row>
    <row r="166" spans="1:5" x14ac:dyDescent="0.2">
      <c r="A166" s="780"/>
      <c r="B166" s="783"/>
      <c r="C166" s="405" t="s">
        <v>1340</v>
      </c>
      <c r="D166" s="780"/>
      <c r="E166" s="786"/>
    </row>
    <row r="167" spans="1:5" ht="25.5" x14ac:dyDescent="0.2">
      <c r="A167" s="778">
        <v>37</v>
      </c>
      <c r="B167" s="781" t="s">
        <v>1344</v>
      </c>
      <c r="C167" s="401" t="s">
        <v>1345</v>
      </c>
      <c r="D167" s="778" t="s">
        <v>1530</v>
      </c>
      <c r="E167" s="784">
        <f>(1950+19*10)*0.52*7.22</f>
        <v>8034.4159999999993</v>
      </c>
    </row>
    <row r="168" spans="1:5" x14ac:dyDescent="0.2">
      <c r="A168" s="779"/>
      <c r="B168" s="782"/>
      <c r="C168" s="401" t="s">
        <v>1339</v>
      </c>
      <c r="D168" s="779"/>
      <c r="E168" s="785"/>
    </row>
    <row r="169" spans="1:5" x14ac:dyDescent="0.2">
      <c r="A169" s="780"/>
      <c r="B169" s="783"/>
      <c r="C169" s="405" t="s">
        <v>1340</v>
      </c>
      <c r="D169" s="780"/>
      <c r="E169" s="786"/>
    </row>
    <row r="170" spans="1:5" ht="25.5" x14ac:dyDescent="0.2">
      <c r="A170" s="778">
        <v>38</v>
      </c>
      <c r="B170" s="781" t="s">
        <v>1347</v>
      </c>
      <c r="C170" s="401" t="s">
        <v>1348</v>
      </c>
      <c r="D170" s="778" t="s">
        <v>1531</v>
      </c>
      <c r="E170" s="784">
        <f>(2450+3680*1)*0.5*7.22</f>
        <v>22129.3</v>
      </c>
    </row>
    <row r="171" spans="1:5" x14ac:dyDescent="0.2">
      <c r="A171" s="779"/>
      <c r="B171" s="782"/>
      <c r="C171" s="401" t="s">
        <v>1350</v>
      </c>
      <c r="D171" s="779"/>
      <c r="E171" s="785"/>
    </row>
    <row r="172" spans="1:5" x14ac:dyDescent="0.2">
      <c r="A172" s="780"/>
      <c r="B172" s="783"/>
      <c r="C172" s="405" t="s">
        <v>1340</v>
      </c>
      <c r="D172" s="780"/>
      <c r="E172" s="786"/>
    </row>
    <row r="173" spans="1:5" ht="25.5" x14ac:dyDescent="0.2">
      <c r="A173" s="778">
        <v>39</v>
      </c>
      <c r="B173" s="781" t="s">
        <v>1351</v>
      </c>
      <c r="C173" s="401" t="s">
        <v>1352</v>
      </c>
      <c r="D173" s="778" t="s">
        <v>1545</v>
      </c>
      <c r="E173" s="784">
        <f>(2450+3680*11)*0.5*7.22</f>
        <v>154977.29999999999</v>
      </c>
    </row>
    <row r="174" spans="1:5" x14ac:dyDescent="0.2">
      <c r="A174" s="779"/>
      <c r="B174" s="782"/>
      <c r="C174" s="401" t="s">
        <v>1350</v>
      </c>
      <c r="D174" s="779"/>
      <c r="E174" s="785"/>
    </row>
    <row r="175" spans="1:5" x14ac:dyDescent="0.2">
      <c r="A175" s="780"/>
      <c r="B175" s="783"/>
      <c r="C175" s="405" t="s">
        <v>1340</v>
      </c>
      <c r="D175" s="780"/>
      <c r="E175" s="786"/>
    </row>
    <row r="176" spans="1:5" ht="25.5" x14ac:dyDescent="0.2">
      <c r="A176" s="778">
        <v>40</v>
      </c>
      <c r="B176" s="781" t="s">
        <v>1546</v>
      </c>
      <c r="C176" s="401" t="s">
        <v>1355</v>
      </c>
      <c r="D176" s="778" t="s">
        <v>1560</v>
      </c>
      <c r="E176" s="784">
        <f>(25980+4623*30)*0.58*7.22</f>
        <v>689572.09199999995</v>
      </c>
    </row>
    <row r="177" spans="1:5" x14ac:dyDescent="0.2">
      <c r="A177" s="779"/>
      <c r="B177" s="782"/>
      <c r="C177" s="401" t="s">
        <v>1357</v>
      </c>
      <c r="D177" s="779"/>
      <c r="E177" s="785"/>
    </row>
    <row r="178" spans="1:5" x14ac:dyDescent="0.2">
      <c r="A178" s="780"/>
      <c r="B178" s="783"/>
      <c r="C178" s="405" t="s">
        <v>1340</v>
      </c>
      <c r="D178" s="780"/>
      <c r="E178" s="786"/>
    </row>
    <row r="179" spans="1:5" x14ac:dyDescent="0.2">
      <c r="A179" s="403"/>
      <c r="B179" s="405" t="s">
        <v>1561</v>
      </c>
      <c r="C179" s="405"/>
      <c r="D179" s="406"/>
      <c r="E179" s="427">
        <f>SUM(E151:E178)</f>
        <v>970929.28383999993</v>
      </c>
    </row>
    <row r="180" spans="1:5" x14ac:dyDescent="0.2">
      <c r="A180" s="790" t="s">
        <v>1562</v>
      </c>
      <c r="B180" s="791"/>
      <c r="C180" s="791"/>
      <c r="D180" s="791"/>
      <c r="E180" s="792"/>
    </row>
    <row r="181" spans="1:5" ht="25.5" x14ac:dyDescent="0.2">
      <c r="A181" s="778">
        <v>41</v>
      </c>
      <c r="B181" s="781" t="s">
        <v>1360</v>
      </c>
      <c r="C181" s="401" t="s">
        <v>1361</v>
      </c>
      <c r="D181" s="778" t="s">
        <v>1563</v>
      </c>
      <c r="E181" s="784">
        <f>600*0.6*55.26*1.5*1.2</f>
        <v>35808.479999999996</v>
      </c>
    </row>
    <row r="182" spans="1:5" x14ac:dyDescent="0.2">
      <c r="A182" s="779"/>
      <c r="B182" s="782"/>
      <c r="C182" s="401" t="s">
        <v>1325</v>
      </c>
      <c r="D182" s="779"/>
      <c r="E182" s="785"/>
    </row>
    <row r="183" spans="1:5" x14ac:dyDescent="0.2">
      <c r="A183" s="779"/>
      <c r="B183" s="782"/>
      <c r="C183" s="401" t="s">
        <v>1326</v>
      </c>
      <c r="D183" s="779"/>
      <c r="E183" s="785"/>
    </row>
    <row r="184" spans="1:5" x14ac:dyDescent="0.2">
      <c r="A184" s="779"/>
      <c r="B184" s="782"/>
      <c r="C184" s="401" t="s">
        <v>1327</v>
      </c>
      <c r="D184" s="779"/>
      <c r="E184" s="785"/>
    </row>
    <row r="185" spans="1:5" x14ac:dyDescent="0.2">
      <c r="A185" s="780"/>
      <c r="B185" s="783"/>
      <c r="C185" s="405" t="s">
        <v>1328</v>
      </c>
      <c r="D185" s="780"/>
      <c r="E185" s="786"/>
    </row>
    <row r="186" spans="1:5" ht="25.5" x14ac:dyDescent="0.2">
      <c r="A186" s="778">
        <v>42</v>
      </c>
      <c r="B186" s="781" t="s">
        <v>1363</v>
      </c>
      <c r="C186" s="401" t="s">
        <v>1364</v>
      </c>
      <c r="D186" s="778" t="s">
        <v>1564</v>
      </c>
      <c r="E186" s="784">
        <f>480*0.6*55.26*1.4</f>
        <v>22280.831999999999</v>
      </c>
    </row>
    <row r="187" spans="1:5" x14ac:dyDescent="0.2">
      <c r="A187" s="779"/>
      <c r="B187" s="782"/>
      <c r="C187" s="401" t="s">
        <v>1325</v>
      </c>
      <c r="D187" s="779"/>
      <c r="E187" s="785"/>
    </row>
    <row r="188" spans="1:5" x14ac:dyDescent="0.2">
      <c r="A188" s="779"/>
      <c r="B188" s="782"/>
      <c r="C188" s="401" t="s">
        <v>1326</v>
      </c>
      <c r="D188" s="779"/>
      <c r="E188" s="785"/>
    </row>
    <row r="189" spans="1:5" x14ac:dyDescent="0.2">
      <c r="A189" s="780"/>
      <c r="B189" s="783"/>
      <c r="C189" s="405" t="s">
        <v>1334</v>
      </c>
      <c r="D189" s="780"/>
      <c r="E189" s="786"/>
    </row>
    <row r="190" spans="1:5" ht="25.5" x14ac:dyDescent="0.2">
      <c r="A190" s="778">
        <v>43</v>
      </c>
      <c r="B190" s="781" t="s">
        <v>1336</v>
      </c>
      <c r="C190" s="401" t="s">
        <v>1337</v>
      </c>
      <c r="D190" s="778" t="s">
        <v>1565</v>
      </c>
      <c r="E190" s="784">
        <f>(1020+15*10)*0.52*7.22</f>
        <v>4392.6480000000001</v>
      </c>
    </row>
    <row r="191" spans="1:5" x14ac:dyDescent="0.2">
      <c r="A191" s="779"/>
      <c r="B191" s="782"/>
      <c r="C191" s="401" t="s">
        <v>1339</v>
      </c>
      <c r="D191" s="779"/>
      <c r="E191" s="785"/>
    </row>
    <row r="192" spans="1:5" x14ac:dyDescent="0.2">
      <c r="A192" s="780"/>
      <c r="B192" s="783"/>
      <c r="C192" s="405" t="s">
        <v>1340</v>
      </c>
      <c r="D192" s="780"/>
      <c r="E192" s="786"/>
    </row>
    <row r="193" spans="1:5" ht="25.5" x14ac:dyDescent="0.2">
      <c r="A193" s="778">
        <v>44</v>
      </c>
      <c r="B193" s="781" t="s">
        <v>1341</v>
      </c>
      <c r="C193" s="401" t="s">
        <v>1342</v>
      </c>
      <c r="D193" s="778" t="s">
        <v>1566</v>
      </c>
      <c r="E193" s="784">
        <f>(1650+76*10)*0.52*7.22</f>
        <v>9048.1039999999994</v>
      </c>
    </row>
    <row r="194" spans="1:5" x14ac:dyDescent="0.2">
      <c r="A194" s="779"/>
      <c r="B194" s="782"/>
      <c r="C194" s="401" t="s">
        <v>1339</v>
      </c>
      <c r="D194" s="779"/>
      <c r="E194" s="785"/>
    </row>
    <row r="195" spans="1:5" x14ac:dyDescent="0.2">
      <c r="A195" s="780"/>
      <c r="B195" s="783"/>
      <c r="C195" s="405" t="s">
        <v>1340</v>
      </c>
      <c r="D195" s="780"/>
      <c r="E195" s="786"/>
    </row>
    <row r="196" spans="1:5" ht="25.5" x14ac:dyDescent="0.2">
      <c r="A196" s="778">
        <v>45</v>
      </c>
      <c r="B196" s="781" t="s">
        <v>1344</v>
      </c>
      <c r="C196" s="401" t="s">
        <v>1345</v>
      </c>
      <c r="D196" s="778" t="s">
        <v>1530</v>
      </c>
      <c r="E196" s="784">
        <f>(1950+19*10)*0.52*7.22</f>
        <v>8034.4159999999993</v>
      </c>
    </row>
    <row r="197" spans="1:5" x14ac:dyDescent="0.2">
      <c r="A197" s="779"/>
      <c r="B197" s="782"/>
      <c r="C197" s="401" t="s">
        <v>1339</v>
      </c>
      <c r="D197" s="779"/>
      <c r="E197" s="785"/>
    </row>
    <row r="198" spans="1:5" x14ac:dyDescent="0.2">
      <c r="A198" s="780"/>
      <c r="B198" s="783"/>
      <c r="C198" s="405" t="s">
        <v>1340</v>
      </c>
      <c r="D198" s="780"/>
      <c r="E198" s="786"/>
    </row>
    <row r="199" spans="1:5" ht="25.5" x14ac:dyDescent="0.2">
      <c r="A199" s="778">
        <v>46</v>
      </c>
      <c r="B199" s="781" t="s">
        <v>1347</v>
      </c>
      <c r="C199" s="401" t="s">
        <v>1348</v>
      </c>
      <c r="D199" s="778" t="s">
        <v>1531</v>
      </c>
      <c r="E199" s="784">
        <f>(2450+3680*1)*0.5*7.22</f>
        <v>22129.3</v>
      </c>
    </row>
    <row r="200" spans="1:5" x14ac:dyDescent="0.2">
      <c r="A200" s="779"/>
      <c r="B200" s="782"/>
      <c r="C200" s="401" t="s">
        <v>1350</v>
      </c>
      <c r="D200" s="779"/>
      <c r="E200" s="785"/>
    </row>
    <row r="201" spans="1:5" x14ac:dyDescent="0.2">
      <c r="A201" s="780"/>
      <c r="B201" s="783"/>
      <c r="C201" s="405" t="s">
        <v>1340</v>
      </c>
      <c r="D201" s="780"/>
      <c r="E201" s="786"/>
    </row>
    <row r="202" spans="1:5" ht="25.5" x14ac:dyDescent="0.2">
      <c r="A202" s="778">
        <v>47</v>
      </c>
      <c r="B202" s="781" t="s">
        <v>1351</v>
      </c>
      <c r="C202" s="401" t="s">
        <v>1352</v>
      </c>
      <c r="D202" s="778" t="s">
        <v>1567</v>
      </c>
      <c r="E202" s="784">
        <f>(2450+3680*10)*0.5*7.22</f>
        <v>141692.5</v>
      </c>
    </row>
    <row r="203" spans="1:5" x14ac:dyDescent="0.2">
      <c r="A203" s="779"/>
      <c r="B203" s="782"/>
      <c r="C203" s="401" t="s">
        <v>1350</v>
      </c>
      <c r="D203" s="779"/>
      <c r="E203" s="785"/>
    </row>
    <row r="204" spans="1:5" x14ac:dyDescent="0.2">
      <c r="A204" s="780"/>
      <c r="B204" s="783"/>
      <c r="C204" s="405" t="s">
        <v>1340</v>
      </c>
      <c r="D204" s="780"/>
      <c r="E204" s="786"/>
    </row>
    <row r="205" spans="1:5" ht="25.5" x14ac:dyDescent="0.2">
      <c r="A205" s="778">
        <v>48</v>
      </c>
      <c r="B205" s="781" t="s">
        <v>1369</v>
      </c>
      <c r="C205" s="401" t="s">
        <v>1355</v>
      </c>
      <c r="D205" s="778" t="s">
        <v>1547</v>
      </c>
      <c r="E205" s="784">
        <f>(25980+4623*10)*0.58*7.22</f>
        <v>302386.59599999996</v>
      </c>
    </row>
    <row r="206" spans="1:5" x14ac:dyDescent="0.2">
      <c r="A206" s="779"/>
      <c r="B206" s="782"/>
      <c r="C206" s="401" t="s">
        <v>1357</v>
      </c>
      <c r="D206" s="779"/>
      <c r="E206" s="785"/>
    </row>
    <row r="207" spans="1:5" x14ac:dyDescent="0.2">
      <c r="A207" s="780"/>
      <c r="B207" s="783"/>
      <c r="C207" s="405" t="s">
        <v>1340</v>
      </c>
      <c r="D207" s="780"/>
      <c r="E207" s="786"/>
    </row>
    <row r="208" spans="1:5" ht="25.5" x14ac:dyDescent="0.2">
      <c r="A208" s="403"/>
      <c r="B208" s="405" t="s">
        <v>1568</v>
      </c>
      <c r="C208" s="405"/>
      <c r="D208" s="406"/>
      <c r="E208" s="427">
        <f>SUM(E181:E207)</f>
        <v>545772.87599999993</v>
      </c>
    </row>
    <row r="209" spans="1:5" x14ac:dyDescent="0.2">
      <c r="A209" s="790" t="s">
        <v>1277</v>
      </c>
      <c r="B209" s="791"/>
      <c r="C209" s="791"/>
      <c r="D209" s="791"/>
      <c r="E209" s="792"/>
    </row>
    <row r="210" spans="1:5" ht="25.5" x14ac:dyDescent="0.2">
      <c r="A210" s="778">
        <v>49</v>
      </c>
      <c r="B210" s="781" t="s">
        <v>1374</v>
      </c>
      <c r="C210" s="401" t="s">
        <v>1375</v>
      </c>
      <c r="D210" s="778" t="s">
        <v>1557</v>
      </c>
      <c r="E210" s="784">
        <f>820*0.6*55.26*1.5*1.2</f>
        <v>48938.255999999994</v>
      </c>
    </row>
    <row r="211" spans="1:5" x14ac:dyDescent="0.2">
      <c r="A211" s="779"/>
      <c r="B211" s="782"/>
      <c r="C211" s="401" t="s">
        <v>1325</v>
      </c>
      <c r="D211" s="779"/>
      <c r="E211" s="785"/>
    </row>
    <row r="212" spans="1:5" x14ac:dyDescent="0.2">
      <c r="A212" s="779"/>
      <c r="B212" s="782"/>
      <c r="C212" s="401" t="s">
        <v>1326</v>
      </c>
      <c r="D212" s="779"/>
      <c r="E212" s="785"/>
    </row>
    <row r="213" spans="1:5" x14ac:dyDescent="0.2">
      <c r="A213" s="779"/>
      <c r="B213" s="782"/>
      <c r="C213" s="401" t="s">
        <v>1327</v>
      </c>
      <c r="D213" s="779"/>
      <c r="E213" s="785"/>
    </row>
    <row r="214" spans="1:5" x14ac:dyDescent="0.2">
      <c r="A214" s="780"/>
      <c r="B214" s="783"/>
      <c r="C214" s="405" t="s">
        <v>1328</v>
      </c>
      <c r="D214" s="780"/>
      <c r="E214" s="786"/>
    </row>
    <row r="215" spans="1:5" ht="25.5" x14ac:dyDescent="0.2">
      <c r="A215" s="778">
        <v>50</v>
      </c>
      <c r="B215" s="781" t="s">
        <v>1505</v>
      </c>
      <c r="C215" s="401" t="s">
        <v>1378</v>
      </c>
      <c r="D215" s="778" t="s">
        <v>1569</v>
      </c>
      <c r="E215" s="784">
        <f>(2290+5510*3.68)*0.62*7.22</f>
        <v>101018.02351999999</v>
      </c>
    </row>
    <row r="216" spans="1:5" x14ac:dyDescent="0.2">
      <c r="A216" s="779"/>
      <c r="B216" s="782"/>
      <c r="C216" s="401" t="s">
        <v>1380</v>
      </c>
      <c r="D216" s="779"/>
      <c r="E216" s="785"/>
    </row>
    <row r="217" spans="1:5" x14ac:dyDescent="0.2">
      <c r="A217" s="780"/>
      <c r="B217" s="783"/>
      <c r="C217" s="405" t="s">
        <v>1340</v>
      </c>
      <c r="D217" s="780"/>
      <c r="E217" s="786"/>
    </row>
    <row r="218" spans="1:5" ht="25.5" x14ac:dyDescent="0.2">
      <c r="A218" s="778">
        <v>51</v>
      </c>
      <c r="B218" s="781" t="s">
        <v>1381</v>
      </c>
      <c r="C218" s="401" t="s">
        <v>1355</v>
      </c>
      <c r="D218" s="778" t="s">
        <v>1547</v>
      </c>
      <c r="E218" s="784">
        <f>(25980+4623*10)*0.58*7.22</f>
        <v>302386.59599999996</v>
      </c>
    </row>
    <row r="219" spans="1:5" x14ac:dyDescent="0.2">
      <c r="A219" s="779"/>
      <c r="B219" s="782"/>
      <c r="C219" s="401" t="s">
        <v>1357</v>
      </c>
      <c r="D219" s="779"/>
      <c r="E219" s="785"/>
    </row>
    <row r="220" spans="1:5" x14ac:dyDescent="0.2">
      <c r="A220" s="780"/>
      <c r="B220" s="783"/>
      <c r="C220" s="405" t="s">
        <v>1340</v>
      </c>
      <c r="D220" s="780"/>
      <c r="E220" s="786"/>
    </row>
    <row r="221" spans="1:5" ht="25.5" x14ac:dyDescent="0.2">
      <c r="A221" s="778">
        <v>52</v>
      </c>
      <c r="B221" s="781" t="s">
        <v>1570</v>
      </c>
      <c r="C221" s="401" t="s">
        <v>1378</v>
      </c>
      <c r="D221" s="778" t="s">
        <v>1571</v>
      </c>
      <c r="E221" s="784">
        <f>(2290+5510*1.8)*0.62*7.22</f>
        <v>54647.891199999998</v>
      </c>
    </row>
    <row r="222" spans="1:5" x14ac:dyDescent="0.2">
      <c r="A222" s="779"/>
      <c r="B222" s="782"/>
      <c r="C222" s="401" t="s">
        <v>1380</v>
      </c>
      <c r="D222" s="779"/>
      <c r="E222" s="785"/>
    </row>
    <row r="223" spans="1:5" x14ac:dyDescent="0.2">
      <c r="A223" s="780"/>
      <c r="B223" s="783"/>
      <c r="C223" s="405" t="s">
        <v>1340</v>
      </c>
      <c r="D223" s="780"/>
      <c r="E223" s="786"/>
    </row>
    <row r="224" spans="1:5" ht="25.5" x14ac:dyDescent="0.2">
      <c r="A224" s="778">
        <v>53</v>
      </c>
      <c r="B224" s="781" t="s">
        <v>1384</v>
      </c>
      <c r="C224" s="401" t="s">
        <v>1385</v>
      </c>
      <c r="D224" s="778" t="s">
        <v>1572</v>
      </c>
      <c r="E224" s="784">
        <f>85450*0.5*7.22</f>
        <v>308474.5</v>
      </c>
    </row>
    <row r="225" spans="1:5" x14ac:dyDescent="0.2">
      <c r="A225" s="779"/>
      <c r="B225" s="782"/>
      <c r="C225" s="401" t="s">
        <v>1458</v>
      </c>
      <c r="D225" s="779"/>
      <c r="E225" s="785"/>
    </row>
    <row r="226" spans="1:5" x14ac:dyDescent="0.2">
      <c r="A226" s="780"/>
      <c r="B226" s="783"/>
      <c r="C226" s="405" t="s">
        <v>1340</v>
      </c>
      <c r="D226" s="780"/>
      <c r="E226" s="786"/>
    </row>
    <row r="227" spans="1:5" ht="25.5" x14ac:dyDescent="0.2">
      <c r="A227" s="778">
        <v>54</v>
      </c>
      <c r="B227" s="781" t="s">
        <v>1388</v>
      </c>
      <c r="C227" s="401" t="s">
        <v>1389</v>
      </c>
      <c r="D227" s="778" t="s">
        <v>1573</v>
      </c>
      <c r="E227" s="784">
        <f>(36610+4570*26.4)*0.5*1.1*7.22</f>
        <v>624471.51800000004</v>
      </c>
    </row>
    <row r="228" spans="1:5" x14ac:dyDescent="0.2">
      <c r="A228" s="779"/>
      <c r="B228" s="782"/>
      <c r="C228" s="401" t="s">
        <v>1458</v>
      </c>
      <c r="D228" s="779"/>
      <c r="E228" s="785"/>
    </row>
    <row r="229" spans="1:5" x14ac:dyDescent="0.2">
      <c r="A229" s="779"/>
      <c r="B229" s="782"/>
      <c r="C229" s="401" t="s">
        <v>1391</v>
      </c>
      <c r="D229" s="779"/>
      <c r="E229" s="785"/>
    </row>
    <row r="230" spans="1:5" x14ac:dyDescent="0.2">
      <c r="A230" s="780"/>
      <c r="B230" s="783"/>
      <c r="C230" s="405" t="s">
        <v>1340</v>
      </c>
      <c r="D230" s="780"/>
      <c r="E230" s="786"/>
    </row>
    <row r="231" spans="1:5" ht="25.5" x14ac:dyDescent="0.2">
      <c r="A231" s="778">
        <v>55</v>
      </c>
      <c r="B231" s="781" t="s">
        <v>1392</v>
      </c>
      <c r="C231" s="401" t="s">
        <v>1393</v>
      </c>
      <c r="D231" s="778" t="s">
        <v>1574</v>
      </c>
      <c r="E231" s="784">
        <f>2400*0.5*7.22</f>
        <v>8664</v>
      </c>
    </row>
    <row r="232" spans="1:5" x14ac:dyDescent="0.2">
      <c r="A232" s="779"/>
      <c r="B232" s="782"/>
      <c r="C232" s="401" t="s">
        <v>1458</v>
      </c>
      <c r="D232" s="779"/>
      <c r="E232" s="785"/>
    </row>
    <row r="233" spans="1:5" x14ac:dyDescent="0.2">
      <c r="A233" s="780"/>
      <c r="B233" s="783"/>
      <c r="C233" s="405" t="s">
        <v>1340</v>
      </c>
      <c r="D233" s="780"/>
      <c r="E233" s="786"/>
    </row>
    <row r="234" spans="1:5" ht="25.5" x14ac:dyDescent="0.2">
      <c r="A234" s="778">
        <v>56</v>
      </c>
      <c r="B234" s="781" t="s">
        <v>1395</v>
      </c>
      <c r="C234" s="401" t="s">
        <v>1378</v>
      </c>
      <c r="D234" s="778" t="s">
        <v>1575</v>
      </c>
      <c r="E234" s="784">
        <f>(2290+5510*5)*0.62*7.22</f>
        <v>133575.77599999998</v>
      </c>
    </row>
    <row r="235" spans="1:5" x14ac:dyDescent="0.2">
      <c r="A235" s="779"/>
      <c r="B235" s="782"/>
      <c r="C235" s="401" t="s">
        <v>1380</v>
      </c>
      <c r="D235" s="779"/>
      <c r="E235" s="785"/>
    </row>
    <row r="236" spans="1:5" x14ac:dyDescent="0.2">
      <c r="A236" s="780"/>
      <c r="B236" s="783"/>
      <c r="C236" s="405" t="s">
        <v>1340</v>
      </c>
      <c r="D236" s="780"/>
      <c r="E236" s="786"/>
    </row>
    <row r="237" spans="1:5" ht="25.5" x14ac:dyDescent="0.2">
      <c r="A237" s="778">
        <v>57</v>
      </c>
      <c r="B237" s="781" t="s">
        <v>1397</v>
      </c>
      <c r="C237" s="401" t="s">
        <v>1348</v>
      </c>
      <c r="D237" s="778" t="s">
        <v>1567</v>
      </c>
      <c r="E237" s="784">
        <f>(2450+3680*10)*0.5*7.22</f>
        <v>141692.5</v>
      </c>
    </row>
    <row r="238" spans="1:5" x14ac:dyDescent="0.2">
      <c r="A238" s="779"/>
      <c r="B238" s="782"/>
      <c r="C238" s="401" t="s">
        <v>1458</v>
      </c>
      <c r="D238" s="779"/>
      <c r="E238" s="785"/>
    </row>
    <row r="239" spans="1:5" x14ac:dyDescent="0.2">
      <c r="A239" s="780"/>
      <c r="B239" s="783"/>
      <c r="C239" s="405" t="s">
        <v>1340</v>
      </c>
      <c r="D239" s="780"/>
      <c r="E239" s="786"/>
    </row>
    <row r="240" spans="1:5" x14ac:dyDescent="0.2">
      <c r="A240" s="403">
        <v>58</v>
      </c>
      <c r="B240" s="405" t="s">
        <v>1399</v>
      </c>
      <c r="C240" s="405"/>
      <c r="D240" s="406"/>
      <c r="E240" s="427">
        <f>SUM(E210:E239)</f>
        <v>1723869.06072</v>
      </c>
    </row>
    <row r="241" spans="1:5" ht="25.5" x14ac:dyDescent="0.2">
      <c r="A241" s="403">
        <v>59</v>
      </c>
      <c r="B241" s="405" t="s">
        <v>1576</v>
      </c>
      <c r="C241" s="405"/>
      <c r="D241" s="406"/>
      <c r="E241" s="407">
        <f>E240+E208+E179+E149+E116+E83+E50</f>
        <v>6479739.1070559993</v>
      </c>
    </row>
    <row r="242" spans="1:5" ht="51" x14ac:dyDescent="0.2">
      <c r="A242" s="403">
        <v>60</v>
      </c>
      <c r="B242" s="408" t="s">
        <v>1401</v>
      </c>
      <c r="C242" s="408" t="s">
        <v>1402</v>
      </c>
      <c r="D242" s="408" t="s">
        <v>1403</v>
      </c>
      <c r="E242" s="409">
        <f>E241*0.8</f>
        <v>5183791.2856447995</v>
      </c>
    </row>
    <row r="243" spans="1:5" ht="25.5" x14ac:dyDescent="0.2">
      <c r="A243" s="403">
        <v>61</v>
      </c>
      <c r="B243" s="505" t="s">
        <v>2317</v>
      </c>
      <c r="C243" s="505" t="s">
        <v>2314</v>
      </c>
      <c r="D243" s="507" t="s">
        <v>2318</v>
      </c>
      <c r="E243" s="409">
        <f>E242*0.7</f>
        <v>3628653.8999513593</v>
      </c>
    </row>
    <row r="244" spans="1:5" ht="12.75" customHeight="1" x14ac:dyDescent="0.2">
      <c r="A244" s="787" t="s">
        <v>252</v>
      </c>
      <c r="B244" s="788"/>
      <c r="C244" s="788"/>
      <c r="D244" s="789"/>
      <c r="E244" s="508">
        <f>E243</f>
        <v>3628653.8999513593</v>
      </c>
    </row>
    <row r="245" spans="1:5" x14ac:dyDescent="0.2">
      <c r="A245" s="448"/>
      <c r="B245" s="448"/>
      <c r="C245" s="448"/>
      <c r="D245" s="448"/>
      <c r="E245" s="449"/>
    </row>
  </sheetData>
  <mergeCells count="241">
    <mergeCell ref="A3:E3"/>
    <mergeCell ref="A4:E4"/>
    <mergeCell ref="C6:E6"/>
    <mergeCell ref="C8:D8"/>
    <mergeCell ref="A17:E17"/>
    <mergeCell ref="A18:E18"/>
    <mergeCell ref="A19:A25"/>
    <mergeCell ref="B19:B25"/>
    <mergeCell ref="D19:D25"/>
    <mergeCell ref="E19:E25"/>
    <mergeCell ref="A26:A31"/>
    <mergeCell ref="B26:B31"/>
    <mergeCell ref="D26:D31"/>
    <mergeCell ref="E26:E31"/>
    <mergeCell ref="A32:A34"/>
    <mergeCell ref="B32:B34"/>
    <mergeCell ref="D32:D34"/>
    <mergeCell ref="E32:E34"/>
    <mergeCell ref="A35:A37"/>
    <mergeCell ref="B35:B37"/>
    <mergeCell ref="D35:D37"/>
    <mergeCell ref="E35:E37"/>
    <mergeCell ref="A38:A40"/>
    <mergeCell ref="B38:B40"/>
    <mergeCell ref="D38:D40"/>
    <mergeCell ref="E38:E40"/>
    <mergeCell ref="A41:A43"/>
    <mergeCell ref="B41:B43"/>
    <mergeCell ref="D41:D43"/>
    <mergeCell ref="E41:E43"/>
    <mergeCell ref="A44:A46"/>
    <mergeCell ref="B44:B46"/>
    <mergeCell ref="D44:D46"/>
    <mergeCell ref="E44:E46"/>
    <mergeCell ref="A47:A49"/>
    <mergeCell ref="B47:B49"/>
    <mergeCell ref="D47:D49"/>
    <mergeCell ref="E47:E49"/>
    <mergeCell ref="A51:E51"/>
    <mergeCell ref="A52:A58"/>
    <mergeCell ref="B52:B58"/>
    <mergeCell ref="D52:D58"/>
    <mergeCell ref="E52:E58"/>
    <mergeCell ref="A59:A64"/>
    <mergeCell ref="B59:B64"/>
    <mergeCell ref="D59:D64"/>
    <mergeCell ref="E59:E64"/>
    <mergeCell ref="A65:A67"/>
    <mergeCell ref="B65:B67"/>
    <mergeCell ref="D65:D67"/>
    <mergeCell ref="E65:E67"/>
    <mergeCell ref="A68:A70"/>
    <mergeCell ref="B68:B70"/>
    <mergeCell ref="D68:D70"/>
    <mergeCell ref="E68:E70"/>
    <mergeCell ref="A71:A73"/>
    <mergeCell ref="B71:B73"/>
    <mergeCell ref="D71:D73"/>
    <mergeCell ref="E71:E73"/>
    <mergeCell ref="A74:A76"/>
    <mergeCell ref="B74:B76"/>
    <mergeCell ref="D74:D76"/>
    <mergeCell ref="E74:E76"/>
    <mergeCell ref="A77:A79"/>
    <mergeCell ref="B77:B79"/>
    <mergeCell ref="D77:D79"/>
    <mergeCell ref="E77:E79"/>
    <mergeCell ref="A80:A82"/>
    <mergeCell ref="B80:B82"/>
    <mergeCell ref="D80:D82"/>
    <mergeCell ref="E80:E82"/>
    <mergeCell ref="A84:E84"/>
    <mergeCell ref="A85:A91"/>
    <mergeCell ref="B85:B91"/>
    <mergeCell ref="D85:D91"/>
    <mergeCell ref="E85:E91"/>
    <mergeCell ref="A92:A97"/>
    <mergeCell ref="B92:B97"/>
    <mergeCell ref="D92:D97"/>
    <mergeCell ref="E92:E97"/>
    <mergeCell ref="A98:A100"/>
    <mergeCell ref="B98:B100"/>
    <mergeCell ref="D98:D100"/>
    <mergeCell ref="E98:E100"/>
    <mergeCell ref="A101:A103"/>
    <mergeCell ref="B101:B103"/>
    <mergeCell ref="D101:D103"/>
    <mergeCell ref="E101:E103"/>
    <mergeCell ref="A104:A106"/>
    <mergeCell ref="B104:B106"/>
    <mergeCell ref="D104:D106"/>
    <mergeCell ref="E104:E106"/>
    <mergeCell ref="A107:A109"/>
    <mergeCell ref="B107:B109"/>
    <mergeCell ref="D107:D109"/>
    <mergeCell ref="E107:E109"/>
    <mergeCell ref="A110:A112"/>
    <mergeCell ref="B110:B112"/>
    <mergeCell ref="D110:D112"/>
    <mergeCell ref="E110:E112"/>
    <mergeCell ref="A113:A115"/>
    <mergeCell ref="B113:B115"/>
    <mergeCell ref="D113:D115"/>
    <mergeCell ref="E113:E115"/>
    <mergeCell ref="A117:E117"/>
    <mergeCell ref="A118:A124"/>
    <mergeCell ref="B118:B124"/>
    <mergeCell ref="D118:D124"/>
    <mergeCell ref="E118:E124"/>
    <mergeCell ref="A125:A130"/>
    <mergeCell ref="B125:B130"/>
    <mergeCell ref="D125:D130"/>
    <mergeCell ref="E125:E130"/>
    <mergeCell ref="A131:A133"/>
    <mergeCell ref="B131:B133"/>
    <mergeCell ref="D131:D133"/>
    <mergeCell ref="E131:E133"/>
    <mergeCell ref="A134:A136"/>
    <mergeCell ref="B134:B136"/>
    <mergeCell ref="D134:D136"/>
    <mergeCell ref="E134:E136"/>
    <mergeCell ref="A137:A139"/>
    <mergeCell ref="B137:B139"/>
    <mergeCell ref="D137:D139"/>
    <mergeCell ref="E137:E139"/>
    <mergeCell ref="A140:A142"/>
    <mergeCell ref="B140:B142"/>
    <mergeCell ref="D140:D142"/>
    <mergeCell ref="E140:E142"/>
    <mergeCell ref="A143:A145"/>
    <mergeCell ref="B143:B145"/>
    <mergeCell ref="D143:D145"/>
    <mergeCell ref="E143:E145"/>
    <mergeCell ref="A146:A148"/>
    <mergeCell ref="B146:B148"/>
    <mergeCell ref="D146:D148"/>
    <mergeCell ref="E146:E148"/>
    <mergeCell ref="A150:E150"/>
    <mergeCell ref="A151:A155"/>
    <mergeCell ref="B151:B155"/>
    <mergeCell ref="D151:D155"/>
    <mergeCell ref="E151:E155"/>
    <mergeCell ref="A156:A160"/>
    <mergeCell ref="B156:B160"/>
    <mergeCell ref="D156:D160"/>
    <mergeCell ref="E156:E160"/>
    <mergeCell ref="A161:A163"/>
    <mergeCell ref="B161:B163"/>
    <mergeCell ref="D161:D163"/>
    <mergeCell ref="E161:E163"/>
    <mergeCell ref="A164:A166"/>
    <mergeCell ref="B164:B166"/>
    <mergeCell ref="D164:D166"/>
    <mergeCell ref="E164:E166"/>
    <mergeCell ref="A167:A169"/>
    <mergeCell ref="B167:B169"/>
    <mergeCell ref="D167:D169"/>
    <mergeCell ref="E167:E169"/>
    <mergeCell ref="A170:A172"/>
    <mergeCell ref="B170:B172"/>
    <mergeCell ref="D170:D172"/>
    <mergeCell ref="E170:E172"/>
    <mergeCell ref="A173:A175"/>
    <mergeCell ref="B173:B175"/>
    <mergeCell ref="D173:D175"/>
    <mergeCell ref="E173:E175"/>
    <mergeCell ref="A176:A178"/>
    <mergeCell ref="B176:B178"/>
    <mergeCell ref="D176:D178"/>
    <mergeCell ref="E176:E178"/>
    <mergeCell ref="A180:E180"/>
    <mergeCell ref="A181:A185"/>
    <mergeCell ref="B181:B185"/>
    <mergeCell ref="D181:D185"/>
    <mergeCell ref="E181:E185"/>
    <mergeCell ref="A186:A189"/>
    <mergeCell ref="B186:B189"/>
    <mergeCell ref="D186:D189"/>
    <mergeCell ref="E186:E189"/>
    <mergeCell ref="A190:A192"/>
    <mergeCell ref="B190:B192"/>
    <mergeCell ref="D190:D192"/>
    <mergeCell ref="E190:E192"/>
    <mergeCell ref="A193:A195"/>
    <mergeCell ref="B193:B195"/>
    <mergeCell ref="D193:D195"/>
    <mergeCell ref="E193:E195"/>
    <mergeCell ref="A196:A198"/>
    <mergeCell ref="B196:B198"/>
    <mergeCell ref="D196:D198"/>
    <mergeCell ref="E196:E198"/>
    <mergeCell ref="A199:A201"/>
    <mergeCell ref="B199:B201"/>
    <mergeCell ref="D199:D201"/>
    <mergeCell ref="E199:E201"/>
    <mergeCell ref="A202:A204"/>
    <mergeCell ref="B202:B204"/>
    <mergeCell ref="D202:D204"/>
    <mergeCell ref="E202:E204"/>
    <mergeCell ref="A205:A207"/>
    <mergeCell ref="B205:B207"/>
    <mergeCell ref="D205:D207"/>
    <mergeCell ref="E205:E207"/>
    <mergeCell ref="A209:E209"/>
    <mergeCell ref="A210:A214"/>
    <mergeCell ref="B210:B214"/>
    <mergeCell ref="D210:D214"/>
    <mergeCell ref="E210:E214"/>
    <mergeCell ref="A215:A217"/>
    <mergeCell ref="B215:B217"/>
    <mergeCell ref="D215:D217"/>
    <mergeCell ref="E215:E217"/>
    <mergeCell ref="A218:A220"/>
    <mergeCell ref="B218:B220"/>
    <mergeCell ref="D218:D220"/>
    <mergeCell ref="E218:E220"/>
    <mergeCell ref="A221:A223"/>
    <mergeCell ref="B221:B223"/>
    <mergeCell ref="D221:D223"/>
    <mergeCell ref="E221:E223"/>
    <mergeCell ref="A224:A226"/>
    <mergeCell ref="B224:B226"/>
    <mergeCell ref="D224:D226"/>
    <mergeCell ref="E224:E226"/>
    <mergeCell ref="A227:A230"/>
    <mergeCell ref="B227:B230"/>
    <mergeCell ref="D227:D230"/>
    <mergeCell ref="E227:E230"/>
    <mergeCell ref="A231:A233"/>
    <mergeCell ref="B231:B233"/>
    <mergeCell ref="D231:D233"/>
    <mergeCell ref="E231:E233"/>
    <mergeCell ref="A234:A236"/>
    <mergeCell ref="B234:B236"/>
    <mergeCell ref="D234:D236"/>
    <mergeCell ref="E234:E236"/>
    <mergeCell ref="A237:A239"/>
    <mergeCell ref="B237:B239"/>
    <mergeCell ref="D237:D239"/>
    <mergeCell ref="E237:E239"/>
    <mergeCell ref="A244:D244"/>
  </mergeCells>
  <conditionalFormatting sqref="C244">
    <cfRule type="containsText" dxfId="32" priority="1" operator="containsText" text="стадия Р">
      <formula>NOT(ISERROR(SEARCH("стадия Р",C244)))</formula>
    </cfRule>
  </conditionalFormatting>
  <pageMargins left="0.23622047244094491" right="0.23622047244094491" top="0.74803149606299213" bottom="0.74803149606299213" header="0.31496062992125984" footer="0.31496062992125984"/>
  <pageSetup paperSize="9" scale="79" fitToHeight="0" orientation="portrait" verticalDpi="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IV931"/>
  <sheetViews>
    <sheetView topLeftCell="A701" zoomScale="70" zoomScaleNormal="70" workbookViewId="0">
      <selection activeCell="E913" sqref="E913"/>
    </sheetView>
  </sheetViews>
  <sheetFormatPr defaultColWidth="9.140625" defaultRowHeight="12.75" x14ac:dyDescent="0.2"/>
  <cols>
    <col min="1" max="1" width="9.140625" style="362"/>
    <col min="2" max="2" width="34.85546875" style="362" customWidth="1"/>
    <col min="3" max="3" width="42.85546875" style="363" customWidth="1"/>
    <col min="4" max="4" width="29.5703125" style="364" customWidth="1"/>
    <col min="5" max="5" width="17.42578125" style="364" customWidth="1"/>
    <col min="6" max="219" width="9.140625" style="362"/>
    <col min="220" max="220" width="28" style="362" customWidth="1"/>
    <col min="221" max="221" width="52" style="362" customWidth="1"/>
    <col min="222" max="222" width="27.28515625" style="362" customWidth="1"/>
    <col min="223" max="223" width="20.5703125" style="362" customWidth="1"/>
    <col min="224" max="225" width="9.140625" style="362"/>
    <col min="226" max="226" width="11.5703125" style="362" bestFit="1" customWidth="1"/>
    <col min="227" max="257" width="9.140625" style="362"/>
    <col min="258" max="258" width="28.7109375" style="362" customWidth="1"/>
    <col min="259" max="259" width="42.85546875" style="362" customWidth="1"/>
    <col min="260" max="260" width="26.28515625" style="362" customWidth="1"/>
    <col min="261" max="261" width="17.42578125" style="362" customWidth="1"/>
    <col min="262" max="475" width="9.140625" style="362"/>
    <col min="476" max="476" width="28" style="362" customWidth="1"/>
    <col min="477" max="477" width="52" style="362" customWidth="1"/>
    <col min="478" max="478" width="27.28515625" style="362" customWidth="1"/>
    <col min="479" max="479" width="20.5703125" style="362" customWidth="1"/>
    <col min="480" max="481" width="9.140625" style="362"/>
    <col min="482" max="482" width="11.5703125" style="362" bestFit="1" customWidth="1"/>
    <col min="483" max="513" width="9.140625" style="362"/>
    <col min="514" max="514" width="28.7109375" style="362" customWidth="1"/>
    <col min="515" max="515" width="42.85546875" style="362" customWidth="1"/>
    <col min="516" max="516" width="26.28515625" style="362" customWidth="1"/>
    <col min="517" max="517" width="17.42578125" style="362" customWidth="1"/>
    <col min="518" max="731" width="9.140625" style="362"/>
    <col min="732" max="732" width="28" style="362" customWidth="1"/>
    <col min="733" max="733" width="52" style="362" customWidth="1"/>
    <col min="734" max="734" width="27.28515625" style="362" customWidth="1"/>
    <col min="735" max="735" width="20.5703125" style="362" customWidth="1"/>
    <col min="736" max="737" width="9.140625" style="362"/>
    <col min="738" max="738" width="11.5703125" style="362" bestFit="1" customWidth="1"/>
    <col min="739" max="769" width="9.140625" style="362"/>
    <col min="770" max="770" width="28.7109375" style="362" customWidth="1"/>
    <col min="771" max="771" width="42.85546875" style="362" customWidth="1"/>
    <col min="772" max="772" width="26.28515625" style="362" customWidth="1"/>
    <col min="773" max="773" width="17.42578125" style="362" customWidth="1"/>
    <col min="774" max="987" width="9.140625" style="362"/>
    <col min="988" max="988" width="28" style="362" customWidth="1"/>
    <col min="989" max="989" width="52" style="362" customWidth="1"/>
    <col min="990" max="990" width="27.28515625" style="362" customWidth="1"/>
    <col min="991" max="991" width="20.5703125" style="362" customWidth="1"/>
    <col min="992" max="993" width="9.140625" style="362"/>
    <col min="994" max="994" width="11.5703125" style="362" bestFit="1" customWidth="1"/>
    <col min="995" max="1025" width="9.140625" style="362"/>
    <col min="1026" max="1026" width="28.7109375" style="362" customWidth="1"/>
    <col min="1027" max="1027" width="42.85546875" style="362" customWidth="1"/>
    <col min="1028" max="1028" width="26.28515625" style="362" customWidth="1"/>
    <col min="1029" max="1029" width="17.42578125" style="362" customWidth="1"/>
    <col min="1030" max="1243" width="9.140625" style="362"/>
    <col min="1244" max="1244" width="28" style="362" customWidth="1"/>
    <col min="1245" max="1245" width="52" style="362" customWidth="1"/>
    <col min="1246" max="1246" width="27.28515625" style="362" customWidth="1"/>
    <col min="1247" max="1247" width="20.5703125" style="362" customWidth="1"/>
    <col min="1248" max="1249" width="9.140625" style="362"/>
    <col min="1250" max="1250" width="11.5703125" style="362" bestFit="1" customWidth="1"/>
    <col min="1251" max="1281" width="9.140625" style="362"/>
    <col min="1282" max="1282" width="28.7109375" style="362" customWidth="1"/>
    <col min="1283" max="1283" width="42.85546875" style="362" customWidth="1"/>
    <col min="1284" max="1284" width="26.28515625" style="362" customWidth="1"/>
    <col min="1285" max="1285" width="17.42578125" style="362" customWidth="1"/>
    <col min="1286" max="1499" width="9.140625" style="362"/>
    <col min="1500" max="1500" width="28" style="362" customWidth="1"/>
    <col min="1501" max="1501" width="52" style="362" customWidth="1"/>
    <col min="1502" max="1502" width="27.28515625" style="362" customWidth="1"/>
    <col min="1503" max="1503" width="20.5703125" style="362" customWidth="1"/>
    <col min="1504" max="1505" width="9.140625" style="362"/>
    <col min="1506" max="1506" width="11.5703125" style="362" bestFit="1" customWidth="1"/>
    <col min="1507" max="1537" width="9.140625" style="362"/>
    <col min="1538" max="1538" width="28.7109375" style="362" customWidth="1"/>
    <col min="1539" max="1539" width="42.85546875" style="362" customWidth="1"/>
    <col min="1540" max="1540" width="26.28515625" style="362" customWidth="1"/>
    <col min="1541" max="1541" width="17.42578125" style="362" customWidth="1"/>
    <col min="1542" max="1755" width="9.140625" style="362"/>
    <col min="1756" max="1756" width="28" style="362" customWidth="1"/>
    <col min="1757" max="1757" width="52" style="362" customWidth="1"/>
    <col min="1758" max="1758" width="27.28515625" style="362" customWidth="1"/>
    <col min="1759" max="1759" width="20.5703125" style="362" customWidth="1"/>
    <col min="1760" max="1761" width="9.140625" style="362"/>
    <col min="1762" max="1762" width="11.5703125" style="362" bestFit="1" customWidth="1"/>
    <col min="1763" max="1793" width="9.140625" style="362"/>
    <col min="1794" max="1794" width="28.7109375" style="362" customWidth="1"/>
    <col min="1795" max="1795" width="42.85546875" style="362" customWidth="1"/>
    <col min="1796" max="1796" width="26.28515625" style="362" customWidth="1"/>
    <col min="1797" max="1797" width="17.42578125" style="362" customWidth="1"/>
    <col min="1798" max="2011" width="9.140625" style="362"/>
    <col min="2012" max="2012" width="28" style="362" customWidth="1"/>
    <col min="2013" max="2013" width="52" style="362" customWidth="1"/>
    <col min="2014" max="2014" width="27.28515625" style="362" customWidth="1"/>
    <col min="2015" max="2015" width="20.5703125" style="362" customWidth="1"/>
    <col min="2016" max="2017" width="9.140625" style="362"/>
    <col min="2018" max="2018" width="11.5703125" style="362" bestFit="1" customWidth="1"/>
    <col min="2019" max="2049" width="9.140625" style="362"/>
    <col min="2050" max="2050" width="28.7109375" style="362" customWidth="1"/>
    <col min="2051" max="2051" width="42.85546875" style="362" customWidth="1"/>
    <col min="2052" max="2052" width="26.28515625" style="362" customWidth="1"/>
    <col min="2053" max="2053" width="17.42578125" style="362" customWidth="1"/>
    <col min="2054" max="2267" width="9.140625" style="362"/>
    <col min="2268" max="2268" width="28" style="362" customWidth="1"/>
    <col min="2269" max="2269" width="52" style="362" customWidth="1"/>
    <col min="2270" max="2270" width="27.28515625" style="362" customWidth="1"/>
    <col min="2271" max="2271" width="20.5703125" style="362" customWidth="1"/>
    <col min="2272" max="2273" width="9.140625" style="362"/>
    <col min="2274" max="2274" width="11.5703125" style="362" bestFit="1" customWidth="1"/>
    <col min="2275" max="2305" width="9.140625" style="362"/>
    <col min="2306" max="2306" width="28.7109375" style="362" customWidth="1"/>
    <col min="2307" max="2307" width="42.85546875" style="362" customWidth="1"/>
    <col min="2308" max="2308" width="26.28515625" style="362" customWidth="1"/>
    <col min="2309" max="2309" width="17.42578125" style="362" customWidth="1"/>
    <col min="2310" max="2523" width="9.140625" style="362"/>
    <col min="2524" max="2524" width="28" style="362" customWidth="1"/>
    <col min="2525" max="2525" width="52" style="362" customWidth="1"/>
    <col min="2526" max="2526" width="27.28515625" style="362" customWidth="1"/>
    <col min="2527" max="2527" width="20.5703125" style="362" customWidth="1"/>
    <col min="2528" max="2529" width="9.140625" style="362"/>
    <col min="2530" max="2530" width="11.5703125" style="362" bestFit="1" customWidth="1"/>
    <col min="2531" max="2561" width="9.140625" style="362"/>
    <col min="2562" max="2562" width="28.7109375" style="362" customWidth="1"/>
    <col min="2563" max="2563" width="42.85546875" style="362" customWidth="1"/>
    <col min="2564" max="2564" width="26.28515625" style="362" customWidth="1"/>
    <col min="2565" max="2565" width="17.42578125" style="362" customWidth="1"/>
    <col min="2566" max="2779" width="9.140625" style="362"/>
    <col min="2780" max="2780" width="28" style="362" customWidth="1"/>
    <col min="2781" max="2781" width="52" style="362" customWidth="1"/>
    <col min="2782" max="2782" width="27.28515625" style="362" customWidth="1"/>
    <col min="2783" max="2783" width="20.5703125" style="362" customWidth="1"/>
    <col min="2784" max="2785" width="9.140625" style="362"/>
    <col min="2786" max="2786" width="11.5703125" style="362" bestFit="1" customWidth="1"/>
    <col min="2787" max="2817" width="9.140625" style="362"/>
    <col min="2818" max="2818" width="28.7109375" style="362" customWidth="1"/>
    <col min="2819" max="2819" width="42.85546875" style="362" customWidth="1"/>
    <col min="2820" max="2820" width="26.28515625" style="362" customWidth="1"/>
    <col min="2821" max="2821" width="17.42578125" style="362" customWidth="1"/>
    <col min="2822" max="3035" width="9.140625" style="362"/>
    <col min="3036" max="3036" width="28" style="362" customWidth="1"/>
    <col min="3037" max="3037" width="52" style="362" customWidth="1"/>
    <col min="3038" max="3038" width="27.28515625" style="362" customWidth="1"/>
    <col min="3039" max="3039" width="20.5703125" style="362" customWidth="1"/>
    <col min="3040" max="3041" width="9.140625" style="362"/>
    <col min="3042" max="3042" width="11.5703125" style="362" bestFit="1" customWidth="1"/>
    <col min="3043" max="3073" width="9.140625" style="362"/>
    <col min="3074" max="3074" width="28.7109375" style="362" customWidth="1"/>
    <col min="3075" max="3075" width="42.85546875" style="362" customWidth="1"/>
    <col min="3076" max="3076" width="26.28515625" style="362" customWidth="1"/>
    <col min="3077" max="3077" width="17.42578125" style="362" customWidth="1"/>
    <col min="3078" max="3291" width="9.140625" style="362"/>
    <col min="3292" max="3292" width="28" style="362" customWidth="1"/>
    <col min="3293" max="3293" width="52" style="362" customWidth="1"/>
    <col min="3294" max="3294" width="27.28515625" style="362" customWidth="1"/>
    <col min="3295" max="3295" width="20.5703125" style="362" customWidth="1"/>
    <col min="3296" max="3297" width="9.140625" style="362"/>
    <col min="3298" max="3298" width="11.5703125" style="362" bestFit="1" customWidth="1"/>
    <col min="3299" max="3329" width="9.140625" style="362"/>
    <col min="3330" max="3330" width="28.7109375" style="362" customWidth="1"/>
    <col min="3331" max="3331" width="42.85546875" style="362" customWidth="1"/>
    <col min="3332" max="3332" width="26.28515625" style="362" customWidth="1"/>
    <col min="3333" max="3333" width="17.42578125" style="362" customWidth="1"/>
    <col min="3334" max="3547" width="9.140625" style="362"/>
    <col min="3548" max="3548" width="28" style="362" customWidth="1"/>
    <col min="3549" max="3549" width="52" style="362" customWidth="1"/>
    <col min="3550" max="3550" width="27.28515625" style="362" customWidth="1"/>
    <col min="3551" max="3551" width="20.5703125" style="362" customWidth="1"/>
    <col min="3552" max="3553" width="9.140625" style="362"/>
    <col min="3554" max="3554" width="11.5703125" style="362" bestFit="1" customWidth="1"/>
    <col min="3555" max="3585" width="9.140625" style="362"/>
    <col min="3586" max="3586" width="28.7109375" style="362" customWidth="1"/>
    <col min="3587" max="3587" width="42.85546875" style="362" customWidth="1"/>
    <col min="3588" max="3588" width="26.28515625" style="362" customWidth="1"/>
    <col min="3589" max="3589" width="17.42578125" style="362" customWidth="1"/>
    <col min="3590" max="3803" width="9.140625" style="362"/>
    <col min="3804" max="3804" width="28" style="362" customWidth="1"/>
    <col min="3805" max="3805" width="52" style="362" customWidth="1"/>
    <col min="3806" max="3806" width="27.28515625" style="362" customWidth="1"/>
    <col min="3807" max="3807" width="20.5703125" style="362" customWidth="1"/>
    <col min="3808" max="3809" width="9.140625" style="362"/>
    <col min="3810" max="3810" width="11.5703125" style="362" bestFit="1" customWidth="1"/>
    <col min="3811" max="3841" width="9.140625" style="362"/>
    <col min="3842" max="3842" width="28.7109375" style="362" customWidth="1"/>
    <col min="3843" max="3843" width="42.85546875" style="362" customWidth="1"/>
    <col min="3844" max="3844" width="26.28515625" style="362" customWidth="1"/>
    <col min="3845" max="3845" width="17.42578125" style="362" customWidth="1"/>
    <col min="3846" max="4059" width="9.140625" style="362"/>
    <col min="4060" max="4060" width="28" style="362" customWidth="1"/>
    <col min="4061" max="4061" width="52" style="362" customWidth="1"/>
    <col min="4062" max="4062" width="27.28515625" style="362" customWidth="1"/>
    <col min="4063" max="4063" width="20.5703125" style="362" customWidth="1"/>
    <col min="4064" max="4065" width="9.140625" style="362"/>
    <col min="4066" max="4066" width="11.5703125" style="362" bestFit="1" customWidth="1"/>
    <col min="4067" max="4097" width="9.140625" style="362"/>
    <col min="4098" max="4098" width="28.7109375" style="362" customWidth="1"/>
    <col min="4099" max="4099" width="42.85546875" style="362" customWidth="1"/>
    <col min="4100" max="4100" width="26.28515625" style="362" customWidth="1"/>
    <col min="4101" max="4101" width="17.42578125" style="362" customWidth="1"/>
    <col min="4102" max="4315" width="9.140625" style="362"/>
    <col min="4316" max="4316" width="28" style="362" customWidth="1"/>
    <col min="4317" max="4317" width="52" style="362" customWidth="1"/>
    <col min="4318" max="4318" width="27.28515625" style="362" customWidth="1"/>
    <col min="4319" max="4319" width="20.5703125" style="362" customWidth="1"/>
    <col min="4320" max="4321" width="9.140625" style="362"/>
    <col min="4322" max="4322" width="11.5703125" style="362" bestFit="1" customWidth="1"/>
    <col min="4323" max="4353" width="9.140625" style="362"/>
    <col min="4354" max="4354" width="28.7109375" style="362" customWidth="1"/>
    <col min="4355" max="4355" width="42.85546875" style="362" customWidth="1"/>
    <col min="4356" max="4356" width="26.28515625" style="362" customWidth="1"/>
    <col min="4357" max="4357" width="17.42578125" style="362" customWidth="1"/>
    <col min="4358" max="4571" width="9.140625" style="362"/>
    <col min="4572" max="4572" width="28" style="362" customWidth="1"/>
    <col min="4573" max="4573" width="52" style="362" customWidth="1"/>
    <col min="4574" max="4574" width="27.28515625" style="362" customWidth="1"/>
    <col min="4575" max="4575" width="20.5703125" style="362" customWidth="1"/>
    <col min="4576" max="4577" width="9.140625" style="362"/>
    <col min="4578" max="4578" width="11.5703125" style="362" bestFit="1" customWidth="1"/>
    <col min="4579" max="4609" width="9.140625" style="362"/>
    <col min="4610" max="4610" width="28.7109375" style="362" customWidth="1"/>
    <col min="4611" max="4611" width="42.85546875" style="362" customWidth="1"/>
    <col min="4612" max="4612" width="26.28515625" style="362" customWidth="1"/>
    <col min="4613" max="4613" width="17.42578125" style="362" customWidth="1"/>
    <col min="4614" max="4827" width="9.140625" style="362"/>
    <col min="4828" max="4828" width="28" style="362" customWidth="1"/>
    <col min="4829" max="4829" width="52" style="362" customWidth="1"/>
    <col min="4830" max="4830" width="27.28515625" style="362" customWidth="1"/>
    <col min="4831" max="4831" width="20.5703125" style="362" customWidth="1"/>
    <col min="4832" max="4833" width="9.140625" style="362"/>
    <col min="4834" max="4834" width="11.5703125" style="362" bestFit="1" customWidth="1"/>
    <col min="4835" max="4865" width="9.140625" style="362"/>
    <col min="4866" max="4866" width="28.7109375" style="362" customWidth="1"/>
    <col min="4867" max="4867" width="42.85546875" style="362" customWidth="1"/>
    <col min="4868" max="4868" width="26.28515625" style="362" customWidth="1"/>
    <col min="4869" max="4869" width="17.42578125" style="362" customWidth="1"/>
    <col min="4870" max="5083" width="9.140625" style="362"/>
    <col min="5084" max="5084" width="28" style="362" customWidth="1"/>
    <col min="5085" max="5085" width="52" style="362" customWidth="1"/>
    <col min="5086" max="5086" width="27.28515625" style="362" customWidth="1"/>
    <col min="5087" max="5087" width="20.5703125" style="362" customWidth="1"/>
    <col min="5088" max="5089" width="9.140625" style="362"/>
    <col min="5090" max="5090" width="11.5703125" style="362" bestFit="1" customWidth="1"/>
    <col min="5091" max="5121" width="9.140625" style="362"/>
    <col min="5122" max="5122" width="28.7109375" style="362" customWidth="1"/>
    <col min="5123" max="5123" width="42.85546875" style="362" customWidth="1"/>
    <col min="5124" max="5124" width="26.28515625" style="362" customWidth="1"/>
    <col min="5125" max="5125" width="17.42578125" style="362" customWidth="1"/>
    <col min="5126" max="5339" width="9.140625" style="362"/>
    <col min="5340" max="5340" width="28" style="362" customWidth="1"/>
    <col min="5341" max="5341" width="52" style="362" customWidth="1"/>
    <col min="5342" max="5342" width="27.28515625" style="362" customWidth="1"/>
    <col min="5343" max="5343" width="20.5703125" style="362" customWidth="1"/>
    <col min="5344" max="5345" width="9.140625" style="362"/>
    <col min="5346" max="5346" width="11.5703125" style="362" bestFit="1" customWidth="1"/>
    <col min="5347" max="5377" width="9.140625" style="362"/>
    <col min="5378" max="5378" width="28.7109375" style="362" customWidth="1"/>
    <col min="5379" max="5379" width="42.85546875" style="362" customWidth="1"/>
    <col min="5380" max="5380" width="26.28515625" style="362" customWidth="1"/>
    <col min="5381" max="5381" width="17.42578125" style="362" customWidth="1"/>
    <col min="5382" max="5595" width="9.140625" style="362"/>
    <col min="5596" max="5596" width="28" style="362" customWidth="1"/>
    <col min="5597" max="5597" width="52" style="362" customWidth="1"/>
    <col min="5598" max="5598" width="27.28515625" style="362" customWidth="1"/>
    <col min="5599" max="5599" width="20.5703125" style="362" customWidth="1"/>
    <col min="5600" max="5601" width="9.140625" style="362"/>
    <col min="5602" max="5602" width="11.5703125" style="362" bestFit="1" customWidth="1"/>
    <col min="5603" max="5633" width="9.140625" style="362"/>
    <col min="5634" max="5634" width="28.7109375" style="362" customWidth="1"/>
    <col min="5635" max="5635" width="42.85546875" style="362" customWidth="1"/>
    <col min="5636" max="5636" width="26.28515625" style="362" customWidth="1"/>
    <col min="5637" max="5637" width="17.42578125" style="362" customWidth="1"/>
    <col min="5638" max="5851" width="9.140625" style="362"/>
    <col min="5852" max="5852" width="28" style="362" customWidth="1"/>
    <col min="5853" max="5853" width="52" style="362" customWidth="1"/>
    <col min="5854" max="5854" width="27.28515625" style="362" customWidth="1"/>
    <col min="5855" max="5855" width="20.5703125" style="362" customWidth="1"/>
    <col min="5856" max="5857" width="9.140625" style="362"/>
    <col min="5858" max="5858" width="11.5703125" style="362" bestFit="1" customWidth="1"/>
    <col min="5859" max="5889" width="9.140625" style="362"/>
    <col min="5890" max="5890" width="28.7109375" style="362" customWidth="1"/>
    <col min="5891" max="5891" width="42.85546875" style="362" customWidth="1"/>
    <col min="5892" max="5892" width="26.28515625" style="362" customWidth="1"/>
    <col min="5893" max="5893" width="17.42578125" style="362" customWidth="1"/>
    <col min="5894" max="6107" width="9.140625" style="362"/>
    <col min="6108" max="6108" width="28" style="362" customWidth="1"/>
    <col min="6109" max="6109" width="52" style="362" customWidth="1"/>
    <col min="6110" max="6110" width="27.28515625" style="362" customWidth="1"/>
    <col min="6111" max="6111" width="20.5703125" style="362" customWidth="1"/>
    <col min="6112" max="6113" width="9.140625" style="362"/>
    <col min="6114" max="6114" width="11.5703125" style="362" bestFit="1" customWidth="1"/>
    <col min="6115" max="6145" width="9.140625" style="362"/>
    <col min="6146" max="6146" width="28.7109375" style="362" customWidth="1"/>
    <col min="6147" max="6147" width="42.85546875" style="362" customWidth="1"/>
    <col min="6148" max="6148" width="26.28515625" style="362" customWidth="1"/>
    <col min="6149" max="6149" width="17.42578125" style="362" customWidth="1"/>
    <col min="6150" max="6363" width="9.140625" style="362"/>
    <col min="6364" max="6364" width="28" style="362" customWidth="1"/>
    <col min="6365" max="6365" width="52" style="362" customWidth="1"/>
    <col min="6366" max="6366" width="27.28515625" style="362" customWidth="1"/>
    <col min="6367" max="6367" width="20.5703125" style="362" customWidth="1"/>
    <col min="6368" max="6369" width="9.140625" style="362"/>
    <col min="6370" max="6370" width="11.5703125" style="362" bestFit="1" customWidth="1"/>
    <col min="6371" max="6401" width="9.140625" style="362"/>
    <col min="6402" max="6402" width="28.7109375" style="362" customWidth="1"/>
    <col min="6403" max="6403" width="42.85546875" style="362" customWidth="1"/>
    <col min="6404" max="6404" width="26.28515625" style="362" customWidth="1"/>
    <col min="6405" max="6405" width="17.42578125" style="362" customWidth="1"/>
    <col min="6406" max="6619" width="9.140625" style="362"/>
    <col min="6620" max="6620" width="28" style="362" customWidth="1"/>
    <col min="6621" max="6621" width="52" style="362" customWidth="1"/>
    <col min="6622" max="6622" width="27.28515625" style="362" customWidth="1"/>
    <col min="6623" max="6623" width="20.5703125" style="362" customWidth="1"/>
    <col min="6624" max="6625" width="9.140625" style="362"/>
    <col min="6626" max="6626" width="11.5703125" style="362" bestFit="1" customWidth="1"/>
    <col min="6627" max="6657" width="9.140625" style="362"/>
    <col min="6658" max="6658" width="28.7109375" style="362" customWidth="1"/>
    <col min="6659" max="6659" width="42.85546875" style="362" customWidth="1"/>
    <col min="6660" max="6660" width="26.28515625" style="362" customWidth="1"/>
    <col min="6661" max="6661" width="17.42578125" style="362" customWidth="1"/>
    <col min="6662" max="6875" width="9.140625" style="362"/>
    <col min="6876" max="6876" width="28" style="362" customWidth="1"/>
    <col min="6877" max="6877" width="52" style="362" customWidth="1"/>
    <col min="6878" max="6878" width="27.28515625" style="362" customWidth="1"/>
    <col min="6879" max="6879" width="20.5703125" style="362" customWidth="1"/>
    <col min="6880" max="6881" width="9.140625" style="362"/>
    <col min="6882" max="6882" width="11.5703125" style="362" bestFit="1" customWidth="1"/>
    <col min="6883" max="6913" width="9.140625" style="362"/>
    <col min="6914" max="6914" width="28.7109375" style="362" customWidth="1"/>
    <col min="6915" max="6915" width="42.85546875" style="362" customWidth="1"/>
    <col min="6916" max="6916" width="26.28515625" style="362" customWidth="1"/>
    <col min="6917" max="6917" width="17.42578125" style="362" customWidth="1"/>
    <col min="6918" max="7131" width="9.140625" style="362"/>
    <col min="7132" max="7132" width="28" style="362" customWidth="1"/>
    <col min="7133" max="7133" width="52" style="362" customWidth="1"/>
    <col min="7134" max="7134" width="27.28515625" style="362" customWidth="1"/>
    <col min="7135" max="7135" width="20.5703125" style="362" customWidth="1"/>
    <col min="7136" max="7137" width="9.140625" style="362"/>
    <col min="7138" max="7138" width="11.5703125" style="362" bestFit="1" customWidth="1"/>
    <col min="7139" max="7169" width="9.140625" style="362"/>
    <col min="7170" max="7170" width="28.7109375" style="362" customWidth="1"/>
    <col min="7171" max="7171" width="42.85546875" style="362" customWidth="1"/>
    <col min="7172" max="7172" width="26.28515625" style="362" customWidth="1"/>
    <col min="7173" max="7173" width="17.42578125" style="362" customWidth="1"/>
    <col min="7174" max="7387" width="9.140625" style="362"/>
    <col min="7388" max="7388" width="28" style="362" customWidth="1"/>
    <col min="7389" max="7389" width="52" style="362" customWidth="1"/>
    <col min="7390" max="7390" width="27.28515625" style="362" customWidth="1"/>
    <col min="7391" max="7391" width="20.5703125" style="362" customWidth="1"/>
    <col min="7392" max="7393" width="9.140625" style="362"/>
    <col min="7394" max="7394" width="11.5703125" style="362" bestFit="1" customWidth="1"/>
    <col min="7395" max="7425" width="9.140625" style="362"/>
    <col min="7426" max="7426" width="28.7109375" style="362" customWidth="1"/>
    <col min="7427" max="7427" width="42.85546875" style="362" customWidth="1"/>
    <col min="7428" max="7428" width="26.28515625" style="362" customWidth="1"/>
    <col min="7429" max="7429" width="17.42578125" style="362" customWidth="1"/>
    <col min="7430" max="7643" width="9.140625" style="362"/>
    <col min="7644" max="7644" width="28" style="362" customWidth="1"/>
    <col min="7645" max="7645" width="52" style="362" customWidth="1"/>
    <col min="7646" max="7646" width="27.28515625" style="362" customWidth="1"/>
    <col min="7647" max="7647" width="20.5703125" style="362" customWidth="1"/>
    <col min="7648" max="7649" width="9.140625" style="362"/>
    <col min="7650" max="7650" width="11.5703125" style="362" bestFit="1" customWidth="1"/>
    <col min="7651" max="7681" width="9.140625" style="362"/>
    <col min="7682" max="7682" width="28.7109375" style="362" customWidth="1"/>
    <col min="7683" max="7683" width="42.85546875" style="362" customWidth="1"/>
    <col min="7684" max="7684" width="26.28515625" style="362" customWidth="1"/>
    <col min="7685" max="7685" width="17.42578125" style="362" customWidth="1"/>
    <col min="7686" max="7899" width="9.140625" style="362"/>
    <col min="7900" max="7900" width="28" style="362" customWidth="1"/>
    <col min="7901" max="7901" width="52" style="362" customWidth="1"/>
    <col min="7902" max="7902" width="27.28515625" style="362" customWidth="1"/>
    <col min="7903" max="7903" width="20.5703125" style="362" customWidth="1"/>
    <col min="7904" max="7905" width="9.140625" style="362"/>
    <col min="7906" max="7906" width="11.5703125" style="362" bestFit="1" customWidth="1"/>
    <col min="7907" max="7937" width="9.140625" style="362"/>
    <col min="7938" max="7938" width="28.7109375" style="362" customWidth="1"/>
    <col min="7939" max="7939" width="42.85546875" style="362" customWidth="1"/>
    <col min="7940" max="7940" width="26.28515625" style="362" customWidth="1"/>
    <col min="7941" max="7941" width="17.42578125" style="362" customWidth="1"/>
    <col min="7942" max="8155" width="9.140625" style="362"/>
    <col min="8156" max="8156" width="28" style="362" customWidth="1"/>
    <col min="8157" max="8157" width="52" style="362" customWidth="1"/>
    <col min="8158" max="8158" width="27.28515625" style="362" customWidth="1"/>
    <col min="8159" max="8159" width="20.5703125" style="362" customWidth="1"/>
    <col min="8160" max="8161" width="9.140625" style="362"/>
    <col min="8162" max="8162" width="11.5703125" style="362" bestFit="1" customWidth="1"/>
    <col min="8163" max="8193" width="9.140625" style="362"/>
    <col min="8194" max="8194" width="28.7109375" style="362" customWidth="1"/>
    <col min="8195" max="8195" width="42.85546875" style="362" customWidth="1"/>
    <col min="8196" max="8196" width="26.28515625" style="362" customWidth="1"/>
    <col min="8197" max="8197" width="17.42578125" style="362" customWidth="1"/>
    <col min="8198" max="8411" width="9.140625" style="362"/>
    <col min="8412" max="8412" width="28" style="362" customWidth="1"/>
    <col min="8413" max="8413" width="52" style="362" customWidth="1"/>
    <col min="8414" max="8414" width="27.28515625" style="362" customWidth="1"/>
    <col min="8415" max="8415" width="20.5703125" style="362" customWidth="1"/>
    <col min="8416" max="8417" width="9.140625" style="362"/>
    <col min="8418" max="8418" width="11.5703125" style="362" bestFit="1" customWidth="1"/>
    <col min="8419" max="8449" width="9.140625" style="362"/>
    <col min="8450" max="8450" width="28.7109375" style="362" customWidth="1"/>
    <col min="8451" max="8451" width="42.85546875" style="362" customWidth="1"/>
    <col min="8452" max="8452" width="26.28515625" style="362" customWidth="1"/>
    <col min="8453" max="8453" width="17.42578125" style="362" customWidth="1"/>
    <col min="8454" max="8667" width="9.140625" style="362"/>
    <col min="8668" max="8668" width="28" style="362" customWidth="1"/>
    <col min="8669" max="8669" width="52" style="362" customWidth="1"/>
    <col min="8670" max="8670" width="27.28515625" style="362" customWidth="1"/>
    <col min="8671" max="8671" width="20.5703125" style="362" customWidth="1"/>
    <col min="8672" max="8673" width="9.140625" style="362"/>
    <col min="8674" max="8674" width="11.5703125" style="362" bestFit="1" customWidth="1"/>
    <col min="8675" max="8705" width="9.140625" style="362"/>
    <col min="8706" max="8706" width="28.7109375" style="362" customWidth="1"/>
    <col min="8707" max="8707" width="42.85546875" style="362" customWidth="1"/>
    <col min="8708" max="8708" width="26.28515625" style="362" customWidth="1"/>
    <col min="8709" max="8709" width="17.42578125" style="362" customWidth="1"/>
    <col min="8710" max="8923" width="9.140625" style="362"/>
    <col min="8924" max="8924" width="28" style="362" customWidth="1"/>
    <col min="8925" max="8925" width="52" style="362" customWidth="1"/>
    <col min="8926" max="8926" width="27.28515625" style="362" customWidth="1"/>
    <col min="8927" max="8927" width="20.5703125" style="362" customWidth="1"/>
    <col min="8928" max="8929" width="9.140625" style="362"/>
    <col min="8930" max="8930" width="11.5703125" style="362" bestFit="1" customWidth="1"/>
    <col min="8931" max="8961" width="9.140625" style="362"/>
    <col min="8962" max="8962" width="28.7109375" style="362" customWidth="1"/>
    <col min="8963" max="8963" width="42.85546875" style="362" customWidth="1"/>
    <col min="8964" max="8964" width="26.28515625" style="362" customWidth="1"/>
    <col min="8965" max="8965" width="17.42578125" style="362" customWidth="1"/>
    <col min="8966" max="9179" width="9.140625" style="362"/>
    <col min="9180" max="9180" width="28" style="362" customWidth="1"/>
    <col min="9181" max="9181" width="52" style="362" customWidth="1"/>
    <col min="9182" max="9182" width="27.28515625" style="362" customWidth="1"/>
    <col min="9183" max="9183" width="20.5703125" style="362" customWidth="1"/>
    <col min="9184" max="9185" width="9.140625" style="362"/>
    <col min="9186" max="9186" width="11.5703125" style="362" bestFit="1" customWidth="1"/>
    <col min="9187" max="9217" width="9.140625" style="362"/>
    <col min="9218" max="9218" width="28.7109375" style="362" customWidth="1"/>
    <col min="9219" max="9219" width="42.85546875" style="362" customWidth="1"/>
    <col min="9220" max="9220" width="26.28515625" style="362" customWidth="1"/>
    <col min="9221" max="9221" width="17.42578125" style="362" customWidth="1"/>
    <col min="9222" max="9435" width="9.140625" style="362"/>
    <col min="9436" max="9436" width="28" style="362" customWidth="1"/>
    <col min="9437" max="9437" width="52" style="362" customWidth="1"/>
    <col min="9438" max="9438" width="27.28515625" style="362" customWidth="1"/>
    <col min="9439" max="9439" width="20.5703125" style="362" customWidth="1"/>
    <col min="9440" max="9441" width="9.140625" style="362"/>
    <col min="9442" max="9442" width="11.5703125" style="362" bestFit="1" customWidth="1"/>
    <col min="9443" max="9473" width="9.140625" style="362"/>
    <col min="9474" max="9474" width="28.7109375" style="362" customWidth="1"/>
    <col min="9475" max="9475" width="42.85546875" style="362" customWidth="1"/>
    <col min="9476" max="9476" width="26.28515625" style="362" customWidth="1"/>
    <col min="9477" max="9477" width="17.42578125" style="362" customWidth="1"/>
    <col min="9478" max="9691" width="9.140625" style="362"/>
    <col min="9692" max="9692" width="28" style="362" customWidth="1"/>
    <col min="9693" max="9693" width="52" style="362" customWidth="1"/>
    <col min="9694" max="9694" width="27.28515625" style="362" customWidth="1"/>
    <col min="9695" max="9695" width="20.5703125" style="362" customWidth="1"/>
    <col min="9696" max="9697" width="9.140625" style="362"/>
    <col min="9698" max="9698" width="11.5703125" style="362" bestFit="1" customWidth="1"/>
    <col min="9699" max="9729" width="9.140625" style="362"/>
    <col min="9730" max="9730" width="28.7109375" style="362" customWidth="1"/>
    <col min="9731" max="9731" width="42.85546875" style="362" customWidth="1"/>
    <col min="9732" max="9732" width="26.28515625" style="362" customWidth="1"/>
    <col min="9733" max="9733" width="17.42578125" style="362" customWidth="1"/>
    <col min="9734" max="9947" width="9.140625" style="362"/>
    <col min="9948" max="9948" width="28" style="362" customWidth="1"/>
    <col min="9949" max="9949" width="52" style="362" customWidth="1"/>
    <col min="9950" max="9950" width="27.28515625" style="362" customWidth="1"/>
    <col min="9951" max="9951" width="20.5703125" style="362" customWidth="1"/>
    <col min="9952" max="9953" width="9.140625" style="362"/>
    <col min="9954" max="9954" width="11.5703125" style="362" bestFit="1" customWidth="1"/>
    <col min="9955" max="9985" width="9.140625" style="362"/>
    <col min="9986" max="9986" width="28.7109375" style="362" customWidth="1"/>
    <col min="9987" max="9987" width="42.85546875" style="362" customWidth="1"/>
    <col min="9988" max="9988" width="26.28515625" style="362" customWidth="1"/>
    <col min="9989" max="9989" width="17.42578125" style="362" customWidth="1"/>
    <col min="9990" max="10203" width="9.140625" style="362"/>
    <col min="10204" max="10204" width="28" style="362" customWidth="1"/>
    <col min="10205" max="10205" width="52" style="362" customWidth="1"/>
    <col min="10206" max="10206" width="27.28515625" style="362" customWidth="1"/>
    <col min="10207" max="10207" width="20.5703125" style="362" customWidth="1"/>
    <col min="10208" max="10209" width="9.140625" style="362"/>
    <col min="10210" max="10210" width="11.5703125" style="362" bestFit="1" customWidth="1"/>
    <col min="10211" max="10241" width="9.140625" style="362"/>
    <col min="10242" max="10242" width="28.7109375" style="362" customWidth="1"/>
    <col min="10243" max="10243" width="42.85546875" style="362" customWidth="1"/>
    <col min="10244" max="10244" width="26.28515625" style="362" customWidth="1"/>
    <col min="10245" max="10245" width="17.42578125" style="362" customWidth="1"/>
    <col min="10246" max="10459" width="9.140625" style="362"/>
    <col min="10460" max="10460" width="28" style="362" customWidth="1"/>
    <col min="10461" max="10461" width="52" style="362" customWidth="1"/>
    <col min="10462" max="10462" width="27.28515625" style="362" customWidth="1"/>
    <col min="10463" max="10463" width="20.5703125" style="362" customWidth="1"/>
    <col min="10464" max="10465" width="9.140625" style="362"/>
    <col min="10466" max="10466" width="11.5703125" style="362" bestFit="1" customWidth="1"/>
    <col min="10467" max="10497" width="9.140625" style="362"/>
    <col min="10498" max="10498" width="28.7109375" style="362" customWidth="1"/>
    <col min="10499" max="10499" width="42.85546875" style="362" customWidth="1"/>
    <col min="10500" max="10500" width="26.28515625" style="362" customWidth="1"/>
    <col min="10501" max="10501" width="17.42578125" style="362" customWidth="1"/>
    <col min="10502" max="10715" width="9.140625" style="362"/>
    <col min="10716" max="10716" width="28" style="362" customWidth="1"/>
    <col min="10717" max="10717" width="52" style="362" customWidth="1"/>
    <col min="10718" max="10718" width="27.28515625" style="362" customWidth="1"/>
    <col min="10719" max="10719" width="20.5703125" style="362" customWidth="1"/>
    <col min="10720" max="10721" width="9.140625" style="362"/>
    <col min="10722" max="10722" width="11.5703125" style="362" bestFit="1" customWidth="1"/>
    <col min="10723" max="10753" width="9.140625" style="362"/>
    <col min="10754" max="10754" width="28.7109375" style="362" customWidth="1"/>
    <col min="10755" max="10755" width="42.85546875" style="362" customWidth="1"/>
    <col min="10756" max="10756" width="26.28515625" style="362" customWidth="1"/>
    <col min="10757" max="10757" width="17.42578125" style="362" customWidth="1"/>
    <col min="10758" max="10971" width="9.140625" style="362"/>
    <col min="10972" max="10972" width="28" style="362" customWidth="1"/>
    <col min="10973" max="10973" width="52" style="362" customWidth="1"/>
    <col min="10974" max="10974" width="27.28515625" style="362" customWidth="1"/>
    <col min="10975" max="10975" width="20.5703125" style="362" customWidth="1"/>
    <col min="10976" max="10977" width="9.140625" style="362"/>
    <col min="10978" max="10978" width="11.5703125" style="362" bestFit="1" customWidth="1"/>
    <col min="10979" max="11009" width="9.140625" style="362"/>
    <col min="11010" max="11010" width="28.7109375" style="362" customWidth="1"/>
    <col min="11011" max="11011" width="42.85546875" style="362" customWidth="1"/>
    <col min="11012" max="11012" width="26.28515625" style="362" customWidth="1"/>
    <col min="11013" max="11013" width="17.42578125" style="362" customWidth="1"/>
    <col min="11014" max="11227" width="9.140625" style="362"/>
    <col min="11228" max="11228" width="28" style="362" customWidth="1"/>
    <col min="11229" max="11229" width="52" style="362" customWidth="1"/>
    <col min="11230" max="11230" width="27.28515625" style="362" customWidth="1"/>
    <col min="11231" max="11231" width="20.5703125" style="362" customWidth="1"/>
    <col min="11232" max="11233" width="9.140625" style="362"/>
    <col min="11234" max="11234" width="11.5703125" style="362" bestFit="1" customWidth="1"/>
    <col min="11235" max="11265" width="9.140625" style="362"/>
    <col min="11266" max="11266" width="28.7109375" style="362" customWidth="1"/>
    <col min="11267" max="11267" width="42.85546875" style="362" customWidth="1"/>
    <col min="11268" max="11268" width="26.28515625" style="362" customWidth="1"/>
    <col min="11269" max="11269" width="17.42578125" style="362" customWidth="1"/>
    <col min="11270" max="11483" width="9.140625" style="362"/>
    <col min="11484" max="11484" width="28" style="362" customWidth="1"/>
    <col min="11485" max="11485" width="52" style="362" customWidth="1"/>
    <col min="11486" max="11486" width="27.28515625" style="362" customWidth="1"/>
    <col min="11487" max="11487" width="20.5703125" style="362" customWidth="1"/>
    <col min="11488" max="11489" width="9.140625" style="362"/>
    <col min="11490" max="11490" width="11.5703125" style="362" bestFit="1" customWidth="1"/>
    <col min="11491" max="11521" width="9.140625" style="362"/>
    <col min="11522" max="11522" width="28.7109375" style="362" customWidth="1"/>
    <col min="11523" max="11523" width="42.85546875" style="362" customWidth="1"/>
    <col min="11524" max="11524" width="26.28515625" style="362" customWidth="1"/>
    <col min="11525" max="11525" width="17.42578125" style="362" customWidth="1"/>
    <col min="11526" max="11739" width="9.140625" style="362"/>
    <col min="11740" max="11740" width="28" style="362" customWidth="1"/>
    <col min="11741" max="11741" width="52" style="362" customWidth="1"/>
    <col min="11742" max="11742" width="27.28515625" style="362" customWidth="1"/>
    <col min="11743" max="11743" width="20.5703125" style="362" customWidth="1"/>
    <col min="11744" max="11745" width="9.140625" style="362"/>
    <col min="11746" max="11746" width="11.5703125" style="362" bestFit="1" customWidth="1"/>
    <col min="11747" max="11777" width="9.140625" style="362"/>
    <col min="11778" max="11778" width="28.7109375" style="362" customWidth="1"/>
    <col min="11779" max="11779" width="42.85546875" style="362" customWidth="1"/>
    <col min="11780" max="11780" width="26.28515625" style="362" customWidth="1"/>
    <col min="11781" max="11781" width="17.42578125" style="362" customWidth="1"/>
    <col min="11782" max="11995" width="9.140625" style="362"/>
    <col min="11996" max="11996" width="28" style="362" customWidth="1"/>
    <col min="11997" max="11997" width="52" style="362" customWidth="1"/>
    <col min="11998" max="11998" width="27.28515625" style="362" customWidth="1"/>
    <col min="11999" max="11999" width="20.5703125" style="362" customWidth="1"/>
    <col min="12000" max="12001" width="9.140625" style="362"/>
    <col min="12002" max="12002" width="11.5703125" style="362" bestFit="1" customWidth="1"/>
    <col min="12003" max="12033" width="9.140625" style="362"/>
    <col min="12034" max="12034" width="28.7109375" style="362" customWidth="1"/>
    <col min="12035" max="12035" width="42.85546875" style="362" customWidth="1"/>
    <col min="12036" max="12036" width="26.28515625" style="362" customWidth="1"/>
    <col min="12037" max="12037" width="17.42578125" style="362" customWidth="1"/>
    <col min="12038" max="12251" width="9.140625" style="362"/>
    <col min="12252" max="12252" width="28" style="362" customWidth="1"/>
    <col min="12253" max="12253" width="52" style="362" customWidth="1"/>
    <col min="12254" max="12254" width="27.28515625" style="362" customWidth="1"/>
    <col min="12255" max="12255" width="20.5703125" style="362" customWidth="1"/>
    <col min="12256" max="12257" width="9.140625" style="362"/>
    <col min="12258" max="12258" width="11.5703125" style="362" bestFit="1" customWidth="1"/>
    <col min="12259" max="12289" width="9.140625" style="362"/>
    <col min="12290" max="12290" width="28.7109375" style="362" customWidth="1"/>
    <col min="12291" max="12291" width="42.85546875" style="362" customWidth="1"/>
    <col min="12292" max="12292" width="26.28515625" style="362" customWidth="1"/>
    <col min="12293" max="12293" width="17.42578125" style="362" customWidth="1"/>
    <col min="12294" max="12507" width="9.140625" style="362"/>
    <col min="12508" max="12508" width="28" style="362" customWidth="1"/>
    <col min="12509" max="12509" width="52" style="362" customWidth="1"/>
    <col min="12510" max="12510" width="27.28515625" style="362" customWidth="1"/>
    <col min="12511" max="12511" width="20.5703125" style="362" customWidth="1"/>
    <col min="12512" max="12513" width="9.140625" style="362"/>
    <col min="12514" max="12514" width="11.5703125" style="362" bestFit="1" customWidth="1"/>
    <col min="12515" max="12545" width="9.140625" style="362"/>
    <col min="12546" max="12546" width="28.7109375" style="362" customWidth="1"/>
    <col min="12547" max="12547" width="42.85546875" style="362" customWidth="1"/>
    <col min="12548" max="12548" width="26.28515625" style="362" customWidth="1"/>
    <col min="12549" max="12549" width="17.42578125" style="362" customWidth="1"/>
    <col min="12550" max="12763" width="9.140625" style="362"/>
    <col min="12764" max="12764" width="28" style="362" customWidth="1"/>
    <col min="12765" max="12765" width="52" style="362" customWidth="1"/>
    <col min="12766" max="12766" width="27.28515625" style="362" customWidth="1"/>
    <col min="12767" max="12767" width="20.5703125" style="362" customWidth="1"/>
    <col min="12768" max="12769" width="9.140625" style="362"/>
    <col min="12770" max="12770" width="11.5703125" style="362" bestFit="1" customWidth="1"/>
    <col min="12771" max="12801" width="9.140625" style="362"/>
    <col min="12802" max="12802" width="28.7109375" style="362" customWidth="1"/>
    <col min="12803" max="12803" width="42.85546875" style="362" customWidth="1"/>
    <col min="12804" max="12804" width="26.28515625" style="362" customWidth="1"/>
    <col min="12805" max="12805" width="17.42578125" style="362" customWidth="1"/>
    <col min="12806" max="13019" width="9.140625" style="362"/>
    <col min="13020" max="13020" width="28" style="362" customWidth="1"/>
    <col min="13021" max="13021" width="52" style="362" customWidth="1"/>
    <col min="13022" max="13022" width="27.28515625" style="362" customWidth="1"/>
    <col min="13023" max="13023" width="20.5703125" style="362" customWidth="1"/>
    <col min="13024" max="13025" width="9.140625" style="362"/>
    <col min="13026" max="13026" width="11.5703125" style="362" bestFit="1" customWidth="1"/>
    <col min="13027" max="13057" width="9.140625" style="362"/>
    <col min="13058" max="13058" width="28.7109375" style="362" customWidth="1"/>
    <col min="13059" max="13059" width="42.85546875" style="362" customWidth="1"/>
    <col min="13060" max="13060" width="26.28515625" style="362" customWidth="1"/>
    <col min="13061" max="13061" width="17.42578125" style="362" customWidth="1"/>
    <col min="13062" max="13275" width="9.140625" style="362"/>
    <col min="13276" max="13276" width="28" style="362" customWidth="1"/>
    <col min="13277" max="13277" width="52" style="362" customWidth="1"/>
    <col min="13278" max="13278" width="27.28515625" style="362" customWidth="1"/>
    <col min="13279" max="13279" width="20.5703125" style="362" customWidth="1"/>
    <col min="13280" max="13281" width="9.140625" style="362"/>
    <col min="13282" max="13282" width="11.5703125" style="362" bestFit="1" customWidth="1"/>
    <col min="13283" max="13313" width="9.140625" style="362"/>
    <col min="13314" max="13314" width="28.7109375" style="362" customWidth="1"/>
    <col min="13315" max="13315" width="42.85546875" style="362" customWidth="1"/>
    <col min="13316" max="13316" width="26.28515625" style="362" customWidth="1"/>
    <col min="13317" max="13317" width="17.42578125" style="362" customWidth="1"/>
    <col min="13318" max="13531" width="9.140625" style="362"/>
    <col min="13532" max="13532" width="28" style="362" customWidth="1"/>
    <col min="13533" max="13533" width="52" style="362" customWidth="1"/>
    <col min="13534" max="13534" width="27.28515625" style="362" customWidth="1"/>
    <col min="13535" max="13535" width="20.5703125" style="362" customWidth="1"/>
    <col min="13536" max="13537" width="9.140625" style="362"/>
    <col min="13538" max="13538" width="11.5703125" style="362" bestFit="1" customWidth="1"/>
    <col min="13539" max="13569" width="9.140625" style="362"/>
    <col min="13570" max="13570" width="28.7109375" style="362" customWidth="1"/>
    <col min="13571" max="13571" width="42.85546875" style="362" customWidth="1"/>
    <col min="13572" max="13572" width="26.28515625" style="362" customWidth="1"/>
    <col min="13573" max="13573" width="17.42578125" style="362" customWidth="1"/>
    <col min="13574" max="13787" width="9.140625" style="362"/>
    <col min="13788" max="13788" width="28" style="362" customWidth="1"/>
    <col min="13789" max="13789" width="52" style="362" customWidth="1"/>
    <col min="13790" max="13790" width="27.28515625" style="362" customWidth="1"/>
    <col min="13791" max="13791" width="20.5703125" style="362" customWidth="1"/>
    <col min="13792" max="13793" width="9.140625" style="362"/>
    <col min="13794" max="13794" width="11.5703125" style="362" bestFit="1" customWidth="1"/>
    <col min="13795" max="13825" width="9.140625" style="362"/>
    <col min="13826" max="13826" width="28.7109375" style="362" customWidth="1"/>
    <col min="13827" max="13827" width="42.85546875" style="362" customWidth="1"/>
    <col min="13828" max="13828" width="26.28515625" style="362" customWidth="1"/>
    <col min="13829" max="13829" width="17.42578125" style="362" customWidth="1"/>
    <col min="13830" max="14043" width="9.140625" style="362"/>
    <col min="14044" max="14044" width="28" style="362" customWidth="1"/>
    <col min="14045" max="14045" width="52" style="362" customWidth="1"/>
    <col min="14046" max="14046" width="27.28515625" style="362" customWidth="1"/>
    <col min="14047" max="14047" width="20.5703125" style="362" customWidth="1"/>
    <col min="14048" max="14049" width="9.140625" style="362"/>
    <col min="14050" max="14050" width="11.5703125" style="362" bestFit="1" customWidth="1"/>
    <col min="14051" max="14081" width="9.140625" style="362"/>
    <col min="14082" max="14082" width="28.7109375" style="362" customWidth="1"/>
    <col min="14083" max="14083" width="42.85546875" style="362" customWidth="1"/>
    <col min="14084" max="14084" width="26.28515625" style="362" customWidth="1"/>
    <col min="14085" max="14085" width="17.42578125" style="362" customWidth="1"/>
    <col min="14086" max="14299" width="9.140625" style="362"/>
    <col min="14300" max="14300" width="28" style="362" customWidth="1"/>
    <col min="14301" max="14301" width="52" style="362" customWidth="1"/>
    <col min="14302" max="14302" width="27.28515625" style="362" customWidth="1"/>
    <col min="14303" max="14303" width="20.5703125" style="362" customWidth="1"/>
    <col min="14304" max="14305" width="9.140625" style="362"/>
    <col min="14306" max="14306" width="11.5703125" style="362" bestFit="1" customWidth="1"/>
    <col min="14307" max="14337" width="9.140625" style="362"/>
    <col min="14338" max="14338" width="28.7109375" style="362" customWidth="1"/>
    <col min="14339" max="14339" width="42.85546875" style="362" customWidth="1"/>
    <col min="14340" max="14340" width="26.28515625" style="362" customWidth="1"/>
    <col min="14341" max="14341" width="17.42578125" style="362" customWidth="1"/>
    <col min="14342" max="14555" width="9.140625" style="362"/>
    <col min="14556" max="14556" width="28" style="362" customWidth="1"/>
    <col min="14557" max="14557" width="52" style="362" customWidth="1"/>
    <col min="14558" max="14558" width="27.28515625" style="362" customWidth="1"/>
    <col min="14559" max="14559" width="20.5703125" style="362" customWidth="1"/>
    <col min="14560" max="14561" width="9.140625" style="362"/>
    <col min="14562" max="14562" width="11.5703125" style="362" bestFit="1" customWidth="1"/>
    <col min="14563" max="14593" width="9.140625" style="362"/>
    <col min="14594" max="14594" width="28.7109375" style="362" customWidth="1"/>
    <col min="14595" max="14595" width="42.85546875" style="362" customWidth="1"/>
    <col min="14596" max="14596" width="26.28515625" style="362" customWidth="1"/>
    <col min="14597" max="14597" width="17.42578125" style="362" customWidth="1"/>
    <col min="14598" max="14811" width="9.140625" style="362"/>
    <col min="14812" max="14812" width="28" style="362" customWidth="1"/>
    <col min="14813" max="14813" width="52" style="362" customWidth="1"/>
    <col min="14814" max="14814" width="27.28515625" style="362" customWidth="1"/>
    <col min="14815" max="14815" width="20.5703125" style="362" customWidth="1"/>
    <col min="14816" max="14817" width="9.140625" style="362"/>
    <col min="14818" max="14818" width="11.5703125" style="362" bestFit="1" customWidth="1"/>
    <col min="14819" max="14849" width="9.140625" style="362"/>
    <col min="14850" max="14850" width="28.7109375" style="362" customWidth="1"/>
    <col min="14851" max="14851" width="42.85546875" style="362" customWidth="1"/>
    <col min="14852" max="14852" width="26.28515625" style="362" customWidth="1"/>
    <col min="14853" max="14853" width="17.42578125" style="362" customWidth="1"/>
    <col min="14854" max="15067" width="9.140625" style="362"/>
    <col min="15068" max="15068" width="28" style="362" customWidth="1"/>
    <col min="15069" max="15069" width="52" style="362" customWidth="1"/>
    <col min="15070" max="15070" width="27.28515625" style="362" customWidth="1"/>
    <col min="15071" max="15071" width="20.5703125" style="362" customWidth="1"/>
    <col min="15072" max="15073" width="9.140625" style="362"/>
    <col min="15074" max="15074" width="11.5703125" style="362" bestFit="1" customWidth="1"/>
    <col min="15075" max="15105" width="9.140625" style="362"/>
    <col min="15106" max="15106" width="28.7109375" style="362" customWidth="1"/>
    <col min="15107" max="15107" width="42.85546875" style="362" customWidth="1"/>
    <col min="15108" max="15108" width="26.28515625" style="362" customWidth="1"/>
    <col min="15109" max="15109" width="17.42578125" style="362" customWidth="1"/>
    <col min="15110" max="15323" width="9.140625" style="362"/>
    <col min="15324" max="15324" width="28" style="362" customWidth="1"/>
    <col min="15325" max="15325" width="52" style="362" customWidth="1"/>
    <col min="15326" max="15326" width="27.28515625" style="362" customWidth="1"/>
    <col min="15327" max="15327" width="20.5703125" style="362" customWidth="1"/>
    <col min="15328" max="15329" width="9.140625" style="362"/>
    <col min="15330" max="15330" width="11.5703125" style="362" bestFit="1" customWidth="1"/>
    <col min="15331" max="15361" width="9.140625" style="362"/>
    <col min="15362" max="15362" width="28.7109375" style="362" customWidth="1"/>
    <col min="15363" max="15363" width="42.85546875" style="362" customWidth="1"/>
    <col min="15364" max="15364" width="26.28515625" style="362" customWidth="1"/>
    <col min="15365" max="15365" width="17.42578125" style="362" customWidth="1"/>
    <col min="15366" max="15579" width="9.140625" style="362"/>
    <col min="15580" max="15580" width="28" style="362" customWidth="1"/>
    <col min="15581" max="15581" width="52" style="362" customWidth="1"/>
    <col min="15582" max="15582" width="27.28515625" style="362" customWidth="1"/>
    <col min="15583" max="15583" width="20.5703125" style="362" customWidth="1"/>
    <col min="15584" max="15585" width="9.140625" style="362"/>
    <col min="15586" max="15586" width="11.5703125" style="362" bestFit="1" customWidth="1"/>
    <col min="15587" max="15617" width="9.140625" style="362"/>
    <col min="15618" max="15618" width="28.7109375" style="362" customWidth="1"/>
    <col min="15619" max="15619" width="42.85546875" style="362" customWidth="1"/>
    <col min="15620" max="15620" width="26.28515625" style="362" customWidth="1"/>
    <col min="15621" max="15621" width="17.42578125" style="362" customWidth="1"/>
    <col min="15622" max="15835" width="9.140625" style="362"/>
    <col min="15836" max="15836" width="28" style="362" customWidth="1"/>
    <col min="15837" max="15837" width="52" style="362" customWidth="1"/>
    <col min="15838" max="15838" width="27.28515625" style="362" customWidth="1"/>
    <col min="15839" max="15839" width="20.5703125" style="362" customWidth="1"/>
    <col min="15840" max="15841" width="9.140625" style="362"/>
    <col min="15842" max="15842" width="11.5703125" style="362" bestFit="1" customWidth="1"/>
    <col min="15843" max="15873" width="9.140625" style="362"/>
    <col min="15874" max="15874" width="28.7109375" style="362" customWidth="1"/>
    <col min="15875" max="15875" width="42.85546875" style="362" customWidth="1"/>
    <col min="15876" max="15876" width="26.28515625" style="362" customWidth="1"/>
    <col min="15877" max="15877" width="17.42578125" style="362" customWidth="1"/>
    <col min="15878" max="16091" width="9.140625" style="362"/>
    <col min="16092" max="16092" width="28" style="362" customWidth="1"/>
    <col min="16093" max="16093" width="52" style="362" customWidth="1"/>
    <col min="16094" max="16094" width="27.28515625" style="362" customWidth="1"/>
    <col min="16095" max="16095" width="20.5703125" style="362" customWidth="1"/>
    <col min="16096" max="16097" width="9.140625" style="362"/>
    <col min="16098" max="16098" width="11.5703125" style="362" bestFit="1" customWidth="1"/>
    <col min="16099" max="16129" width="9.140625" style="362"/>
    <col min="16130" max="16130" width="28.7109375" style="362" customWidth="1"/>
    <col min="16131" max="16131" width="42.85546875" style="362" customWidth="1"/>
    <col min="16132" max="16132" width="26.28515625" style="362" customWidth="1"/>
    <col min="16133" max="16133" width="17.42578125" style="362" customWidth="1"/>
    <col min="16134" max="16347" width="9.140625" style="362"/>
    <col min="16348" max="16348" width="28" style="362" customWidth="1"/>
    <col min="16349" max="16349" width="52" style="362" customWidth="1"/>
    <col min="16350" max="16350" width="27.28515625" style="362" customWidth="1"/>
    <col min="16351" max="16351" width="20.5703125" style="362" customWidth="1"/>
    <col min="16352" max="16353" width="9.140625" style="362"/>
    <col min="16354" max="16354" width="11.5703125" style="362" bestFit="1" customWidth="1"/>
    <col min="16355" max="16384" width="9.140625" style="362"/>
  </cols>
  <sheetData>
    <row r="1" spans="1:256" x14ac:dyDescent="0.2">
      <c r="A1" s="365"/>
      <c r="B1" s="366"/>
      <c r="C1" s="367"/>
      <c r="D1" s="368"/>
      <c r="E1" s="369" t="s">
        <v>1310</v>
      </c>
      <c r="F1" s="368"/>
      <c r="G1" s="370"/>
      <c r="H1" s="368"/>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c r="BJ1" s="371"/>
      <c r="BK1" s="371"/>
      <c r="BL1" s="371"/>
      <c r="BM1" s="371"/>
      <c r="BN1" s="371"/>
      <c r="BO1" s="371"/>
      <c r="BP1" s="371"/>
      <c r="BQ1" s="371"/>
      <c r="BR1" s="371"/>
      <c r="BS1" s="371"/>
      <c r="BT1" s="371"/>
      <c r="BU1" s="371"/>
      <c r="BV1" s="371"/>
      <c r="BW1" s="371"/>
      <c r="BX1" s="371"/>
      <c r="BY1" s="371"/>
      <c r="BZ1" s="371"/>
      <c r="CA1" s="371"/>
      <c r="CB1" s="371"/>
      <c r="CC1" s="371"/>
      <c r="CD1" s="371"/>
      <c r="CE1" s="371"/>
      <c r="CF1" s="371"/>
      <c r="CG1" s="371"/>
      <c r="CH1" s="371"/>
      <c r="CI1" s="371"/>
      <c r="CJ1" s="371"/>
      <c r="CK1" s="371"/>
      <c r="CL1" s="371"/>
      <c r="CM1" s="371"/>
      <c r="CN1" s="371"/>
      <c r="CO1" s="371"/>
      <c r="CP1" s="371"/>
      <c r="CQ1" s="371"/>
      <c r="CR1" s="371"/>
      <c r="CS1" s="371"/>
      <c r="CT1" s="371"/>
      <c r="CU1" s="371"/>
      <c r="CV1" s="371"/>
      <c r="CW1" s="371"/>
      <c r="CX1" s="371"/>
      <c r="CY1" s="371"/>
      <c r="CZ1" s="371"/>
      <c r="DA1" s="371"/>
      <c r="DB1" s="371"/>
      <c r="DC1" s="371"/>
      <c r="DD1" s="371"/>
      <c r="DE1" s="371"/>
      <c r="DF1" s="371"/>
      <c r="DG1" s="371"/>
      <c r="DH1" s="371"/>
      <c r="DI1" s="371"/>
      <c r="DJ1" s="371"/>
      <c r="DK1" s="371"/>
      <c r="DL1" s="371"/>
      <c r="DM1" s="371"/>
      <c r="DN1" s="371"/>
      <c r="DO1" s="371"/>
      <c r="DP1" s="371"/>
      <c r="DQ1" s="371"/>
      <c r="DR1" s="371"/>
      <c r="DS1" s="371"/>
      <c r="DT1" s="371"/>
      <c r="DU1" s="371"/>
      <c r="DV1" s="371"/>
      <c r="DW1" s="371"/>
      <c r="DX1" s="371"/>
      <c r="DY1" s="371"/>
      <c r="DZ1" s="371"/>
      <c r="EA1" s="371"/>
      <c r="EB1" s="371"/>
      <c r="EC1" s="371"/>
      <c r="ED1" s="371"/>
      <c r="EE1" s="371"/>
      <c r="EF1" s="371"/>
      <c r="EG1" s="371"/>
      <c r="EH1" s="371"/>
      <c r="EI1" s="371"/>
      <c r="EJ1" s="371"/>
      <c r="EK1" s="371"/>
      <c r="EL1" s="371"/>
      <c r="EM1" s="371"/>
      <c r="EN1" s="371"/>
      <c r="EO1" s="371"/>
      <c r="EP1" s="371"/>
      <c r="EQ1" s="371"/>
      <c r="ER1" s="371"/>
      <c r="ES1" s="371"/>
      <c r="ET1" s="371"/>
      <c r="EU1" s="371"/>
      <c r="EV1" s="371"/>
      <c r="EW1" s="371"/>
      <c r="EX1" s="371"/>
      <c r="EY1" s="371"/>
      <c r="EZ1" s="371"/>
      <c r="FA1" s="371"/>
      <c r="FB1" s="371"/>
      <c r="FC1" s="371"/>
      <c r="FD1" s="371"/>
      <c r="FE1" s="371"/>
      <c r="FF1" s="371"/>
      <c r="FG1" s="371"/>
      <c r="FH1" s="371"/>
      <c r="FI1" s="371"/>
      <c r="FJ1" s="371"/>
      <c r="FK1" s="371"/>
      <c r="FL1" s="371"/>
      <c r="FM1" s="371"/>
      <c r="FN1" s="371"/>
      <c r="FO1" s="371"/>
      <c r="FP1" s="371"/>
      <c r="FQ1" s="371"/>
      <c r="FR1" s="371"/>
      <c r="FS1" s="371"/>
      <c r="FT1" s="371"/>
      <c r="FU1" s="371"/>
      <c r="FV1" s="371"/>
      <c r="FW1" s="371"/>
      <c r="FX1" s="371"/>
      <c r="FY1" s="371"/>
      <c r="FZ1" s="371"/>
      <c r="GA1" s="371"/>
      <c r="GB1" s="371"/>
      <c r="GC1" s="371"/>
      <c r="GD1" s="371"/>
      <c r="GE1" s="371"/>
      <c r="GF1" s="371"/>
      <c r="GG1" s="371"/>
      <c r="GH1" s="371"/>
      <c r="GI1" s="371"/>
      <c r="GJ1" s="371"/>
      <c r="GK1" s="371"/>
      <c r="GL1" s="371"/>
      <c r="GM1" s="371"/>
      <c r="GN1" s="371"/>
      <c r="GO1" s="371"/>
      <c r="GP1" s="371"/>
      <c r="GQ1" s="371"/>
      <c r="GR1" s="371"/>
      <c r="GS1" s="371"/>
      <c r="GT1" s="371"/>
      <c r="GU1" s="371"/>
      <c r="GV1" s="371"/>
      <c r="GW1" s="371"/>
      <c r="GX1" s="371"/>
      <c r="GY1" s="371"/>
      <c r="GZ1" s="371"/>
      <c r="HA1" s="371"/>
      <c r="HB1" s="371"/>
      <c r="HC1" s="371"/>
      <c r="HD1" s="371"/>
      <c r="HE1" s="371"/>
      <c r="HF1" s="371"/>
      <c r="HG1" s="371"/>
      <c r="HH1" s="371"/>
      <c r="HI1" s="371"/>
      <c r="HJ1" s="371"/>
      <c r="HK1" s="371"/>
      <c r="HL1" s="371"/>
      <c r="HM1" s="371"/>
      <c r="HN1" s="371"/>
      <c r="HO1" s="371"/>
      <c r="HP1" s="371"/>
      <c r="HQ1" s="371"/>
      <c r="HR1" s="371"/>
      <c r="HS1" s="371"/>
      <c r="HT1" s="371"/>
      <c r="HU1" s="371"/>
      <c r="HV1" s="371"/>
      <c r="HW1" s="371"/>
      <c r="HX1" s="371"/>
      <c r="HY1" s="371"/>
      <c r="HZ1" s="371"/>
      <c r="IA1" s="371"/>
      <c r="IB1" s="371"/>
      <c r="IC1" s="371"/>
      <c r="ID1" s="371"/>
      <c r="IE1" s="371"/>
      <c r="IF1" s="371"/>
      <c r="IG1" s="371"/>
      <c r="IH1" s="371"/>
      <c r="II1" s="371"/>
      <c r="IJ1" s="371"/>
      <c r="IK1" s="371"/>
      <c r="IL1" s="371"/>
      <c r="IM1" s="371"/>
      <c r="IN1" s="371"/>
      <c r="IO1" s="371"/>
      <c r="IP1" s="371"/>
      <c r="IQ1" s="371"/>
      <c r="IR1" s="371"/>
      <c r="IS1" s="371"/>
      <c r="IT1" s="371"/>
      <c r="IU1" s="371"/>
      <c r="IV1" s="371"/>
    </row>
    <row r="2" spans="1:256" x14ac:dyDescent="0.2">
      <c r="A2" s="365"/>
      <c r="B2" s="368"/>
      <c r="D2" s="368"/>
      <c r="E2" s="372"/>
      <c r="F2" s="368"/>
      <c r="G2" s="370"/>
      <c r="H2" s="368"/>
      <c r="I2" s="370"/>
      <c r="J2" s="371"/>
      <c r="K2" s="371"/>
      <c r="L2" s="371"/>
      <c r="M2" s="371"/>
      <c r="N2" s="371"/>
      <c r="O2" s="371"/>
      <c r="P2" s="371"/>
      <c r="Q2" s="371"/>
      <c r="R2" s="371"/>
      <c r="S2" s="371"/>
      <c r="T2" s="371"/>
      <c r="U2" s="371"/>
      <c r="V2" s="371"/>
      <c r="W2" s="371"/>
      <c r="X2" s="371"/>
      <c r="Y2" s="371"/>
      <c r="Z2" s="371"/>
      <c r="AA2" s="371"/>
      <c r="AB2" s="371"/>
      <c r="AC2" s="371"/>
      <c r="AD2" s="371"/>
      <c r="AE2" s="371"/>
      <c r="AF2" s="371"/>
      <c r="AG2" s="371"/>
      <c r="AH2" s="371"/>
      <c r="AI2" s="371"/>
      <c r="AJ2" s="371"/>
      <c r="AK2" s="371"/>
      <c r="AL2" s="371"/>
      <c r="AM2" s="371"/>
      <c r="AN2" s="371"/>
      <c r="AO2" s="371"/>
      <c r="AP2" s="371"/>
      <c r="AQ2" s="371"/>
      <c r="AR2" s="371"/>
      <c r="AS2" s="371"/>
      <c r="AT2" s="371"/>
      <c r="AU2" s="371"/>
      <c r="AV2" s="371"/>
      <c r="AW2" s="371"/>
      <c r="AX2" s="371"/>
      <c r="AY2" s="371"/>
      <c r="AZ2" s="371"/>
      <c r="BA2" s="371"/>
      <c r="BB2" s="371"/>
      <c r="BC2" s="371"/>
      <c r="BD2" s="371"/>
      <c r="BE2" s="371"/>
      <c r="BF2" s="371"/>
      <c r="BG2" s="371"/>
      <c r="BH2" s="371"/>
      <c r="BI2" s="371"/>
      <c r="BJ2" s="371"/>
      <c r="BK2" s="371"/>
      <c r="BL2" s="371"/>
      <c r="BM2" s="371"/>
      <c r="BN2" s="371"/>
      <c r="BO2" s="371"/>
      <c r="BP2" s="371"/>
      <c r="BQ2" s="371"/>
      <c r="BR2" s="371"/>
      <c r="BS2" s="371"/>
      <c r="BT2" s="371"/>
      <c r="BU2" s="371"/>
      <c r="BV2" s="371"/>
      <c r="BW2" s="371"/>
      <c r="BX2" s="371"/>
      <c r="BY2" s="371"/>
      <c r="BZ2" s="371"/>
      <c r="CA2" s="371"/>
      <c r="CB2" s="371"/>
      <c r="CC2" s="371"/>
      <c r="CD2" s="371"/>
      <c r="CE2" s="371"/>
      <c r="CF2" s="371"/>
      <c r="CG2" s="371"/>
      <c r="CH2" s="371"/>
      <c r="CI2" s="371"/>
      <c r="CJ2" s="371"/>
      <c r="CK2" s="371"/>
      <c r="CL2" s="371"/>
      <c r="CM2" s="371"/>
      <c r="CN2" s="371"/>
      <c r="CO2" s="371"/>
      <c r="CP2" s="371"/>
      <c r="CQ2" s="371"/>
      <c r="CR2" s="371"/>
      <c r="CS2" s="371"/>
      <c r="CT2" s="371"/>
      <c r="CU2" s="371"/>
      <c r="CV2" s="371"/>
      <c r="CW2" s="371"/>
      <c r="CX2" s="371"/>
      <c r="CY2" s="371"/>
      <c r="CZ2" s="371"/>
      <c r="DA2" s="371"/>
      <c r="DB2" s="371"/>
      <c r="DC2" s="371"/>
      <c r="DD2" s="371"/>
      <c r="DE2" s="371"/>
      <c r="DF2" s="371"/>
      <c r="DG2" s="371"/>
      <c r="DH2" s="371"/>
      <c r="DI2" s="371"/>
      <c r="DJ2" s="371"/>
      <c r="DK2" s="371"/>
      <c r="DL2" s="371"/>
      <c r="DM2" s="371"/>
      <c r="DN2" s="371"/>
      <c r="DO2" s="371"/>
      <c r="DP2" s="371"/>
      <c r="DQ2" s="371"/>
      <c r="DR2" s="371"/>
      <c r="DS2" s="371"/>
      <c r="DT2" s="371"/>
      <c r="DU2" s="371"/>
      <c r="DV2" s="371"/>
      <c r="DW2" s="371"/>
      <c r="DX2" s="371"/>
      <c r="DY2" s="371"/>
      <c r="DZ2" s="371"/>
      <c r="EA2" s="371"/>
      <c r="EB2" s="371"/>
      <c r="EC2" s="371"/>
      <c r="ED2" s="371"/>
      <c r="EE2" s="371"/>
      <c r="EF2" s="371"/>
      <c r="EG2" s="371"/>
      <c r="EH2" s="371"/>
      <c r="EI2" s="371"/>
      <c r="EJ2" s="371"/>
      <c r="EK2" s="371"/>
      <c r="EL2" s="371"/>
      <c r="EM2" s="371"/>
      <c r="EN2" s="371"/>
      <c r="EO2" s="371"/>
      <c r="EP2" s="371"/>
      <c r="EQ2" s="371"/>
      <c r="ER2" s="371"/>
      <c r="ES2" s="371"/>
      <c r="ET2" s="371"/>
      <c r="EU2" s="371"/>
      <c r="EV2" s="371"/>
      <c r="EW2" s="371"/>
      <c r="EX2" s="371"/>
      <c r="EY2" s="371"/>
      <c r="EZ2" s="371"/>
      <c r="FA2" s="371"/>
      <c r="FB2" s="371"/>
      <c r="FC2" s="371"/>
      <c r="FD2" s="371"/>
      <c r="FE2" s="371"/>
      <c r="FF2" s="371"/>
      <c r="FG2" s="371"/>
      <c r="FH2" s="371"/>
      <c r="FI2" s="371"/>
      <c r="FJ2" s="371"/>
      <c r="FK2" s="371"/>
      <c r="FL2" s="371"/>
      <c r="FM2" s="371"/>
      <c r="FN2" s="371"/>
      <c r="FO2" s="371"/>
      <c r="FP2" s="371"/>
      <c r="FQ2" s="371"/>
      <c r="FR2" s="371"/>
      <c r="FS2" s="371"/>
      <c r="FT2" s="371"/>
      <c r="FU2" s="371"/>
      <c r="FV2" s="371"/>
      <c r="FW2" s="371"/>
      <c r="FX2" s="371"/>
      <c r="FY2" s="371"/>
      <c r="FZ2" s="371"/>
      <c r="GA2" s="371"/>
      <c r="GB2" s="371"/>
      <c r="GC2" s="371"/>
      <c r="GD2" s="371"/>
      <c r="GE2" s="371"/>
      <c r="GF2" s="371"/>
      <c r="GG2" s="371"/>
      <c r="GH2" s="371"/>
      <c r="GI2" s="371"/>
      <c r="GJ2" s="371"/>
      <c r="GK2" s="371"/>
      <c r="GL2" s="371"/>
      <c r="GM2" s="371"/>
      <c r="GN2" s="371"/>
      <c r="GO2" s="371"/>
      <c r="GP2" s="371"/>
      <c r="GQ2" s="371"/>
      <c r="GR2" s="371"/>
      <c r="GS2" s="371"/>
      <c r="GT2" s="371"/>
      <c r="GU2" s="371"/>
      <c r="GV2" s="371"/>
      <c r="GW2" s="371"/>
      <c r="GX2" s="371"/>
      <c r="GY2" s="371"/>
      <c r="GZ2" s="371"/>
      <c r="HA2" s="371"/>
      <c r="HB2" s="371"/>
      <c r="HC2" s="371"/>
      <c r="HD2" s="371"/>
      <c r="HE2" s="371"/>
      <c r="HF2" s="371"/>
      <c r="HG2" s="371"/>
      <c r="HH2" s="371"/>
      <c r="HI2" s="371"/>
      <c r="HJ2" s="371"/>
      <c r="HK2" s="371"/>
      <c r="HL2" s="371"/>
      <c r="HM2" s="371"/>
      <c r="HN2" s="371"/>
      <c r="HO2" s="371"/>
      <c r="HP2" s="371"/>
      <c r="HQ2" s="371"/>
      <c r="HR2" s="371"/>
      <c r="HS2" s="371"/>
      <c r="HT2" s="371"/>
      <c r="HU2" s="371"/>
      <c r="HV2" s="371"/>
      <c r="HW2" s="371"/>
      <c r="HX2" s="371"/>
      <c r="HY2" s="371"/>
      <c r="HZ2" s="371"/>
      <c r="IA2" s="371"/>
      <c r="IB2" s="371"/>
      <c r="IC2" s="371"/>
      <c r="ID2" s="371"/>
      <c r="IE2" s="371"/>
      <c r="IF2" s="371"/>
      <c r="IG2" s="371"/>
      <c r="IH2" s="371"/>
      <c r="II2" s="371"/>
      <c r="IJ2" s="371"/>
      <c r="IK2" s="371"/>
      <c r="IL2" s="371"/>
      <c r="IM2" s="371"/>
      <c r="IN2" s="371"/>
      <c r="IO2" s="371"/>
      <c r="IP2" s="371"/>
      <c r="IQ2" s="371"/>
      <c r="IR2" s="371"/>
      <c r="IS2" s="371"/>
      <c r="IT2" s="371"/>
      <c r="IU2" s="371"/>
      <c r="IV2" s="371"/>
    </row>
    <row r="3" spans="1:256" x14ac:dyDescent="0.2">
      <c r="A3" s="793" t="str">
        <f>СВОД!E43</f>
        <v>Смета №3.10</v>
      </c>
      <c r="B3" s="793"/>
      <c r="C3" s="793"/>
      <c r="D3" s="793"/>
      <c r="E3" s="793"/>
      <c r="F3" s="373"/>
      <c r="G3" s="373"/>
      <c r="H3" s="373"/>
      <c r="I3" s="373"/>
      <c r="J3" s="371"/>
      <c r="K3" s="371"/>
      <c r="L3" s="371"/>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O3" s="371"/>
      <c r="AP3" s="371"/>
      <c r="AQ3" s="371"/>
      <c r="AR3" s="371"/>
      <c r="AS3" s="371"/>
      <c r="AT3" s="371"/>
      <c r="AU3" s="371"/>
      <c r="AV3" s="371"/>
      <c r="AW3" s="371"/>
      <c r="AX3" s="371"/>
      <c r="AY3" s="371"/>
      <c r="AZ3" s="371"/>
      <c r="BA3" s="371"/>
      <c r="BB3" s="371"/>
      <c r="BC3" s="371"/>
      <c r="BD3" s="371"/>
      <c r="BE3" s="371"/>
      <c r="BF3" s="371"/>
      <c r="BG3" s="371"/>
      <c r="BH3" s="371"/>
      <c r="BI3" s="371"/>
      <c r="BJ3" s="371"/>
      <c r="BK3" s="371"/>
      <c r="BL3" s="371"/>
      <c r="BM3" s="371"/>
      <c r="BN3" s="371"/>
      <c r="BO3" s="371"/>
      <c r="BP3" s="371"/>
      <c r="BQ3" s="371"/>
      <c r="BR3" s="371"/>
      <c r="BS3" s="371"/>
      <c r="BT3" s="371"/>
      <c r="BU3" s="371"/>
      <c r="BV3" s="371"/>
      <c r="BW3" s="371"/>
      <c r="BX3" s="371"/>
      <c r="BY3" s="371"/>
      <c r="BZ3" s="371"/>
      <c r="CA3" s="371"/>
      <c r="CB3" s="371"/>
      <c r="CC3" s="371"/>
      <c r="CD3" s="371"/>
      <c r="CE3" s="371"/>
      <c r="CF3" s="371"/>
      <c r="CG3" s="371"/>
      <c r="CH3" s="371"/>
      <c r="CI3" s="371"/>
      <c r="CJ3" s="371"/>
      <c r="CK3" s="371"/>
      <c r="CL3" s="371"/>
      <c r="CM3" s="371"/>
      <c r="CN3" s="371"/>
      <c r="CO3" s="371"/>
      <c r="CP3" s="371"/>
      <c r="CQ3" s="371"/>
      <c r="CR3" s="371"/>
      <c r="CS3" s="371"/>
      <c r="CT3" s="371"/>
      <c r="CU3" s="371"/>
      <c r="CV3" s="371"/>
      <c r="CW3" s="371"/>
      <c r="CX3" s="371"/>
      <c r="CY3" s="371"/>
      <c r="CZ3" s="371"/>
      <c r="DA3" s="371"/>
      <c r="DB3" s="371"/>
      <c r="DC3" s="371"/>
      <c r="DD3" s="371"/>
      <c r="DE3" s="371"/>
      <c r="DF3" s="371"/>
      <c r="DG3" s="371"/>
      <c r="DH3" s="371"/>
      <c r="DI3" s="371"/>
      <c r="DJ3" s="371"/>
      <c r="DK3" s="371"/>
      <c r="DL3" s="371"/>
      <c r="DM3" s="371"/>
      <c r="DN3" s="371"/>
      <c r="DO3" s="371"/>
      <c r="DP3" s="371"/>
      <c r="DQ3" s="371"/>
      <c r="DR3" s="371"/>
      <c r="DS3" s="371"/>
      <c r="DT3" s="371"/>
      <c r="DU3" s="371"/>
      <c r="DV3" s="371"/>
      <c r="DW3" s="371"/>
      <c r="DX3" s="371"/>
      <c r="DY3" s="371"/>
      <c r="DZ3" s="371"/>
      <c r="EA3" s="371"/>
      <c r="EB3" s="371"/>
      <c r="EC3" s="371"/>
      <c r="ED3" s="371"/>
      <c r="EE3" s="371"/>
      <c r="EF3" s="371"/>
      <c r="EG3" s="371"/>
      <c r="EH3" s="371"/>
      <c r="EI3" s="371"/>
      <c r="EJ3" s="371"/>
      <c r="EK3" s="371"/>
      <c r="EL3" s="371"/>
      <c r="EM3" s="371"/>
      <c r="EN3" s="371"/>
      <c r="EO3" s="371"/>
      <c r="EP3" s="371"/>
      <c r="EQ3" s="371"/>
      <c r="ER3" s="371"/>
      <c r="ES3" s="371"/>
      <c r="ET3" s="371"/>
      <c r="EU3" s="371"/>
      <c r="EV3" s="371"/>
      <c r="EW3" s="371"/>
      <c r="EX3" s="371"/>
      <c r="EY3" s="371"/>
      <c r="EZ3" s="371"/>
      <c r="FA3" s="371"/>
      <c r="FB3" s="371"/>
      <c r="FC3" s="371"/>
      <c r="FD3" s="371"/>
      <c r="FE3" s="371"/>
      <c r="FF3" s="371"/>
      <c r="FG3" s="371"/>
      <c r="FH3" s="371"/>
      <c r="FI3" s="371"/>
      <c r="FJ3" s="371"/>
      <c r="FK3" s="371"/>
      <c r="FL3" s="371"/>
      <c r="FM3" s="371"/>
      <c r="FN3" s="371"/>
      <c r="FO3" s="371"/>
      <c r="FP3" s="371"/>
      <c r="FQ3" s="371"/>
      <c r="FR3" s="371"/>
      <c r="FS3" s="371"/>
      <c r="FT3" s="371"/>
      <c r="FU3" s="371"/>
      <c r="FV3" s="371"/>
      <c r="FW3" s="371"/>
      <c r="FX3" s="371"/>
      <c r="FY3" s="371"/>
      <c r="FZ3" s="371"/>
      <c r="GA3" s="371"/>
      <c r="GB3" s="371"/>
      <c r="GC3" s="371"/>
      <c r="GD3" s="371"/>
      <c r="GE3" s="371"/>
      <c r="GF3" s="371"/>
      <c r="GG3" s="371"/>
      <c r="GH3" s="371"/>
      <c r="GI3" s="371"/>
      <c r="GJ3" s="371"/>
      <c r="GK3" s="371"/>
      <c r="GL3" s="371"/>
      <c r="GM3" s="371"/>
      <c r="GN3" s="371"/>
      <c r="GO3" s="371"/>
      <c r="GP3" s="371"/>
      <c r="GQ3" s="371"/>
      <c r="GR3" s="371"/>
      <c r="GS3" s="371"/>
      <c r="GT3" s="371"/>
      <c r="GU3" s="371"/>
      <c r="GV3" s="371"/>
      <c r="GW3" s="371"/>
      <c r="GX3" s="371"/>
      <c r="GY3" s="371"/>
      <c r="GZ3" s="371"/>
      <c r="HA3" s="371"/>
      <c r="HB3" s="371"/>
      <c r="HC3" s="371"/>
      <c r="HD3" s="371"/>
      <c r="HE3" s="371"/>
      <c r="HF3" s="371"/>
      <c r="HG3" s="371"/>
      <c r="HH3" s="371"/>
      <c r="HI3" s="371"/>
      <c r="HJ3" s="371"/>
      <c r="HK3" s="371"/>
      <c r="HL3" s="371"/>
      <c r="HM3" s="371"/>
      <c r="HN3" s="371"/>
      <c r="HO3" s="371"/>
      <c r="HP3" s="371"/>
      <c r="HQ3" s="371"/>
      <c r="HR3" s="371"/>
      <c r="HS3" s="371"/>
      <c r="HT3" s="371"/>
      <c r="HU3" s="371"/>
      <c r="HV3" s="371"/>
      <c r="HW3" s="371"/>
      <c r="HX3" s="371"/>
      <c r="HY3" s="371"/>
      <c r="HZ3" s="371"/>
      <c r="IA3" s="371"/>
      <c r="IB3" s="371"/>
      <c r="IC3" s="371"/>
      <c r="ID3" s="371"/>
      <c r="IE3" s="371"/>
      <c r="IF3" s="371"/>
      <c r="IG3" s="371"/>
      <c r="IH3" s="371"/>
      <c r="II3" s="371"/>
      <c r="IJ3" s="371"/>
      <c r="IK3" s="371"/>
      <c r="IL3" s="371"/>
      <c r="IM3" s="371"/>
      <c r="IN3" s="371"/>
      <c r="IO3" s="371"/>
      <c r="IP3" s="371"/>
      <c r="IQ3" s="371"/>
      <c r="IR3" s="371"/>
      <c r="IS3" s="371"/>
      <c r="IT3" s="371"/>
      <c r="IU3" s="371"/>
      <c r="IV3" s="371"/>
    </row>
    <row r="4" spans="1:256" x14ac:dyDescent="0.2">
      <c r="A4" s="794" t="s">
        <v>1312</v>
      </c>
      <c r="B4" s="794"/>
      <c r="C4" s="794"/>
      <c r="D4" s="794"/>
      <c r="E4" s="794"/>
      <c r="F4" s="374"/>
      <c r="G4" s="374"/>
      <c r="H4" s="374"/>
      <c r="I4" s="374"/>
      <c r="J4" s="371"/>
      <c r="K4" s="371"/>
      <c r="L4" s="371"/>
      <c r="M4" s="371"/>
      <c r="N4" s="371"/>
      <c r="O4" s="371"/>
      <c r="P4" s="371"/>
      <c r="Q4" s="371"/>
      <c r="R4" s="371"/>
      <c r="S4" s="371"/>
      <c r="T4" s="371"/>
      <c r="U4" s="371"/>
      <c r="V4" s="371"/>
      <c r="W4" s="371"/>
      <c r="X4" s="371"/>
      <c r="Y4" s="371"/>
      <c r="Z4" s="371"/>
      <c r="AA4" s="371"/>
      <c r="AB4" s="371"/>
      <c r="AC4" s="371"/>
      <c r="AD4" s="371"/>
      <c r="AE4" s="371"/>
      <c r="AF4" s="371"/>
      <c r="AG4" s="371"/>
      <c r="AH4" s="371"/>
      <c r="AI4" s="371"/>
      <c r="AJ4" s="371"/>
      <c r="AK4" s="371"/>
      <c r="AL4" s="371"/>
      <c r="AM4" s="371"/>
      <c r="AN4" s="371"/>
      <c r="AO4" s="371"/>
      <c r="AP4" s="371"/>
      <c r="AQ4" s="371"/>
      <c r="AR4" s="371"/>
      <c r="AS4" s="371"/>
      <c r="AT4" s="371"/>
      <c r="AU4" s="371"/>
      <c r="AV4" s="371"/>
      <c r="AW4" s="371"/>
      <c r="AX4" s="371"/>
      <c r="AY4" s="371"/>
      <c r="AZ4" s="371"/>
      <c r="BA4" s="371"/>
      <c r="BB4" s="371"/>
      <c r="BC4" s="371"/>
      <c r="BD4" s="371"/>
      <c r="BE4" s="371"/>
      <c r="BF4" s="371"/>
      <c r="BG4" s="371"/>
      <c r="BH4" s="371"/>
      <c r="BI4" s="371"/>
      <c r="BJ4" s="371"/>
      <c r="BK4" s="371"/>
      <c r="BL4" s="371"/>
      <c r="BM4" s="371"/>
      <c r="BN4" s="371"/>
      <c r="BO4" s="371"/>
      <c r="BP4" s="371"/>
      <c r="BQ4" s="371"/>
      <c r="BR4" s="371"/>
      <c r="BS4" s="371"/>
      <c r="BT4" s="371"/>
      <c r="BU4" s="371"/>
      <c r="BV4" s="371"/>
      <c r="BW4" s="371"/>
      <c r="BX4" s="371"/>
      <c r="BY4" s="371"/>
      <c r="BZ4" s="371"/>
      <c r="CA4" s="371"/>
      <c r="CB4" s="371"/>
      <c r="CC4" s="371"/>
      <c r="CD4" s="371"/>
      <c r="CE4" s="371"/>
      <c r="CF4" s="371"/>
      <c r="CG4" s="371"/>
      <c r="CH4" s="371"/>
      <c r="CI4" s="371"/>
      <c r="CJ4" s="371"/>
      <c r="CK4" s="371"/>
      <c r="CL4" s="371"/>
      <c r="CM4" s="371"/>
      <c r="CN4" s="371"/>
      <c r="CO4" s="371"/>
      <c r="CP4" s="371"/>
      <c r="CQ4" s="371"/>
      <c r="CR4" s="371"/>
      <c r="CS4" s="371"/>
      <c r="CT4" s="371"/>
      <c r="CU4" s="371"/>
      <c r="CV4" s="371"/>
      <c r="CW4" s="371"/>
      <c r="CX4" s="371"/>
      <c r="CY4" s="371"/>
      <c r="CZ4" s="371"/>
      <c r="DA4" s="371"/>
      <c r="DB4" s="371"/>
      <c r="DC4" s="371"/>
      <c r="DD4" s="371"/>
      <c r="DE4" s="371"/>
      <c r="DF4" s="371"/>
      <c r="DG4" s="371"/>
      <c r="DH4" s="371"/>
      <c r="DI4" s="371"/>
      <c r="DJ4" s="371"/>
      <c r="DK4" s="371"/>
      <c r="DL4" s="371"/>
      <c r="DM4" s="371"/>
      <c r="DN4" s="371"/>
      <c r="DO4" s="371"/>
      <c r="DP4" s="371"/>
      <c r="DQ4" s="371"/>
      <c r="DR4" s="371"/>
      <c r="DS4" s="371"/>
      <c r="DT4" s="371"/>
      <c r="DU4" s="371"/>
      <c r="DV4" s="371"/>
      <c r="DW4" s="371"/>
      <c r="DX4" s="371"/>
      <c r="DY4" s="371"/>
      <c r="DZ4" s="371"/>
      <c r="EA4" s="371"/>
      <c r="EB4" s="371"/>
      <c r="EC4" s="371"/>
      <c r="ED4" s="371"/>
      <c r="EE4" s="371"/>
      <c r="EF4" s="371"/>
      <c r="EG4" s="371"/>
      <c r="EH4" s="371"/>
      <c r="EI4" s="371"/>
      <c r="EJ4" s="371"/>
      <c r="EK4" s="371"/>
      <c r="EL4" s="371"/>
      <c r="EM4" s="371"/>
      <c r="EN4" s="371"/>
      <c r="EO4" s="371"/>
      <c r="EP4" s="371"/>
      <c r="EQ4" s="371"/>
      <c r="ER4" s="371"/>
      <c r="ES4" s="371"/>
      <c r="ET4" s="371"/>
      <c r="EU4" s="371"/>
      <c r="EV4" s="371"/>
      <c r="EW4" s="371"/>
      <c r="EX4" s="371"/>
      <c r="EY4" s="371"/>
      <c r="EZ4" s="371"/>
      <c r="FA4" s="371"/>
      <c r="FB4" s="371"/>
      <c r="FC4" s="371"/>
      <c r="FD4" s="371"/>
      <c r="FE4" s="371"/>
      <c r="FF4" s="371"/>
      <c r="FG4" s="371"/>
      <c r="FH4" s="371"/>
      <c r="FI4" s="371"/>
      <c r="FJ4" s="371"/>
      <c r="FK4" s="371"/>
      <c r="FL4" s="371"/>
      <c r="FM4" s="371"/>
      <c r="FN4" s="371"/>
      <c r="FO4" s="371"/>
      <c r="FP4" s="371"/>
      <c r="FQ4" s="371"/>
      <c r="FR4" s="371"/>
      <c r="FS4" s="371"/>
      <c r="FT4" s="371"/>
      <c r="FU4" s="371"/>
      <c r="FV4" s="371"/>
      <c r="FW4" s="371"/>
      <c r="FX4" s="371"/>
      <c r="FY4" s="371"/>
      <c r="FZ4" s="371"/>
      <c r="GA4" s="371"/>
      <c r="GB4" s="371"/>
      <c r="GC4" s="371"/>
      <c r="GD4" s="371"/>
      <c r="GE4" s="371"/>
      <c r="GF4" s="371"/>
      <c r="GG4" s="371"/>
      <c r="GH4" s="371"/>
      <c r="GI4" s="371"/>
      <c r="GJ4" s="371"/>
      <c r="GK4" s="371"/>
      <c r="GL4" s="371"/>
      <c r="GM4" s="371"/>
      <c r="GN4" s="371"/>
      <c r="GO4" s="371"/>
      <c r="GP4" s="371"/>
      <c r="GQ4" s="371"/>
      <c r="GR4" s="371"/>
      <c r="GS4" s="371"/>
      <c r="GT4" s="371"/>
      <c r="GU4" s="371"/>
      <c r="GV4" s="371"/>
      <c r="GW4" s="371"/>
      <c r="GX4" s="371"/>
      <c r="GY4" s="371"/>
      <c r="GZ4" s="371"/>
      <c r="HA4" s="371"/>
      <c r="HB4" s="371"/>
      <c r="HC4" s="371"/>
      <c r="HD4" s="371"/>
      <c r="HE4" s="371"/>
      <c r="HF4" s="371"/>
      <c r="HG4" s="371"/>
      <c r="HH4" s="371"/>
      <c r="HI4" s="371"/>
      <c r="HJ4" s="371"/>
      <c r="HK4" s="371"/>
      <c r="HL4" s="371"/>
      <c r="HM4" s="371"/>
      <c r="HN4" s="371"/>
      <c r="HO4" s="371"/>
      <c r="HP4" s="371"/>
      <c r="HQ4" s="371"/>
      <c r="HR4" s="371"/>
      <c r="HS4" s="371"/>
      <c r="HT4" s="371"/>
      <c r="HU4" s="371"/>
      <c r="HV4" s="371"/>
      <c r="HW4" s="371"/>
      <c r="HX4" s="371"/>
      <c r="HY4" s="371"/>
      <c r="HZ4" s="371"/>
      <c r="IA4" s="371"/>
      <c r="IB4" s="371"/>
      <c r="IC4" s="371"/>
      <c r="ID4" s="371"/>
      <c r="IE4" s="371"/>
      <c r="IF4" s="371"/>
      <c r="IG4" s="371"/>
      <c r="IH4" s="371"/>
      <c r="II4" s="371"/>
      <c r="IJ4" s="371"/>
      <c r="IK4" s="371"/>
      <c r="IL4" s="371"/>
      <c r="IM4" s="371"/>
      <c r="IN4" s="371"/>
      <c r="IO4" s="371"/>
      <c r="IP4" s="371"/>
      <c r="IQ4" s="371"/>
      <c r="IR4" s="371"/>
      <c r="IS4" s="371"/>
      <c r="IT4" s="371"/>
      <c r="IU4" s="371"/>
      <c r="IV4" s="371"/>
    </row>
    <row r="5" spans="1:256" x14ac:dyDescent="0.2">
      <c r="A5" s="365"/>
      <c r="B5" s="368"/>
      <c r="C5" s="368"/>
      <c r="D5" s="368"/>
      <c r="E5" s="372"/>
      <c r="F5" s="368"/>
      <c r="G5" s="370"/>
      <c r="H5" s="368"/>
      <c r="I5" s="370"/>
      <c r="J5" s="371"/>
      <c r="K5" s="371"/>
      <c r="L5" s="371"/>
      <c r="M5" s="371"/>
      <c r="N5" s="371"/>
      <c r="O5" s="371"/>
      <c r="P5" s="371"/>
      <c r="Q5" s="371"/>
      <c r="R5" s="371"/>
      <c r="S5" s="371"/>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row>
    <row r="6" spans="1:256" ht="25.5" x14ac:dyDescent="0.2">
      <c r="A6" s="365"/>
      <c r="B6" s="375" t="s">
        <v>1313</v>
      </c>
      <c r="C6" s="795" t="str">
        <f>СВОД!B43</f>
        <v>Электроснабжение</v>
      </c>
      <c r="D6" s="795"/>
      <c r="E6" s="795"/>
      <c r="F6" s="376"/>
      <c r="G6" s="376"/>
      <c r="H6" s="376"/>
      <c r="I6" s="376"/>
      <c r="J6" s="371"/>
      <c r="K6" s="371"/>
      <c r="L6" s="371"/>
      <c r="M6" s="371"/>
      <c r="N6" s="371"/>
      <c r="O6" s="371"/>
      <c r="P6" s="371"/>
      <c r="Q6" s="371"/>
      <c r="R6" s="371"/>
      <c r="S6" s="371"/>
      <c r="T6" s="371"/>
      <c r="U6" s="371"/>
      <c r="V6" s="371"/>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71"/>
      <c r="BF6" s="371"/>
      <c r="BG6" s="371"/>
      <c r="BH6" s="371"/>
      <c r="BI6" s="371"/>
      <c r="BJ6" s="371"/>
      <c r="BK6" s="371"/>
      <c r="BL6" s="371"/>
      <c r="BM6" s="371"/>
      <c r="BN6" s="371"/>
      <c r="BO6" s="371"/>
      <c r="BP6" s="371"/>
      <c r="BQ6" s="371"/>
      <c r="BR6" s="371"/>
      <c r="BS6" s="371"/>
      <c r="BT6" s="371"/>
      <c r="BU6" s="371"/>
      <c r="BV6" s="371"/>
      <c r="BW6" s="371"/>
      <c r="BX6" s="371"/>
      <c r="BY6" s="371"/>
      <c r="BZ6" s="371"/>
      <c r="CA6" s="371"/>
      <c r="CB6" s="371"/>
      <c r="CC6" s="371"/>
      <c r="CD6" s="371"/>
      <c r="CE6" s="371"/>
      <c r="CF6" s="371"/>
      <c r="CG6" s="371"/>
      <c r="CH6" s="371"/>
      <c r="CI6" s="371"/>
      <c r="CJ6" s="371"/>
      <c r="CK6" s="371"/>
      <c r="CL6" s="371"/>
      <c r="CM6" s="371"/>
      <c r="CN6" s="371"/>
      <c r="CO6" s="371"/>
      <c r="CP6" s="371"/>
      <c r="CQ6" s="371"/>
      <c r="CR6" s="371"/>
      <c r="CS6" s="371"/>
      <c r="CT6" s="371"/>
      <c r="CU6" s="371"/>
      <c r="CV6" s="371"/>
      <c r="CW6" s="371"/>
      <c r="CX6" s="371"/>
      <c r="CY6" s="371"/>
      <c r="CZ6" s="371"/>
      <c r="DA6" s="371"/>
      <c r="DB6" s="371"/>
      <c r="DC6" s="371"/>
      <c r="DD6" s="371"/>
      <c r="DE6" s="371"/>
      <c r="DF6" s="371"/>
      <c r="DG6" s="371"/>
      <c r="DH6" s="371"/>
      <c r="DI6" s="371"/>
      <c r="DJ6" s="371"/>
      <c r="DK6" s="371"/>
      <c r="DL6" s="371"/>
      <c r="DM6" s="371"/>
      <c r="DN6" s="371"/>
      <c r="DO6" s="371"/>
      <c r="DP6" s="371"/>
      <c r="DQ6" s="371"/>
      <c r="DR6" s="371"/>
      <c r="DS6" s="371"/>
      <c r="DT6" s="371"/>
      <c r="DU6" s="371"/>
      <c r="DV6" s="371"/>
      <c r="DW6" s="371"/>
      <c r="DX6" s="371"/>
      <c r="DY6" s="371"/>
      <c r="DZ6" s="371"/>
      <c r="EA6" s="371"/>
      <c r="EB6" s="371"/>
      <c r="EC6" s="371"/>
      <c r="ED6" s="371"/>
      <c r="EE6" s="371"/>
      <c r="EF6" s="371"/>
      <c r="EG6" s="371"/>
      <c r="EH6" s="371"/>
      <c r="EI6" s="371"/>
      <c r="EJ6" s="371"/>
      <c r="EK6" s="371"/>
      <c r="EL6" s="371"/>
      <c r="EM6" s="371"/>
      <c r="EN6" s="371"/>
      <c r="EO6" s="371"/>
      <c r="EP6" s="371"/>
      <c r="EQ6" s="371"/>
      <c r="ER6" s="371"/>
      <c r="ES6" s="371"/>
      <c r="ET6" s="371"/>
      <c r="EU6" s="371"/>
      <c r="EV6" s="371"/>
      <c r="EW6" s="371"/>
      <c r="EX6" s="371"/>
      <c r="EY6" s="371"/>
      <c r="EZ6" s="371"/>
      <c r="FA6" s="371"/>
      <c r="FB6" s="371"/>
      <c r="FC6" s="371"/>
      <c r="FD6" s="371"/>
      <c r="FE6" s="371"/>
      <c r="FF6" s="371"/>
      <c r="FG6" s="371"/>
      <c r="FH6" s="371"/>
      <c r="FI6" s="371"/>
      <c r="FJ6" s="371"/>
      <c r="FK6" s="371"/>
      <c r="FL6" s="371"/>
      <c r="FM6" s="371"/>
      <c r="FN6" s="371"/>
      <c r="FO6" s="371"/>
      <c r="FP6" s="371"/>
      <c r="FQ6" s="371"/>
      <c r="FR6" s="371"/>
      <c r="FS6" s="371"/>
      <c r="FT6" s="371"/>
      <c r="FU6" s="371"/>
      <c r="FV6" s="371"/>
      <c r="FW6" s="371"/>
      <c r="FX6" s="371"/>
      <c r="FY6" s="371"/>
      <c r="FZ6" s="371"/>
      <c r="GA6" s="371"/>
      <c r="GB6" s="371"/>
      <c r="GC6" s="371"/>
      <c r="GD6" s="371"/>
      <c r="GE6" s="371"/>
      <c r="GF6" s="371"/>
      <c r="GG6" s="371"/>
      <c r="GH6" s="371"/>
      <c r="GI6" s="371"/>
      <c r="GJ6" s="371"/>
      <c r="GK6" s="371"/>
      <c r="GL6" s="371"/>
      <c r="GM6" s="371"/>
      <c r="GN6" s="371"/>
      <c r="GO6" s="371"/>
      <c r="GP6" s="371"/>
      <c r="GQ6" s="371"/>
      <c r="GR6" s="371"/>
      <c r="GS6" s="371"/>
      <c r="GT6" s="371"/>
      <c r="GU6" s="371"/>
      <c r="GV6" s="371"/>
      <c r="GW6" s="371"/>
      <c r="GX6" s="371"/>
      <c r="GY6" s="371"/>
      <c r="GZ6" s="371"/>
      <c r="HA6" s="371"/>
      <c r="HB6" s="371"/>
      <c r="HC6" s="371"/>
      <c r="HD6" s="371"/>
      <c r="HE6" s="371"/>
      <c r="HF6" s="371"/>
      <c r="HG6" s="371"/>
      <c r="HH6" s="371"/>
      <c r="HI6" s="371"/>
      <c r="HJ6" s="371"/>
      <c r="HK6" s="371"/>
      <c r="HL6" s="371"/>
      <c r="HM6" s="371"/>
      <c r="HN6" s="371"/>
      <c r="HO6" s="371"/>
      <c r="HP6" s="371"/>
      <c r="HQ6" s="371"/>
      <c r="HR6" s="371"/>
      <c r="HS6" s="371"/>
      <c r="HT6" s="371"/>
      <c r="HU6" s="371"/>
      <c r="HV6" s="371"/>
      <c r="HW6" s="371"/>
      <c r="HX6" s="371"/>
      <c r="HY6" s="371"/>
      <c r="HZ6" s="371"/>
      <c r="IA6" s="371"/>
      <c r="IB6" s="371"/>
      <c r="IC6" s="371"/>
      <c r="ID6" s="371"/>
      <c r="IE6" s="371"/>
      <c r="IF6" s="371"/>
      <c r="IG6" s="371"/>
      <c r="IH6" s="371"/>
      <c r="II6" s="371"/>
      <c r="IJ6" s="371"/>
      <c r="IK6" s="371"/>
      <c r="IL6" s="371"/>
      <c r="IM6" s="371"/>
      <c r="IN6" s="371"/>
      <c r="IO6" s="371"/>
      <c r="IP6" s="371"/>
      <c r="IQ6" s="371"/>
      <c r="IR6" s="371"/>
      <c r="IS6" s="371"/>
      <c r="IT6" s="371"/>
      <c r="IU6" s="371"/>
      <c r="IV6" s="371"/>
    </row>
    <row r="7" spans="1:256" x14ac:dyDescent="0.2">
      <c r="A7" s="365"/>
      <c r="B7" s="377"/>
      <c r="C7" s="378"/>
      <c r="D7" s="377"/>
      <c r="E7" s="379"/>
      <c r="F7" s="378"/>
      <c r="G7" s="378"/>
      <c r="H7" s="378"/>
      <c r="I7" s="378"/>
      <c r="J7" s="380"/>
      <c r="K7" s="380"/>
      <c r="L7" s="380"/>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0"/>
      <c r="CH7" s="380"/>
      <c r="CI7" s="380"/>
      <c r="CJ7" s="380"/>
      <c r="CK7" s="380"/>
      <c r="CL7" s="380"/>
      <c r="CM7" s="380"/>
      <c r="CN7" s="380"/>
      <c r="CO7" s="380"/>
      <c r="CP7" s="380"/>
      <c r="CQ7" s="380"/>
      <c r="CR7" s="380"/>
      <c r="CS7" s="380"/>
      <c r="CT7" s="380"/>
      <c r="CU7" s="380"/>
      <c r="CV7" s="380"/>
      <c r="CW7" s="380"/>
      <c r="CX7" s="380"/>
      <c r="CY7" s="380"/>
      <c r="CZ7" s="380"/>
      <c r="DA7" s="380"/>
      <c r="DB7" s="380"/>
      <c r="DC7" s="380"/>
      <c r="DD7" s="380"/>
      <c r="DE7" s="380"/>
      <c r="DF7" s="380"/>
      <c r="DG7" s="380"/>
      <c r="DH7" s="380"/>
      <c r="DI7" s="380"/>
      <c r="DJ7" s="380"/>
      <c r="DK7" s="380"/>
      <c r="DL7" s="380"/>
      <c r="DM7" s="380"/>
      <c r="DN7" s="380"/>
      <c r="DO7" s="380"/>
      <c r="DP7" s="380"/>
      <c r="DQ7" s="380"/>
      <c r="DR7" s="380"/>
      <c r="DS7" s="380"/>
      <c r="DT7" s="380"/>
      <c r="DU7" s="380"/>
      <c r="DV7" s="380"/>
      <c r="DW7" s="380"/>
      <c r="DX7" s="380"/>
      <c r="DY7" s="380"/>
      <c r="DZ7" s="380"/>
      <c r="EA7" s="380"/>
      <c r="EB7" s="380"/>
      <c r="EC7" s="380"/>
      <c r="ED7" s="380"/>
      <c r="EE7" s="380"/>
      <c r="EF7" s="380"/>
      <c r="EG7" s="380"/>
      <c r="EH7" s="380"/>
      <c r="EI7" s="380"/>
      <c r="EJ7" s="380"/>
      <c r="EK7" s="380"/>
      <c r="EL7" s="380"/>
      <c r="EM7" s="380"/>
      <c r="EN7" s="380"/>
      <c r="EO7" s="380"/>
      <c r="EP7" s="380"/>
      <c r="EQ7" s="380"/>
      <c r="ER7" s="380"/>
      <c r="ES7" s="380"/>
      <c r="ET7" s="380"/>
      <c r="EU7" s="380"/>
      <c r="EV7" s="380"/>
      <c r="EW7" s="380"/>
      <c r="EX7" s="380"/>
      <c r="EY7" s="380"/>
      <c r="EZ7" s="380"/>
      <c r="FA7" s="380"/>
      <c r="FB7" s="380"/>
      <c r="FC7" s="380"/>
      <c r="FD7" s="380"/>
      <c r="FE7" s="380"/>
      <c r="FF7" s="380"/>
      <c r="FG7" s="380"/>
      <c r="FH7" s="380"/>
      <c r="FI7" s="380"/>
      <c r="FJ7" s="380"/>
      <c r="FK7" s="380"/>
      <c r="FL7" s="380"/>
      <c r="FM7" s="380"/>
      <c r="FN7" s="380"/>
      <c r="FO7" s="380"/>
      <c r="FP7" s="380"/>
      <c r="FQ7" s="380"/>
      <c r="FR7" s="380"/>
      <c r="FS7" s="380"/>
      <c r="FT7" s="380"/>
      <c r="FU7" s="380"/>
      <c r="FV7" s="380"/>
      <c r="FW7" s="380"/>
      <c r="FX7" s="380"/>
      <c r="FY7" s="380"/>
      <c r="FZ7" s="380"/>
      <c r="GA7" s="380"/>
      <c r="GB7" s="380"/>
      <c r="GC7" s="380"/>
      <c r="GD7" s="380"/>
      <c r="GE7" s="380"/>
      <c r="GF7" s="380"/>
      <c r="GG7" s="380"/>
      <c r="GH7" s="380"/>
      <c r="GI7" s="380"/>
      <c r="GJ7" s="380"/>
      <c r="GK7" s="380"/>
      <c r="GL7" s="380"/>
      <c r="GM7" s="380"/>
      <c r="GN7" s="380"/>
      <c r="GO7" s="380"/>
      <c r="GP7" s="380"/>
      <c r="GQ7" s="380"/>
      <c r="GR7" s="380"/>
      <c r="GS7" s="380"/>
      <c r="GT7" s="380"/>
      <c r="GU7" s="380"/>
      <c r="GV7" s="380"/>
      <c r="GW7" s="380"/>
      <c r="GX7" s="380"/>
      <c r="GY7" s="380"/>
      <c r="GZ7" s="380"/>
      <c r="HA7" s="380"/>
      <c r="HB7" s="380"/>
      <c r="HC7" s="380"/>
      <c r="HD7" s="380"/>
      <c r="HE7" s="380"/>
      <c r="HF7" s="380"/>
      <c r="HG7" s="380"/>
      <c r="HH7" s="380"/>
      <c r="HI7" s="380"/>
      <c r="HJ7" s="380"/>
      <c r="HK7" s="380"/>
      <c r="HL7" s="380"/>
      <c r="HM7" s="380"/>
      <c r="HN7" s="380"/>
      <c r="HO7" s="380"/>
      <c r="HP7" s="380"/>
      <c r="HQ7" s="380"/>
      <c r="HR7" s="380"/>
      <c r="HS7" s="380"/>
      <c r="HT7" s="380"/>
      <c r="HU7" s="380"/>
      <c r="HV7" s="380"/>
      <c r="HW7" s="380"/>
      <c r="HX7" s="380"/>
      <c r="HY7" s="380"/>
      <c r="HZ7" s="380"/>
      <c r="IA7" s="380"/>
      <c r="IB7" s="380"/>
      <c r="IC7" s="380"/>
      <c r="ID7" s="380"/>
      <c r="IE7" s="380"/>
      <c r="IF7" s="380"/>
      <c r="IG7" s="380"/>
      <c r="IH7" s="380"/>
      <c r="II7" s="380"/>
      <c r="IJ7" s="380"/>
      <c r="IK7" s="380"/>
      <c r="IL7" s="380"/>
      <c r="IM7" s="380"/>
      <c r="IN7" s="380"/>
      <c r="IO7" s="380"/>
      <c r="IP7" s="380"/>
      <c r="IQ7" s="380"/>
      <c r="IR7" s="380"/>
      <c r="IS7" s="380"/>
      <c r="IT7" s="380"/>
      <c r="IU7" s="380"/>
      <c r="IV7" s="380"/>
    </row>
    <row r="8" spans="1:256" x14ac:dyDescent="0.2">
      <c r="A8" s="365"/>
      <c r="B8" s="381" t="s">
        <v>1314</v>
      </c>
      <c r="C8" s="377" t="str">
        <f>СВОД!D14</f>
        <v>Определяется по итогам конкурентных процедур</v>
      </c>
      <c r="D8" s="377"/>
      <c r="E8" s="382"/>
      <c r="F8" s="383"/>
      <c r="G8" s="384"/>
      <c r="H8" s="377"/>
      <c r="I8" s="385"/>
      <c r="J8" s="371"/>
      <c r="K8" s="371"/>
      <c r="L8" s="371"/>
      <c r="M8" s="371"/>
      <c r="N8" s="371"/>
      <c r="O8" s="371"/>
      <c r="P8" s="371"/>
      <c r="Q8" s="371"/>
      <c r="R8" s="371"/>
      <c r="S8" s="371"/>
      <c r="T8" s="371"/>
      <c r="U8" s="371"/>
      <c r="V8" s="371"/>
      <c r="W8" s="371"/>
      <c r="X8" s="371"/>
      <c r="Y8" s="371"/>
      <c r="Z8" s="371"/>
      <c r="AA8" s="371"/>
      <c r="AB8" s="371"/>
      <c r="AC8" s="371"/>
      <c r="AD8" s="371"/>
      <c r="AE8" s="371"/>
      <c r="AF8" s="371"/>
      <c r="AG8" s="371"/>
      <c r="AH8" s="371"/>
      <c r="AI8" s="371"/>
      <c r="AJ8" s="371"/>
      <c r="AK8" s="371"/>
      <c r="AL8" s="371"/>
      <c r="AM8" s="371"/>
      <c r="AN8" s="371"/>
      <c r="AO8" s="371"/>
      <c r="AP8" s="371"/>
      <c r="AQ8" s="371"/>
      <c r="AR8" s="371"/>
      <c r="AS8" s="371"/>
      <c r="AT8" s="371"/>
      <c r="AU8" s="371"/>
      <c r="AV8" s="371"/>
      <c r="AW8" s="371"/>
      <c r="AX8" s="371"/>
      <c r="AY8" s="371"/>
      <c r="AZ8" s="371"/>
      <c r="BA8" s="371"/>
      <c r="BB8" s="371"/>
      <c r="BC8" s="371"/>
      <c r="BD8" s="371"/>
      <c r="BE8" s="371"/>
      <c r="BF8" s="371"/>
      <c r="BG8" s="371"/>
      <c r="BH8" s="371"/>
      <c r="BI8" s="371"/>
      <c r="BJ8" s="371"/>
      <c r="BK8" s="371"/>
      <c r="BL8" s="371"/>
      <c r="BM8" s="371"/>
      <c r="BN8" s="371"/>
      <c r="BO8" s="371"/>
      <c r="BP8" s="371"/>
      <c r="BQ8" s="371"/>
      <c r="BR8" s="371"/>
      <c r="BS8" s="371"/>
      <c r="BT8" s="371"/>
      <c r="BU8" s="371"/>
      <c r="BV8" s="371"/>
      <c r="BW8" s="371"/>
      <c r="BX8" s="371"/>
      <c r="BY8" s="371"/>
      <c r="BZ8" s="371"/>
      <c r="CA8" s="371"/>
      <c r="CB8" s="371"/>
      <c r="CC8" s="371"/>
      <c r="CD8" s="371"/>
      <c r="CE8" s="371"/>
      <c r="CF8" s="371"/>
      <c r="CG8" s="371"/>
      <c r="CH8" s="371"/>
      <c r="CI8" s="371"/>
      <c r="CJ8" s="371"/>
      <c r="CK8" s="371"/>
      <c r="CL8" s="371"/>
      <c r="CM8" s="371"/>
      <c r="CN8" s="371"/>
      <c r="CO8" s="371"/>
      <c r="CP8" s="371"/>
      <c r="CQ8" s="371"/>
      <c r="CR8" s="371"/>
      <c r="CS8" s="371"/>
      <c r="CT8" s="371"/>
      <c r="CU8" s="371"/>
      <c r="CV8" s="371"/>
      <c r="CW8" s="371"/>
      <c r="CX8" s="371"/>
      <c r="CY8" s="371"/>
      <c r="CZ8" s="371"/>
      <c r="DA8" s="371"/>
      <c r="DB8" s="371"/>
      <c r="DC8" s="371"/>
      <c r="DD8" s="371"/>
      <c r="DE8" s="371"/>
      <c r="DF8" s="371"/>
      <c r="DG8" s="371"/>
      <c r="DH8" s="371"/>
      <c r="DI8" s="371"/>
      <c r="DJ8" s="371"/>
      <c r="DK8" s="371"/>
      <c r="DL8" s="371"/>
      <c r="DM8" s="371"/>
      <c r="DN8" s="371"/>
      <c r="DO8" s="371"/>
      <c r="DP8" s="371"/>
      <c r="DQ8" s="371"/>
      <c r="DR8" s="371"/>
      <c r="DS8" s="371"/>
      <c r="DT8" s="371"/>
      <c r="DU8" s="371"/>
      <c r="DV8" s="371"/>
      <c r="DW8" s="371"/>
      <c r="DX8" s="371"/>
      <c r="DY8" s="371"/>
      <c r="DZ8" s="371"/>
      <c r="EA8" s="371"/>
      <c r="EB8" s="371"/>
      <c r="EC8" s="371"/>
      <c r="ED8" s="371"/>
      <c r="EE8" s="371"/>
      <c r="EF8" s="371"/>
      <c r="EG8" s="371"/>
      <c r="EH8" s="371"/>
      <c r="EI8" s="371"/>
      <c r="EJ8" s="371"/>
      <c r="EK8" s="371"/>
      <c r="EL8" s="371"/>
      <c r="EM8" s="371"/>
      <c r="EN8" s="371"/>
      <c r="EO8" s="371"/>
      <c r="EP8" s="371"/>
      <c r="EQ8" s="371"/>
      <c r="ER8" s="371"/>
      <c r="ES8" s="371"/>
      <c r="ET8" s="371"/>
      <c r="EU8" s="371"/>
      <c r="EV8" s="371"/>
      <c r="EW8" s="371"/>
      <c r="EX8" s="371"/>
      <c r="EY8" s="371"/>
      <c r="EZ8" s="371"/>
      <c r="FA8" s="371"/>
      <c r="FB8" s="371"/>
      <c r="FC8" s="371"/>
      <c r="FD8" s="371"/>
      <c r="FE8" s="371"/>
      <c r="FF8" s="371"/>
      <c r="FG8" s="371"/>
      <c r="FH8" s="371"/>
      <c r="FI8" s="371"/>
      <c r="FJ8" s="371"/>
      <c r="FK8" s="371"/>
      <c r="FL8" s="371"/>
      <c r="FM8" s="371"/>
      <c r="FN8" s="371"/>
      <c r="FO8" s="371"/>
      <c r="FP8" s="371"/>
      <c r="FQ8" s="371"/>
      <c r="FR8" s="371"/>
      <c r="FS8" s="371"/>
      <c r="FT8" s="371"/>
      <c r="FU8" s="371"/>
      <c r="FV8" s="371"/>
      <c r="FW8" s="371"/>
      <c r="FX8" s="371"/>
      <c r="FY8" s="371"/>
      <c r="FZ8" s="371"/>
      <c r="GA8" s="371"/>
      <c r="GB8" s="371"/>
      <c r="GC8" s="371"/>
      <c r="GD8" s="371"/>
      <c r="GE8" s="371"/>
      <c r="GF8" s="371"/>
      <c r="GG8" s="371"/>
      <c r="GH8" s="371"/>
      <c r="GI8" s="371"/>
      <c r="GJ8" s="371"/>
      <c r="GK8" s="371"/>
      <c r="GL8" s="371"/>
      <c r="GM8" s="371"/>
      <c r="GN8" s="371"/>
      <c r="GO8" s="371"/>
      <c r="GP8" s="371"/>
      <c r="GQ8" s="371"/>
      <c r="GR8" s="371"/>
      <c r="GS8" s="371"/>
      <c r="GT8" s="371"/>
      <c r="GU8" s="371"/>
      <c r="GV8" s="371"/>
      <c r="GW8" s="371"/>
      <c r="GX8" s="371"/>
      <c r="GY8" s="371"/>
      <c r="GZ8" s="371"/>
      <c r="HA8" s="371"/>
      <c r="HB8" s="371"/>
      <c r="HC8" s="371"/>
      <c r="HD8" s="371"/>
      <c r="HE8" s="371"/>
      <c r="HF8" s="371"/>
      <c r="HG8" s="371"/>
      <c r="HH8" s="371"/>
      <c r="HI8" s="371"/>
      <c r="HJ8" s="371"/>
      <c r="HK8" s="371"/>
      <c r="HL8" s="371"/>
      <c r="HM8" s="371"/>
      <c r="HN8" s="371"/>
      <c r="HO8" s="371"/>
      <c r="HP8" s="371"/>
      <c r="HQ8" s="371"/>
      <c r="HR8" s="371"/>
      <c r="HS8" s="371"/>
      <c r="HT8" s="371"/>
      <c r="HU8" s="371"/>
      <c r="HV8" s="371"/>
      <c r="HW8" s="371"/>
      <c r="HX8" s="371"/>
      <c r="HY8" s="371"/>
      <c r="HZ8" s="371"/>
      <c r="IA8" s="371"/>
      <c r="IB8" s="371"/>
      <c r="IC8" s="371"/>
      <c r="ID8" s="371"/>
      <c r="IE8" s="371"/>
      <c r="IF8" s="371"/>
      <c r="IG8" s="371"/>
      <c r="IH8" s="371"/>
      <c r="II8" s="371"/>
      <c r="IJ8" s="371"/>
      <c r="IK8" s="371"/>
      <c r="IL8" s="371"/>
      <c r="IM8" s="371"/>
      <c r="IN8" s="371"/>
      <c r="IO8" s="371"/>
      <c r="IP8" s="371"/>
      <c r="IQ8" s="371"/>
      <c r="IR8" s="371"/>
      <c r="IS8" s="371"/>
      <c r="IT8" s="371"/>
      <c r="IU8" s="371"/>
      <c r="IV8" s="371"/>
    </row>
    <row r="9" spans="1:256" x14ac:dyDescent="0.2">
      <c r="A9" s="365"/>
      <c r="B9" s="381" t="s">
        <v>1315</v>
      </c>
      <c r="C9" s="368"/>
      <c r="D9" s="377"/>
      <c r="E9" s="382"/>
      <c r="F9" s="383"/>
      <c r="G9" s="386"/>
      <c r="H9" s="387"/>
      <c r="I9" s="386"/>
      <c r="J9" s="371"/>
      <c r="K9" s="371"/>
      <c r="L9" s="371"/>
      <c r="M9" s="371"/>
      <c r="N9" s="371"/>
      <c r="O9" s="371"/>
      <c r="P9" s="371"/>
      <c r="Q9" s="371"/>
      <c r="R9" s="371"/>
      <c r="S9" s="371"/>
      <c r="T9" s="371"/>
      <c r="U9" s="371"/>
      <c r="V9" s="371"/>
      <c r="W9" s="371"/>
      <c r="X9" s="371"/>
      <c r="Y9" s="371"/>
      <c r="Z9" s="371"/>
      <c r="AA9" s="371"/>
      <c r="AB9" s="371"/>
      <c r="AC9" s="371"/>
      <c r="AD9" s="371"/>
      <c r="AE9" s="371"/>
      <c r="AF9" s="371"/>
      <c r="AG9" s="371"/>
      <c r="AH9" s="371"/>
      <c r="AI9" s="371"/>
      <c r="AJ9" s="371"/>
      <c r="AK9" s="371"/>
      <c r="AL9" s="371"/>
      <c r="AM9" s="371"/>
      <c r="AN9" s="371"/>
      <c r="AO9" s="371"/>
      <c r="AP9" s="371"/>
      <c r="AQ9" s="371"/>
      <c r="AR9" s="371"/>
      <c r="AS9" s="371"/>
      <c r="AT9" s="371"/>
      <c r="AU9" s="371"/>
      <c r="AV9" s="371"/>
      <c r="AW9" s="371"/>
      <c r="AX9" s="371"/>
      <c r="AY9" s="371"/>
      <c r="AZ9" s="371"/>
      <c r="BA9" s="371"/>
      <c r="BB9" s="371"/>
      <c r="BC9" s="371"/>
      <c r="BD9" s="371"/>
      <c r="BE9" s="371"/>
      <c r="BF9" s="371"/>
      <c r="BG9" s="371"/>
      <c r="BH9" s="371"/>
      <c r="BI9" s="371"/>
      <c r="BJ9" s="371"/>
      <c r="BK9" s="371"/>
      <c r="BL9" s="371"/>
      <c r="BM9" s="371"/>
      <c r="BN9" s="371"/>
      <c r="BO9" s="371"/>
      <c r="BP9" s="371"/>
      <c r="BQ9" s="371"/>
      <c r="BR9" s="371"/>
      <c r="BS9" s="371"/>
      <c r="BT9" s="371"/>
      <c r="BU9" s="371"/>
      <c r="BV9" s="371"/>
      <c r="BW9" s="371"/>
      <c r="BX9" s="371"/>
      <c r="BY9" s="371"/>
      <c r="BZ9" s="371"/>
      <c r="CA9" s="371"/>
      <c r="CB9" s="371"/>
      <c r="CC9" s="371"/>
      <c r="CD9" s="371"/>
      <c r="CE9" s="371"/>
      <c r="CF9" s="371"/>
      <c r="CG9" s="371"/>
      <c r="CH9" s="371"/>
      <c r="CI9" s="371"/>
      <c r="CJ9" s="371"/>
      <c r="CK9" s="371"/>
      <c r="CL9" s="371"/>
      <c r="CM9" s="371"/>
      <c r="CN9" s="371"/>
      <c r="CO9" s="371"/>
      <c r="CP9" s="371"/>
      <c r="CQ9" s="371"/>
      <c r="CR9" s="371"/>
      <c r="CS9" s="371"/>
      <c r="CT9" s="371"/>
      <c r="CU9" s="371"/>
      <c r="CV9" s="371"/>
      <c r="CW9" s="371"/>
      <c r="CX9" s="371"/>
      <c r="CY9" s="371"/>
      <c r="CZ9" s="371"/>
      <c r="DA9" s="371"/>
      <c r="DB9" s="371"/>
      <c r="DC9" s="371"/>
      <c r="DD9" s="371"/>
      <c r="DE9" s="371"/>
      <c r="DF9" s="371"/>
      <c r="DG9" s="371"/>
      <c r="DH9" s="371"/>
      <c r="DI9" s="371"/>
      <c r="DJ9" s="371"/>
      <c r="DK9" s="371"/>
      <c r="DL9" s="371"/>
      <c r="DM9" s="371"/>
      <c r="DN9" s="371"/>
      <c r="DO9" s="371"/>
      <c r="DP9" s="371"/>
      <c r="DQ9" s="371"/>
      <c r="DR9" s="371"/>
      <c r="DS9" s="371"/>
      <c r="DT9" s="371"/>
      <c r="DU9" s="371"/>
      <c r="DV9" s="371"/>
      <c r="DW9" s="371"/>
      <c r="DX9" s="371"/>
      <c r="DY9" s="371"/>
      <c r="DZ9" s="371"/>
      <c r="EA9" s="371"/>
      <c r="EB9" s="371"/>
      <c r="EC9" s="371"/>
      <c r="ED9" s="371"/>
      <c r="EE9" s="371"/>
      <c r="EF9" s="371"/>
      <c r="EG9" s="371"/>
      <c r="EH9" s="371"/>
      <c r="EI9" s="371"/>
      <c r="EJ9" s="371"/>
      <c r="EK9" s="371"/>
      <c r="EL9" s="371"/>
      <c r="EM9" s="371"/>
      <c r="EN9" s="371"/>
      <c r="EO9" s="371"/>
      <c r="EP9" s="371"/>
      <c r="EQ9" s="371"/>
      <c r="ER9" s="371"/>
      <c r="ES9" s="371"/>
      <c r="ET9" s="371"/>
      <c r="EU9" s="371"/>
      <c r="EV9" s="371"/>
      <c r="EW9" s="371"/>
      <c r="EX9" s="371"/>
      <c r="EY9" s="371"/>
      <c r="EZ9" s="371"/>
      <c r="FA9" s="371"/>
      <c r="FB9" s="371"/>
      <c r="FC9" s="371"/>
      <c r="FD9" s="371"/>
      <c r="FE9" s="371"/>
      <c r="FF9" s="371"/>
      <c r="FG9" s="371"/>
      <c r="FH9" s="371"/>
      <c r="FI9" s="371"/>
      <c r="FJ9" s="371"/>
      <c r="FK9" s="371"/>
      <c r="FL9" s="371"/>
      <c r="FM9" s="371"/>
      <c r="FN9" s="371"/>
      <c r="FO9" s="371"/>
      <c r="FP9" s="371"/>
      <c r="FQ9" s="371"/>
      <c r="FR9" s="371"/>
      <c r="FS9" s="371"/>
      <c r="FT9" s="371"/>
      <c r="FU9" s="371"/>
      <c r="FV9" s="371"/>
      <c r="FW9" s="371"/>
      <c r="FX9" s="371"/>
      <c r="FY9" s="371"/>
      <c r="FZ9" s="371"/>
      <c r="GA9" s="371"/>
      <c r="GB9" s="371"/>
      <c r="GC9" s="371"/>
      <c r="GD9" s="371"/>
      <c r="GE9" s="371"/>
      <c r="GF9" s="371"/>
      <c r="GG9" s="371"/>
      <c r="GH9" s="371"/>
      <c r="GI9" s="371"/>
      <c r="GJ9" s="371"/>
      <c r="GK9" s="371"/>
      <c r="GL9" s="371"/>
      <c r="GM9" s="371"/>
      <c r="GN9" s="371"/>
      <c r="GO9" s="371"/>
      <c r="GP9" s="371"/>
      <c r="GQ9" s="371"/>
      <c r="GR9" s="371"/>
      <c r="GS9" s="371"/>
      <c r="GT9" s="371"/>
      <c r="GU9" s="371"/>
      <c r="GV9" s="371"/>
      <c r="GW9" s="371"/>
      <c r="GX9" s="371"/>
      <c r="GY9" s="371"/>
      <c r="GZ9" s="371"/>
      <c r="HA9" s="371"/>
      <c r="HB9" s="371"/>
      <c r="HC9" s="371"/>
      <c r="HD9" s="371"/>
      <c r="HE9" s="371"/>
      <c r="HF9" s="371"/>
      <c r="HG9" s="371"/>
      <c r="HH9" s="371"/>
      <c r="HI9" s="371"/>
      <c r="HJ9" s="371"/>
      <c r="HK9" s="371"/>
      <c r="HL9" s="371"/>
      <c r="HM9" s="371"/>
      <c r="HN9" s="371"/>
      <c r="HO9" s="371"/>
      <c r="HP9" s="371"/>
      <c r="HQ9" s="371"/>
      <c r="HR9" s="371"/>
      <c r="HS9" s="371"/>
      <c r="HT9" s="371"/>
      <c r="HU9" s="371"/>
      <c r="HV9" s="371"/>
      <c r="HW9" s="371"/>
      <c r="HX9" s="371"/>
      <c r="HY9" s="371"/>
      <c r="HZ9" s="371"/>
      <c r="IA9" s="371"/>
      <c r="IB9" s="371"/>
      <c r="IC9" s="371"/>
      <c r="ID9" s="371"/>
      <c r="IE9" s="371"/>
      <c r="IF9" s="371"/>
      <c r="IG9" s="371"/>
      <c r="IH9" s="371"/>
      <c r="II9" s="371"/>
      <c r="IJ9" s="371"/>
      <c r="IK9" s="371"/>
      <c r="IL9" s="371"/>
      <c r="IM9" s="371"/>
      <c r="IN9" s="371"/>
      <c r="IO9" s="371"/>
      <c r="IP9" s="371"/>
      <c r="IQ9" s="371"/>
      <c r="IR9" s="371"/>
      <c r="IS9" s="371"/>
      <c r="IT9" s="371"/>
      <c r="IU9" s="371"/>
      <c r="IV9" s="371"/>
    </row>
    <row r="10" spans="1:256" x14ac:dyDescent="0.2">
      <c r="A10" s="365"/>
      <c r="B10" s="381"/>
      <c r="C10" s="377"/>
      <c r="D10" s="377"/>
      <c r="E10" s="382"/>
      <c r="F10" s="383"/>
      <c r="G10" s="386"/>
      <c r="H10" s="387"/>
      <c r="I10" s="386"/>
      <c r="J10" s="371"/>
      <c r="K10" s="371"/>
      <c r="L10" s="371"/>
      <c r="M10" s="371"/>
      <c r="N10" s="371"/>
      <c r="O10" s="371"/>
      <c r="P10" s="371"/>
      <c r="Q10" s="371"/>
      <c r="R10" s="371"/>
      <c r="S10" s="371"/>
      <c r="T10" s="371"/>
      <c r="U10" s="371"/>
      <c r="V10" s="371"/>
      <c r="W10" s="371"/>
      <c r="X10" s="371"/>
      <c r="Y10" s="371"/>
      <c r="Z10" s="371"/>
      <c r="AA10" s="371"/>
      <c r="AB10" s="371"/>
      <c r="AC10" s="371"/>
      <c r="AD10" s="371"/>
      <c r="AE10" s="371"/>
      <c r="AF10" s="371"/>
      <c r="AG10" s="371"/>
      <c r="AH10" s="371"/>
      <c r="AI10" s="371"/>
      <c r="AJ10" s="371"/>
      <c r="AK10" s="371"/>
      <c r="AL10" s="371"/>
      <c r="AM10" s="371"/>
      <c r="AN10" s="371"/>
      <c r="AO10" s="371"/>
      <c r="AP10" s="371"/>
      <c r="AQ10" s="371"/>
      <c r="AR10" s="371"/>
      <c r="AS10" s="371"/>
      <c r="AT10" s="371"/>
      <c r="AU10" s="371"/>
      <c r="AV10" s="371"/>
      <c r="AW10" s="371"/>
      <c r="AX10" s="371"/>
      <c r="AY10" s="371"/>
      <c r="AZ10" s="371"/>
      <c r="BA10" s="371"/>
      <c r="BB10" s="371"/>
      <c r="BC10" s="371"/>
      <c r="BD10" s="371"/>
      <c r="BE10" s="371"/>
      <c r="BF10" s="371"/>
      <c r="BG10" s="371"/>
      <c r="BH10" s="371"/>
      <c r="BI10" s="371"/>
      <c r="BJ10" s="371"/>
      <c r="BK10" s="371"/>
      <c r="BL10" s="371"/>
      <c r="BM10" s="371"/>
      <c r="BN10" s="371"/>
      <c r="BO10" s="371"/>
      <c r="BP10" s="371"/>
      <c r="BQ10" s="371"/>
      <c r="BR10" s="371"/>
      <c r="BS10" s="371"/>
      <c r="BT10" s="371"/>
      <c r="BU10" s="371"/>
      <c r="BV10" s="371"/>
      <c r="BW10" s="371"/>
      <c r="BX10" s="371"/>
      <c r="BY10" s="371"/>
      <c r="BZ10" s="371"/>
      <c r="CA10" s="371"/>
      <c r="CB10" s="371"/>
      <c r="CC10" s="371"/>
      <c r="CD10" s="371"/>
      <c r="CE10" s="371"/>
      <c r="CF10" s="371"/>
      <c r="CG10" s="371"/>
      <c r="CH10" s="371"/>
      <c r="CI10" s="371"/>
      <c r="CJ10" s="371"/>
      <c r="CK10" s="371"/>
      <c r="CL10" s="371"/>
      <c r="CM10" s="371"/>
      <c r="CN10" s="371"/>
      <c r="CO10" s="371"/>
      <c r="CP10" s="371"/>
      <c r="CQ10" s="371"/>
      <c r="CR10" s="371"/>
      <c r="CS10" s="371"/>
      <c r="CT10" s="371"/>
      <c r="CU10" s="371"/>
      <c r="CV10" s="371"/>
      <c r="CW10" s="371"/>
      <c r="CX10" s="371"/>
      <c r="CY10" s="371"/>
      <c r="CZ10" s="371"/>
      <c r="DA10" s="371"/>
      <c r="DB10" s="371"/>
      <c r="DC10" s="371"/>
      <c r="DD10" s="371"/>
      <c r="DE10" s="371"/>
      <c r="DF10" s="371"/>
      <c r="DG10" s="371"/>
      <c r="DH10" s="371"/>
      <c r="DI10" s="371"/>
      <c r="DJ10" s="371"/>
      <c r="DK10" s="371"/>
      <c r="DL10" s="371"/>
      <c r="DM10" s="371"/>
      <c r="DN10" s="371"/>
      <c r="DO10" s="371"/>
      <c r="DP10" s="371"/>
      <c r="DQ10" s="371"/>
      <c r="DR10" s="371"/>
      <c r="DS10" s="371"/>
      <c r="DT10" s="371"/>
      <c r="DU10" s="371"/>
      <c r="DV10" s="371"/>
      <c r="DW10" s="371"/>
      <c r="DX10" s="371"/>
      <c r="DY10" s="371"/>
      <c r="DZ10" s="371"/>
      <c r="EA10" s="371"/>
      <c r="EB10" s="371"/>
      <c r="EC10" s="371"/>
      <c r="ED10" s="371"/>
      <c r="EE10" s="371"/>
      <c r="EF10" s="371"/>
      <c r="EG10" s="371"/>
      <c r="EH10" s="371"/>
      <c r="EI10" s="371"/>
      <c r="EJ10" s="371"/>
      <c r="EK10" s="371"/>
      <c r="EL10" s="371"/>
      <c r="EM10" s="371"/>
      <c r="EN10" s="371"/>
      <c r="EO10" s="371"/>
      <c r="EP10" s="371"/>
      <c r="EQ10" s="371"/>
      <c r="ER10" s="371"/>
      <c r="ES10" s="371"/>
      <c r="ET10" s="371"/>
      <c r="EU10" s="371"/>
      <c r="EV10" s="371"/>
      <c r="EW10" s="371"/>
      <c r="EX10" s="371"/>
      <c r="EY10" s="371"/>
      <c r="EZ10" s="371"/>
      <c r="FA10" s="371"/>
      <c r="FB10" s="371"/>
      <c r="FC10" s="371"/>
      <c r="FD10" s="371"/>
      <c r="FE10" s="371"/>
      <c r="FF10" s="371"/>
      <c r="FG10" s="371"/>
      <c r="FH10" s="371"/>
      <c r="FI10" s="371"/>
      <c r="FJ10" s="371"/>
      <c r="FK10" s="371"/>
      <c r="FL10" s="371"/>
      <c r="FM10" s="371"/>
      <c r="FN10" s="371"/>
      <c r="FO10" s="371"/>
      <c r="FP10" s="371"/>
      <c r="FQ10" s="371"/>
      <c r="FR10" s="371"/>
      <c r="FS10" s="371"/>
      <c r="FT10" s="371"/>
      <c r="FU10" s="371"/>
      <c r="FV10" s="371"/>
      <c r="FW10" s="371"/>
      <c r="FX10" s="371"/>
      <c r="FY10" s="371"/>
      <c r="FZ10" s="371"/>
      <c r="GA10" s="371"/>
      <c r="GB10" s="371"/>
      <c r="GC10" s="371"/>
      <c r="GD10" s="371"/>
      <c r="GE10" s="371"/>
      <c r="GF10" s="371"/>
      <c r="GG10" s="371"/>
      <c r="GH10" s="371"/>
      <c r="GI10" s="371"/>
      <c r="GJ10" s="371"/>
      <c r="GK10" s="371"/>
      <c r="GL10" s="371"/>
      <c r="GM10" s="371"/>
      <c r="GN10" s="371"/>
      <c r="GO10" s="371"/>
      <c r="GP10" s="371"/>
      <c r="GQ10" s="371"/>
      <c r="GR10" s="371"/>
      <c r="GS10" s="371"/>
      <c r="GT10" s="371"/>
      <c r="GU10" s="371"/>
      <c r="GV10" s="371"/>
      <c r="GW10" s="371"/>
      <c r="GX10" s="371"/>
      <c r="GY10" s="371"/>
      <c r="GZ10" s="371"/>
      <c r="HA10" s="371"/>
      <c r="HB10" s="371"/>
      <c r="HC10" s="371"/>
      <c r="HD10" s="371"/>
      <c r="HE10" s="371"/>
      <c r="HF10" s="371"/>
      <c r="HG10" s="371"/>
      <c r="HH10" s="371"/>
      <c r="HI10" s="371"/>
      <c r="HJ10" s="371"/>
      <c r="HK10" s="371"/>
      <c r="HL10" s="371"/>
      <c r="HM10" s="371"/>
      <c r="HN10" s="371"/>
      <c r="HO10" s="371"/>
      <c r="HP10" s="371"/>
      <c r="HQ10" s="371"/>
      <c r="HR10" s="371"/>
      <c r="HS10" s="371"/>
      <c r="HT10" s="371"/>
      <c r="HU10" s="371"/>
      <c r="HV10" s="371"/>
      <c r="HW10" s="371"/>
      <c r="HX10" s="371"/>
      <c r="HY10" s="371"/>
      <c r="HZ10" s="371"/>
      <c r="IA10" s="371"/>
      <c r="IB10" s="371"/>
      <c r="IC10" s="371"/>
      <c r="ID10" s="371"/>
      <c r="IE10" s="371"/>
      <c r="IF10" s="371"/>
      <c r="IG10" s="371"/>
      <c r="IH10" s="371"/>
      <c r="II10" s="371"/>
      <c r="IJ10" s="371"/>
      <c r="IK10" s="371"/>
      <c r="IL10" s="371"/>
      <c r="IM10" s="371"/>
      <c r="IN10" s="371"/>
      <c r="IO10" s="371"/>
      <c r="IP10" s="371"/>
      <c r="IQ10" s="371"/>
      <c r="IR10" s="371"/>
      <c r="IS10" s="371"/>
      <c r="IT10" s="371"/>
      <c r="IU10" s="371"/>
      <c r="IV10" s="371"/>
    </row>
    <row r="11" spans="1:256" x14ac:dyDescent="0.2">
      <c r="A11" s="365"/>
      <c r="B11" s="388" t="s">
        <v>1316</v>
      </c>
      <c r="C11" s="377" t="str">
        <f>СВОД!D16</f>
        <v>ООО «Газпром проектирование»</v>
      </c>
      <c r="D11" s="377"/>
      <c r="E11" s="382"/>
      <c r="F11" s="387"/>
      <c r="G11" s="386"/>
      <c r="H11" s="387"/>
      <c r="I11" s="386"/>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1"/>
      <c r="BR11" s="371"/>
      <c r="BS11" s="371"/>
      <c r="BT11" s="371"/>
      <c r="BU11" s="371"/>
      <c r="BV11" s="371"/>
      <c r="BW11" s="371"/>
      <c r="BX11" s="371"/>
      <c r="BY11" s="371"/>
      <c r="BZ11" s="371"/>
      <c r="CA11" s="371"/>
      <c r="CB11" s="371"/>
      <c r="CC11" s="371"/>
      <c r="CD11" s="371"/>
      <c r="CE11" s="371"/>
      <c r="CF11" s="371"/>
      <c r="CG11" s="371"/>
      <c r="CH11" s="371"/>
      <c r="CI11" s="371"/>
      <c r="CJ11" s="371"/>
      <c r="CK11" s="371"/>
      <c r="CL11" s="371"/>
      <c r="CM11" s="371"/>
      <c r="CN11" s="371"/>
      <c r="CO11" s="371"/>
      <c r="CP11" s="371"/>
      <c r="CQ11" s="371"/>
      <c r="CR11" s="371"/>
      <c r="CS11" s="371"/>
      <c r="CT11" s="371"/>
      <c r="CU11" s="371"/>
      <c r="CV11" s="371"/>
      <c r="CW11" s="371"/>
      <c r="CX11" s="371"/>
      <c r="CY11" s="371"/>
      <c r="CZ11" s="371"/>
      <c r="DA11" s="371"/>
      <c r="DB11" s="371"/>
      <c r="DC11" s="371"/>
      <c r="DD11" s="371"/>
      <c r="DE11" s="371"/>
      <c r="DF11" s="371"/>
      <c r="DG11" s="371"/>
      <c r="DH11" s="371"/>
      <c r="DI11" s="371"/>
      <c r="DJ11" s="371"/>
      <c r="DK11" s="371"/>
      <c r="DL11" s="371"/>
      <c r="DM11" s="371"/>
      <c r="DN11" s="371"/>
      <c r="DO11" s="371"/>
      <c r="DP11" s="371"/>
      <c r="DQ11" s="371"/>
      <c r="DR11" s="371"/>
      <c r="DS11" s="371"/>
      <c r="DT11" s="371"/>
      <c r="DU11" s="371"/>
      <c r="DV11" s="371"/>
      <c r="DW11" s="371"/>
      <c r="DX11" s="371"/>
      <c r="DY11" s="371"/>
      <c r="DZ11" s="371"/>
      <c r="EA11" s="371"/>
      <c r="EB11" s="371"/>
      <c r="EC11" s="371"/>
      <c r="ED11" s="371"/>
      <c r="EE11" s="371"/>
      <c r="EF11" s="371"/>
      <c r="EG11" s="371"/>
      <c r="EH11" s="371"/>
      <c r="EI11" s="371"/>
      <c r="EJ11" s="371"/>
      <c r="EK11" s="371"/>
      <c r="EL11" s="371"/>
      <c r="EM11" s="371"/>
      <c r="EN11" s="371"/>
      <c r="EO11" s="371"/>
      <c r="EP11" s="371"/>
      <c r="EQ11" s="371"/>
      <c r="ER11" s="371"/>
      <c r="ES11" s="371"/>
      <c r="ET11" s="371"/>
      <c r="EU11" s="371"/>
      <c r="EV11" s="371"/>
      <c r="EW11" s="371"/>
      <c r="EX11" s="371"/>
      <c r="EY11" s="371"/>
      <c r="EZ11" s="371"/>
      <c r="FA11" s="371"/>
      <c r="FB11" s="371"/>
      <c r="FC11" s="371"/>
      <c r="FD11" s="371"/>
      <c r="FE11" s="371"/>
      <c r="FF11" s="371"/>
      <c r="FG11" s="371"/>
      <c r="FH11" s="371"/>
      <c r="FI11" s="371"/>
      <c r="FJ11" s="371"/>
      <c r="FK11" s="371"/>
      <c r="FL11" s="371"/>
      <c r="FM11" s="371"/>
      <c r="FN11" s="371"/>
      <c r="FO11" s="371"/>
      <c r="FP11" s="371"/>
      <c r="FQ11" s="371"/>
      <c r="FR11" s="371"/>
      <c r="FS11" s="371"/>
      <c r="FT11" s="371"/>
      <c r="FU11" s="371"/>
      <c r="FV11" s="371"/>
      <c r="FW11" s="371"/>
      <c r="FX11" s="371"/>
      <c r="FY11" s="371"/>
      <c r="FZ11" s="371"/>
      <c r="GA11" s="371"/>
      <c r="GB11" s="371"/>
      <c r="GC11" s="371"/>
      <c r="GD11" s="371"/>
      <c r="GE11" s="371"/>
      <c r="GF11" s="371"/>
      <c r="GG11" s="371"/>
      <c r="GH11" s="371"/>
      <c r="GI11" s="371"/>
      <c r="GJ11" s="371"/>
      <c r="GK11" s="371"/>
      <c r="GL11" s="371"/>
      <c r="GM11" s="371"/>
      <c r="GN11" s="371"/>
      <c r="GO11" s="371"/>
      <c r="GP11" s="371"/>
      <c r="GQ11" s="371"/>
      <c r="GR11" s="371"/>
      <c r="GS11" s="371"/>
      <c r="GT11" s="371"/>
      <c r="GU11" s="371"/>
      <c r="GV11" s="371"/>
      <c r="GW11" s="371"/>
      <c r="GX11" s="371"/>
      <c r="GY11" s="371"/>
      <c r="GZ11" s="371"/>
      <c r="HA11" s="371"/>
      <c r="HB11" s="371"/>
      <c r="HC11" s="371"/>
      <c r="HD11" s="371"/>
      <c r="HE11" s="371"/>
      <c r="HF11" s="371"/>
      <c r="HG11" s="371"/>
      <c r="HH11" s="371"/>
      <c r="HI11" s="371"/>
      <c r="HJ11" s="371"/>
      <c r="HK11" s="371"/>
      <c r="HL11" s="371"/>
      <c r="HM11" s="371"/>
      <c r="HN11" s="371"/>
      <c r="HO11" s="371"/>
      <c r="HP11" s="371"/>
      <c r="HQ11" s="371"/>
      <c r="HR11" s="371"/>
      <c r="HS11" s="371"/>
      <c r="HT11" s="371"/>
      <c r="HU11" s="371"/>
      <c r="HV11" s="371"/>
      <c r="HW11" s="371"/>
      <c r="HX11" s="371"/>
      <c r="HY11" s="371"/>
      <c r="HZ11" s="371"/>
      <c r="IA11" s="371"/>
      <c r="IB11" s="371"/>
      <c r="IC11" s="371"/>
      <c r="ID11" s="371"/>
      <c r="IE11" s="371"/>
      <c r="IF11" s="371"/>
      <c r="IG11" s="371"/>
      <c r="IH11" s="371"/>
      <c r="II11" s="371"/>
      <c r="IJ11" s="371"/>
      <c r="IK11" s="371"/>
      <c r="IL11" s="371"/>
      <c r="IM11" s="371"/>
      <c r="IN11" s="371"/>
      <c r="IO11" s="371"/>
      <c r="IP11" s="371"/>
      <c r="IQ11" s="371"/>
      <c r="IR11" s="371"/>
      <c r="IS11" s="371"/>
      <c r="IT11" s="371"/>
      <c r="IU11" s="371"/>
      <c r="IV11" s="371"/>
    </row>
    <row r="12" spans="1:256" x14ac:dyDescent="0.2">
      <c r="A12" s="365"/>
      <c r="B12" s="388" t="s">
        <v>1317</v>
      </c>
      <c r="C12" s="377"/>
      <c r="D12" s="377"/>
      <c r="E12" s="389"/>
      <c r="F12" s="387"/>
      <c r="G12" s="386"/>
      <c r="H12" s="387"/>
      <c r="I12" s="386"/>
      <c r="J12" s="371"/>
      <c r="K12" s="371"/>
      <c r="L12" s="371"/>
      <c r="M12" s="371"/>
      <c r="N12" s="371"/>
      <c r="O12" s="371"/>
      <c r="P12" s="371"/>
      <c r="Q12" s="371"/>
      <c r="R12" s="371"/>
      <c r="S12" s="371"/>
      <c r="T12" s="371"/>
      <c r="U12" s="371"/>
      <c r="V12" s="371"/>
      <c r="W12" s="371"/>
      <c r="X12" s="371"/>
      <c r="Y12" s="371"/>
      <c r="Z12" s="371"/>
      <c r="AA12" s="371"/>
      <c r="AB12" s="371"/>
      <c r="AC12" s="371"/>
      <c r="AD12" s="371"/>
      <c r="AE12" s="371"/>
      <c r="AF12" s="371"/>
      <c r="AG12" s="371"/>
      <c r="AH12" s="371"/>
      <c r="AI12" s="371"/>
      <c r="AJ12" s="371"/>
      <c r="AK12" s="371"/>
      <c r="AL12" s="371"/>
      <c r="AM12" s="371"/>
      <c r="AN12" s="371"/>
      <c r="AO12" s="371"/>
      <c r="AP12" s="371"/>
      <c r="AQ12" s="371"/>
      <c r="AR12" s="371"/>
      <c r="AS12" s="371"/>
      <c r="AT12" s="371"/>
      <c r="AU12" s="371"/>
      <c r="AV12" s="371"/>
      <c r="AW12" s="371"/>
      <c r="AX12" s="371"/>
      <c r="AY12" s="371"/>
      <c r="AZ12" s="371"/>
      <c r="BA12" s="371"/>
      <c r="BB12" s="371"/>
      <c r="BC12" s="371"/>
      <c r="BD12" s="371"/>
      <c r="BE12" s="371"/>
      <c r="BF12" s="371"/>
      <c r="BG12" s="371"/>
      <c r="BH12" s="371"/>
      <c r="BI12" s="371"/>
      <c r="BJ12" s="371"/>
      <c r="BK12" s="371"/>
      <c r="BL12" s="371"/>
      <c r="BM12" s="371"/>
      <c r="BN12" s="371"/>
      <c r="BO12" s="371"/>
      <c r="BP12" s="371"/>
      <c r="BQ12" s="371"/>
      <c r="BR12" s="371"/>
      <c r="BS12" s="371"/>
      <c r="BT12" s="371"/>
      <c r="BU12" s="371"/>
      <c r="BV12" s="371"/>
      <c r="BW12" s="371"/>
      <c r="BX12" s="371"/>
      <c r="BY12" s="371"/>
      <c r="BZ12" s="371"/>
      <c r="CA12" s="371"/>
      <c r="CB12" s="371"/>
      <c r="CC12" s="371"/>
      <c r="CD12" s="371"/>
      <c r="CE12" s="371"/>
      <c r="CF12" s="371"/>
      <c r="CG12" s="371"/>
      <c r="CH12" s="371"/>
      <c r="CI12" s="371"/>
      <c r="CJ12" s="371"/>
      <c r="CK12" s="371"/>
      <c r="CL12" s="371"/>
      <c r="CM12" s="371"/>
      <c r="CN12" s="371"/>
      <c r="CO12" s="371"/>
      <c r="CP12" s="371"/>
      <c r="CQ12" s="371"/>
      <c r="CR12" s="371"/>
      <c r="CS12" s="371"/>
      <c r="CT12" s="371"/>
      <c r="CU12" s="371"/>
      <c r="CV12" s="371"/>
      <c r="CW12" s="371"/>
      <c r="CX12" s="371"/>
      <c r="CY12" s="371"/>
      <c r="CZ12" s="371"/>
      <c r="DA12" s="371"/>
      <c r="DB12" s="371"/>
      <c r="DC12" s="371"/>
      <c r="DD12" s="371"/>
      <c r="DE12" s="371"/>
      <c r="DF12" s="371"/>
      <c r="DG12" s="371"/>
      <c r="DH12" s="371"/>
      <c r="DI12" s="371"/>
      <c r="DJ12" s="371"/>
      <c r="DK12" s="371"/>
      <c r="DL12" s="371"/>
      <c r="DM12" s="371"/>
      <c r="DN12" s="371"/>
      <c r="DO12" s="371"/>
      <c r="DP12" s="371"/>
      <c r="DQ12" s="371"/>
      <c r="DR12" s="371"/>
      <c r="DS12" s="371"/>
      <c r="DT12" s="371"/>
      <c r="DU12" s="371"/>
      <c r="DV12" s="371"/>
      <c r="DW12" s="371"/>
      <c r="DX12" s="371"/>
      <c r="DY12" s="371"/>
      <c r="DZ12" s="371"/>
      <c r="EA12" s="371"/>
      <c r="EB12" s="371"/>
      <c r="EC12" s="371"/>
      <c r="ED12" s="371"/>
      <c r="EE12" s="371"/>
      <c r="EF12" s="371"/>
      <c r="EG12" s="371"/>
      <c r="EH12" s="371"/>
      <c r="EI12" s="371"/>
      <c r="EJ12" s="371"/>
      <c r="EK12" s="371"/>
      <c r="EL12" s="371"/>
      <c r="EM12" s="371"/>
      <c r="EN12" s="371"/>
      <c r="EO12" s="371"/>
      <c r="EP12" s="371"/>
      <c r="EQ12" s="371"/>
      <c r="ER12" s="371"/>
      <c r="ES12" s="371"/>
      <c r="ET12" s="371"/>
      <c r="EU12" s="371"/>
      <c r="EV12" s="371"/>
      <c r="EW12" s="371"/>
      <c r="EX12" s="371"/>
      <c r="EY12" s="371"/>
      <c r="EZ12" s="371"/>
      <c r="FA12" s="371"/>
      <c r="FB12" s="371"/>
      <c r="FC12" s="371"/>
      <c r="FD12" s="371"/>
      <c r="FE12" s="371"/>
      <c r="FF12" s="371"/>
      <c r="FG12" s="371"/>
      <c r="FH12" s="371"/>
      <c r="FI12" s="371"/>
      <c r="FJ12" s="371"/>
      <c r="FK12" s="371"/>
      <c r="FL12" s="371"/>
      <c r="FM12" s="371"/>
      <c r="FN12" s="371"/>
      <c r="FO12" s="371"/>
      <c r="FP12" s="371"/>
      <c r="FQ12" s="371"/>
      <c r="FR12" s="371"/>
      <c r="FS12" s="371"/>
      <c r="FT12" s="371"/>
      <c r="FU12" s="371"/>
      <c r="FV12" s="371"/>
      <c r="FW12" s="371"/>
      <c r="FX12" s="371"/>
      <c r="FY12" s="371"/>
      <c r="FZ12" s="371"/>
      <c r="GA12" s="371"/>
      <c r="GB12" s="371"/>
      <c r="GC12" s="371"/>
      <c r="GD12" s="371"/>
      <c r="GE12" s="371"/>
      <c r="GF12" s="371"/>
      <c r="GG12" s="371"/>
      <c r="GH12" s="371"/>
      <c r="GI12" s="371"/>
      <c r="GJ12" s="371"/>
      <c r="GK12" s="371"/>
      <c r="GL12" s="371"/>
      <c r="GM12" s="371"/>
      <c r="GN12" s="371"/>
      <c r="GO12" s="371"/>
      <c r="GP12" s="371"/>
      <c r="GQ12" s="371"/>
      <c r="GR12" s="371"/>
      <c r="GS12" s="371"/>
      <c r="GT12" s="371"/>
      <c r="GU12" s="371"/>
      <c r="GV12" s="371"/>
      <c r="GW12" s="371"/>
      <c r="GX12" s="371"/>
      <c r="GY12" s="371"/>
      <c r="GZ12" s="371"/>
      <c r="HA12" s="371"/>
      <c r="HB12" s="371"/>
      <c r="HC12" s="371"/>
      <c r="HD12" s="371"/>
      <c r="HE12" s="371"/>
      <c r="HF12" s="371"/>
      <c r="HG12" s="371"/>
      <c r="HH12" s="371"/>
      <c r="HI12" s="371"/>
      <c r="HJ12" s="371"/>
      <c r="HK12" s="371"/>
      <c r="HL12" s="371"/>
      <c r="HM12" s="371"/>
      <c r="HN12" s="371"/>
      <c r="HO12" s="371"/>
      <c r="HP12" s="371"/>
      <c r="HQ12" s="371"/>
      <c r="HR12" s="371"/>
      <c r="HS12" s="371"/>
      <c r="HT12" s="371"/>
      <c r="HU12" s="371"/>
      <c r="HV12" s="371"/>
      <c r="HW12" s="371"/>
      <c r="HX12" s="371"/>
      <c r="HY12" s="371"/>
      <c r="HZ12" s="371"/>
      <c r="IA12" s="371"/>
      <c r="IB12" s="371"/>
      <c r="IC12" s="371"/>
      <c r="ID12" s="371"/>
      <c r="IE12" s="371"/>
      <c r="IF12" s="371"/>
      <c r="IG12" s="371"/>
      <c r="IH12" s="371"/>
      <c r="II12" s="371"/>
      <c r="IJ12" s="371"/>
      <c r="IK12" s="371"/>
      <c r="IL12" s="371"/>
      <c r="IM12" s="371"/>
      <c r="IN12" s="371"/>
      <c r="IO12" s="371"/>
      <c r="IP12" s="371"/>
      <c r="IQ12" s="371"/>
      <c r="IR12" s="371"/>
      <c r="IS12" s="371"/>
      <c r="IT12" s="371"/>
      <c r="IU12" s="371"/>
      <c r="IV12" s="371"/>
    </row>
    <row r="13" spans="1:256" x14ac:dyDescent="0.2">
      <c r="A13" s="365"/>
      <c r="B13" s="390" t="s">
        <v>15</v>
      </c>
      <c r="C13" s="368"/>
      <c r="D13" s="368"/>
      <c r="E13" s="372"/>
      <c r="F13" s="368"/>
      <c r="G13" s="390"/>
      <c r="H13" s="370"/>
      <c r="I13" s="370"/>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371"/>
      <c r="AN13" s="371"/>
      <c r="AO13" s="371"/>
      <c r="AP13" s="371"/>
      <c r="AQ13" s="371"/>
      <c r="AR13" s="371"/>
      <c r="AS13" s="371"/>
      <c r="AT13" s="371"/>
      <c r="AU13" s="371"/>
      <c r="AV13" s="371"/>
      <c r="AW13" s="371"/>
      <c r="AX13" s="371"/>
      <c r="AY13" s="371"/>
      <c r="AZ13" s="371"/>
      <c r="BA13" s="371"/>
      <c r="BB13" s="371"/>
      <c r="BC13" s="371"/>
      <c r="BD13" s="371"/>
      <c r="BE13" s="371"/>
      <c r="BF13" s="371"/>
      <c r="BG13" s="371"/>
      <c r="BH13" s="371"/>
      <c r="BI13" s="371"/>
      <c r="BJ13" s="371"/>
      <c r="BK13" s="371"/>
      <c r="BL13" s="371"/>
      <c r="BM13" s="371"/>
      <c r="BN13" s="371"/>
      <c r="BO13" s="371"/>
      <c r="BP13" s="371"/>
      <c r="BQ13" s="371"/>
      <c r="BR13" s="371"/>
      <c r="BS13" s="371"/>
      <c r="BT13" s="371"/>
      <c r="BU13" s="371"/>
      <c r="BV13" s="371"/>
      <c r="BW13" s="371"/>
      <c r="BX13" s="371"/>
      <c r="BY13" s="371"/>
      <c r="BZ13" s="371"/>
      <c r="CA13" s="371"/>
      <c r="CB13" s="371"/>
      <c r="CC13" s="371"/>
      <c r="CD13" s="371"/>
      <c r="CE13" s="371"/>
      <c r="CF13" s="371"/>
      <c r="CG13" s="371"/>
      <c r="CH13" s="371"/>
      <c r="CI13" s="371"/>
      <c r="CJ13" s="371"/>
      <c r="CK13" s="371"/>
      <c r="CL13" s="371"/>
      <c r="CM13" s="371"/>
      <c r="CN13" s="371"/>
      <c r="CO13" s="371"/>
      <c r="CP13" s="371"/>
      <c r="CQ13" s="371"/>
      <c r="CR13" s="371"/>
      <c r="CS13" s="371"/>
      <c r="CT13" s="371"/>
      <c r="CU13" s="371"/>
      <c r="CV13" s="371"/>
      <c r="CW13" s="371"/>
      <c r="CX13" s="371"/>
      <c r="CY13" s="371"/>
      <c r="CZ13" s="371"/>
      <c r="DA13" s="371"/>
      <c r="DB13" s="371"/>
      <c r="DC13" s="371"/>
      <c r="DD13" s="371"/>
      <c r="DE13" s="371"/>
      <c r="DF13" s="371"/>
      <c r="DG13" s="371"/>
      <c r="DH13" s="371"/>
      <c r="DI13" s="371"/>
      <c r="DJ13" s="371"/>
      <c r="DK13" s="371"/>
      <c r="DL13" s="371"/>
      <c r="DM13" s="371"/>
      <c r="DN13" s="371"/>
      <c r="DO13" s="371"/>
      <c r="DP13" s="371"/>
      <c r="DQ13" s="371"/>
      <c r="DR13" s="371"/>
      <c r="DS13" s="371"/>
      <c r="DT13" s="371"/>
      <c r="DU13" s="371"/>
      <c r="DV13" s="371"/>
      <c r="DW13" s="371"/>
      <c r="DX13" s="371"/>
      <c r="DY13" s="371"/>
      <c r="DZ13" s="371"/>
      <c r="EA13" s="371"/>
      <c r="EB13" s="371"/>
      <c r="EC13" s="371"/>
      <c r="ED13" s="371"/>
      <c r="EE13" s="371"/>
      <c r="EF13" s="371"/>
      <c r="EG13" s="371"/>
      <c r="EH13" s="371"/>
      <c r="EI13" s="371"/>
      <c r="EJ13" s="371"/>
      <c r="EK13" s="371"/>
      <c r="EL13" s="371"/>
      <c r="EM13" s="371"/>
      <c r="EN13" s="371"/>
      <c r="EO13" s="371"/>
      <c r="EP13" s="371"/>
      <c r="EQ13" s="371"/>
      <c r="ER13" s="371"/>
      <c r="ES13" s="371"/>
      <c r="ET13" s="371"/>
      <c r="EU13" s="371"/>
      <c r="EV13" s="371"/>
      <c r="EW13" s="371"/>
      <c r="EX13" s="371"/>
      <c r="EY13" s="371"/>
      <c r="EZ13" s="371"/>
      <c r="FA13" s="371"/>
      <c r="FB13" s="371"/>
      <c r="FC13" s="371"/>
      <c r="FD13" s="371"/>
      <c r="FE13" s="371"/>
      <c r="FF13" s="371"/>
      <c r="FG13" s="371"/>
      <c r="FH13" s="371"/>
      <c r="FI13" s="371"/>
      <c r="FJ13" s="371"/>
      <c r="FK13" s="371"/>
      <c r="FL13" s="371"/>
      <c r="FM13" s="371"/>
      <c r="FN13" s="371"/>
      <c r="FO13" s="371"/>
      <c r="FP13" s="371"/>
      <c r="FQ13" s="371"/>
      <c r="FR13" s="371"/>
      <c r="FS13" s="371"/>
      <c r="FT13" s="371"/>
      <c r="FU13" s="371"/>
      <c r="FV13" s="371"/>
      <c r="FW13" s="371"/>
      <c r="FX13" s="371"/>
      <c r="FY13" s="371"/>
      <c r="FZ13" s="371"/>
      <c r="GA13" s="371"/>
      <c r="GB13" s="371"/>
      <c r="GC13" s="371"/>
      <c r="GD13" s="371"/>
      <c r="GE13" s="371"/>
      <c r="GF13" s="371"/>
      <c r="GG13" s="371"/>
      <c r="GH13" s="371"/>
      <c r="GI13" s="371"/>
      <c r="GJ13" s="371"/>
      <c r="GK13" s="371"/>
      <c r="GL13" s="371"/>
      <c r="GM13" s="371"/>
      <c r="GN13" s="371"/>
      <c r="GO13" s="371"/>
      <c r="GP13" s="371"/>
      <c r="GQ13" s="371"/>
      <c r="GR13" s="371"/>
      <c r="GS13" s="371"/>
      <c r="GT13" s="371"/>
      <c r="GU13" s="371"/>
      <c r="GV13" s="371"/>
      <c r="GW13" s="371"/>
      <c r="GX13" s="371"/>
      <c r="GY13" s="371"/>
      <c r="GZ13" s="371"/>
      <c r="HA13" s="371"/>
      <c r="HB13" s="371"/>
      <c r="HC13" s="371"/>
      <c r="HD13" s="371"/>
      <c r="HE13" s="371"/>
      <c r="HF13" s="371"/>
      <c r="HG13" s="371"/>
      <c r="HH13" s="371"/>
      <c r="HI13" s="371"/>
      <c r="HJ13" s="371"/>
      <c r="HK13" s="371"/>
      <c r="HL13" s="371"/>
      <c r="HM13" s="371"/>
      <c r="HN13" s="371"/>
      <c r="HO13" s="371"/>
      <c r="HP13" s="371"/>
      <c r="HQ13" s="371"/>
      <c r="HR13" s="371"/>
      <c r="HS13" s="371"/>
      <c r="HT13" s="371"/>
      <c r="HU13" s="371"/>
      <c r="HV13" s="371"/>
      <c r="HW13" s="371"/>
      <c r="HX13" s="371"/>
      <c r="HY13" s="371"/>
      <c r="HZ13" s="371"/>
      <c r="IA13" s="371"/>
      <c r="IB13" s="371"/>
      <c r="IC13" s="371"/>
      <c r="ID13" s="371"/>
      <c r="IE13" s="371"/>
      <c r="IF13" s="371"/>
      <c r="IG13" s="371"/>
      <c r="IH13" s="371"/>
      <c r="II13" s="371"/>
      <c r="IJ13" s="371"/>
      <c r="IK13" s="371"/>
      <c r="IL13" s="371"/>
      <c r="IM13" s="371"/>
      <c r="IN13" s="371"/>
      <c r="IO13" s="371"/>
      <c r="IP13" s="371"/>
      <c r="IQ13" s="371"/>
      <c r="IR13" s="371"/>
      <c r="IS13" s="371"/>
      <c r="IT13" s="371"/>
      <c r="IU13" s="371"/>
      <c r="IV13" s="371"/>
    </row>
    <row r="14" spans="1:256" ht="70.5" customHeight="1" x14ac:dyDescent="0.2">
      <c r="A14" s="391" t="s">
        <v>1318</v>
      </c>
      <c r="B14" s="392" t="s">
        <v>1319</v>
      </c>
      <c r="C14" s="392" t="s">
        <v>1320</v>
      </c>
      <c r="D14" s="392" t="s">
        <v>1321</v>
      </c>
      <c r="E14" s="393" t="s">
        <v>13</v>
      </c>
      <c r="F14" s="394"/>
      <c r="G14" s="394"/>
      <c r="H14" s="394"/>
      <c r="I14" s="394"/>
      <c r="J14" s="394"/>
      <c r="K14" s="394"/>
      <c r="L14" s="394"/>
      <c r="M14" s="394"/>
      <c r="N14" s="394"/>
      <c r="O14" s="394"/>
      <c r="P14" s="394"/>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4"/>
      <c r="AX14" s="394"/>
      <c r="AY14" s="394"/>
      <c r="AZ14" s="394"/>
      <c r="BA14" s="394"/>
      <c r="BB14" s="394"/>
      <c r="BC14" s="394"/>
      <c r="BD14" s="394"/>
      <c r="BE14" s="394"/>
      <c r="BF14" s="394"/>
      <c r="BG14" s="394"/>
      <c r="BH14" s="394"/>
      <c r="BI14" s="394"/>
      <c r="BJ14" s="394"/>
      <c r="BK14" s="394"/>
      <c r="BL14" s="394"/>
      <c r="BM14" s="394"/>
      <c r="BN14" s="394"/>
      <c r="BO14" s="394"/>
      <c r="BP14" s="394"/>
      <c r="BQ14" s="394"/>
      <c r="BR14" s="394"/>
      <c r="BS14" s="394"/>
      <c r="BT14" s="394"/>
      <c r="BU14" s="394"/>
      <c r="BV14" s="394"/>
      <c r="BW14" s="394"/>
      <c r="BX14" s="394"/>
      <c r="BY14" s="394"/>
      <c r="BZ14" s="394"/>
      <c r="CA14" s="394"/>
      <c r="CB14" s="394"/>
      <c r="CC14" s="394"/>
      <c r="CD14" s="394"/>
      <c r="CE14" s="394"/>
      <c r="CF14" s="394"/>
      <c r="CG14" s="394"/>
      <c r="CH14" s="394"/>
      <c r="CI14" s="394"/>
      <c r="CJ14" s="394"/>
      <c r="CK14" s="394"/>
      <c r="CL14" s="394"/>
      <c r="CM14" s="394"/>
      <c r="CN14" s="394"/>
      <c r="CO14" s="394"/>
      <c r="CP14" s="394"/>
      <c r="CQ14" s="394"/>
      <c r="CR14" s="394"/>
      <c r="CS14" s="394"/>
      <c r="CT14" s="394"/>
      <c r="CU14" s="394"/>
      <c r="CV14" s="394"/>
      <c r="CW14" s="394"/>
      <c r="CX14" s="394"/>
      <c r="CY14" s="394"/>
      <c r="CZ14" s="394"/>
      <c r="DA14" s="394"/>
      <c r="DB14" s="394"/>
      <c r="DC14" s="394"/>
      <c r="DD14" s="394"/>
      <c r="DE14" s="394"/>
      <c r="DF14" s="394"/>
      <c r="DG14" s="394"/>
      <c r="DH14" s="394"/>
      <c r="DI14" s="394"/>
      <c r="DJ14" s="394"/>
      <c r="DK14" s="394"/>
      <c r="DL14" s="394"/>
      <c r="DM14" s="394"/>
      <c r="DN14" s="394"/>
      <c r="DO14" s="394"/>
      <c r="DP14" s="394"/>
      <c r="DQ14" s="394"/>
      <c r="DR14" s="394"/>
      <c r="DS14" s="394"/>
      <c r="DT14" s="394"/>
      <c r="DU14" s="394"/>
      <c r="DV14" s="394"/>
      <c r="DW14" s="394"/>
      <c r="DX14" s="394"/>
      <c r="DY14" s="394"/>
      <c r="DZ14" s="394"/>
      <c r="EA14" s="394"/>
      <c r="EB14" s="394"/>
      <c r="EC14" s="394"/>
      <c r="ED14" s="394"/>
      <c r="EE14" s="394"/>
      <c r="EF14" s="394"/>
      <c r="EG14" s="394"/>
      <c r="EH14" s="394"/>
      <c r="EI14" s="394"/>
      <c r="EJ14" s="394"/>
      <c r="EK14" s="394"/>
      <c r="EL14" s="394"/>
      <c r="EM14" s="394"/>
      <c r="EN14" s="394"/>
      <c r="EO14" s="394"/>
      <c r="EP14" s="394"/>
      <c r="EQ14" s="394"/>
      <c r="ER14" s="394"/>
      <c r="ES14" s="394"/>
      <c r="ET14" s="394"/>
      <c r="EU14" s="394"/>
      <c r="EV14" s="394"/>
      <c r="EW14" s="394"/>
      <c r="EX14" s="394"/>
      <c r="EY14" s="394"/>
      <c r="EZ14" s="394"/>
      <c r="FA14" s="394"/>
      <c r="FB14" s="394"/>
      <c r="FC14" s="394"/>
      <c r="FD14" s="394"/>
      <c r="FE14" s="394"/>
      <c r="FF14" s="394"/>
      <c r="FG14" s="394"/>
      <c r="FH14" s="394"/>
      <c r="FI14" s="394"/>
      <c r="FJ14" s="394"/>
      <c r="FK14" s="394"/>
      <c r="FL14" s="394"/>
      <c r="FM14" s="394"/>
      <c r="FN14" s="394"/>
      <c r="FO14" s="394"/>
      <c r="FP14" s="394"/>
      <c r="FQ14" s="394"/>
      <c r="FR14" s="394"/>
      <c r="FS14" s="394"/>
      <c r="FT14" s="394"/>
      <c r="FU14" s="394"/>
      <c r="FV14" s="394"/>
      <c r="FW14" s="394"/>
      <c r="FX14" s="394"/>
      <c r="FY14" s="394"/>
      <c r="FZ14" s="394"/>
      <c r="GA14" s="394"/>
      <c r="GB14" s="394"/>
      <c r="GC14" s="394"/>
      <c r="GD14" s="394"/>
      <c r="GE14" s="394"/>
      <c r="GF14" s="394"/>
      <c r="GG14" s="394"/>
      <c r="GH14" s="394"/>
      <c r="GI14" s="394"/>
      <c r="GJ14" s="394"/>
      <c r="GK14" s="394"/>
      <c r="GL14" s="394"/>
      <c r="GM14" s="394"/>
      <c r="GN14" s="394"/>
      <c r="GO14" s="394"/>
      <c r="GP14" s="394"/>
      <c r="GQ14" s="394"/>
      <c r="GR14" s="394"/>
      <c r="GS14" s="394"/>
      <c r="GT14" s="394"/>
      <c r="GU14" s="394"/>
      <c r="GV14" s="394"/>
      <c r="GW14" s="394"/>
      <c r="GX14" s="394"/>
      <c r="GY14" s="394"/>
      <c r="GZ14" s="394"/>
      <c r="HA14" s="394"/>
      <c r="HB14" s="394"/>
      <c r="HC14" s="394"/>
      <c r="HD14" s="394"/>
      <c r="HE14" s="394"/>
      <c r="HF14" s="394"/>
      <c r="HG14" s="394"/>
      <c r="HH14" s="394"/>
      <c r="HI14" s="394"/>
      <c r="HJ14" s="394"/>
      <c r="HK14" s="394"/>
      <c r="HL14" s="394"/>
      <c r="HM14" s="394"/>
      <c r="HN14" s="394"/>
      <c r="HO14" s="394"/>
      <c r="HP14" s="394"/>
      <c r="HQ14" s="394"/>
      <c r="HR14" s="394"/>
      <c r="HS14" s="394"/>
      <c r="HT14" s="394"/>
      <c r="HU14" s="394"/>
      <c r="HV14" s="394"/>
      <c r="HW14" s="394"/>
      <c r="HX14" s="394"/>
      <c r="HY14" s="394"/>
      <c r="HZ14" s="394"/>
      <c r="IA14" s="394"/>
      <c r="IB14" s="394"/>
      <c r="IC14" s="394"/>
      <c r="ID14" s="394"/>
      <c r="IE14" s="394"/>
      <c r="IF14" s="394"/>
      <c r="IG14" s="394"/>
      <c r="IH14" s="394"/>
      <c r="II14" s="394"/>
      <c r="IJ14" s="394"/>
      <c r="IK14" s="394"/>
      <c r="IL14" s="394"/>
      <c r="IM14" s="394"/>
      <c r="IN14" s="394"/>
      <c r="IO14" s="394"/>
      <c r="IP14" s="394"/>
      <c r="IQ14" s="394"/>
      <c r="IR14" s="394"/>
      <c r="IS14" s="394"/>
      <c r="IT14" s="394"/>
      <c r="IU14" s="394"/>
      <c r="IV14" s="394"/>
    </row>
    <row r="15" spans="1:256" x14ac:dyDescent="0.2">
      <c r="A15" s="395">
        <v>1</v>
      </c>
      <c r="B15" s="395">
        <v>2</v>
      </c>
      <c r="C15" s="395">
        <v>3</v>
      </c>
      <c r="D15" s="395">
        <v>4</v>
      </c>
      <c r="E15" s="395">
        <v>5</v>
      </c>
      <c r="F15" s="394"/>
      <c r="G15" s="394"/>
      <c r="H15" s="394"/>
      <c r="I15" s="394"/>
      <c r="J15" s="394"/>
      <c r="K15" s="394"/>
      <c r="L15" s="394"/>
      <c r="M15" s="394"/>
      <c r="N15" s="394"/>
      <c r="O15" s="394"/>
      <c r="P15" s="394"/>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4"/>
      <c r="BK15" s="394"/>
      <c r="BL15" s="394"/>
      <c r="BM15" s="394"/>
      <c r="BN15" s="394"/>
      <c r="BO15" s="394"/>
      <c r="BP15" s="394"/>
      <c r="BQ15" s="394"/>
      <c r="BR15" s="394"/>
      <c r="BS15" s="394"/>
      <c r="BT15" s="394"/>
      <c r="BU15" s="394"/>
      <c r="BV15" s="394"/>
      <c r="BW15" s="394"/>
      <c r="BX15" s="394"/>
      <c r="BY15" s="394"/>
      <c r="BZ15" s="394"/>
      <c r="CA15" s="394"/>
      <c r="CB15" s="394"/>
      <c r="CC15" s="394"/>
      <c r="CD15" s="394"/>
      <c r="CE15" s="394"/>
      <c r="CF15" s="394"/>
      <c r="CG15" s="394"/>
      <c r="CH15" s="394"/>
      <c r="CI15" s="394"/>
      <c r="CJ15" s="394"/>
      <c r="CK15" s="394"/>
      <c r="CL15" s="394"/>
      <c r="CM15" s="394"/>
      <c r="CN15" s="394"/>
      <c r="CO15" s="394"/>
      <c r="CP15" s="394"/>
      <c r="CQ15" s="394"/>
      <c r="CR15" s="394"/>
      <c r="CS15" s="394"/>
      <c r="CT15" s="394"/>
      <c r="CU15" s="394"/>
      <c r="CV15" s="394"/>
      <c r="CW15" s="394"/>
      <c r="CX15" s="394"/>
      <c r="CY15" s="394"/>
      <c r="CZ15" s="394"/>
      <c r="DA15" s="394"/>
      <c r="DB15" s="394"/>
      <c r="DC15" s="394"/>
      <c r="DD15" s="394"/>
      <c r="DE15" s="394"/>
      <c r="DF15" s="394"/>
      <c r="DG15" s="394"/>
      <c r="DH15" s="394"/>
      <c r="DI15" s="394"/>
      <c r="DJ15" s="394"/>
      <c r="DK15" s="394"/>
      <c r="DL15" s="394"/>
      <c r="DM15" s="394"/>
      <c r="DN15" s="394"/>
      <c r="DO15" s="394"/>
      <c r="DP15" s="394"/>
      <c r="DQ15" s="394"/>
      <c r="DR15" s="394"/>
      <c r="DS15" s="394"/>
      <c r="DT15" s="394"/>
      <c r="DU15" s="394"/>
      <c r="DV15" s="394"/>
      <c r="DW15" s="394"/>
      <c r="DX15" s="394"/>
      <c r="DY15" s="394"/>
      <c r="DZ15" s="394"/>
      <c r="EA15" s="394"/>
      <c r="EB15" s="394"/>
      <c r="EC15" s="394"/>
      <c r="ED15" s="394"/>
      <c r="EE15" s="394"/>
      <c r="EF15" s="394"/>
      <c r="EG15" s="394"/>
      <c r="EH15" s="394"/>
      <c r="EI15" s="394"/>
      <c r="EJ15" s="394"/>
      <c r="EK15" s="394"/>
      <c r="EL15" s="394"/>
      <c r="EM15" s="394"/>
      <c r="EN15" s="394"/>
      <c r="EO15" s="394"/>
      <c r="EP15" s="394"/>
      <c r="EQ15" s="394"/>
      <c r="ER15" s="394"/>
      <c r="ES15" s="394"/>
      <c r="ET15" s="394"/>
      <c r="EU15" s="394"/>
      <c r="EV15" s="394"/>
      <c r="EW15" s="394"/>
      <c r="EX15" s="394"/>
      <c r="EY15" s="394"/>
      <c r="EZ15" s="394"/>
      <c r="FA15" s="394"/>
      <c r="FB15" s="394"/>
      <c r="FC15" s="394"/>
      <c r="FD15" s="394"/>
      <c r="FE15" s="394"/>
      <c r="FF15" s="394"/>
      <c r="FG15" s="394"/>
      <c r="FH15" s="394"/>
      <c r="FI15" s="394"/>
      <c r="FJ15" s="394"/>
      <c r="FK15" s="394"/>
      <c r="FL15" s="394"/>
      <c r="FM15" s="394"/>
      <c r="FN15" s="394"/>
      <c r="FO15" s="394"/>
      <c r="FP15" s="394"/>
      <c r="FQ15" s="394"/>
      <c r="FR15" s="394"/>
      <c r="FS15" s="394"/>
      <c r="FT15" s="394"/>
      <c r="FU15" s="394"/>
      <c r="FV15" s="394"/>
      <c r="FW15" s="394"/>
      <c r="FX15" s="394"/>
      <c r="FY15" s="394"/>
      <c r="FZ15" s="394"/>
      <c r="GA15" s="394"/>
      <c r="GB15" s="394"/>
      <c r="GC15" s="394"/>
      <c r="GD15" s="394"/>
      <c r="GE15" s="394"/>
      <c r="GF15" s="394"/>
      <c r="GG15" s="394"/>
      <c r="GH15" s="394"/>
      <c r="GI15" s="394"/>
      <c r="GJ15" s="394"/>
      <c r="GK15" s="394"/>
      <c r="GL15" s="394"/>
      <c r="GM15" s="394"/>
      <c r="GN15" s="394"/>
      <c r="GO15" s="394"/>
      <c r="GP15" s="394"/>
      <c r="GQ15" s="394"/>
      <c r="GR15" s="394"/>
      <c r="GS15" s="394"/>
      <c r="GT15" s="394"/>
      <c r="GU15" s="394"/>
      <c r="GV15" s="394"/>
      <c r="GW15" s="394"/>
      <c r="GX15" s="394"/>
      <c r="GY15" s="394"/>
      <c r="GZ15" s="394"/>
      <c r="HA15" s="394"/>
      <c r="HB15" s="394"/>
      <c r="HC15" s="394"/>
      <c r="HD15" s="394"/>
      <c r="HE15" s="394"/>
      <c r="HF15" s="394"/>
      <c r="HG15" s="394"/>
      <c r="HH15" s="394"/>
      <c r="HI15" s="394"/>
      <c r="HJ15" s="394"/>
      <c r="HK15" s="394"/>
      <c r="HL15" s="394"/>
      <c r="HM15" s="394"/>
      <c r="HN15" s="394"/>
      <c r="HO15" s="394"/>
      <c r="HP15" s="394"/>
      <c r="HQ15" s="394"/>
      <c r="HR15" s="394"/>
      <c r="HS15" s="394"/>
      <c r="HT15" s="394"/>
      <c r="HU15" s="394"/>
      <c r="HV15" s="394"/>
      <c r="HW15" s="394"/>
      <c r="HX15" s="394"/>
      <c r="HY15" s="394"/>
      <c r="HZ15" s="394"/>
      <c r="IA15" s="394"/>
      <c r="IB15" s="394"/>
      <c r="IC15" s="394"/>
      <c r="ID15" s="394"/>
      <c r="IE15" s="394"/>
      <c r="IF15" s="394"/>
      <c r="IG15" s="394"/>
      <c r="IH15" s="394"/>
      <c r="II15" s="394"/>
      <c r="IJ15" s="394"/>
      <c r="IK15" s="394"/>
      <c r="IL15" s="394"/>
      <c r="IM15" s="394"/>
      <c r="IN15" s="394"/>
      <c r="IO15" s="394"/>
      <c r="IP15" s="394"/>
      <c r="IQ15" s="394"/>
      <c r="IR15" s="394"/>
      <c r="IS15" s="394"/>
      <c r="IT15" s="394"/>
      <c r="IU15" s="394"/>
      <c r="IV15" s="394"/>
    </row>
    <row r="16" spans="1:256" ht="3.75" customHeight="1" x14ac:dyDescent="0.2">
      <c r="A16" s="396"/>
      <c r="B16" s="396"/>
      <c r="C16" s="397"/>
      <c r="D16" s="397"/>
      <c r="E16" s="398"/>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4"/>
      <c r="BK16" s="394"/>
      <c r="BL16" s="394"/>
      <c r="BM16" s="394"/>
      <c r="BN16" s="394"/>
      <c r="BO16" s="394"/>
      <c r="BP16" s="394"/>
      <c r="BQ16" s="394"/>
      <c r="BR16" s="394"/>
      <c r="BS16" s="394"/>
      <c r="BT16" s="394"/>
      <c r="BU16" s="394"/>
      <c r="BV16" s="394"/>
      <c r="BW16" s="394"/>
      <c r="BX16" s="394"/>
      <c r="BY16" s="394"/>
      <c r="BZ16" s="394"/>
      <c r="CA16" s="394"/>
      <c r="CB16" s="394"/>
      <c r="CC16" s="394"/>
      <c r="CD16" s="394"/>
      <c r="CE16" s="394"/>
      <c r="CF16" s="394"/>
      <c r="CG16" s="394"/>
      <c r="CH16" s="394"/>
      <c r="CI16" s="394"/>
      <c r="CJ16" s="394"/>
      <c r="CK16" s="394"/>
      <c r="CL16" s="394"/>
      <c r="CM16" s="394"/>
      <c r="CN16" s="394"/>
      <c r="CO16" s="394"/>
      <c r="CP16" s="394"/>
      <c r="CQ16" s="394"/>
      <c r="CR16" s="394"/>
      <c r="CS16" s="394"/>
      <c r="CT16" s="394"/>
      <c r="CU16" s="394"/>
      <c r="CV16" s="394"/>
      <c r="CW16" s="394"/>
      <c r="CX16" s="394"/>
      <c r="CY16" s="394"/>
      <c r="CZ16" s="394"/>
      <c r="DA16" s="394"/>
      <c r="DB16" s="394"/>
      <c r="DC16" s="394"/>
      <c r="DD16" s="394"/>
      <c r="DE16" s="394"/>
      <c r="DF16" s="394"/>
      <c r="DG16" s="394"/>
      <c r="DH16" s="394"/>
      <c r="DI16" s="394"/>
      <c r="DJ16" s="394"/>
      <c r="DK16" s="394"/>
      <c r="DL16" s="394"/>
      <c r="DM16" s="394"/>
      <c r="DN16" s="394"/>
      <c r="DO16" s="394"/>
      <c r="DP16" s="394"/>
      <c r="DQ16" s="394"/>
      <c r="DR16" s="394"/>
      <c r="DS16" s="394"/>
      <c r="DT16" s="394"/>
      <c r="DU16" s="394"/>
      <c r="DV16" s="394"/>
      <c r="DW16" s="394"/>
      <c r="DX16" s="394"/>
      <c r="DY16" s="394"/>
      <c r="DZ16" s="394"/>
      <c r="EA16" s="394"/>
      <c r="EB16" s="394"/>
      <c r="EC16" s="394"/>
      <c r="ED16" s="394"/>
      <c r="EE16" s="394"/>
      <c r="EF16" s="394"/>
      <c r="EG16" s="394"/>
      <c r="EH16" s="394"/>
      <c r="EI16" s="394"/>
      <c r="EJ16" s="394"/>
      <c r="EK16" s="394"/>
      <c r="EL16" s="394"/>
      <c r="EM16" s="394"/>
      <c r="EN16" s="394"/>
      <c r="EO16" s="394"/>
      <c r="EP16" s="394"/>
      <c r="EQ16" s="394"/>
      <c r="ER16" s="394"/>
      <c r="ES16" s="394"/>
      <c r="ET16" s="394"/>
      <c r="EU16" s="394"/>
      <c r="EV16" s="394"/>
      <c r="EW16" s="394"/>
      <c r="EX16" s="394"/>
      <c r="EY16" s="394"/>
      <c r="EZ16" s="394"/>
      <c r="FA16" s="394"/>
      <c r="FB16" s="394"/>
      <c r="FC16" s="394"/>
      <c r="FD16" s="394"/>
      <c r="FE16" s="394"/>
      <c r="FF16" s="394"/>
      <c r="FG16" s="394"/>
      <c r="FH16" s="394"/>
      <c r="FI16" s="394"/>
      <c r="FJ16" s="394"/>
      <c r="FK16" s="394"/>
      <c r="FL16" s="394"/>
      <c r="FM16" s="394"/>
      <c r="FN16" s="394"/>
      <c r="FO16" s="394"/>
      <c r="FP16" s="394"/>
      <c r="FQ16" s="394"/>
      <c r="FR16" s="394"/>
      <c r="FS16" s="394"/>
      <c r="FT16" s="394"/>
      <c r="FU16" s="394"/>
      <c r="FV16" s="394"/>
      <c r="FW16" s="394"/>
      <c r="FX16" s="394"/>
      <c r="FY16" s="394"/>
      <c r="FZ16" s="394"/>
      <c r="GA16" s="394"/>
      <c r="GB16" s="394"/>
      <c r="GC16" s="394"/>
      <c r="GD16" s="394"/>
      <c r="GE16" s="394"/>
      <c r="GF16" s="394"/>
      <c r="GG16" s="394"/>
      <c r="GH16" s="394"/>
      <c r="GI16" s="394"/>
      <c r="GJ16" s="394"/>
      <c r="GK16" s="394"/>
      <c r="GL16" s="394"/>
      <c r="GM16" s="394"/>
      <c r="GN16" s="394"/>
      <c r="GO16" s="394"/>
      <c r="GP16" s="394"/>
      <c r="GQ16" s="394"/>
      <c r="GR16" s="394"/>
      <c r="GS16" s="394"/>
      <c r="GT16" s="394"/>
      <c r="GU16" s="394"/>
      <c r="GV16" s="394"/>
      <c r="GW16" s="394"/>
      <c r="GX16" s="394"/>
      <c r="GY16" s="394"/>
      <c r="GZ16" s="394"/>
      <c r="HA16" s="394"/>
      <c r="HB16" s="394"/>
      <c r="HC16" s="394"/>
      <c r="HD16" s="394"/>
      <c r="HE16" s="394"/>
      <c r="HF16" s="394"/>
      <c r="HG16" s="394"/>
      <c r="HH16" s="394"/>
      <c r="HI16" s="394"/>
      <c r="HJ16" s="394"/>
      <c r="HK16" s="394"/>
      <c r="HL16" s="394"/>
      <c r="HM16" s="394"/>
      <c r="HN16" s="394"/>
      <c r="HO16" s="394"/>
      <c r="HP16" s="394"/>
      <c r="HQ16" s="394"/>
      <c r="HR16" s="394"/>
      <c r="HS16" s="394"/>
      <c r="HT16" s="394"/>
      <c r="HU16" s="394"/>
      <c r="HV16" s="394"/>
      <c r="HW16" s="394"/>
      <c r="HX16" s="394"/>
      <c r="HY16" s="394"/>
      <c r="HZ16" s="394"/>
      <c r="IA16" s="394"/>
      <c r="IB16" s="394"/>
      <c r="IC16" s="394"/>
      <c r="ID16" s="394"/>
      <c r="IE16" s="394"/>
      <c r="IF16" s="394"/>
      <c r="IG16" s="394"/>
      <c r="IH16" s="394"/>
      <c r="II16" s="394"/>
      <c r="IJ16" s="394"/>
      <c r="IK16" s="394"/>
      <c r="IL16" s="394"/>
      <c r="IM16" s="394"/>
      <c r="IN16" s="394"/>
      <c r="IO16" s="394"/>
      <c r="IP16" s="394"/>
      <c r="IQ16" s="394"/>
      <c r="IR16" s="394"/>
      <c r="IS16" s="394"/>
      <c r="IT16" s="394"/>
      <c r="IU16" s="394"/>
      <c r="IV16" s="399"/>
    </row>
    <row r="17" spans="1:5" ht="17.25" customHeight="1" x14ac:dyDescent="0.2">
      <c r="A17" s="835" t="s">
        <v>751</v>
      </c>
      <c r="B17" s="836"/>
      <c r="C17" s="836"/>
      <c r="D17" s="836"/>
      <c r="E17" s="837"/>
    </row>
    <row r="18" spans="1:5" ht="17.25" customHeight="1" thickBot="1" x14ac:dyDescent="0.25">
      <c r="A18" s="811" t="s">
        <v>1577</v>
      </c>
      <c r="B18" s="812"/>
      <c r="C18" s="812"/>
      <c r="D18" s="812"/>
      <c r="E18" s="813"/>
    </row>
    <row r="19" spans="1:5" ht="38.25" x14ac:dyDescent="0.2">
      <c r="A19" s="796">
        <v>1</v>
      </c>
      <c r="B19" s="799" t="s">
        <v>1578</v>
      </c>
      <c r="C19" s="420" t="s">
        <v>1579</v>
      </c>
      <c r="D19" s="796" t="s">
        <v>1580</v>
      </c>
      <c r="E19" s="802">
        <f>157250*1*7.22*0.6*1.15*1.45*0.8*1.08</f>
        <v>981428.54903999995</v>
      </c>
    </row>
    <row r="20" spans="1:5" x14ac:dyDescent="0.2">
      <c r="A20" s="797"/>
      <c r="B20" s="800"/>
      <c r="C20" s="420" t="s">
        <v>1581</v>
      </c>
      <c r="D20" s="797"/>
      <c r="E20" s="803"/>
    </row>
    <row r="21" spans="1:5" x14ac:dyDescent="0.2">
      <c r="A21" s="797"/>
      <c r="B21" s="800"/>
      <c r="C21" s="420" t="s">
        <v>1582</v>
      </c>
      <c r="D21" s="797"/>
      <c r="E21" s="803"/>
    </row>
    <row r="22" spans="1:5" ht="25.5" x14ac:dyDescent="0.2">
      <c r="A22" s="797"/>
      <c r="B22" s="800"/>
      <c r="C22" s="420" t="s">
        <v>1583</v>
      </c>
      <c r="D22" s="797"/>
      <c r="E22" s="803"/>
    </row>
    <row r="23" spans="1:5" ht="25.5" x14ac:dyDescent="0.2">
      <c r="A23" s="797"/>
      <c r="B23" s="800"/>
      <c r="C23" s="420" t="s">
        <v>1584</v>
      </c>
      <c r="D23" s="797"/>
      <c r="E23" s="803"/>
    </row>
    <row r="24" spans="1:5" x14ac:dyDescent="0.2">
      <c r="A24" s="797"/>
      <c r="B24" s="800"/>
      <c r="C24" s="420" t="s">
        <v>1585</v>
      </c>
      <c r="D24" s="797"/>
      <c r="E24" s="803"/>
    </row>
    <row r="25" spans="1:5" ht="13.5" thickBot="1" x14ac:dyDescent="0.25">
      <c r="A25" s="798"/>
      <c r="B25" s="801"/>
      <c r="C25" s="422" t="s">
        <v>1586</v>
      </c>
      <c r="D25" s="798"/>
      <c r="E25" s="804"/>
    </row>
    <row r="26" spans="1:5" ht="38.25" x14ac:dyDescent="0.2">
      <c r="A26" s="796">
        <v>2</v>
      </c>
      <c r="B26" s="799" t="s">
        <v>1587</v>
      </c>
      <c r="C26" s="420" t="s">
        <v>1588</v>
      </c>
      <c r="D26" s="796" t="s">
        <v>1589</v>
      </c>
      <c r="E26" s="802">
        <f>10070*4*7.22*0.6*1.08</f>
        <v>188452.39680000002</v>
      </c>
    </row>
    <row r="27" spans="1:5" x14ac:dyDescent="0.2">
      <c r="A27" s="797"/>
      <c r="B27" s="800"/>
      <c r="C27" s="420" t="s">
        <v>1581</v>
      </c>
      <c r="D27" s="797"/>
      <c r="E27" s="803"/>
    </row>
    <row r="28" spans="1:5" x14ac:dyDescent="0.2">
      <c r="A28" s="797"/>
      <c r="B28" s="800"/>
      <c r="C28" s="420" t="s">
        <v>1582</v>
      </c>
      <c r="D28" s="797"/>
      <c r="E28" s="803"/>
    </row>
    <row r="29" spans="1:5" ht="13.5" thickBot="1" x14ac:dyDescent="0.25">
      <c r="A29" s="798"/>
      <c r="B29" s="801"/>
      <c r="C29" s="422" t="s">
        <v>1590</v>
      </c>
      <c r="D29" s="798"/>
      <c r="E29" s="804"/>
    </row>
    <row r="30" spans="1:5" ht="38.25" x14ac:dyDescent="0.2">
      <c r="A30" s="796">
        <v>3</v>
      </c>
      <c r="B30" s="799" t="s">
        <v>1591</v>
      </c>
      <c r="C30" s="420" t="s">
        <v>1579</v>
      </c>
      <c r="D30" s="796" t="s">
        <v>1592</v>
      </c>
      <c r="E30" s="802">
        <f>11880*4*7.22*0.6*1.08</f>
        <v>222325.17120000001</v>
      </c>
    </row>
    <row r="31" spans="1:5" x14ac:dyDescent="0.2">
      <c r="A31" s="797"/>
      <c r="B31" s="800"/>
      <c r="C31" s="420" t="s">
        <v>1581</v>
      </c>
      <c r="D31" s="797"/>
      <c r="E31" s="803"/>
    </row>
    <row r="32" spans="1:5" x14ac:dyDescent="0.2">
      <c r="A32" s="797"/>
      <c r="B32" s="800"/>
      <c r="C32" s="420" t="s">
        <v>1582</v>
      </c>
      <c r="D32" s="797"/>
      <c r="E32" s="803"/>
    </row>
    <row r="33" spans="1:5" ht="13.5" thickBot="1" x14ac:dyDescent="0.25">
      <c r="A33" s="798"/>
      <c r="B33" s="801"/>
      <c r="C33" s="422" t="s">
        <v>1590</v>
      </c>
      <c r="D33" s="798"/>
      <c r="E33" s="804"/>
    </row>
    <row r="34" spans="1:5" ht="38.25" x14ac:dyDescent="0.2">
      <c r="A34" s="796">
        <v>4</v>
      </c>
      <c r="B34" s="799" t="s">
        <v>1593</v>
      </c>
      <c r="C34" s="420" t="s">
        <v>1594</v>
      </c>
      <c r="D34" s="796" t="s">
        <v>1592</v>
      </c>
      <c r="E34" s="802">
        <f>11880*4*7.22*0.6*1.08</f>
        <v>222325.17120000001</v>
      </c>
    </row>
    <row r="35" spans="1:5" x14ac:dyDescent="0.2">
      <c r="A35" s="797"/>
      <c r="B35" s="800"/>
      <c r="C35" s="420" t="s">
        <v>1581</v>
      </c>
      <c r="D35" s="797"/>
      <c r="E35" s="803"/>
    </row>
    <row r="36" spans="1:5" x14ac:dyDescent="0.2">
      <c r="A36" s="797"/>
      <c r="B36" s="800"/>
      <c r="C36" s="420" t="s">
        <v>1582</v>
      </c>
      <c r="D36" s="797"/>
      <c r="E36" s="803"/>
    </row>
    <row r="37" spans="1:5" ht="13.5" thickBot="1" x14ac:dyDescent="0.25">
      <c r="A37" s="798"/>
      <c r="B37" s="801"/>
      <c r="C37" s="422" t="s">
        <v>1590</v>
      </c>
      <c r="D37" s="798"/>
      <c r="E37" s="804"/>
    </row>
    <row r="38" spans="1:5" ht="38.25" x14ac:dyDescent="0.2">
      <c r="A38" s="796">
        <v>5</v>
      </c>
      <c r="B38" s="799" t="s">
        <v>1595</v>
      </c>
      <c r="C38" s="420" t="s">
        <v>1596</v>
      </c>
      <c r="D38" s="796" t="s">
        <v>1597</v>
      </c>
      <c r="E38" s="802">
        <f>433690*0.05*7.22*0.6*1.08</f>
        <v>101452.23432</v>
      </c>
    </row>
    <row r="39" spans="1:5" x14ac:dyDescent="0.2">
      <c r="A39" s="797"/>
      <c r="B39" s="800"/>
      <c r="C39" s="420" t="s">
        <v>1581</v>
      </c>
      <c r="D39" s="797"/>
      <c r="E39" s="803"/>
    </row>
    <row r="40" spans="1:5" x14ac:dyDescent="0.2">
      <c r="A40" s="797"/>
      <c r="B40" s="800"/>
      <c r="C40" s="420" t="s">
        <v>1582</v>
      </c>
      <c r="D40" s="797"/>
      <c r="E40" s="803"/>
    </row>
    <row r="41" spans="1:5" ht="13.5" thickBot="1" x14ac:dyDescent="0.25">
      <c r="A41" s="798"/>
      <c r="B41" s="801"/>
      <c r="C41" s="422" t="s">
        <v>1590</v>
      </c>
      <c r="D41" s="798"/>
      <c r="E41" s="804"/>
    </row>
    <row r="42" spans="1:5" ht="13.5" thickBot="1" x14ac:dyDescent="0.25">
      <c r="A42" s="811" t="s">
        <v>1598</v>
      </c>
      <c r="B42" s="812"/>
      <c r="C42" s="812"/>
      <c r="D42" s="812"/>
      <c r="E42" s="813"/>
    </row>
    <row r="43" spans="1:5" ht="38.25" x14ac:dyDescent="0.2">
      <c r="A43" s="796">
        <v>1</v>
      </c>
      <c r="B43" s="799" t="s">
        <v>1599</v>
      </c>
      <c r="C43" s="420" t="s">
        <v>1600</v>
      </c>
      <c r="D43" s="796" t="s">
        <v>1601</v>
      </c>
      <c r="E43" s="802">
        <f>21120*3*7.22*0.6*1.08</f>
        <v>296433.56160000002</v>
      </c>
    </row>
    <row r="44" spans="1:5" x14ac:dyDescent="0.2">
      <c r="A44" s="797"/>
      <c r="B44" s="800"/>
      <c r="C44" s="420" t="s">
        <v>1581</v>
      </c>
      <c r="D44" s="797"/>
      <c r="E44" s="803"/>
    </row>
    <row r="45" spans="1:5" x14ac:dyDescent="0.2">
      <c r="A45" s="797"/>
      <c r="B45" s="800"/>
      <c r="C45" s="420" t="s">
        <v>1582</v>
      </c>
      <c r="D45" s="797"/>
      <c r="E45" s="803"/>
    </row>
    <row r="46" spans="1:5" ht="13.5" thickBot="1" x14ac:dyDescent="0.25">
      <c r="A46" s="798"/>
      <c r="B46" s="801"/>
      <c r="C46" s="422" t="s">
        <v>1590</v>
      </c>
      <c r="D46" s="798"/>
      <c r="E46" s="804"/>
    </row>
    <row r="47" spans="1:5" ht="38.25" x14ac:dyDescent="0.2">
      <c r="A47" s="796">
        <v>2</v>
      </c>
      <c r="B47" s="799" t="s">
        <v>1602</v>
      </c>
      <c r="C47" s="420" t="s">
        <v>1596</v>
      </c>
      <c r="D47" s="796" t="s">
        <v>1603</v>
      </c>
      <c r="E47" s="802">
        <f>433690*0.2*7.22*0.6*1.08</f>
        <v>405808.93728000001</v>
      </c>
    </row>
    <row r="48" spans="1:5" x14ac:dyDescent="0.2">
      <c r="A48" s="797"/>
      <c r="B48" s="800"/>
      <c r="C48" s="420" t="s">
        <v>1581</v>
      </c>
      <c r="D48" s="797"/>
      <c r="E48" s="803"/>
    </row>
    <row r="49" spans="1:5" x14ac:dyDescent="0.2">
      <c r="A49" s="797"/>
      <c r="B49" s="800"/>
      <c r="C49" s="420" t="s">
        <v>1582</v>
      </c>
      <c r="D49" s="797"/>
      <c r="E49" s="803"/>
    </row>
    <row r="50" spans="1:5" ht="13.5" thickBot="1" x14ac:dyDescent="0.25">
      <c r="A50" s="798"/>
      <c r="B50" s="801"/>
      <c r="C50" s="422" t="s">
        <v>1590</v>
      </c>
      <c r="D50" s="798"/>
      <c r="E50" s="804"/>
    </row>
    <row r="51" spans="1:5" ht="38.25" x14ac:dyDescent="0.2">
      <c r="A51" s="796">
        <v>3</v>
      </c>
      <c r="B51" s="799" t="s">
        <v>1604</v>
      </c>
      <c r="C51" s="420" t="s">
        <v>1588</v>
      </c>
      <c r="D51" s="796" t="s">
        <v>1605</v>
      </c>
      <c r="E51" s="802">
        <f>10070*5*7.22*0.6*1.08</f>
        <v>235565.49599999998</v>
      </c>
    </row>
    <row r="52" spans="1:5" x14ac:dyDescent="0.2">
      <c r="A52" s="797"/>
      <c r="B52" s="800"/>
      <c r="C52" s="420" t="s">
        <v>1581</v>
      </c>
      <c r="D52" s="797"/>
      <c r="E52" s="803"/>
    </row>
    <row r="53" spans="1:5" x14ac:dyDescent="0.2">
      <c r="A53" s="797"/>
      <c r="B53" s="800"/>
      <c r="C53" s="420" t="s">
        <v>1582</v>
      </c>
      <c r="D53" s="797"/>
      <c r="E53" s="803"/>
    </row>
    <row r="54" spans="1:5" ht="13.5" thickBot="1" x14ac:dyDescent="0.25">
      <c r="A54" s="798"/>
      <c r="B54" s="801"/>
      <c r="C54" s="422" t="s">
        <v>1590</v>
      </c>
      <c r="D54" s="798"/>
      <c r="E54" s="804"/>
    </row>
    <row r="55" spans="1:5" ht="38.25" x14ac:dyDescent="0.2">
      <c r="A55" s="796">
        <v>4</v>
      </c>
      <c r="B55" s="799" t="s">
        <v>1606</v>
      </c>
      <c r="C55" s="420" t="s">
        <v>1607</v>
      </c>
      <c r="D55" s="796" t="s">
        <v>1608</v>
      </c>
      <c r="E55" s="802">
        <f>8870*1*7.22*0.6*1.08*0.25</f>
        <v>10374.7068</v>
      </c>
    </row>
    <row r="56" spans="1:5" x14ac:dyDescent="0.2">
      <c r="A56" s="797"/>
      <c r="B56" s="800"/>
      <c r="C56" s="420" t="s">
        <v>1581</v>
      </c>
      <c r="D56" s="797"/>
      <c r="E56" s="803"/>
    </row>
    <row r="57" spans="1:5" x14ac:dyDescent="0.2">
      <c r="A57" s="797"/>
      <c r="B57" s="800"/>
      <c r="C57" s="420" t="s">
        <v>1582</v>
      </c>
      <c r="D57" s="797"/>
      <c r="E57" s="803"/>
    </row>
    <row r="58" spans="1:5" x14ac:dyDescent="0.2">
      <c r="A58" s="797"/>
      <c r="B58" s="800"/>
      <c r="C58" s="420" t="s">
        <v>1590</v>
      </c>
      <c r="D58" s="797"/>
      <c r="E58" s="803"/>
    </row>
    <row r="59" spans="1:5" ht="13.5" thickBot="1" x14ac:dyDescent="0.25">
      <c r="A59" s="798"/>
      <c r="B59" s="801"/>
      <c r="C59" s="422" t="s">
        <v>1609</v>
      </c>
      <c r="D59" s="798"/>
      <c r="E59" s="804"/>
    </row>
    <row r="60" spans="1:5" ht="13.5" thickBot="1" x14ac:dyDescent="0.25">
      <c r="A60" s="811" t="s">
        <v>1610</v>
      </c>
      <c r="B60" s="812"/>
      <c r="C60" s="812"/>
      <c r="D60" s="812"/>
      <c r="E60" s="813"/>
    </row>
    <row r="61" spans="1:5" ht="38.25" x14ac:dyDescent="0.2">
      <c r="A61" s="796">
        <v>1</v>
      </c>
      <c r="B61" s="799" t="s">
        <v>1611</v>
      </c>
      <c r="C61" s="420" t="s">
        <v>1600</v>
      </c>
      <c r="D61" s="796" t="s">
        <v>1612</v>
      </c>
      <c r="E61" s="802">
        <f>21120*5*7.22*0.6*1.08</f>
        <v>494055.93600000005</v>
      </c>
    </row>
    <row r="62" spans="1:5" x14ac:dyDescent="0.2">
      <c r="A62" s="797"/>
      <c r="B62" s="800"/>
      <c r="C62" s="420" t="s">
        <v>1581</v>
      </c>
      <c r="D62" s="797"/>
      <c r="E62" s="803"/>
    </row>
    <row r="63" spans="1:5" x14ac:dyDescent="0.2">
      <c r="A63" s="797"/>
      <c r="B63" s="800"/>
      <c r="C63" s="420" t="s">
        <v>1582</v>
      </c>
      <c r="D63" s="797"/>
      <c r="E63" s="803"/>
    </row>
    <row r="64" spans="1:5" ht="13.5" thickBot="1" x14ac:dyDescent="0.25">
      <c r="A64" s="798"/>
      <c r="B64" s="801"/>
      <c r="C64" s="422" t="s">
        <v>1590</v>
      </c>
      <c r="D64" s="798"/>
      <c r="E64" s="804"/>
    </row>
    <row r="65" spans="1:5" ht="38.25" x14ac:dyDescent="0.2">
      <c r="A65" s="796">
        <v>2</v>
      </c>
      <c r="B65" s="799" t="s">
        <v>1613</v>
      </c>
      <c r="C65" s="420" t="s">
        <v>1596</v>
      </c>
      <c r="D65" s="796" t="s">
        <v>1614</v>
      </c>
      <c r="E65" s="802">
        <f>433690*0.3*7.22*0.6*1.08</f>
        <v>608713.40592000005</v>
      </c>
    </row>
    <row r="66" spans="1:5" x14ac:dyDescent="0.2">
      <c r="A66" s="797"/>
      <c r="B66" s="800"/>
      <c r="C66" s="420" t="s">
        <v>1581</v>
      </c>
      <c r="D66" s="797"/>
      <c r="E66" s="803"/>
    </row>
    <row r="67" spans="1:5" x14ac:dyDescent="0.2">
      <c r="A67" s="797"/>
      <c r="B67" s="800"/>
      <c r="C67" s="420" t="s">
        <v>1582</v>
      </c>
      <c r="D67" s="797"/>
      <c r="E67" s="803"/>
    </row>
    <row r="68" spans="1:5" ht="13.5" thickBot="1" x14ac:dyDescent="0.25">
      <c r="A68" s="798"/>
      <c r="B68" s="801"/>
      <c r="C68" s="422" t="s">
        <v>1590</v>
      </c>
      <c r="D68" s="798"/>
      <c r="E68" s="804"/>
    </row>
    <row r="69" spans="1:5" ht="38.25" x14ac:dyDescent="0.2">
      <c r="A69" s="796">
        <v>3</v>
      </c>
      <c r="B69" s="799" t="s">
        <v>1615</v>
      </c>
      <c r="C69" s="420" t="s">
        <v>1588</v>
      </c>
      <c r="D69" s="796" t="s">
        <v>1616</v>
      </c>
      <c r="E69" s="802">
        <f>10070*8*7.22*0.6*1.08</f>
        <v>376904.79360000003</v>
      </c>
    </row>
    <row r="70" spans="1:5" x14ac:dyDescent="0.2">
      <c r="A70" s="797"/>
      <c r="B70" s="800"/>
      <c r="C70" s="420" t="s">
        <v>1581</v>
      </c>
      <c r="D70" s="797"/>
      <c r="E70" s="803"/>
    </row>
    <row r="71" spans="1:5" x14ac:dyDescent="0.2">
      <c r="A71" s="797"/>
      <c r="B71" s="800"/>
      <c r="C71" s="420" t="s">
        <v>1582</v>
      </c>
      <c r="D71" s="797"/>
      <c r="E71" s="803"/>
    </row>
    <row r="72" spans="1:5" ht="13.5" thickBot="1" x14ac:dyDescent="0.25">
      <c r="A72" s="798"/>
      <c r="B72" s="801"/>
      <c r="C72" s="422" t="s">
        <v>1590</v>
      </c>
      <c r="D72" s="798"/>
      <c r="E72" s="804"/>
    </row>
    <row r="73" spans="1:5" ht="38.25" x14ac:dyDescent="0.2">
      <c r="A73" s="796">
        <v>4</v>
      </c>
      <c r="B73" s="799" t="s">
        <v>1606</v>
      </c>
      <c r="C73" s="420" t="s">
        <v>1607</v>
      </c>
      <c r="D73" s="796" t="s">
        <v>1608</v>
      </c>
      <c r="E73" s="802">
        <f>8870*1*7.22*0.6*1.08*0.25</f>
        <v>10374.7068</v>
      </c>
    </row>
    <row r="74" spans="1:5" x14ac:dyDescent="0.2">
      <c r="A74" s="797"/>
      <c r="B74" s="800"/>
      <c r="C74" s="420" t="s">
        <v>1581</v>
      </c>
      <c r="D74" s="797"/>
      <c r="E74" s="803"/>
    </row>
    <row r="75" spans="1:5" x14ac:dyDescent="0.2">
      <c r="A75" s="797"/>
      <c r="B75" s="800"/>
      <c r="C75" s="420" t="s">
        <v>1582</v>
      </c>
      <c r="D75" s="797"/>
      <c r="E75" s="803"/>
    </row>
    <row r="76" spans="1:5" x14ac:dyDescent="0.2">
      <c r="A76" s="797"/>
      <c r="B76" s="800"/>
      <c r="C76" s="420" t="s">
        <v>1590</v>
      </c>
      <c r="D76" s="797"/>
      <c r="E76" s="803"/>
    </row>
    <row r="77" spans="1:5" ht="13.5" thickBot="1" x14ac:dyDescent="0.25">
      <c r="A77" s="798"/>
      <c r="B77" s="801"/>
      <c r="C77" s="422" t="s">
        <v>1609</v>
      </c>
      <c r="D77" s="798"/>
      <c r="E77" s="804"/>
    </row>
    <row r="78" spans="1:5" ht="13.5" thickBot="1" x14ac:dyDescent="0.25">
      <c r="A78" s="829" t="s">
        <v>1617</v>
      </c>
      <c r="B78" s="812"/>
      <c r="C78" s="812"/>
      <c r="D78" s="812"/>
      <c r="E78" s="813"/>
    </row>
    <row r="79" spans="1:5" ht="25.5" x14ac:dyDescent="0.2">
      <c r="A79" s="796">
        <v>1</v>
      </c>
      <c r="B79" s="799" t="s">
        <v>1618</v>
      </c>
      <c r="C79" s="420" t="s">
        <v>1619</v>
      </c>
      <c r="D79" s="796" t="s">
        <v>1620</v>
      </c>
      <c r="E79" s="802">
        <f>(463700+1299*1000)*1.71*0.6*1.08*0.35</f>
        <v>683624.41560000007</v>
      </c>
    </row>
    <row r="80" spans="1:5" x14ac:dyDescent="0.2">
      <c r="A80" s="797"/>
      <c r="B80" s="800"/>
      <c r="C80" s="420" t="s">
        <v>1621</v>
      </c>
      <c r="D80" s="797"/>
      <c r="E80" s="803"/>
    </row>
    <row r="81" spans="1:5" x14ac:dyDescent="0.2">
      <c r="A81" s="797"/>
      <c r="B81" s="800"/>
      <c r="C81" s="420" t="s">
        <v>1582</v>
      </c>
      <c r="D81" s="797"/>
      <c r="E81" s="803"/>
    </row>
    <row r="82" spans="1:5" x14ac:dyDescent="0.2">
      <c r="A82" s="797"/>
      <c r="B82" s="800"/>
      <c r="C82" s="420" t="s">
        <v>1590</v>
      </c>
      <c r="D82" s="797"/>
      <c r="E82" s="803"/>
    </row>
    <row r="83" spans="1:5" ht="26.25" thickBot="1" x14ac:dyDescent="0.25">
      <c r="A83" s="798"/>
      <c r="B83" s="801"/>
      <c r="C83" s="422" t="s">
        <v>1622</v>
      </c>
      <c r="D83" s="798"/>
      <c r="E83" s="804"/>
    </row>
    <row r="84" spans="1:5" ht="13.5" thickBot="1" x14ac:dyDescent="0.25">
      <c r="A84" s="829" t="s">
        <v>1623</v>
      </c>
      <c r="B84" s="812"/>
      <c r="C84" s="812"/>
      <c r="D84" s="812"/>
      <c r="E84" s="813"/>
    </row>
    <row r="85" spans="1:5" ht="25.5" x14ac:dyDescent="0.2">
      <c r="A85" s="796">
        <v>1</v>
      </c>
      <c r="B85" s="799" t="s">
        <v>1624</v>
      </c>
      <c r="C85" s="420" t="s">
        <v>1619</v>
      </c>
      <c r="D85" s="796" t="s">
        <v>1625</v>
      </c>
      <c r="E85" s="802">
        <f>(425200+1342*630)*1.71*0.6*1.08*0.35</f>
        <v>492797.52648</v>
      </c>
    </row>
    <row r="86" spans="1:5" x14ac:dyDescent="0.2">
      <c r="A86" s="797"/>
      <c r="B86" s="800"/>
      <c r="C86" s="420" t="s">
        <v>1621</v>
      </c>
      <c r="D86" s="797"/>
      <c r="E86" s="803"/>
    </row>
    <row r="87" spans="1:5" x14ac:dyDescent="0.2">
      <c r="A87" s="797"/>
      <c r="B87" s="800"/>
      <c r="C87" s="420" t="s">
        <v>1582</v>
      </c>
      <c r="D87" s="797"/>
      <c r="E87" s="803"/>
    </row>
    <row r="88" spans="1:5" x14ac:dyDescent="0.2">
      <c r="A88" s="797"/>
      <c r="B88" s="800"/>
      <c r="C88" s="420" t="s">
        <v>1590</v>
      </c>
      <c r="D88" s="797"/>
      <c r="E88" s="803"/>
    </row>
    <row r="89" spans="1:5" ht="26.25" thickBot="1" x14ac:dyDescent="0.25">
      <c r="A89" s="798"/>
      <c r="B89" s="801"/>
      <c r="C89" s="422" t="s">
        <v>1626</v>
      </c>
      <c r="D89" s="798"/>
      <c r="E89" s="804"/>
    </row>
    <row r="90" spans="1:5" ht="13.5" thickBot="1" x14ac:dyDescent="0.25">
      <c r="A90" s="811" t="s">
        <v>1627</v>
      </c>
      <c r="B90" s="812"/>
      <c r="C90" s="812"/>
      <c r="D90" s="812"/>
      <c r="E90" s="813"/>
    </row>
    <row r="91" spans="1:5" ht="25.5" x14ac:dyDescent="0.2">
      <c r="A91" s="796">
        <v>1</v>
      </c>
      <c r="B91" s="799" t="s">
        <v>1624</v>
      </c>
      <c r="C91" s="420" t="s">
        <v>1619</v>
      </c>
      <c r="D91" s="796" t="s">
        <v>1625</v>
      </c>
      <c r="E91" s="802">
        <f>(425200+1342*630)*1.71*0.6*1.08*0.35</f>
        <v>492797.52648</v>
      </c>
    </row>
    <row r="92" spans="1:5" x14ac:dyDescent="0.2">
      <c r="A92" s="797"/>
      <c r="B92" s="800"/>
      <c r="C92" s="420" t="s">
        <v>1621</v>
      </c>
      <c r="D92" s="797"/>
      <c r="E92" s="803"/>
    </row>
    <row r="93" spans="1:5" x14ac:dyDescent="0.2">
      <c r="A93" s="797"/>
      <c r="B93" s="800"/>
      <c r="C93" s="420" t="s">
        <v>1582</v>
      </c>
      <c r="D93" s="797"/>
      <c r="E93" s="803"/>
    </row>
    <row r="94" spans="1:5" x14ac:dyDescent="0.2">
      <c r="A94" s="797"/>
      <c r="B94" s="800"/>
      <c r="C94" s="420" t="s">
        <v>1590</v>
      </c>
      <c r="D94" s="797"/>
      <c r="E94" s="803"/>
    </row>
    <row r="95" spans="1:5" ht="26.25" thickBot="1" x14ac:dyDescent="0.25">
      <c r="A95" s="798"/>
      <c r="B95" s="801"/>
      <c r="C95" s="422" t="s">
        <v>1626</v>
      </c>
      <c r="D95" s="798"/>
      <c r="E95" s="804"/>
    </row>
    <row r="96" spans="1:5" ht="13.5" thickBot="1" x14ac:dyDescent="0.25">
      <c r="A96" s="811" t="s">
        <v>1628</v>
      </c>
      <c r="B96" s="812"/>
      <c r="C96" s="812"/>
      <c r="D96" s="812"/>
      <c r="E96" s="813"/>
    </row>
    <row r="97" spans="1:5" ht="38.25" x14ac:dyDescent="0.2">
      <c r="A97" s="796">
        <v>1</v>
      </c>
      <c r="B97" s="799" t="s">
        <v>1629</v>
      </c>
      <c r="C97" s="420" t="s">
        <v>1600</v>
      </c>
      <c r="D97" s="796" t="s">
        <v>1630</v>
      </c>
      <c r="E97" s="802">
        <f>21120*2*7.22*0.6*1.08</f>
        <v>197622.3744</v>
      </c>
    </row>
    <row r="98" spans="1:5" x14ac:dyDescent="0.2">
      <c r="A98" s="797"/>
      <c r="B98" s="800"/>
      <c r="C98" s="420" t="s">
        <v>1581</v>
      </c>
      <c r="D98" s="797"/>
      <c r="E98" s="803"/>
    </row>
    <row r="99" spans="1:5" x14ac:dyDescent="0.2">
      <c r="A99" s="797"/>
      <c r="B99" s="800"/>
      <c r="C99" s="420" t="s">
        <v>1582</v>
      </c>
      <c r="D99" s="797"/>
      <c r="E99" s="803"/>
    </row>
    <row r="100" spans="1:5" ht="13.5" thickBot="1" x14ac:dyDescent="0.25">
      <c r="A100" s="798"/>
      <c r="B100" s="801"/>
      <c r="C100" s="422" t="s">
        <v>1590</v>
      </c>
      <c r="D100" s="798"/>
      <c r="E100" s="804"/>
    </row>
    <row r="101" spans="1:5" ht="38.25" x14ac:dyDescent="0.2">
      <c r="A101" s="796">
        <v>2</v>
      </c>
      <c r="B101" s="799" t="s">
        <v>1631</v>
      </c>
      <c r="C101" s="420" t="s">
        <v>1596</v>
      </c>
      <c r="D101" s="796" t="s">
        <v>1632</v>
      </c>
      <c r="E101" s="802">
        <f>433690*0.1*7.22*0.6*1.08</f>
        <v>202904.46864000001</v>
      </c>
    </row>
    <row r="102" spans="1:5" x14ac:dyDescent="0.2">
      <c r="A102" s="797"/>
      <c r="B102" s="800"/>
      <c r="C102" s="420" t="s">
        <v>1581</v>
      </c>
      <c r="D102" s="797"/>
      <c r="E102" s="803"/>
    </row>
    <row r="103" spans="1:5" x14ac:dyDescent="0.2">
      <c r="A103" s="797"/>
      <c r="B103" s="800"/>
      <c r="C103" s="420" t="s">
        <v>1582</v>
      </c>
      <c r="D103" s="797"/>
      <c r="E103" s="803"/>
    </row>
    <row r="104" spans="1:5" ht="13.5" thickBot="1" x14ac:dyDescent="0.25">
      <c r="A104" s="798"/>
      <c r="B104" s="801"/>
      <c r="C104" s="422" t="s">
        <v>1590</v>
      </c>
      <c r="D104" s="798"/>
      <c r="E104" s="804"/>
    </row>
    <row r="105" spans="1:5" ht="38.25" x14ac:dyDescent="0.2">
      <c r="A105" s="796">
        <v>3</v>
      </c>
      <c r="B105" s="799" t="s">
        <v>1604</v>
      </c>
      <c r="C105" s="420" t="s">
        <v>1588</v>
      </c>
      <c r="D105" s="796" t="s">
        <v>1605</v>
      </c>
      <c r="E105" s="802">
        <f>10070*5*7.22*0.6*1.08</f>
        <v>235565.49599999998</v>
      </c>
    </row>
    <row r="106" spans="1:5" x14ac:dyDescent="0.2">
      <c r="A106" s="797"/>
      <c r="B106" s="800"/>
      <c r="C106" s="420" t="s">
        <v>1581</v>
      </c>
      <c r="D106" s="797"/>
      <c r="E106" s="803"/>
    </row>
    <row r="107" spans="1:5" x14ac:dyDescent="0.2">
      <c r="A107" s="797"/>
      <c r="B107" s="800"/>
      <c r="C107" s="420" t="s">
        <v>1582</v>
      </c>
      <c r="D107" s="797"/>
      <c r="E107" s="803"/>
    </row>
    <row r="108" spans="1:5" ht="13.5" thickBot="1" x14ac:dyDescent="0.25">
      <c r="A108" s="798"/>
      <c r="B108" s="801"/>
      <c r="C108" s="422" t="s">
        <v>1590</v>
      </c>
      <c r="D108" s="798"/>
      <c r="E108" s="804"/>
    </row>
    <row r="109" spans="1:5" ht="38.25" x14ac:dyDescent="0.2">
      <c r="A109" s="796">
        <v>4</v>
      </c>
      <c r="B109" s="799" t="s">
        <v>1606</v>
      </c>
      <c r="C109" s="420" t="s">
        <v>1607</v>
      </c>
      <c r="D109" s="796" t="s">
        <v>1608</v>
      </c>
      <c r="E109" s="802">
        <f>8870*1*7.22*0.6*1.08*0.25</f>
        <v>10374.7068</v>
      </c>
    </row>
    <row r="110" spans="1:5" x14ac:dyDescent="0.2">
      <c r="A110" s="797"/>
      <c r="B110" s="800"/>
      <c r="C110" s="420" t="s">
        <v>1581</v>
      </c>
      <c r="D110" s="797"/>
      <c r="E110" s="803"/>
    </row>
    <row r="111" spans="1:5" x14ac:dyDescent="0.2">
      <c r="A111" s="797"/>
      <c r="B111" s="800"/>
      <c r="C111" s="420" t="s">
        <v>1582</v>
      </c>
      <c r="D111" s="797"/>
      <c r="E111" s="803"/>
    </row>
    <row r="112" spans="1:5" x14ac:dyDescent="0.2">
      <c r="A112" s="797"/>
      <c r="B112" s="800"/>
      <c r="C112" s="420" t="s">
        <v>1590</v>
      </c>
      <c r="D112" s="797"/>
      <c r="E112" s="803"/>
    </row>
    <row r="113" spans="1:5" ht="13.5" thickBot="1" x14ac:dyDescent="0.25">
      <c r="A113" s="798"/>
      <c r="B113" s="801"/>
      <c r="C113" s="422" t="s">
        <v>1609</v>
      </c>
      <c r="D113" s="798"/>
      <c r="E113" s="804"/>
    </row>
    <row r="114" spans="1:5" ht="13.5" thickBot="1" x14ac:dyDescent="0.25">
      <c r="A114" s="829" t="s">
        <v>1633</v>
      </c>
      <c r="B114" s="812"/>
      <c r="C114" s="812"/>
      <c r="D114" s="812"/>
      <c r="E114" s="813"/>
    </row>
    <row r="115" spans="1:5" ht="38.25" x14ac:dyDescent="0.2">
      <c r="A115" s="796">
        <v>1</v>
      </c>
      <c r="B115" s="799" t="s">
        <v>1634</v>
      </c>
      <c r="C115" s="420" t="s">
        <v>1635</v>
      </c>
      <c r="D115" s="796" t="s">
        <v>1636</v>
      </c>
      <c r="E115" s="802">
        <f>59070*1*7.22*0.6*1.08*1.15</f>
        <v>317816.92007999995</v>
      </c>
    </row>
    <row r="116" spans="1:5" x14ac:dyDescent="0.2">
      <c r="A116" s="797"/>
      <c r="B116" s="800"/>
      <c r="C116" s="420" t="s">
        <v>1581</v>
      </c>
      <c r="D116" s="797"/>
      <c r="E116" s="803"/>
    </row>
    <row r="117" spans="1:5" x14ac:dyDescent="0.2">
      <c r="A117" s="797"/>
      <c r="B117" s="800"/>
      <c r="C117" s="420" t="s">
        <v>1582</v>
      </c>
      <c r="D117" s="797"/>
      <c r="E117" s="803"/>
    </row>
    <row r="118" spans="1:5" x14ac:dyDescent="0.2">
      <c r="A118" s="797"/>
      <c r="B118" s="800"/>
      <c r="C118" s="420" t="s">
        <v>1590</v>
      </c>
      <c r="D118" s="797"/>
      <c r="E118" s="803"/>
    </row>
    <row r="119" spans="1:5" ht="26.25" thickBot="1" x14ac:dyDescent="0.25">
      <c r="A119" s="798"/>
      <c r="B119" s="801"/>
      <c r="C119" s="422" t="s">
        <v>1637</v>
      </c>
      <c r="D119" s="798"/>
      <c r="E119" s="804"/>
    </row>
    <row r="120" spans="1:5" ht="38.25" x14ac:dyDescent="0.2">
      <c r="A120" s="796">
        <v>2</v>
      </c>
      <c r="B120" s="799" t="s">
        <v>1638</v>
      </c>
      <c r="C120" s="420" t="s">
        <v>1600</v>
      </c>
      <c r="D120" s="796" t="s">
        <v>1639</v>
      </c>
      <c r="E120" s="802">
        <f>21120*4*7.22*0.6*1.08</f>
        <v>395244.7488</v>
      </c>
    </row>
    <row r="121" spans="1:5" x14ac:dyDescent="0.2">
      <c r="A121" s="797"/>
      <c r="B121" s="800"/>
      <c r="C121" s="420" t="s">
        <v>1581</v>
      </c>
      <c r="D121" s="797"/>
      <c r="E121" s="803"/>
    </row>
    <row r="122" spans="1:5" x14ac:dyDescent="0.2">
      <c r="A122" s="797"/>
      <c r="B122" s="800"/>
      <c r="C122" s="420" t="s">
        <v>1582</v>
      </c>
      <c r="D122" s="797"/>
      <c r="E122" s="803"/>
    </row>
    <row r="123" spans="1:5" ht="13.5" thickBot="1" x14ac:dyDescent="0.25">
      <c r="A123" s="798"/>
      <c r="B123" s="801"/>
      <c r="C123" s="422" t="s">
        <v>1590</v>
      </c>
      <c r="D123" s="798"/>
      <c r="E123" s="804"/>
    </row>
    <row r="124" spans="1:5" ht="38.25" x14ac:dyDescent="0.2">
      <c r="A124" s="796">
        <v>3</v>
      </c>
      <c r="B124" s="799" t="s">
        <v>1640</v>
      </c>
      <c r="C124" s="420" t="s">
        <v>1641</v>
      </c>
      <c r="D124" s="796" t="s">
        <v>1642</v>
      </c>
      <c r="E124" s="802">
        <f>11083*1*7.22*0.6*1.08</f>
        <v>51852.480479999998</v>
      </c>
    </row>
    <row r="125" spans="1:5" x14ac:dyDescent="0.2">
      <c r="A125" s="797"/>
      <c r="B125" s="800"/>
      <c r="C125" s="420" t="s">
        <v>1581</v>
      </c>
      <c r="D125" s="797"/>
      <c r="E125" s="803"/>
    </row>
    <row r="126" spans="1:5" x14ac:dyDescent="0.2">
      <c r="A126" s="797"/>
      <c r="B126" s="800"/>
      <c r="C126" s="420" t="s">
        <v>1643</v>
      </c>
      <c r="D126" s="797"/>
      <c r="E126" s="803"/>
    </row>
    <row r="127" spans="1:5" ht="13.5" thickBot="1" x14ac:dyDescent="0.25">
      <c r="A127" s="798"/>
      <c r="B127" s="801"/>
      <c r="C127" s="422" t="s">
        <v>1590</v>
      </c>
      <c r="D127" s="798"/>
      <c r="E127" s="804"/>
    </row>
    <row r="128" spans="1:5" ht="38.25" x14ac:dyDescent="0.2">
      <c r="A128" s="796">
        <v>4</v>
      </c>
      <c r="B128" s="799" t="s">
        <v>1644</v>
      </c>
      <c r="C128" s="420" t="s">
        <v>1645</v>
      </c>
      <c r="D128" s="796" t="s">
        <v>1646</v>
      </c>
      <c r="E128" s="802">
        <f>2640*9*7.22*0.6*1.08</f>
        <v>111162.58560000001</v>
      </c>
    </row>
    <row r="129" spans="1:5" x14ac:dyDescent="0.2">
      <c r="A129" s="797"/>
      <c r="B129" s="800"/>
      <c r="C129" s="420" t="s">
        <v>1581</v>
      </c>
      <c r="D129" s="797"/>
      <c r="E129" s="803"/>
    </row>
    <row r="130" spans="1:5" x14ac:dyDescent="0.2">
      <c r="A130" s="797"/>
      <c r="B130" s="800"/>
      <c r="C130" s="420" t="s">
        <v>1582</v>
      </c>
      <c r="D130" s="797"/>
      <c r="E130" s="803"/>
    </row>
    <row r="131" spans="1:5" ht="13.5" thickBot="1" x14ac:dyDescent="0.25">
      <c r="A131" s="798"/>
      <c r="B131" s="801"/>
      <c r="C131" s="422" t="s">
        <v>1590</v>
      </c>
      <c r="D131" s="798"/>
      <c r="E131" s="804"/>
    </row>
    <row r="132" spans="1:5" ht="38.25" x14ac:dyDescent="0.2">
      <c r="A132" s="796">
        <v>5</v>
      </c>
      <c r="B132" s="799" t="s">
        <v>1647</v>
      </c>
      <c r="C132" s="420" t="s">
        <v>1648</v>
      </c>
      <c r="D132" s="796" t="s">
        <v>1649</v>
      </c>
      <c r="E132" s="802">
        <f>4790*2*7.22*0.6*1.08</f>
        <v>44820.604799999994</v>
      </c>
    </row>
    <row r="133" spans="1:5" x14ac:dyDescent="0.2">
      <c r="A133" s="797"/>
      <c r="B133" s="800"/>
      <c r="C133" s="420" t="s">
        <v>1581</v>
      </c>
      <c r="D133" s="797"/>
      <c r="E133" s="803"/>
    </row>
    <row r="134" spans="1:5" x14ac:dyDescent="0.2">
      <c r="A134" s="797"/>
      <c r="B134" s="800"/>
      <c r="C134" s="420" t="s">
        <v>1582</v>
      </c>
      <c r="D134" s="797"/>
      <c r="E134" s="803"/>
    </row>
    <row r="135" spans="1:5" ht="13.5" thickBot="1" x14ac:dyDescent="0.25">
      <c r="A135" s="798"/>
      <c r="B135" s="801"/>
      <c r="C135" s="422" t="s">
        <v>1590</v>
      </c>
      <c r="D135" s="798"/>
      <c r="E135" s="804"/>
    </row>
    <row r="136" spans="1:5" ht="25.5" x14ac:dyDescent="0.2">
      <c r="A136" s="796">
        <v>6</v>
      </c>
      <c r="B136" s="799" t="s">
        <v>1650</v>
      </c>
      <c r="C136" s="420" t="s">
        <v>1651</v>
      </c>
      <c r="D136" s="796" t="s">
        <v>1652</v>
      </c>
      <c r="E136" s="802">
        <f>11800*2*1.71*0.6*1.08</f>
        <v>26150.688000000002</v>
      </c>
    </row>
    <row r="137" spans="1:5" x14ac:dyDescent="0.2">
      <c r="A137" s="797"/>
      <c r="B137" s="800"/>
      <c r="C137" s="420" t="s">
        <v>1653</v>
      </c>
      <c r="D137" s="797"/>
      <c r="E137" s="803"/>
    </row>
    <row r="138" spans="1:5" x14ac:dyDescent="0.2">
      <c r="A138" s="797"/>
      <c r="B138" s="800"/>
      <c r="C138" s="420" t="s">
        <v>1582</v>
      </c>
      <c r="D138" s="797"/>
      <c r="E138" s="803"/>
    </row>
    <row r="139" spans="1:5" ht="13.5" thickBot="1" x14ac:dyDescent="0.25">
      <c r="A139" s="798"/>
      <c r="B139" s="801"/>
      <c r="C139" s="422" t="s">
        <v>1590</v>
      </c>
      <c r="D139" s="798"/>
      <c r="E139" s="804"/>
    </row>
    <row r="140" spans="1:5" ht="38.25" x14ac:dyDescent="0.2">
      <c r="A140" s="796">
        <v>7</v>
      </c>
      <c r="B140" s="799" t="s">
        <v>1654</v>
      </c>
      <c r="C140" s="420" t="s">
        <v>1655</v>
      </c>
      <c r="D140" s="796" t="s">
        <v>1656</v>
      </c>
      <c r="E140" s="802">
        <f>4130*2*7.22*0.6*1.08</f>
        <v>38644.905600000006</v>
      </c>
    </row>
    <row r="141" spans="1:5" x14ac:dyDescent="0.2">
      <c r="A141" s="797"/>
      <c r="B141" s="800"/>
      <c r="C141" s="420" t="s">
        <v>1581</v>
      </c>
      <c r="D141" s="797"/>
      <c r="E141" s="803"/>
    </row>
    <row r="142" spans="1:5" x14ac:dyDescent="0.2">
      <c r="A142" s="797"/>
      <c r="B142" s="800"/>
      <c r="C142" s="420" t="s">
        <v>1582</v>
      </c>
      <c r="D142" s="797"/>
      <c r="E142" s="803"/>
    </row>
    <row r="143" spans="1:5" ht="13.5" thickBot="1" x14ac:dyDescent="0.25">
      <c r="A143" s="798"/>
      <c r="B143" s="801"/>
      <c r="C143" s="422" t="s">
        <v>1590</v>
      </c>
      <c r="D143" s="798"/>
      <c r="E143" s="804"/>
    </row>
    <row r="144" spans="1:5" ht="13.5" thickBot="1" x14ac:dyDescent="0.25">
      <c r="A144" s="811" t="s">
        <v>1657</v>
      </c>
      <c r="B144" s="812"/>
      <c r="C144" s="812"/>
      <c r="D144" s="812"/>
      <c r="E144" s="813"/>
    </row>
    <row r="145" spans="1:5" ht="25.5" x14ac:dyDescent="0.2">
      <c r="A145" s="796">
        <v>1</v>
      </c>
      <c r="B145" s="799" t="s">
        <v>1658</v>
      </c>
      <c r="C145" s="420" t="s">
        <v>1619</v>
      </c>
      <c r="D145" s="796" t="s">
        <v>1659</v>
      </c>
      <c r="E145" s="802">
        <f>(224900+1742*315)*1.71*0.6*1.08*0.35</f>
        <v>300035.37563999998</v>
      </c>
    </row>
    <row r="146" spans="1:5" x14ac:dyDescent="0.2">
      <c r="A146" s="797"/>
      <c r="B146" s="800"/>
      <c r="C146" s="420" t="s">
        <v>1621</v>
      </c>
      <c r="D146" s="797"/>
      <c r="E146" s="803"/>
    </row>
    <row r="147" spans="1:5" x14ac:dyDescent="0.2">
      <c r="A147" s="797"/>
      <c r="B147" s="800"/>
      <c r="C147" s="420" t="s">
        <v>1582</v>
      </c>
      <c r="D147" s="797"/>
      <c r="E147" s="803"/>
    </row>
    <row r="148" spans="1:5" x14ac:dyDescent="0.2">
      <c r="A148" s="797"/>
      <c r="B148" s="800"/>
      <c r="C148" s="420" t="s">
        <v>1590</v>
      </c>
      <c r="D148" s="797"/>
      <c r="E148" s="803"/>
    </row>
    <row r="149" spans="1:5" ht="26.25" thickBot="1" x14ac:dyDescent="0.25">
      <c r="A149" s="798"/>
      <c r="B149" s="801"/>
      <c r="C149" s="422" t="s">
        <v>1622</v>
      </c>
      <c r="D149" s="798"/>
      <c r="E149" s="804"/>
    </row>
    <row r="150" spans="1:5" ht="29.25" customHeight="1" thickBot="1" x14ac:dyDescent="0.25">
      <c r="A150" s="510"/>
      <c r="B150" s="511" t="s">
        <v>2319</v>
      </c>
      <c r="C150" s="509" t="s">
        <v>2325</v>
      </c>
      <c r="D150" s="515" t="s">
        <v>2318</v>
      </c>
      <c r="E150" s="512">
        <f>SUM(E19:E149)*0.7</f>
        <v>5428940.9229720002</v>
      </c>
    </row>
    <row r="151" spans="1:5" ht="18.75" customHeight="1" thickBot="1" x14ac:dyDescent="0.25">
      <c r="A151" s="811" t="s">
        <v>761</v>
      </c>
      <c r="B151" s="812"/>
      <c r="C151" s="812"/>
      <c r="D151" s="812"/>
      <c r="E151" s="813"/>
    </row>
    <row r="152" spans="1:5" ht="13.5" thickBot="1" x14ac:dyDescent="0.25">
      <c r="A152" s="811" t="s">
        <v>1660</v>
      </c>
      <c r="B152" s="812"/>
      <c r="C152" s="812"/>
      <c r="D152" s="812"/>
      <c r="E152" s="813"/>
    </row>
    <row r="153" spans="1:5" ht="38.25" x14ac:dyDescent="0.2">
      <c r="A153" s="796">
        <v>1</v>
      </c>
      <c r="B153" s="799" t="s">
        <v>1661</v>
      </c>
      <c r="C153" s="420" t="s">
        <v>1635</v>
      </c>
      <c r="D153" s="796" t="s">
        <v>1636</v>
      </c>
      <c r="E153" s="802">
        <f>59070*1*7.22*0.6*1.08*1.15</f>
        <v>317816.92007999995</v>
      </c>
    </row>
    <row r="154" spans="1:5" x14ac:dyDescent="0.2">
      <c r="A154" s="797"/>
      <c r="B154" s="800"/>
      <c r="C154" s="420" t="s">
        <v>1581</v>
      </c>
      <c r="D154" s="797"/>
      <c r="E154" s="803"/>
    </row>
    <row r="155" spans="1:5" x14ac:dyDescent="0.2">
      <c r="A155" s="797"/>
      <c r="B155" s="800"/>
      <c r="C155" s="420" t="s">
        <v>1582</v>
      </c>
      <c r="D155" s="797"/>
      <c r="E155" s="803"/>
    </row>
    <row r="156" spans="1:5" x14ac:dyDescent="0.2">
      <c r="A156" s="797"/>
      <c r="B156" s="800"/>
      <c r="C156" s="420" t="s">
        <v>1590</v>
      </c>
      <c r="D156" s="797"/>
      <c r="E156" s="803"/>
    </row>
    <row r="157" spans="1:5" ht="26.25" thickBot="1" x14ac:dyDescent="0.25">
      <c r="A157" s="798"/>
      <c r="B157" s="801"/>
      <c r="C157" s="422" t="s">
        <v>1637</v>
      </c>
      <c r="D157" s="798"/>
      <c r="E157" s="804"/>
    </row>
    <row r="158" spans="1:5" ht="38.25" x14ac:dyDescent="0.2">
      <c r="A158" s="796">
        <v>2</v>
      </c>
      <c r="B158" s="799" t="s">
        <v>1662</v>
      </c>
      <c r="C158" s="420" t="s">
        <v>1600</v>
      </c>
      <c r="D158" s="796" t="s">
        <v>1663</v>
      </c>
      <c r="E158" s="802">
        <f>21120*9*7.22*0.6*1.08</f>
        <v>889300.68480000005</v>
      </c>
    </row>
    <row r="159" spans="1:5" x14ac:dyDescent="0.2">
      <c r="A159" s="797"/>
      <c r="B159" s="800"/>
      <c r="C159" s="420" t="s">
        <v>1581</v>
      </c>
      <c r="D159" s="797"/>
      <c r="E159" s="803"/>
    </row>
    <row r="160" spans="1:5" x14ac:dyDescent="0.2">
      <c r="A160" s="797"/>
      <c r="B160" s="800"/>
      <c r="C160" s="420" t="s">
        <v>1582</v>
      </c>
      <c r="D160" s="797"/>
      <c r="E160" s="803"/>
    </row>
    <row r="161" spans="1:5" ht="13.5" thickBot="1" x14ac:dyDescent="0.25">
      <c r="A161" s="798"/>
      <c r="B161" s="801"/>
      <c r="C161" s="422" t="s">
        <v>1590</v>
      </c>
      <c r="D161" s="798"/>
      <c r="E161" s="804"/>
    </row>
    <row r="162" spans="1:5" ht="38.25" x14ac:dyDescent="0.2">
      <c r="A162" s="796">
        <v>3</v>
      </c>
      <c r="B162" s="799" t="s">
        <v>1640</v>
      </c>
      <c r="C162" s="420" t="s">
        <v>1641</v>
      </c>
      <c r="D162" s="796" t="s">
        <v>1642</v>
      </c>
      <c r="E162" s="802">
        <f>11083*1*7.22*0.6*1.08</f>
        <v>51852.480479999998</v>
      </c>
    </row>
    <row r="163" spans="1:5" x14ac:dyDescent="0.2">
      <c r="A163" s="797"/>
      <c r="B163" s="800"/>
      <c r="C163" s="420" t="s">
        <v>1581</v>
      </c>
      <c r="D163" s="797"/>
      <c r="E163" s="803"/>
    </row>
    <row r="164" spans="1:5" x14ac:dyDescent="0.2">
      <c r="A164" s="797"/>
      <c r="B164" s="800"/>
      <c r="C164" s="420" t="s">
        <v>1643</v>
      </c>
      <c r="D164" s="797"/>
      <c r="E164" s="803"/>
    </row>
    <row r="165" spans="1:5" ht="13.5" thickBot="1" x14ac:dyDescent="0.25">
      <c r="A165" s="798"/>
      <c r="B165" s="801"/>
      <c r="C165" s="422" t="s">
        <v>1590</v>
      </c>
      <c r="D165" s="798"/>
      <c r="E165" s="804"/>
    </row>
    <row r="166" spans="1:5" ht="38.25" x14ac:dyDescent="0.2">
      <c r="A166" s="796">
        <v>4</v>
      </c>
      <c r="B166" s="799" t="s">
        <v>1644</v>
      </c>
      <c r="C166" s="420" t="s">
        <v>1645</v>
      </c>
      <c r="D166" s="796" t="s">
        <v>1646</v>
      </c>
      <c r="E166" s="802">
        <f>2640*9*7.22*0.6*1.08</f>
        <v>111162.58560000001</v>
      </c>
    </row>
    <row r="167" spans="1:5" x14ac:dyDescent="0.2">
      <c r="A167" s="797"/>
      <c r="B167" s="800"/>
      <c r="C167" s="420" t="s">
        <v>1581</v>
      </c>
      <c r="D167" s="797"/>
      <c r="E167" s="803"/>
    </row>
    <row r="168" spans="1:5" x14ac:dyDescent="0.2">
      <c r="A168" s="797"/>
      <c r="B168" s="800"/>
      <c r="C168" s="420" t="s">
        <v>1582</v>
      </c>
      <c r="D168" s="797"/>
      <c r="E168" s="803"/>
    </row>
    <row r="169" spans="1:5" ht="13.5" thickBot="1" x14ac:dyDescent="0.25">
      <c r="A169" s="798"/>
      <c r="B169" s="801"/>
      <c r="C169" s="422" t="s">
        <v>1590</v>
      </c>
      <c r="D169" s="798"/>
      <c r="E169" s="804"/>
    </row>
    <row r="170" spans="1:5" ht="38.25" x14ac:dyDescent="0.2">
      <c r="A170" s="796">
        <v>5</v>
      </c>
      <c r="B170" s="799" t="s">
        <v>1647</v>
      </c>
      <c r="C170" s="420" t="s">
        <v>1648</v>
      </c>
      <c r="D170" s="796" t="s">
        <v>1649</v>
      </c>
      <c r="E170" s="802">
        <f>4790*2*7.22*0.6*1.08</f>
        <v>44820.604799999994</v>
      </c>
    </row>
    <row r="171" spans="1:5" x14ac:dyDescent="0.2">
      <c r="A171" s="797"/>
      <c r="B171" s="800"/>
      <c r="C171" s="420" t="s">
        <v>1581</v>
      </c>
      <c r="D171" s="797"/>
      <c r="E171" s="803"/>
    </row>
    <row r="172" spans="1:5" x14ac:dyDescent="0.2">
      <c r="A172" s="797"/>
      <c r="B172" s="800"/>
      <c r="C172" s="420" t="s">
        <v>1582</v>
      </c>
      <c r="D172" s="797"/>
      <c r="E172" s="803"/>
    </row>
    <row r="173" spans="1:5" ht="13.5" thickBot="1" x14ac:dyDescent="0.25">
      <c r="A173" s="798"/>
      <c r="B173" s="801"/>
      <c r="C173" s="422" t="s">
        <v>1590</v>
      </c>
      <c r="D173" s="798"/>
      <c r="E173" s="804"/>
    </row>
    <row r="174" spans="1:5" ht="25.5" x14ac:dyDescent="0.2">
      <c r="A174" s="796">
        <v>6</v>
      </c>
      <c r="B174" s="799" t="s">
        <v>1650</v>
      </c>
      <c r="C174" s="420" t="s">
        <v>1651</v>
      </c>
      <c r="D174" s="796" t="s">
        <v>1652</v>
      </c>
      <c r="E174" s="802">
        <f>11800*2*1.71*0.6*1.08</f>
        <v>26150.688000000002</v>
      </c>
    </row>
    <row r="175" spans="1:5" x14ac:dyDescent="0.2">
      <c r="A175" s="797"/>
      <c r="B175" s="800"/>
      <c r="C175" s="420" t="s">
        <v>1621</v>
      </c>
      <c r="D175" s="797"/>
      <c r="E175" s="803"/>
    </row>
    <row r="176" spans="1:5" x14ac:dyDescent="0.2">
      <c r="A176" s="797"/>
      <c r="B176" s="800"/>
      <c r="C176" s="420" t="s">
        <v>1582</v>
      </c>
      <c r="D176" s="797"/>
      <c r="E176" s="803"/>
    </row>
    <row r="177" spans="1:5" ht="13.5" thickBot="1" x14ac:dyDescent="0.25">
      <c r="A177" s="798"/>
      <c r="B177" s="801"/>
      <c r="C177" s="422" t="s">
        <v>1590</v>
      </c>
      <c r="D177" s="798"/>
      <c r="E177" s="804"/>
    </row>
    <row r="178" spans="1:5" ht="38.25" x14ac:dyDescent="0.2">
      <c r="A178" s="796">
        <v>7</v>
      </c>
      <c r="B178" s="799" t="s">
        <v>1654</v>
      </c>
      <c r="C178" s="420" t="s">
        <v>1655</v>
      </c>
      <c r="D178" s="796" t="s">
        <v>1656</v>
      </c>
      <c r="E178" s="802">
        <f>4130*2*7.22*0.6*1.08</f>
        <v>38644.905600000006</v>
      </c>
    </row>
    <row r="179" spans="1:5" x14ac:dyDescent="0.2">
      <c r="A179" s="797"/>
      <c r="B179" s="800"/>
      <c r="C179" s="420" t="s">
        <v>1581</v>
      </c>
      <c r="D179" s="797"/>
      <c r="E179" s="803"/>
    </row>
    <row r="180" spans="1:5" x14ac:dyDescent="0.2">
      <c r="A180" s="797"/>
      <c r="B180" s="800"/>
      <c r="C180" s="420" t="s">
        <v>1582</v>
      </c>
      <c r="D180" s="797"/>
      <c r="E180" s="803"/>
    </row>
    <row r="181" spans="1:5" ht="13.5" thickBot="1" x14ac:dyDescent="0.25">
      <c r="A181" s="798"/>
      <c r="B181" s="801"/>
      <c r="C181" s="422" t="s">
        <v>1590</v>
      </c>
      <c r="D181" s="798"/>
      <c r="E181" s="804"/>
    </row>
    <row r="182" spans="1:5" ht="13.5" thickBot="1" x14ac:dyDescent="0.25">
      <c r="A182" s="811" t="s">
        <v>781</v>
      </c>
      <c r="B182" s="812"/>
      <c r="C182" s="812"/>
      <c r="D182" s="812"/>
      <c r="E182" s="813"/>
    </row>
    <row r="183" spans="1:5" ht="38.25" x14ac:dyDescent="0.2">
      <c r="A183" s="796">
        <v>1</v>
      </c>
      <c r="B183" s="799" t="s">
        <v>1664</v>
      </c>
      <c r="C183" s="420" t="s">
        <v>1665</v>
      </c>
      <c r="D183" s="796" t="s">
        <v>1666</v>
      </c>
      <c r="E183" s="802">
        <f>(11000+550*15)*7.22*0.6*1.08</f>
        <v>90062.28</v>
      </c>
    </row>
    <row r="184" spans="1:5" x14ac:dyDescent="0.2">
      <c r="A184" s="797"/>
      <c r="B184" s="800"/>
      <c r="C184" s="420" t="s">
        <v>1581</v>
      </c>
      <c r="D184" s="797"/>
      <c r="E184" s="803"/>
    </row>
    <row r="185" spans="1:5" x14ac:dyDescent="0.2">
      <c r="A185" s="797"/>
      <c r="B185" s="800"/>
      <c r="C185" s="420" t="s">
        <v>1582</v>
      </c>
      <c r="D185" s="797"/>
      <c r="E185" s="803"/>
    </row>
    <row r="186" spans="1:5" ht="13.5" thickBot="1" x14ac:dyDescent="0.25">
      <c r="A186" s="798"/>
      <c r="B186" s="801"/>
      <c r="C186" s="422" t="s">
        <v>1590</v>
      </c>
      <c r="D186" s="798"/>
      <c r="E186" s="804"/>
    </row>
    <row r="187" spans="1:5" ht="13.5" thickBot="1" x14ac:dyDescent="0.25">
      <c r="A187" s="829" t="s">
        <v>2332</v>
      </c>
      <c r="B187" s="812"/>
      <c r="C187" s="812"/>
      <c r="D187" s="812"/>
      <c r="E187" s="813"/>
    </row>
    <row r="188" spans="1:5" ht="38.25" x14ac:dyDescent="0.2">
      <c r="A188" s="796">
        <v>1</v>
      </c>
      <c r="B188" s="799" t="s">
        <v>1664</v>
      </c>
      <c r="C188" s="420" t="s">
        <v>1665</v>
      </c>
      <c r="D188" s="796" t="s">
        <v>1666</v>
      </c>
      <c r="E188" s="802">
        <f>(11000+550*15)*7.22*0.6*1.08</f>
        <v>90062.28</v>
      </c>
    </row>
    <row r="189" spans="1:5" x14ac:dyDescent="0.2">
      <c r="A189" s="797"/>
      <c r="B189" s="800"/>
      <c r="C189" s="420" t="s">
        <v>1581</v>
      </c>
      <c r="D189" s="797"/>
      <c r="E189" s="803"/>
    </row>
    <row r="190" spans="1:5" x14ac:dyDescent="0.2">
      <c r="A190" s="797"/>
      <c r="B190" s="800"/>
      <c r="C190" s="420" t="s">
        <v>1582</v>
      </c>
      <c r="D190" s="797"/>
      <c r="E190" s="803"/>
    </row>
    <row r="191" spans="1:5" ht="13.5" thickBot="1" x14ac:dyDescent="0.25">
      <c r="A191" s="798"/>
      <c r="B191" s="801"/>
      <c r="C191" s="422" t="s">
        <v>1590</v>
      </c>
      <c r="D191" s="798"/>
      <c r="E191" s="804"/>
    </row>
    <row r="192" spans="1:5" ht="13.5" thickBot="1" x14ac:dyDescent="0.25">
      <c r="A192" s="811" t="s">
        <v>1667</v>
      </c>
      <c r="B192" s="812"/>
      <c r="C192" s="812"/>
      <c r="D192" s="812"/>
      <c r="E192" s="813"/>
    </row>
    <row r="193" spans="1:5" ht="25.5" x14ac:dyDescent="0.2">
      <c r="A193" s="796">
        <v>1</v>
      </c>
      <c r="B193" s="799" t="s">
        <v>1624</v>
      </c>
      <c r="C193" s="420" t="s">
        <v>1619</v>
      </c>
      <c r="D193" s="796" t="s">
        <v>1668</v>
      </c>
      <c r="E193" s="802">
        <f>(224900+1742*630)*1.71*0.6*1.08*0.35</f>
        <v>512848.23408000002</v>
      </c>
    </row>
    <row r="194" spans="1:5" x14ac:dyDescent="0.2">
      <c r="A194" s="797"/>
      <c r="B194" s="800"/>
      <c r="C194" s="420" t="s">
        <v>1621</v>
      </c>
      <c r="D194" s="797"/>
      <c r="E194" s="803"/>
    </row>
    <row r="195" spans="1:5" x14ac:dyDescent="0.2">
      <c r="A195" s="797"/>
      <c r="B195" s="800"/>
      <c r="C195" s="420" t="s">
        <v>1582</v>
      </c>
      <c r="D195" s="797"/>
      <c r="E195" s="803"/>
    </row>
    <row r="196" spans="1:5" x14ac:dyDescent="0.2">
      <c r="A196" s="797"/>
      <c r="B196" s="800"/>
      <c r="C196" s="420" t="s">
        <v>1590</v>
      </c>
      <c r="D196" s="797"/>
      <c r="E196" s="803"/>
    </row>
    <row r="197" spans="1:5" ht="26.25" thickBot="1" x14ac:dyDescent="0.25">
      <c r="A197" s="798"/>
      <c r="B197" s="801"/>
      <c r="C197" s="422" t="s">
        <v>1626</v>
      </c>
      <c r="D197" s="798"/>
      <c r="E197" s="804"/>
    </row>
    <row r="198" spans="1:5" ht="13.5" thickBot="1" x14ac:dyDescent="0.25">
      <c r="A198" s="811" t="s">
        <v>1359</v>
      </c>
      <c r="B198" s="812"/>
      <c r="C198" s="812"/>
      <c r="D198" s="812"/>
      <c r="E198" s="813"/>
    </row>
    <row r="199" spans="1:5" ht="38.25" x14ac:dyDescent="0.2">
      <c r="A199" s="796">
        <v>1</v>
      </c>
      <c r="B199" s="799" t="s">
        <v>1669</v>
      </c>
      <c r="C199" s="420" t="s">
        <v>1600</v>
      </c>
      <c r="D199" s="796" t="s">
        <v>1639</v>
      </c>
      <c r="E199" s="802">
        <f>21120*4*7.22*0.6*1.08</f>
        <v>395244.7488</v>
      </c>
    </row>
    <row r="200" spans="1:5" x14ac:dyDescent="0.2">
      <c r="A200" s="797"/>
      <c r="B200" s="800"/>
      <c r="C200" s="420" t="s">
        <v>1581</v>
      </c>
      <c r="D200" s="797"/>
      <c r="E200" s="803"/>
    </row>
    <row r="201" spans="1:5" x14ac:dyDescent="0.2">
      <c r="A201" s="797"/>
      <c r="B201" s="800"/>
      <c r="C201" s="420" t="s">
        <v>1582</v>
      </c>
      <c r="D201" s="797"/>
      <c r="E201" s="803"/>
    </row>
    <row r="202" spans="1:5" ht="13.5" thickBot="1" x14ac:dyDescent="0.25">
      <c r="A202" s="798"/>
      <c r="B202" s="801"/>
      <c r="C202" s="422" t="s">
        <v>1590</v>
      </c>
      <c r="D202" s="798"/>
      <c r="E202" s="804"/>
    </row>
    <row r="203" spans="1:5" ht="38.25" x14ac:dyDescent="0.2">
      <c r="A203" s="796">
        <v>2</v>
      </c>
      <c r="B203" s="799" t="s">
        <v>1670</v>
      </c>
      <c r="C203" s="420" t="s">
        <v>1596</v>
      </c>
      <c r="D203" s="796" t="s">
        <v>1603</v>
      </c>
      <c r="E203" s="802">
        <f>433690*0.2*7.22*0.6*1.08</f>
        <v>405808.93728000001</v>
      </c>
    </row>
    <row r="204" spans="1:5" x14ac:dyDescent="0.2">
      <c r="A204" s="797"/>
      <c r="B204" s="800"/>
      <c r="C204" s="420" t="s">
        <v>1581</v>
      </c>
      <c r="D204" s="797"/>
      <c r="E204" s="803"/>
    </row>
    <row r="205" spans="1:5" x14ac:dyDescent="0.2">
      <c r="A205" s="797"/>
      <c r="B205" s="800"/>
      <c r="C205" s="420" t="s">
        <v>1582</v>
      </c>
      <c r="D205" s="797"/>
      <c r="E205" s="803"/>
    </row>
    <row r="206" spans="1:5" ht="13.5" thickBot="1" x14ac:dyDescent="0.25">
      <c r="A206" s="798"/>
      <c r="B206" s="801"/>
      <c r="C206" s="422" t="s">
        <v>1590</v>
      </c>
      <c r="D206" s="798"/>
      <c r="E206" s="804"/>
    </row>
    <row r="207" spans="1:5" ht="38.25" x14ac:dyDescent="0.2">
      <c r="A207" s="796">
        <v>3</v>
      </c>
      <c r="B207" s="799" t="s">
        <v>1671</v>
      </c>
      <c r="C207" s="420" t="s">
        <v>1588</v>
      </c>
      <c r="D207" s="796" t="s">
        <v>1605</v>
      </c>
      <c r="E207" s="802">
        <f>10070*5*7.22*0.6*1.08</f>
        <v>235565.49599999998</v>
      </c>
    </row>
    <row r="208" spans="1:5" x14ac:dyDescent="0.2">
      <c r="A208" s="797"/>
      <c r="B208" s="800"/>
      <c r="C208" s="420" t="s">
        <v>1581</v>
      </c>
      <c r="D208" s="797"/>
      <c r="E208" s="803"/>
    </row>
    <row r="209" spans="1:5" x14ac:dyDescent="0.2">
      <c r="A209" s="797"/>
      <c r="B209" s="800"/>
      <c r="C209" s="420" t="s">
        <v>1582</v>
      </c>
      <c r="D209" s="797"/>
      <c r="E209" s="803"/>
    </row>
    <row r="210" spans="1:5" ht="13.5" thickBot="1" x14ac:dyDescent="0.25">
      <c r="A210" s="798"/>
      <c r="B210" s="801"/>
      <c r="C210" s="422" t="s">
        <v>1590</v>
      </c>
      <c r="D210" s="798"/>
      <c r="E210" s="804"/>
    </row>
    <row r="211" spans="1:5" ht="38.25" x14ac:dyDescent="0.2">
      <c r="A211" s="796">
        <v>4</v>
      </c>
      <c r="B211" s="799" t="s">
        <v>1672</v>
      </c>
      <c r="C211" s="420" t="s">
        <v>1607</v>
      </c>
      <c r="D211" s="796" t="s">
        <v>1673</v>
      </c>
      <c r="E211" s="802">
        <f>8870*1*7.22*0.6*1.08</f>
        <v>41498.8272</v>
      </c>
    </row>
    <row r="212" spans="1:5" x14ac:dyDescent="0.2">
      <c r="A212" s="797"/>
      <c r="B212" s="800"/>
      <c r="C212" s="420" t="s">
        <v>1581</v>
      </c>
      <c r="D212" s="797"/>
      <c r="E212" s="803"/>
    </row>
    <row r="213" spans="1:5" x14ac:dyDescent="0.2">
      <c r="A213" s="797"/>
      <c r="B213" s="800"/>
      <c r="C213" s="420" t="s">
        <v>1582</v>
      </c>
      <c r="D213" s="797"/>
      <c r="E213" s="803"/>
    </row>
    <row r="214" spans="1:5" ht="13.5" thickBot="1" x14ac:dyDescent="0.25">
      <c r="A214" s="798"/>
      <c r="B214" s="801"/>
      <c r="C214" s="422" t="s">
        <v>1590</v>
      </c>
      <c r="D214" s="798"/>
      <c r="E214" s="804"/>
    </row>
    <row r="215" spans="1:5" ht="13.5" thickBot="1" x14ac:dyDescent="0.25">
      <c r="A215" s="829" t="s">
        <v>1277</v>
      </c>
      <c r="B215" s="812"/>
      <c r="C215" s="812"/>
      <c r="D215" s="812"/>
      <c r="E215" s="813"/>
    </row>
    <row r="216" spans="1:5" ht="13.5" thickBot="1" x14ac:dyDescent="0.25">
      <c r="A216" s="811" t="s">
        <v>1674</v>
      </c>
      <c r="B216" s="812"/>
      <c r="C216" s="812"/>
      <c r="D216" s="812"/>
      <c r="E216" s="813"/>
    </row>
    <row r="217" spans="1:5" ht="38.25" x14ac:dyDescent="0.2">
      <c r="A217" s="796">
        <v>1</v>
      </c>
      <c r="B217" s="799" t="s">
        <v>1675</v>
      </c>
      <c r="C217" s="420" t="s">
        <v>1676</v>
      </c>
      <c r="D217" s="796" t="s">
        <v>1677</v>
      </c>
      <c r="E217" s="802">
        <f>34650*2.3*7.22*0.6*1.08</f>
        <v>372857.83919999999</v>
      </c>
    </row>
    <row r="218" spans="1:5" x14ac:dyDescent="0.2">
      <c r="A218" s="797"/>
      <c r="B218" s="800"/>
      <c r="C218" s="420" t="s">
        <v>1581</v>
      </c>
      <c r="D218" s="797"/>
      <c r="E218" s="803"/>
    </row>
    <row r="219" spans="1:5" x14ac:dyDescent="0.2">
      <c r="A219" s="797"/>
      <c r="B219" s="800"/>
      <c r="C219" s="420" t="s">
        <v>1582</v>
      </c>
      <c r="D219" s="797"/>
      <c r="E219" s="803"/>
    </row>
    <row r="220" spans="1:5" ht="13.5" thickBot="1" x14ac:dyDescent="0.25">
      <c r="A220" s="798"/>
      <c r="B220" s="801"/>
      <c r="C220" s="422" t="s">
        <v>1590</v>
      </c>
      <c r="D220" s="798"/>
      <c r="E220" s="804"/>
    </row>
    <row r="221" spans="1:5" ht="38.25" x14ac:dyDescent="0.2">
      <c r="A221" s="796">
        <v>2</v>
      </c>
      <c r="B221" s="799" t="s">
        <v>1678</v>
      </c>
      <c r="C221" s="420" t="s">
        <v>1679</v>
      </c>
      <c r="D221" s="796" t="s">
        <v>1680</v>
      </c>
      <c r="E221" s="802">
        <f>8450*1*7.22*0.6*1.08</f>
        <v>39533.832000000002</v>
      </c>
    </row>
    <row r="222" spans="1:5" x14ac:dyDescent="0.2">
      <c r="A222" s="797"/>
      <c r="B222" s="800"/>
      <c r="C222" s="420" t="s">
        <v>1581</v>
      </c>
      <c r="D222" s="797"/>
      <c r="E222" s="803"/>
    </row>
    <row r="223" spans="1:5" x14ac:dyDescent="0.2">
      <c r="A223" s="797"/>
      <c r="B223" s="800"/>
      <c r="C223" s="420" t="s">
        <v>1582</v>
      </c>
      <c r="D223" s="797"/>
      <c r="E223" s="803"/>
    </row>
    <row r="224" spans="1:5" ht="13.5" thickBot="1" x14ac:dyDescent="0.25">
      <c r="A224" s="798"/>
      <c r="B224" s="801"/>
      <c r="C224" s="422" t="s">
        <v>1590</v>
      </c>
      <c r="D224" s="798"/>
      <c r="E224" s="804"/>
    </row>
    <row r="225" spans="1:5" ht="38.25" x14ac:dyDescent="0.2">
      <c r="A225" s="796">
        <v>3</v>
      </c>
      <c r="B225" s="799" t="s">
        <v>1606</v>
      </c>
      <c r="C225" s="420" t="s">
        <v>1607</v>
      </c>
      <c r="D225" s="796" t="s">
        <v>1673</v>
      </c>
      <c r="E225" s="802">
        <f>8870*1*7.22*0.6*1.08</f>
        <v>41498.8272</v>
      </c>
    </row>
    <row r="226" spans="1:5" x14ac:dyDescent="0.2">
      <c r="A226" s="797"/>
      <c r="B226" s="800"/>
      <c r="C226" s="420" t="s">
        <v>1581</v>
      </c>
      <c r="D226" s="797"/>
      <c r="E226" s="803"/>
    </row>
    <row r="227" spans="1:5" x14ac:dyDescent="0.2">
      <c r="A227" s="797"/>
      <c r="B227" s="800"/>
      <c r="C227" s="420" t="s">
        <v>1582</v>
      </c>
      <c r="D227" s="797"/>
      <c r="E227" s="803"/>
    </row>
    <row r="228" spans="1:5" ht="13.5" thickBot="1" x14ac:dyDescent="0.25">
      <c r="A228" s="798"/>
      <c r="B228" s="801"/>
      <c r="C228" s="422" t="s">
        <v>1590</v>
      </c>
      <c r="D228" s="798"/>
      <c r="E228" s="804"/>
    </row>
    <row r="229" spans="1:5" ht="13.5" thickBot="1" x14ac:dyDescent="0.25">
      <c r="A229" s="829" t="s">
        <v>1681</v>
      </c>
      <c r="B229" s="812"/>
      <c r="C229" s="812"/>
      <c r="D229" s="812"/>
      <c r="E229" s="813"/>
    </row>
    <row r="230" spans="1:5" ht="38.25" x14ac:dyDescent="0.2">
      <c r="A230" s="796">
        <v>1</v>
      </c>
      <c r="B230" s="799" t="s">
        <v>1682</v>
      </c>
      <c r="C230" s="420" t="s">
        <v>1600</v>
      </c>
      <c r="D230" s="796" t="s">
        <v>1683</v>
      </c>
      <c r="E230" s="802">
        <f>21120*1*7.22*0.6*1.08</f>
        <v>98811.1872</v>
      </c>
    </row>
    <row r="231" spans="1:5" x14ac:dyDescent="0.2">
      <c r="A231" s="797"/>
      <c r="B231" s="800"/>
      <c r="C231" s="420" t="s">
        <v>1581</v>
      </c>
      <c r="D231" s="797"/>
      <c r="E231" s="803"/>
    </row>
    <row r="232" spans="1:5" x14ac:dyDescent="0.2">
      <c r="A232" s="797"/>
      <c r="B232" s="800"/>
      <c r="C232" s="420" t="s">
        <v>1582</v>
      </c>
      <c r="D232" s="797"/>
      <c r="E232" s="803"/>
    </row>
    <row r="233" spans="1:5" ht="13.5" thickBot="1" x14ac:dyDescent="0.25">
      <c r="A233" s="798"/>
      <c r="B233" s="801"/>
      <c r="C233" s="422" t="s">
        <v>1590</v>
      </c>
      <c r="D233" s="798"/>
      <c r="E233" s="804"/>
    </row>
    <row r="234" spans="1:5" ht="38.25" x14ac:dyDescent="0.2">
      <c r="A234" s="796">
        <v>2</v>
      </c>
      <c r="B234" s="799" t="s">
        <v>1684</v>
      </c>
      <c r="C234" s="420" t="s">
        <v>1596</v>
      </c>
      <c r="D234" s="796" t="s">
        <v>1685</v>
      </c>
      <c r="E234" s="802">
        <f>433690*0.35*7.22*0.6*1.08</f>
        <v>710165.64023999998</v>
      </c>
    </row>
    <row r="235" spans="1:5" x14ac:dyDescent="0.2">
      <c r="A235" s="797"/>
      <c r="B235" s="800"/>
      <c r="C235" s="420" t="s">
        <v>1581</v>
      </c>
      <c r="D235" s="797"/>
      <c r="E235" s="803"/>
    </row>
    <row r="236" spans="1:5" x14ac:dyDescent="0.2">
      <c r="A236" s="797"/>
      <c r="B236" s="800"/>
      <c r="C236" s="420" t="s">
        <v>1582</v>
      </c>
      <c r="D236" s="797"/>
      <c r="E236" s="803"/>
    </row>
    <row r="237" spans="1:5" ht="13.5" thickBot="1" x14ac:dyDescent="0.25">
      <c r="A237" s="798"/>
      <c r="B237" s="801"/>
      <c r="C237" s="422" t="s">
        <v>1590</v>
      </c>
      <c r="D237" s="798"/>
      <c r="E237" s="804"/>
    </row>
    <row r="238" spans="1:5" ht="38.25" x14ac:dyDescent="0.2">
      <c r="A238" s="796">
        <v>3</v>
      </c>
      <c r="B238" s="799" t="s">
        <v>1686</v>
      </c>
      <c r="C238" s="420" t="s">
        <v>1645</v>
      </c>
      <c r="D238" s="796" t="s">
        <v>1687</v>
      </c>
      <c r="E238" s="802">
        <f>2640*17*7.22*0.6*1.08</f>
        <v>209973.77279999998</v>
      </c>
    </row>
    <row r="239" spans="1:5" x14ac:dyDescent="0.2">
      <c r="A239" s="797"/>
      <c r="B239" s="800"/>
      <c r="C239" s="420" t="s">
        <v>1581</v>
      </c>
      <c r="D239" s="797"/>
      <c r="E239" s="803"/>
    </row>
    <row r="240" spans="1:5" x14ac:dyDescent="0.2">
      <c r="A240" s="797"/>
      <c r="B240" s="800"/>
      <c r="C240" s="420" t="s">
        <v>1582</v>
      </c>
      <c r="D240" s="797"/>
      <c r="E240" s="803"/>
    </row>
    <row r="241" spans="1:5" ht="13.5" thickBot="1" x14ac:dyDescent="0.25">
      <c r="A241" s="798"/>
      <c r="B241" s="801"/>
      <c r="C241" s="422" t="s">
        <v>1590</v>
      </c>
      <c r="D241" s="798"/>
      <c r="E241" s="804"/>
    </row>
    <row r="242" spans="1:5" ht="13.5" thickBot="1" x14ac:dyDescent="0.25">
      <c r="A242" s="811" t="s">
        <v>1688</v>
      </c>
      <c r="B242" s="812"/>
      <c r="C242" s="812"/>
      <c r="D242" s="812"/>
      <c r="E242" s="813"/>
    </row>
    <row r="243" spans="1:5" ht="38.25" x14ac:dyDescent="0.2">
      <c r="A243" s="796">
        <v>1</v>
      </c>
      <c r="B243" s="799" t="s">
        <v>1689</v>
      </c>
      <c r="C243" s="420" t="s">
        <v>1596</v>
      </c>
      <c r="D243" s="796" t="s">
        <v>1690</v>
      </c>
      <c r="E243" s="802">
        <f>433690*0.6*7.22*0.6*1.08</f>
        <v>1217426.8118400001</v>
      </c>
    </row>
    <row r="244" spans="1:5" x14ac:dyDescent="0.2">
      <c r="A244" s="797"/>
      <c r="B244" s="800"/>
      <c r="C244" s="420" t="s">
        <v>1581</v>
      </c>
      <c r="D244" s="797"/>
      <c r="E244" s="803"/>
    </row>
    <row r="245" spans="1:5" x14ac:dyDescent="0.2">
      <c r="A245" s="797"/>
      <c r="B245" s="800"/>
      <c r="C245" s="420" t="s">
        <v>1582</v>
      </c>
      <c r="D245" s="797"/>
      <c r="E245" s="803"/>
    </row>
    <row r="246" spans="1:5" ht="13.5" thickBot="1" x14ac:dyDescent="0.25">
      <c r="A246" s="798"/>
      <c r="B246" s="801"/>
      <c r="C246" s="422" t="s">
        <v>1590</v>
      </c>
      <c r="D246" s="798"/>
      <c r="E246" s="804"/>
    </row>
    <row r="247" spans="1:5" ht="38.25" x14ac:dyDescent="0.2">
      <c r="A247" s="796">
        <v>2</v>
      </c>
      <c r="B247" s="799" t="s">
        <v>1691</v>
      </c>
      <c r="C247" s="420" t="s">
        <v>1645</v>
      </c>
      <c r="D247" s="796" t="s">
        <v>1692</v>
      </c>
      <c r="E247" s="802">
        <f>2640*25*7.22*0.6*1.08</f>
        <v>308784.96000000002</v>
      </c>
    </row>
    <row r="248" spans="1:5" x14ac:dyDescent="0.2">
      <c r="A248" s="797"/>
      <c r="B248" s="800"/>
      <c r="C248" s="420" t="s">
        <v>1581</v>
      </c>
      <c r="D248" s="797"/>
      <c r="E248" s="803"/>
    </row>
    <row r="249" spans="1:5" x14ac:dyDescent="0.2">
      <c r="A249" s="797"/>
      <c r="B249" s="800"/>
      <c r="C249" s="420" t="s">
        <v>1582</v>
      </c>
      <c r="D249" s="797"/>
      <c r="E249" s="803"/>
    </row>
    <row r="250" spans="1:5" ht="13.5" thickBot="1" x14ac:dyDescent="0.25">
      <c r="A250" s="798"/>
      <c r="B250" s="801"/>
      <c r="C250" s="422" t="s">
        <v>1590</v>
      </c>
      <c r="D250" s="798"/>
      <c r="E250" s="804"/>
    </row>
    <row r="251" spans="1:5" ht="13.5" thickBot="1" x14ac:dyDescent="0.25">
      <c r="A251" s="829" t="s">
        <v>1693</v>
      </c>
      <c r="B251" s="812"/>
      <c r="C251" s="812"/>
      <c r="D251" s="812"/>
      <c r="E251" s="813"/>
    </row>
    <row r="252" spans="1:5" ht="38.25" x14ac:dyDescent="0.2">
      <c r="A252" s="796">
        <v>1</v>
      </c>
      <c r="B252" s="799" t="s">
        <v>1694</v>
      </c>
      <c r="C252" s="420" t="s">
        <v>1665</v>
      </c>
      <c r="D252" s="796" t="s">
        <v>1695</v>
      </c>
      <c r="E252" s="802">
        <f>(11000+550*1070)*7.22*0.6*1.08</f>
        <v>2804796.72</v>
      </c>
    </row>
    <row r="253" spans="1:5" x14ac:dyDescent="0.2">
      <c r="A253" s="797"/>
      <c r="B253" s="800"/>
      <c r="C253" s="420" t="s">
        <v>1581</v>
      </c>
      <c r="D253" s="797"/>
      <c r="E253" s="803"/>
    </row>
    <row r="254" spans="1:5" x14ac:dyDescent="0.2">
      <c r="A254" s="797"/>
      <c r="B254" s="800"/>
      <c r="C254" s="420" t="s">
        <v>1582</v>
      </c>
      <c r="D254" s="797"/>
      <c r="E254" s="803"/>
    </row>
    <row r="255" spans="1:5" ht="13.5" thickBot="1" x14ac:dyDescent="0.25">
      <c r="A255" s="798"/>
      <c r="B255" s="801"/>
      <c r="C255" s="422" t="s">
        <v>1590</v>
      </c>
      <c r="D255" s="798"/>
      <c r="E255" s="804"/>
    </row>
    <row r="256" spans="1:5" ht="13.5" thickBot="1" x14ac:dyDescent="0.25">
      <c r="A256" s="811" t="s">
        <v>1696</v>
      </c>
      <c r="B256" s="812"/>
      <c r="C256" s="812"/>
      <c r="D256" s="812"/>
      <c r="E256" s="813"/>
    </row>
    <row r="257" spans="1:5" ht="13.5" thickBot="1" x14ac:dyDescent="0.25">
      <c r="A257" s="829" t="s">
        <v>1697</v>
      </c>
      <c r="B257" s="812"/>
      <c r="C257" s="812"/>
      <c r="D257" s="812"/>
      <c r="E257" s="813"/>
    </row>
    <row r="258" spans="1:5" ht="38.25" x14ac:dyDescent="0.2">
      <c r="A258" s="796">
        <v>1</v>
      </c>
      <c r="B258" s="799" t="s">
        <v>1698</v>
      </c>
      <c r="C258" s="420" t="s">
        <v>1596</v>
      </c>
      <c r="D258" s="796" t="s">
        <v>1699</v>
      </c>
      <c r="E258" s="802">
        <f>433690*0.25*7.22*0.6*1.08</f>
        <v>507261.1716</v>
      </c>
    </row>
    <row r="259" spans="1:5" x14ac:dyDescent="0.2">
      <c r="A259" s="797"/>
      <c r="B259" s="800"/>
      <c r="C259" s="420" t="s">
        <v>1581</v>
      </c>
      <c r="D259" s="797"/>
      <c r="E259" s="803"/>
    </row>
    <row r="260" spans="1:5" x14ac:dyDescent="0.2">
      <c r="A260" s="797"/>
      <c r="B260" s="800"/>
      <c r="C260" s="420" t="s">
        <v>1582</v>
      </c>
      <c r="D260" s="797"/>
      <c r="E260" s="803"/>
    </row>
    <row r="261" spans="1:5" ht="13.5" thickBot="1" x14ac:dyDescent="0.25">
      <c r="A261" s="798"/>
      <c r="B261" s="801"/>
      <c r="C261" s="422" t="s">
        <v>1590</v>
      </c>
      <c r="D261" s="798"/>
      <c r="E261" s="804"/>
    </row>
    <row r="262" spans="1:5" ht="38.25" x14ac:dyDescent="0.2">
      <c r="A262" s="796">
        <v>2</v>
      </c>
      <c r="B262" s="799" t="s">
        <v>1700</v>
      </c>
      <c r="C262" s="420" t="s">
        <v>1645</v>
      </c>
      <c r="D262" s="796" t="s">
        <v>1701</v>
      </c>
      <c r="E262" s="802">
        <f>2640*2*7.22*0.6*1.08</f>
        <v>24702.7968</v>
      </c>
    </row>
    <row r="263" spans="1:5" x14ac:dyDescent="0.2">
      <c r="A263" s="797"/>
      <c r="B263" s="800"/>
      <c r="C263" s="420" t="s">
        <v>1581</v>
      </c>
      <c r="D263" s="797"/>
      <c r="E263" s="803"/>
    </row>
    <row r="264" spans="1:5" x14ac:dyDescent="0.2">
      <c r="A264" s="797"/>
      <c r="B264" s="800"/>
      <c r="C264" s="420" t="s">
        <v>1582</v>
      </c>
      <c r="D264" s="797"/>
      <c r="E264" s="803"/>
    </row>
    <row r="265" spans="1:5" ht="13.5" thickBot="1" x14ac:dyDescent="0.25">
      <c r="A265" s="798"/>
      <c r="B265" s="801"/>
      <c r="C265" s="422" t="s">
        <v>1590</v>
      </c>
      <c r="D265" s="798"/>
      <c r="E265" s="804"/>
    </row>
    <row r="266" spans="1:5" ht="13.5" thickBot="1" x14ac:dyDescent="0.25">
      <c r="A266" s="829" t="s">
        <v>1702</v>
      </c>
      <c r="B266" s="812"/>
      <c r="C266" s="812"/>
      <c r="D266" s="812"/>
      <c r="E266" s="813"/>
    </row>
    <row r="267" spans="1:5" ht="13.5" thickBot="1" x14ac:dyDescent="0.25">
      <c r="A267" s="811" t="s">
        <v>1703</v>
      </c>
      <c r="B267" s="812"/>
      <c r="C267" s="812"/>
      <c r="D267" s="812"/>
      <c r="E267" s="813"/>
    </row>
    <row r="268" spans="1:5" ht="38.25" x14ac:dyDescent="0.2">
      <c r="A268" s="796">
        <v>1</v>
      </c>
      <c r="B268" s="799" t="s">
        <v>1704</v>
      </c>
      <c r="C268" s="420" t="s">
        <v>1665</v>
      </c>
      <c r="D268" s="796" t="s">
        <v>1705</v>
      </c>
      <c r="E268" s="802">
        <f>(11000+550*4358)*7.22*0.6*1.08</f>
        <v>11265504.624</v>
      </c>
    </row>
    <row r="269" spans="1:5" x14ac:dyDescent="0.2">
      <c r="A269" s="797"/>
      <c r="B269" s="800"/>
      <c r="C269" s="420" t="s">
        <v>1581</v>
      </c>
      <c r="D269" s="797"/>
      <c r="E269" s="803"/>
    </row>
    <row r="270" spans="1:5" x14ac:dyDescent="0.2">
      <c r="A270" s="797"/>
      <c r="B270" s="800"/>
      <c r="C270" s="420" t="s">
        <v>1582</v>
      </c>
      <c r="D270" s="797"/>
      <c r="E270" s="803"/>
    </row>
    <row r="271" spans="1:5" ht="13.5" thickBot="1" x14ac:dyDescent="0.25">
      <c r="A271" s="798"/>
      <c r="B271" s="801"/>
      <c r="C271" s="422" t="s">
        <v>1590</v>
      </c>
      <c r="D271" s="798"/>
      <c r="E271" s="804"/>
    </row>
    <row r="272" spans="1:5" ht="27" customHeight="1" thickBot="1" x14ac:dyDescent="0.25">
      <c r="A272" s="510"/>
      <c r="B272" s="511" t="s">
        <v>2320</v>
      </c>
      <c r="C272" s="509" t="s">
        <v>2325</v>
      </c>
      <c r="D272" s="515" t="s">
        <v>2318</v>
      </c>
      <c r="E272" s="512">
        <f>SUM(E153:E271)*0.7</f>
        <v>14596510.498919999</v>
      </c>
    </row>
    <row r="273" spans="1:5" ht="20.25" customHeight="1" thickBot="1" x14ac:dyDescent="0.25">
      <c r="A273" s="835" t="s">
        <v>802</v>
      </c>
      <c r="B273" s="836"/>
      <c r="C273" s="836"/>
      <c r="D273" s="836"/>
      <c r="E273" s="837"/>
    </row>
    <row r="274" spans="1:5" ht="13.5" thickBot="1" x14ac:dyDescent="0.25">
      <c r="A274" s="811" t="s">
        <v>1706</v>
      </c>
      <c r="B274" s="812"/>
      <c r="C274" s="812"/>
      <c r="D274" s="812"/>
      <c r="E274" s="813"/>
    </row>
    <row r="275" spans="1:5" ht="38.25" x14ac:dyDescent="0.2">
      <c r="A275" s="796">
        <v>1</v>
      </c>
      <c r="B275" s="799" t="s">
        <v>1707</v>
      </c>
      <c r="C275" s="420" t="s">
        <v>1665</v>
      </c>
      <c r="D275" s="796" t="s">
        <v>1708</v>
      </c>
      <c r="E275" s="802">
        <f>(11000+550*1225)*7.22*0.6*1.08</f>
        <v>3203643.9600000004</v>
      </c>
    </row>
    <row r="276" spans="1:5" x14ac:dyDescent="0.2">
      <c r="A276" s="797"/>
      <c r="B276" s="800"/>
      <c r="C276" s="420" t="s">
        <v>1581</v>
      </c>
      <c r="D276" s="797"/>
      <c r="E276" s="803"/>
    </row>
    <row r="277" spans="1:5" x14ac:dyDescent="0.2">
      <c r="A277" s="797"/>
      <c r="B277" s="800"/>
      <c r="C277" s="420" t="s">
        <v>1582</v>
      </c>
      <c r="D277" s="797"/>
      <c r="E277" s="803"/>
    </row>
    <row r="278" spans="1:5" ht="13.5" thickBot="1" x14ac:dyDescent="0.25">
      <c r="A278" s="798"/>
      <c r="B278" s="801"/>
      <c r="C278" s="422" t="s">
        <v>1590</v>
      </c>
      <c r="D278" s="798"/>
      <c r="E278" s="804"/>
    </row>
    <row r="279" spans="1:5" ht="13.5" thickBot="1" x14ac:dyDescent="0.25">
      <c r="A279" s="829" t="s">
        <v>1709</v>
      </c>
      <c r="B279" s="812"/>
      <c r="C279" s="812"/>
      <c r="D279" s="812"/>
      <c r="E279" s="813"/>
    </row>
    <row r="280" spans="1:5" ht="38.25" x14ac:dyDescent="0.2">
      <c r="A280" s="796">
        <v>1</v>
      </c>
      <c r="B280" s="799" t="s">
        <v>1710</v>
      </c>
      <c r="C280" s="420" t="s">
        <v>1635</v>
      </c>
      <c r="D280" s="796" t="s">
        <v>1711</v>
      </c>
      <c r="E280" s="802">
        <f>85470*1*7.22*0.6*1.08*1.1*1.15</f>
        <v>505843.80184800003</v>
      </c>
    </row>
    <row r="281" spans="1:5" x14ac:dyDescent="0.2">
      <c r="A281" s="797"/>
      <c r="B281" s="800"/>
      <c r="C281" s="420" t="s">
        <v>1581</v>
      </c>
      <c r="D281" s="797"/>
      <c r="E281" s="803"/>
    </row>
    <row r="282" spans="1:5" x14ac:dyDescent="0.2">
      <c r="A282" s="797"/>
      <c r="B282" s="800"/>
      <c r="C282" s="420" t="s">
        <v>1582</v>
      </c>
      <c r="D282" s="797"/>
      <c r="E282" s="803"/>
    </row>
    <row r="283" spans="1:5" x14ac:dyDescent="0.2">
      <c r="A283" s="797"/>
      <c r="B283" s="800"/>
      <c r="C283" s="420" t="s">
        <v>1590</v>
      </c>
      <c r="D283" s="797"/>
      <c r="E283" s="803"/>
    </row>
    <row r="284" spans="1:5" x14ac:dyDescent="0.2">
      <c r="A284" s="797"/>
      <c r="B284" s="800"/>
      <c r="C284" s="420" t="s">
        <v>1712</v>
      </c>
      <c r="D284" s="797"/>
      <c r="E284" s="803"/>
    </row>
    <row r="285" spans="1:5" ht="26.25" thickBot="1" x14ac:dyDescent="0.25">
      <c r="A285" s="798"/>
      <c r="B285" s="801"/>
      <c r="C285" s="422" t="s">
        <v>1637</v>
      </c>
      <c r="D285" s="798"/>
      <c r="E285" s="804"/>
    </row>
    <row r="286" spans="1:5" ht="38.25" x14ac:dyDescent="0.2">
      <c r="A286" s="796">
        <v>2</v>
      </c>
      <c r="B286" s="799" t="s">
        <v>1629</v>
      </c>
      <c r="C286" s="420" t="s">
        <v>1600</v>
      </c>
      <c r="D286" s="796" t="s">
        <v>1630</v>
      </c>
      <c r="E286" s="802">
        <f>21120*2*7.22*0.6*1.08</f>
        <v>197622.3744</v>
      </c>
    </row>
    <row r="287" spans="1:5" x14ac:dyDescent="0.2">
      <c r="A287" s="797"/>
      <c r="B287" s="800"/>
      <c r="C287" s="420" t="s">
        <v>1581</v>
      </c>
      <c r="D287" s="797"/>
      <c r="E287" s="803"/>
    </row>
    <row r="288" spans="1:5" x14ac:dyDescent="0.2">
      <c r="A288" s="797"/>
      <c r="B288" s="800"/>
      <c r="C288" s="420" t="s">
        <v>1582</v>
      </c>
      <c r="D288" s="797"/>
      <c r="E288" s="803"/>
    </row>
    <row r="289" spans="1:5" ht="13.5" thickBot="1" x14ac:dyDescent="0.25">
      <c r="A289" s="798"/>
      <c r="B289" s="801"/>
      <c r="C289" s="422" t="s">
        <v>1590</v>
      </c>
      <c r="D289" s="798"/>
      <c r="E289" s="804"/>
    </row>
    <row r="290" spans="1:5" ht="38.25" x14ac:dyDescent="0.2">
      <c r="A290" s="796">
        <v>3</v>
      </c>
      <c r="B290" s="799" t="s">
        <v>1713</v>
      </c>
      <c r="C290" s="420" t="s">
        <v>1645</v>
      </c>
      <c r="D290" s="796" t="s">
        <v>1714</v>
      </c>
      <c r="E290" s="802">
        <f>2640*6*7.22*0.6*1.08</f>
        <v>74108.390400000004</v>
      </c>
    </row>
    <row r="291" spans="1:5" x14ac:dyDescent="0.2">
      <c r="A291" s="797"/>
      <c r="B291" s="800"/>
      <c r="C291" s="420" t="s">
        <v>1581</v>
      </c>
      <c r="D291" s="797"/>
      <c r="E291" s="803"/>
    </row>
    <row r="292" spans="1:5" x14ac:dyDescent="0.2">
      <c r="A292" s="797"/>
      <c r="B292" s="800"/>
      <c r="C292" s="420" t="s">
        <v>1582</v>
      </c>
      <c r="D292" s="797"/>
      <c r="E292" s="803"/>
    </row>
    <row r="293" spans="1:5" ht="13.5" thickBot="1" x14ac:dyDescent="0.25">
      <c r="A293" s="798"/>
      <c r="B293" s="801"/>
      <c r="C293" s="422" t="s">
        <v>1590</v>
      </c>
      <c r="D293" s="798"/>
      <c r="E293" s="804"/>
    </row>
    <row r="294" spans="1:5" ht="38.25" x14ac:dyDescent="0.2">
      <c r="A294" s="796">
        <v>4</v>
      </c>
      <c r="B294" s="799" t="s">
        <v>1591</v>
      </c>
      <c r="C294" s="420" t="s">
        <v>1648</v>
      </c>
      <c r="D294" s="796" t="s">
        <v>1715</v>
      </c>
      <c r="E294" s="802">
        <f>4790*4*7.22*0.6*1.08</f>
        <v>89641.209599999987</v>
      </c>
    </row>
    <row r="295" spans="1:5" x14ac:dyDescent="0.2">
      <c r="A295" s="797"/>
      <c r="B295" s="800"/>
      <c r="C295" s="420" t="s">
        <v>1581</v>
      </c>
      <c r="D295" s="797"/>
      <c r="E295" s="803"/>
    </row>
    <row r="296" spans="1:5" x14ac:dyDescent="0.2">
      <c r="A296" s="797"/>
      <c r="B296" s="800"/>
      <c r="C296" s="420" t="s">
        <v>1582</v>
      </c>
      <c r="D296" s="797"/>
      <c r="E296" s="803"/>
    </row>
    <row r="297" spans="1:5" ht="13.5" thickBot="1" x14ac:dyDescent="0.25">
      <c r="A297" s="798"/>
      <c r="B297" s="801"/>
      <c r="C297" s="422" t="s">
        <v>1590</v>
      </c>
      <c r="D297" s="798"/>
      <c r="E297" s="804"/>
    </row>
    <row r="298" spans="1:5" ht="25.5" x14ac:dyDescent="0.2">
      <c r="A298" s="796">
        <v>5</v>
      </c>
      <c r="B298" s="799" t="s">
        <v>1650</v>
      </c>
      <c r="C298" s="420" t="s">
        <v>1651</v>
      </c>
      <c r="D298" s="796" t="s">
        <v>1652</v>
      </c>
      <c r="E298" s="802">
        <f>11800*2*1.71*0.6*1.08</f>
        <v>26150.688000000002</v>
      </c>
    </row>
    <row r="299" spans="1:5" x14ac:dyDescent="0.2">
      <c r="A299" s="797"/>
      <c r="B299" s="800"/>
      <c r="C299" s="420" t="s">
        <v>1621</v>
      </c>
      <c r="D299" s="797"/>
      <c r="E299" s="803"/>
    </row>
    <row r="300" spans="1:5" x14ac:dyDescent="0.2">
      <c r="A300" s="797"/>
      <c r="B300" s="800"/>
      <c r="C300" s="420" t="s">
        <v>1582</v>
      </c>
      <c r="D300" s="797"/>
      <c r="E300" s="803"/>
    </row>
    <row r="301" spans="1:5" ht="13.5" thickBot="1" x14ac:dyDescent="0.25">
      <c r="A301" s="798"/>
      <c r="B301" s="801"/>
      <c r="C301" s="422" t="s">
        <v>1590</v>
      </c>
      <c r="D301" s="798"/>
      <c r="E301" s="804"/>
    </row>
    <row r="302" spans="1:5" ht="38.25" x14ac:dyDescent="0.2">
      <c r="A302" s="796">
        <v>6</v>
      </c>
      <c r="B302" s="799" t="s">
        <v>1654</v>
      </c>
      <c r="C302" s="420" t="s">
        <v>1655</v>
      </c>
      <c r="D302" s="796" t="s">
        <v>1656</v>
      </c>
      <c r="E302" s="802">
        <f>4130*2*7.22*0.6*1.08</f>
        <v>38644.905600000006</v>
      </c>
    </row>
    <row r="303" spans="1:5" x14ac:dyDescent="0.2">
      <c r="A303" s="797"/>
      <c r="B303" s="800"/>
      <c r="C303" s="420" t="s">
        <v>1581</v>
      </c>
      <c r="D303" s="797"/>
      <c r="E303" s="803"/>
    </row>
    <row r="304" spans="1:5" x14ac:dyDescent="0.2">
      <c r="A304" s="797"/>
      <c r="B304" s="800"/>
      <c r="C304" s="420" t="s">
        <v>1582</v>
      </c>
      <c r="D304" s="797"/>
      <c r="E304" s="803"/>
    </row>
    <row r="305" spans="1:5" ht="13.5" thickBot="1" x14ac:dyDescent="0.25">
      <c r="A305" s="798"/>
      <c r="B305" s="801"/>
      <c r="C305" s="422" t="s">
        <v>1590</v>
      </c>
      <c r="D305" s="798"/>
      <c r="E305" s="804"/>
    </row>
    <row r="306" spans="1:5" ht="13.5" thickBot="1" x14ac:dyDescent="0.25">
      <c r="A306" s="829" t="s">
        <v>1716</v>
      </c>
      <c r="B306" s="812"/>
      <c r="C306" s="812"/>
      <c r="D306" s="812"/>
      <c r="E306" s="813"/>
    </row>
    <row r="307" spans="1:5" ht="25.5" x14ac:dyDescent="0.2">
      <c r="A307" s="796">
        <v>1</v>
      </c>
      <c r="B307" s="799" t="s">
        <v>1618</v>
      </c>
      <c r="C307" s="420" t="s">
        <v>1619</v>
      </c>
      <c r="D307" s="796" t="s">
        <v>1717</v>
      </c>
      <c r="E307" s="802">
        <f>(224900+1742*1000)*1.71*0.6*1.08*0.35</f>
        <v>762818.89320000005</v>
      </c>
    </row>
    <row r="308" spans="1:5" x14ac:dyDescent="0.2">
      <c r="A308" s="797"/>
      <c r="B308" s="800"/>
      <c r="C308" s="420" t="s">
        <v>1621</v>
      </c>
      <c r="D308" s="797"/>
      <c r="E308" s="803"/>
    </row>
    <row r="309" spans="1:5" x14ac:dyDescent="0.2">
      <c r="A309" s="797"/>
      <c r="B309" s="800"/>
      <c r="C309" s="420" t="s">
        <v>1582</v>
      </c>
      <c r="D309" s="797"/>
      <c r="E309" s="803"/>
    </row>
    <row r="310" spans="1:5" x14ac:dyDescent="0.2">
      <c r="A310" s="797"/>
      <c r="B310" s="800"/>
      <c r="C310" s="420" t="s">
        <v>1590</v>
      </c>
      <c r="D310" s="797"/>
      <c r="E310" s="803"/>
    </row>
    <row r="311" spans="1:5" ht="26.25" thickBot="1" x14ac:dyDescent="0.25">
      <c r="A311" s="798"/>
      <c r="B311" s="801"/>
      <c r="C311" s="422" t="s">
        <v>1626</v>
      </c>
      <c r="D311" s="798"/>
      <c r="E311" s="804"/>
    </row>
    <row r="312" spans="1:5" ht="13.5" thickBot="1" x14ac:dyDescent="0.25">
      <c r="A312" s="829" t="s">
        <v>1718</v>
      </c>
      <c r="B312" s="812"/>
      <c r="C312" s="812"/>
      <c r="D312" s="812"/>
      <c r="E312" s="813"/>
    </row>
    <row r="313" spans="1:5" ht="25.5" x14ac:dyDescent="0.2">
      <c r="A313" s="796">
        <v>1</v>
      </c>
      <c r="B313" s="799" t="s">
        <v>1618</v>
      </c>
      <c r="C313" s="420" t="s">
        <v>1619</v>
      </c>
      <c r="D313" s="796" t="s">
        <v>1717</v>
      </c>
      <c r="E313" s="802">
        <f>(224900+1742*1000)*1.71*0.6*1.08*0.35</f>
        <v>762818.89320000005</v>
      </c>
    </row>
    <row r="314" spans="1:5" x14ac:dyDescent="0.2">
      <c r="A314" s="797"/>
      <c r="B314" s="800"/>
      <c r="C314" s="420" t="s">
        <v>1621</v>
      </c>
      <c r="D314" s="797"/>
      <c r="E314" s="803"/>
    </row>
    <row r="315" spans="1:5" x14ac:dyDescent="0.2">
      <c r="A315" s="797"/>
      <c r="B315" s="800"/>
      <c r="C315" s="420" t="s">
        <v>1582</v>
      </c>
      <c r="D315" s="797"/>
      <c r="E315" s="803"/>
    </row>
    <row r="316" spans="1:5" x14ac:dyDescent="0.2">
      <c r="A316" s="797"/>
      <c r="B316" s="800"/>
      <c r="C316" s="420" t="s">
        <v>1590</v>
      </c>
      <c r="D316" s="797"/>
      <c r="E316" s="803"/>
    </row>
    <row r="317" spans="1:5" ht="26.25" thickBot="1" x14ac:dyDescent="0.25">
      <c r="A317" s="798"/>
      <c r="B317" s="801"/>
      <c r="C317" s="422" t="s">
        <v>1626</v>
      </c>
      <c r="D317" s="798"/>
      <c r="E317" s="804"/>
    </row>
    <row r="318" spans="1:5" ht="13.5" thickBot="1" x14ac:dyDescent="0.25">
      <c r="A318" s="829" t="s">
        <v>1277</v>
      </c>
      <c r="B318" s="812"/>
      <c r="C318" s="812"/>
      <c r="D318" s="812"/>
      <c r="E318" s="813"/>
    </row>
    <row r="319" spans="1:5" ht="13.5" thickBot="1" x14ac:dyDescent="0.25">
      <c r="A319" s="829" t="s">
        <v>1674</v>
      </c>
      <c r="B319" s="812"/>
      <c r="C319" s="812"/>
      <c r="D319" s="812"/>
      <c r="E319" s="813"/>
    </row>
    <row r="320" spans="1:5" ht="38.25" x14ac:dyDescent="0.2">
      <c r="A320" s="796">
        <v>1</v>
      </c>
      <c r="B320" s="799" t="s">
        <v>1719</v>
      </c>
      <c r="C320" s="420" t="s">
        <v>1676</v>
      </c>
      <c r="D320" s="796" t="s">
        <v>1720</v>
      </c>
      <c r="E320" s="802">
        <f>34650*1.5*7.22*0.6*1.08</f>
        <v>243168.15599999999</v>
      </c>
    </row>
    <row r="321" spans="1:5" x14ac:dyDescent="0.2">
      <c r="A321" s="797"/>
      <c r="B321" s="800"/>
      <c r="C321" s="420" t="s">
        <v>1581</v>
      </c>
      <c r="D321" s="797"/>
      <c r="E321" s="803"/>
    </row>
    <row r="322" spans="1:5" x14ac:dyDescent="0.2">
      <c r="A322" s="797"/>
      <c r="B322" s="800"/>
      <c r="C322" s="420" t="s">
        <v>1582</v>
      </c>
      <c r="D322" s="797"/>
      <c r="E322" s="803"/>
    </row>
    <row r="323" spans="1:5" ht="13.5" thickBot="1" x14ac:dyDescent="0.25">
      <c r="A323" s="798"/>
      <c r="B323" s="801"/>
      <c r="C323" s="422" t="s">
        <v>1590</v>
      </c>
      <c r="D323" s="798"/>
      <c r="E323" s="804"/>
    </row>
    <row r="324" spans="1:5" ht="38.25" x14ac:dyDescent="0.2">
      <c r="A324" s="796">
        <v>2</v>
      </c>
      <c r="B324" s="799" t="s">
        <v>1678</v>
      </c>
      <c r="C324" s="420" t="s">
        <v>1679</v>
      </c>
      <c r="D324" s="796" t="s">
        <v>1680</v>
      </c>
      <c r="E324" s="802">
        <f>8450*1*7.22*0.6*1.08</f>
        <v>39533.832000000002</v>
      </c>
    </row>
    <row r="325" spans="1:5" x14ac:dyDescent="0.2">
      <c r="A325" s="797"/>
      <c r="B325" s="800"/>
      <c r="C325" s="420" t="s">
        <v>1581</v>
      </c>
      <c r="D325" s="797"/>
      <c r="E325" s="803"/>
    </row>
    <row r="326" spans="1:5" x14ac:dyDescent="0.2">
      <c r="A326" s="797"/>
      <c r="B326" s="800"/>
      <c r="C326" s="420" t="s">
        <v>1582</v>
      </c>
      <c r="D326" s="797"/>
      <c r="E326" s="803"/>
    </row>
    <row r="327" spans="1:5" ht="13.5" thickBot="1" x14ac:dyDescent="0.25">
      <c r="A327" s="798"/>
      <c r="B327" s="801"/>
      <c r="C327" s="422" t="s">
        <v>1590</v>
      </c>
      <c r="D327" s="798"/>
      <c r="E327" s="804"/>
    </row>
    <row r="328" spans="1:5" ht="38.25" x14ac:dyDescent="0.2">
      <c r="A328" s="796">
        <v>3</v>
      </c>
      <c r="B328" s="799" t="s">
        <v>1606</v>
      </c>
      <c r="C328" s="420" t="s">
        <v>1607</v>
      </c>
      <c r="D328" s="796" t="s">
        <v>1673</v>
      </c>
      <c r="E328" s="802">
        <f>8870*1*7.22*0.6*1.08</f>
        <v>41498.8272</v>
      </c>
    </row>
    <row r="329" spans="1:5" x14ac:dyDescent="0.2">
      <c r="A329" s="797"/>
      <c r="B329" s="800"/>
      <c r="C329" s="420" t="s">
        <v>1581</v>
      </c>
      <c r="D329" s="797"/>
      <c r="E329" s="803"/>
    </row>
    <row r="330" spans="1:5" x14ac:dyDescent="0.2">
      <c r="A330" s="797"/>
      <c r="B330" s="800"/>
      <c r="C330" s="420" t="s">
        <v>1582</v>
      </c>
      <c r="D330" s="797"/>
      <c r="E330" s="803"/>
    </row>
    <row r="331" spans="1:5" ht="13.5" thickBot="1" x14ac:dyDescent="0.25">
      <c r="A331" s="798"/>
      <c r="B331" s="801"/>
      <c r="C331" s="422" t="s">
        <v>1590</v>
      </c>
      <c r="D331" s="798"/>
      <c r="E331" s="804"/>
    </row>
    <row r="332" spans="1:5" ht="13.5" thickBot="1" x14ac:dyDescent="0.25">
      <c r="A332" s="829" t="s">
        <v>1721</v>
      </c>
      <c r="B332" s="812"/>
      <c r="C332" s="812"/>
      <c r="D332" s="812"/>
      <c r="E332" s="813"/>
    </row>
    <row r="333" spans="1:5" ht="38.25" x14ac:dyDescent="0.2">
      <c r="A333" s="796">
        <v>1</v>
      </c>
      <c r="B333" s="799" t="s">
        <v>1682</v>
      </c>
      <c r="C333" s="420" t="s">
        <v>1600</v>
      </c>
      <c r="D333" s="796" t="s">
        <v>1683</v>
      </c>
      <c r="E333" s="802">
        <f>21120*1*7.22*0.6*1.08</f>
        <v>98811.1872</v>
      </c>
    </row>
    <row r="334" spans="1:5" x14ac:dyDescent="0.2">
      <c r="A334" s="797"/>
      <c r="B334" s="800"/>
      <c r="C334" s="420" t="s">
        <v>1581</v>
      </c>
      <c r="D334" s="797"/>
      <c r="E334" s="803"/>
    </row>
    <row r="335" spans="1:5" x14ac:dyDescent="0.2">
      <c r="A335" s="797"/>
      <c r="B335" s="800"/>
      <c r="C335" s="420" t="s">
        <v>1582</v>
      </c>
      <c r="D335" s="797"/>
      <c r="E335" s="803"/>
    </row>
    <row r="336" spans="1:5" ht="13.5" thickBot="1" x14ac:dyDescent="0.25">
      <c r="A336" s="798"/>
      <c r="B336" s="801"/>
      <c r="C336" s="422" t="s">
        <v>1590</v>
      </c>
      <c r="D336" s="798"/>
      <c r="E336" s="804"/>
    </row>
    <row r="337" spans="1:5" ht="38.25" x14ac:dyDescent="0.2">
      <c r="A337" s="796">
        <v>2</v>
      </c>
      <c r="B337" s="799" t="s">
        <v>1684</v>
      </c>
      <c r="C337" s="420" t="s">
        <v>1596</v>
      </c>
      <c r="D337" s="796" t="s">
        <v>1685</v>
      </c>
      <c r="E337" s="802">
        <f>433690*0.35*7.22*0.6*1.08</f>
        <v>710165.64023999998</v>
      </c>
    </row>
    <row r="338" spans="1:5" x14ac:dyDescent="0.2">
      <c r="A338" s="797"/>
      <c r="B338" s="800"/>
      <c r="C338" s="420" t="s">
        <v>1581</v>
      </c>
      <c r="D338" s="797"/>
      <c r="E338" s="803"/>
    </row>
    <row r="339" spans="1:5" x14ac:dyDescent="0.2">
      <c r="A339" s="797"/>
      <c r="B339" s="800"/>
      <c r="C339" s="420" t="s">
        <v>1582</v>
      </c>
      <c r="D339" s="797"/>
      <c r="E339" s="803"/>
    </row>
    <row r="340" spans="1:5" ht="13.5" thickBot="1" x14ac:dyDescent="0.25">
      <c r="A340" s="798"/>
      <c r="B340" s="801"/>
      <c r="C340" s="422" t="s">
        <v>1590</v>
      </c>
      <c r="D340" s="798"/>
      <c r="E340" s="804"/>
    </row>
    <row r="341" spans="1:5" ht="38.25" x14ac:dyDescent="0.2">
      <c r="A341" s="796">
        <v>3</v>
      </c>
      <c r="B341" s="799" t="s">
        <v>1686</v>
      </c>
      <c r="C341" s="420" t="s">
        <v>1645</v>
      </c>
      <c r="D341" s="796" t="s">
        <v>1687</v>
      </c>
      <c r="E341" s="802">
        <f>2640*17*7.22*0.6*1.08</f>
        <v>209973.77279999998</v>
      </c>
    </row>
    <row r="342" spans="1:5" x14ac:dyDescent="0.2">
      <c r="A342" s="797"/>
      <c r="B342" s="800"/>
      <c r="C342" s="420" t="s">
        <v>1581</v>
      </c>
      <c r="D342" s="797"/>
      <c r="E342" s="803"/>
    </row>
    <row r="343" spans="1:5" x14ac:dyDescent="0.2">
      <c r="A343" s="797"/>
      <c r="B343" s="800"/>
      <c r="C343" s="420" t="s">
        <v>1582</v>
      </c>
      <c r="D343" s="797"/>
      <c r="E343" s="803"/>
    </row>
    <row r="344" spans="1:5" ht="13.5" thickBot="1" x14ac:dyDescent="0.25">
      <c r="A344" s="798"/>
      <c r="B344" s="801"/>
      <c r="C344" s="422" t="s">
        <v>1590</v>
      </c>
      <c r="D344" s="798"/>
      <c r="E344" s="804"/>
    </row>
    <row r="345" spans="1:5" ht="13.5" thickBot="1" x14ac:dyDescent="0.25">
      <c r="A345" s="829" t="s">
        <v>1722</v>
      </c>
      <c r="B345" s="812"/>
      <c r="C345" s="812"/>
      <c r="D345" s="812"/>
      <c r="E345" s="813"/>
    </row>
    <row r="346" spans="1:5" ht="38.25" x14ac:dyDescent="0.2">
      <c r="A346" s="796">
        <v>1</v>
      </c>
      <c r="B346" s="799" t="s">
        <v>1723</v>
      </c>
      <c r="C346" s="420" t="s">
        <v>1596</v>
      </c>
      <c r="D346" s="796" t="s">
        <v>1685</v>
      </c>
      <c r="E346" s="802">
        <f>433690*0.35*7.22*0.6*1.08</f>
        <v>710165.64023999998</v>
      </c>
    </row>
    <row r="347" spans="1:5" x14ac:dyDescent="0.2">
      <c r="A347" s="797"/>
      <c r="B347" s="800"/>
      <c r="C347" s="420" t="s">
        <v>1581</v>
      </c>
      <c r="D347" s="797"/>
      <c r="E347" s="803"/>
    </row>
    <row r="348" spans="1:5" x14ac:dyDescent="0.2">
      <c r="A348" s="797"/>
      <c r="B348" s="800"/>
      <c r="C348" s="420" t="s">
        <v>1582</v>
      </c>
      <c r="D348" s="797"/>
      <c r="E348" s="803"/>
    </row>
    <row r="349" spans="1:5" ht="13.5" thickBot="1" x14ac:dyDescent="0.25">
      <c r="A349" s="798"/>
      <c r="B349" s="801"/>
      <c r="C349" s="422" t="s">
        <v>1590</v>
      </c>
      <c r="D349" s="798"/>
      <c r="E349" s="804"/>
    </row>
    <row r="350" spans="1:5" ht="38.25" x14ac:dyDescent="0.2">
      <c r="A350" s="796">
        <v>2</v>
      </c>
      <c r="B350" s="799" t="s">
        <v>1724</v>
      </c>
      <c r="C350" s="420" t="s">
        <v>1645</v>
      </c>
      <c r="D350" s="796" t="s">
        <v>1725</v>
      </c>
      <c r="E350" s="802">
        <f>2640*8*7.22*0.6*1.08</f>
        <v>98811.1872</v>
      </c>
    </row>
    <row r="351" spans="1:5" x14ac:dyDescent="0.2">
      <c r="A351" s="797"/>
      <c r="B351" s="800"/>
      <c r="C351" s="420" t="s">
        <v>1581</v>
      </c>
      <c r="D351" s="797"/>
      <c r="E351" s="803"/>
    </row>
    <row r="352" spans="1:5" x14ac:dyDescent="0.2">
      <c r="A352" s="797"/>
      <c r="B352" s="800"/>
      <c r="C352" s="420" t="s">
        <v>1582</v>
      </c>
      <c r="D352" s="797"/>
      <c r="E352" s="803"/>
    </row>
    <row r="353" spans="1:5" ht="13.5" thickBot="1" x14ac:dyDescent="0.25">
      <c r="A353" s="798"/>
      <c r="B353" s="801"/>
      <c r="C353" s="422" t="s">
        <v>1590</v>
      </c>
      <c r="D353" s="798"/>
      <c r="E353" s="804"/>
    </row>
    <row r="354" spans="1:5" ht="13.5" thickBot="1" x14ac:dyDescent="0.25">
      <c r="A354" s="829" t="s">
        <v>1726</v>
      </c>
      <c r="B354" s="812"/>
      <c r="C354" s="812"/>
      <c r="D354" s="812"/>
      <c r="E354" s="813"/>
    </row>
    <row r="355" spans="1:5" ht="13.5" thickBot="1" x14ac:dyDescent="0.25">
      <c r="A355" s="811" t="s">
        <v>1727</v>
      </c>
      <c r="B355" s="812"/>
      <c r="C355" s="812"/>
      <c r="D355" s="812"/>
      <c r="E355" s="813"/>
    </row>
    <row r="356" spans="1:5" ht="38.25" x14ac:dyDescent="0.2">
      <c r="A356" s="796">
        <v>1</v>
      </c>
      <c r="B356" s="799" t="s">
        <v>1728</v>
      </c>
      <c r="C356" s="420" t="s">
        <v>1596</v>
      </c>
      <c r="D356" s="796" t="s">
        <v>1729</v>
      </c>
      <c r="E356" s="802">
        <f>433690*0.7*7.22*0.6*1.08</f>
        <v>1420331.28048</v>
      </c>
    </row>
    <row r="357" spans="1:5" x14ac:dyDescent="0.2">
      <c r="A357" s="797"/>
      <c r="B357" s="800"/>
      <c r="C357" s="420" t="s">
        <v>1581</v>
      </c>
      <c r="D357" s="797"/>
      <c r="E357" s="803"/>
    </row>
    <row r="358" spans="1:5" x14ac:dyDescent="0.2">
      <c r="A358" s="797"/>
      <c r="B358" s="800"/>
      <c r="C358" s="420" t="s">
        <v>1582</v>
      </c>
      <c r="D358" s="797"/>
      <c r="E358" s="803"/>
    </row>
    <row r="359" spans="1:5" ht="13.5" thickBot="1" x14ac:dyDescent="0.25">
      <c r="A359" s="798"/>
      <c r="B359" s="801"/>
      <c r="C359" s="422" t="s">
        <v>1590</v>
      </c>
      <c r="D359" s="798"/>
      <c r="E359" s="804"/>
    </row>
    <row r="360" spans="1:5" ht="38.25" x14ac:dyDescent="0.2">
      <c r="A360" s="796">
        <v>2</v>
      </c>
      <c r="B360" s="799" t="s">
        <v>1700</v>
      </c>
      <c r="C360" s="420" t="s">
        <v>1645</v>
      </c>
      <c r="D360" s="796" t="s">
        <v>1701</v>
      </c>
      <c r="E360" s="802">
        <f>2640*2*7.22*0.6*1.08</f>
        <v>24702.7968</v>
      </c>
    </row>
    <row r="361" spans="1:5" x14ac:dyDescent="0.2">
      <c r="A361" s="797"/>
      <c r="B361" s="800"/>
      <c r="C361" s="420" t="s">
        <v>1581</v>
      </c>
      <c r="D361" s="797"/>
      <c r="E361" s="803"/>
    </row>
    <row r="362" spans="1:5" x14ac:dyDescent="0.2">
      <c r="A362" s="797"/>
      <c r="B362" s="800"/>
      <c r="C362" s="420" t="s">
        <v>1582</v>
      </c>
      <c r="D362" s="797"/>
      <c r="E362" s="803"/>
    </row>
    <row r="363" spans="1:5" ht="13.5" thickBot="1" x14ac:dyDescent="0.25">
      <c r="A363" s="798"/>
      <c r="B363" s="801"/>
      <c r="C363" s="422" t="s">
        <v>1590</v>
      </c>
      <c r="D363" s="798"/>
      <c r="E363" s="804"/>
    </row>
    <row r="364" spans="1:5" ht="13.5" thickBot="1" x14ac:dyDescent="0.25">
      <c r="A364" s="829" t="s">
        <v>1730</v>
      </c>
      <c r="B364" s="812"/>
      <c r="C364" s="812"/>
      <c r="D364" s="812"/>
      <c r="E364" s="813"/>
    </row>
    <row r="365" spans="1:5" ht="13.5" thickBot="1" x14ac:dyDescent="0.25">
      <c r="A365" s="829" t="s">
        <v>1731</v>
      </c>
      <c r="B365" s="812"/>
      <c r="C365" s="812"/>
      <c r="D365" s="812"/>
      <c r="E365" s="813"/>
    </row>
    <row r="366" spans="1:5" ht="38.25" x14ac:dyDescent="0.2">
      <c r="A366" s="796">
        <v>1</v>
      </c>
      <c r="B366" s="799" t="s">
        <v>1728</v>
      </c>
      <c r="C366" s="420" t="s">
        <v>1596</v>
      </c>
      <c r="D366" s="796" t="s">
        <v>1729</v>
      </c>
      <c r="E366" s="802">
        <f>433690*0.7*7.22*0.6*1.08</f>
        <v>1420331.28048</v>
      </c>
    </row>
    <row r="367" spans="1:5" x14ac:dyDescent="0.2">
      <c r="A367" s="797"/>
      <c r="B367" s="800"/>
      <c r="C367" s="420" t="s">
        <v>1581</v>
      </c>
      <c r="D367" s="797"/>
      <c r="E367" s="803"/>
    </row>
    <row r="368" spans="1:5" x14ac:dyDescent="0.2">
      <c r="A368" s="797"/>
      <c r="B368" s="800"/>
      <c r="C368" s="420" t="s">
        <v>1582</v>
      </c>
      <c r="D368" s="797"/>
      <c r="E368" s="803"/>
    </row>
    <row r="369" spans="1:5" ht="13.5" thickBot="1" x14ac:dyDescent="0.25">
      <c r="A369" s="798"/>
      <c r="B369" s="801"/>
      <c r="C369" s="422" t="s">
        <v>1590</v>
      </c>
      <c r="D369" s="798"/>
      <c r="E369" s="804"/>
    </row>
    <row r="370" spans="1:5" ht="38.25" x14ac:dyDescent="0.2">
      <c r="A370" s="796">
        <v>2</v>
      </c>
      <c r="B370" s="799" t="s">
        <v>1700</v>
      </c>
      <c r="C370" s="420" t="s">
        <v>1645</v>
      </c>
      <c r="D370" s="796" t="s">
        <v>1701</v>
      </c>
      <c r="E370" s="802">
        <f>2640*2*7.22*0.6*1.08</f>
        <v>24702.7968</v>
      </c>
    </row>
    <row r="371" spans="1:5" x14ac:dyDescent="0.2">
      <c r="A371" s="797"/>
      <c r="B371" s="800"/>
      <c r="C371" s="420" t="s">
        <v>1581</v>
      </c>
      <c r="D371" s="797"/>
      <c r="E371" s="803"/>
    </row>
    <row r="372" spans="1:5" x14ac:dyDescent="0.2">
      <c r="A372" s="797"/>
      <c r="B372" s="800"/>
      <c r="C372" s="420" t="s">
        <v>1582</v>
      </c>
      <c r="D372" s="797"/>
      <c r="E372" s="803"/>
    </row>
    <row r="373" spans="1:5" ht="13.5" thickBot="1" x14ac:dyDescent="0.25">
      <c r="A373" s="798"/>
      <c r="B373" s="801"/>
      <c r="C373" s="422" t="s">
        <v>1590</v>
      </c>
      <c r="D373" s="798"/>
      <c r="E373" s="804"/>
    </row>
    <row r="374" spans="1:5" ht="13.5" thickBot="1" x14ac:dyDescent="0.25">
      <c r="A374" s="829" t="s">
        <v>1732</v>
      </c>
      <c r="B374" s="812"/>
      <c r="C374" s="812"/>
      <c r="D374" s="812"/>
      <c r="E374" s="813"/>
    </row>
    <row r="375" spans="1:5" ht="38.25" x14ac:dyDescent="0.2">
      <c r="A375" s="796">
        <v>1</v>
      </c>
      <c r="B375" s="799" t="s">
        <v>1733</v>
      </c>
      <c r="C375" s="420" t="s">
        <v>1665</v>
      </c>
      <c r="D375" s="796" t="s">
        <v>1734</v>
      </c>
      <c r="E375" s="802">
        <f>(11000+550*300)*7.22*0.6*1.08</f>
        <v>823426.56000000006</v>
      </c>
    </row>
    <row r="376" spans="1:5" x14ac:dyDescent="0.2">
      <c r="A376" s="797"/>
      <c r="B376" s="800"/>
      <c r="C376" s="420" t="s">
        <v>1581</v>
      </c>
      <c r="D376" s="797"/>
      <c r="E376" s="803"/>
    </row>
    <row r="377" spans="1:5" x14ac:dyDescent="0.2">
      <c r="A377" s="797"/>
      <c r="B377" s="800"/>
      <c r="C377" s="420" t="s">
        <v>1582</v>
      </c>
      <c r="D377" s="797"/>
      <c r="E377" s="803"/>
    </row>
    <row r="378" spans="1:5" ht="13.5" thickBot="1" x14ac:dyDescent="0.25">
      <c r="A378" s="798"/>
      <c r="B378" s="801"/>
      <c r="C378" s="422" t="s">
        <v>1590</v>
      </c>
      <c r="D378" s="798"/>
      <c r="E378" s="804"/>
    </row>
    <row r="379" spans="1:5" ht="29.25" customHeight="1" thickBot="1" x14ac:dyDescent="0.25">
      <c r="A379" s="510"/>
      <c r="B379" s="511" t="s">
        <v>2321</v>
      </c>
      <c r="C379" s="509" t="s">
        <v>2325</v>
      </c>
      <c r="D379" s="515" t="s">
        <v>2318</v>
      </c>
      <c r="E379" s="512">
        <f>SUM(E275:E378)*0.7</f>
        <v>8068841.2515815999</v>
      </c>
    </row>
    <row r="380" spans="1:5" ht="19.5" customHeight="1" thickBot="1" x14ac:dyDescent="0.25">
      <c r="A380" s="835" t="s">
        <v>1735</v>
      </c>
      <c r="B380" s="836"/>
      <c r="C380" s="836"/>
      <c r="D380" s="836"/>
      <c r="E380" s="837"/>
    </row>
    <row r="381" spans="1:5" ht="13.5" thickBot="1" x14ac:dyDescent="0.25">
      <c r="A381" s="811" t="s">
        <v>817</v>
      </c>
      <c r="B381" s="812"/>
      <c r="C381" s="812"/>
      <c r="D381" s="812"/>
      <c r="E381" s="813"/>
    </row>
    <row r="382" spans="1:5" ht="38.25" x14ac:dyDescent="0.2">
      <c r="A382" s="796">
        <v>1</v>
      </c>
      <c r="B382" s="799" t="s">
        <v>1733</v>
      </c>
      <c r="C382" s="420" t="s">
        <v>1665</v>
      </c>
      <c r="D382" s="796" t="s">
        <v>1736</v>
      </c>
      <c r="E382" s="802">
        <f>(11000+550*76)*7.22*0.6*1.08</f>
        <v>247027.96800000002</v>
      </c>
    </row>
    <row r="383" spans="1:5" x14ac:dyDescent="0.2">
      <c r="A383" s="797"/>
      <c r="B383" s="800"/>
      <c r="C383" s="420" t="s">
        <v>1581</v>
      </c>
      <c r="D383" s="797"/>
      <c r="E383" s="803"/>
    </row>
    <row r="384" spans="1:5" x14ac:dyDescent="0.2">
      <c r="A384" s="797"/>
      <c r="B384" s="800"/>
      <c r="C384" s="420" t="s">
        <v>1582</v>
      </c>
      <c r="D384" s="797"/>
      <c r="E384" s="803"/>
    </row>
    <row r="385" spans="1:5" ht="13.5" thickBot="1" x14ac:dyDescent="0.25">
      <c r="A385" s="798"/>
      <c r="B385" s="801"/>
      <c r="C385" s="422" t="s">
        <v>1590</v>
      </c>
      <c r="D385" s="798"/>
      <c r="E385" s="804"/>
    </row>
    <row r="386" spans="1:5" ht="13.5" thickBot="1" x14ac:dyDescent="0.25">
      <c r="A386" s="829" t="s">
        <v>1737</v>
      </c>
      <c r="B386" s="812"/>
      <c r="C386" s="812"/>
      <c r="D386" s="812"/>
      <c r="E386" s="813"/>
    </row>
    <row r="387" spans="1:5" ht="38.25" x14ac:dyDescent="0.2">
      <c r="A387" s="796">
        <v>1</v>
      </c>
      <c r="B387" s="799" t="s">
        <v>1738</v>
      </c>
      <c r="C387" s="420" t="s">
        <v>1635</v>
      </c>
      <c r="D387" s="796" t="s">
        <v>1739</v>
      </c>
      <c r="E387" s="802">
        <f>85470*1*7.22*0.6*1.08*1.15</f>
        <v>459858.00167999999</v>
      </c>
    </row>
    <row r="388" spans="1:5" x14ac:dyDescent="0.2">
      <c r="A388" s="797"/>
      <c r="B388" s="800"/>
      <c r="C388" s="420" t="s">
        <v>1581</v>
      </c>
      <c r="D388" s="797"/>
      <c r="E388" s="803"/>
    </row>
    <row r="389" spans="1:5" x14ac:dyDescent="0.2">
      <c r="A389" s="797"/>
      <c r="B389" s="800"/>
      <c r="C389" s="420" t="s">
        <v>1582</v>
      </c>
      <c r="D389" s="797"/>
      <c r="E389" s="803"/>
    </row>
    <row r="390" spans="1:5" x14ac:dyDescent="0.2">
      <c r="A390" s="797"/>
      <c r="B390" s="800"/>
      <c r="C390" s="420" t="s">
        <v>1590</v>
      </c>
      <c r="D390" s="797"/>
      <c r="E390" s="803"/>
    </row>
    <row r="391" spans="1:5" ht="26.25" thickBot="1" x14ac:dyDescent="0.25">
      <c r="A391" s="798"/>
      <c r="B391" s="801"/>
      <c r="C391" s="422" t="s">
        <v>1637</v>
      </c>
      <c r="D391" s="798"/>
      <c r="E391" s="804"/>
    </row>
    <row r="392" spans="1:5" ht="38.25" x14ac:dyDescent="0.2">
      <c r="A392" s="796">
        <v>2</v>
      </c>
      <c r="B392" s="799" t="s">
        <v>1629</v>
      </c>
      <c r="C392" s="420" t="s">
        <v>1600</v>
      </c>
      <c r="D392" s="796" t="s">
        <v>1630</v>
      </c>
      <c r="E392" s="802">
        <f>21120*2*7.22*0.6*1.08</f>
        <v>197622.3744</v>
      </c>
    </row>
    <row r="393" spans="1:5" x14ac:dyDescent="0.2">
      <c r="A393" s="797"/>
      <c r="B393" s="800"/>
      <c r="C393" s="420" t="s">
        <v>1581</v>
      </c>
      <c r="D393" s="797"/>
      <c r="E393" s="803"/>
    </row>
    <row r="394" spans="1:5" x14ac:dyDescent="0.2">
      <c r="A394" s="797"/>
      <c r="B394" s="800"/>
      <c r="C394" s="420" t="s">
        <v>1582</v>
      </c>
      <c r="D394" s="797"/>
      <c r="E394" s="803"/>
    </row>
    <row r="395" spans="1:5" ht="13.5" thickBot="1" x14ac:dyDescent="0.25">
      <c r="A395" s="798"/>
      <c r="B395" s="801"/>
      <c r="C395" s="422" t="s">
        <v>1590</v>
      </c>
      <c r="D395" s="798"/>
      <c r="E395" s="804"/>
    </row>
    <row r="396" spans="1:5" ht="38.25" x14ac:dyDescent="0.2">
      <c r="A396" s="796">
        <v>3</v>
      </c>
      <c r="B396" s="799" t="s">
        <v>1713</v>
      </c>
      <c r="C396" s="420" t="s">
        <v>1645</v>
      </c>
      <c r="D396" s="796" t="s">
        <v>1714</v>
      </c>
      <c r="E396" s="802">
        <f>2640*6*7.22*0.6*1.08</f>
        <v>74108.390400000004</v>
      </c>
    </row>
    <row r="397" spans="1:5" x14ac:dyDescent="0.2">
      <c r="A397" s="797"/>
      <c r="B397" s="800"/>
      <c r="C397" s="420" t="s">
        <v>1581</v>
      </c>
      <c r="D397" s="797"/>
      <c r="E397" s="803"/>
    </row>
    <row r="398" spans="1:5" x14ac:dyDescent="0.2">
      <c r="A398" s="797"/>
      <c r="B398" s="800"/>
      <c r="C398" s="420" t="s">
        <v>1582</v>
      </c>
      <c r="D398" s="797"/>
      <c r="E398" s="803"/>
    </row>
    <row r="399" spans="1:5" ht="13.5" thickBot="1" x14ac:dyDescent="0.25">
      <c r="A399" s="798"/>
      <c r="B399" s="801"/>
      <c r="C399" s="422" t="s">
        <v>1590</v>
      </c>
      <c r="D399" s="798"/>
      <c r="E399" s="804"/>
    </row>
    <row r="400" spans="1:5" ht="38.25" x14ac:dyDescent="0.2">
      <c r="A400" s="796">
        <v>4</v>
      </c>
      <c r="B400" s="799" t="s">
        <v>1591</v>
      </c>
      <c r="C400" s="420" t="s">
        <v>1648</v>
      </c>
      <c r="D400" s="796" t="s">
        <v>1715</v>
      </c>
      <c r="E400" s="802">
        <f>4790*4*7.22*0.6*1.08</f>
        <v>89641.209599999987</v>
      </c>
    </row>
    <row r="401" spans="1:5" x14ac:dyDescent="0.2">
      <c r="A401" s="797"/>
      <c r="B401" s="800"/>
      <c r="C401" s="420" t="s">
        <v>1581</v>
      </c>
      <c r="D401" s="797"/>
      <c r="E401" s="803"/>
    </row>
    <row r="402" spans="1:5" x14ac:dyDescent="0.2">
      <c r="A402" s="797"/>
      <c r="B402" s="800"/>
      <c r="C402" s="420" t="s">
        <v>1582</v>
      </c>
      <c r="D402" s="797"/>
      <c r="E402" s="803"/>
    </row>
    <row r="403" spans="1:5" ht="13.5" thickBot="1" x14ac:dyDescent="0.25">
      <c r="A403" s="798"/>
      <c r="B403" s="801"/>
      <c r="C403" s="422" t="s">
        <v>1590</v>
      </c>
      <c r="D403" s="798"/>
      <c r="E403" s="804"/>
    </row>
    <row r="404" spans="1:5" ht="25.5" x14ac:dyDescent="0.2">
      <c r="A404" s="796">
        <v>5</v>
      </c>
      <c r="B404" s="799" t="s">
        <v>1650</v>
      </c>
      <c r="C404" s="420" t="s">
        <v>1651</v>
      </c>
      <c r="D404" s="796" t="s">
        <v>1652</v>
      </c>
      <c r="E404" s="802">
        <f>11800*2*1.71*0.6*1.08</f>
        <v>26150.688000000002</v>
      </c>
    </row>
    <row r="405" spans="1:5" x14ac:dyDescent="0.2">
      <c r="A405" s="797"/>
      <c r="B405" s="800"/>
      <c r="C405" s="420" t="s">
        <v>1621</v>
      </c>
      <c r="D405" s="797"/>
      <c r="E405" s="803"/>
    </row>
    <row r="406" spans="1:5" x14ac:dyDescent="0.2">
      <c r="A406" s="797"/>
      <c r="B406" s="800"/>
      <c r="C406" s="420" t="s">
        <v>1582</v>
      </c>
      <c r="D406" s="797"/>
      <c r="E406" s="803"/>
    </row>
    <row r="407" spans="1:5" ht="13.5" thickBot="1" x14ac:dyDescent="0.25">
      <c r="A407" s="798"/>
      <c r="B407" s="801"/>
      <c r="C407" s="422" t="s">
        <v>1590</v>
      </c>
      <c r="D407" s="798"/>
      <c r="E407" s="804"/>
    </row>
    <row r="408" spans="1:5" ht="38.25" x14ac:dyDescent="0.2">
      <c r="A408" s="796">
        <v>6</v>
      </c>
      <c r="B408" s="799" t="s">
        <v>1654</v>
      </c>
      <c r="C408" s="420" t="s">
        <v>1655</v>
      </c>
      <c r="D408" s="796" t="s">
        <v>1656</v>
      </c>
      <c r="E408" s="802">
        <f>4130*2*7.22*0.6*1.08</f>
        <v>38644.905600000006</v>
      </c>
    </row>
    <row r="409" spans="1:5" x14ac:dyDescent="0.2">
      <c r="A409" s="797"/>
      <c r="B409" s="800"/>
      <c r="C409" s="420" t="s">
        <v>1581</v>
      </c>
      <c r="D409" s="797"/>
      <c r="E409" s="803"/>
    </row>
    <row r="410" spans="1:5" x14ac:dyDescent="0.2">
      <c r="A410" s="797"/>
      <c r="B410" s="800"/>
      <c r="C410" s="420" t="s">
        <v>1582</v>
      </c>
      <c r="D410" s="797"/>
      <c r="E410" s="803"/>
    </row>
    <row r="411" spans="1:5" ht="13.5" thickBot="1" x14ac:dyDescent="0.25">
      <c r="A411" s="798"/>
      <c r="B411" s="801"/>
      <c r="C411" s="422" t="s">
        <v>1590</v>
      </c>
      <c r="D411" s="798"/>
      <c r="E411" s="804"/>
    </row>
    <row r="412" spans="1:5" ht="13.5" thickBot="1" x14ac:dyDescent="0.25">
      <c r="A412" s="829" t="s">
        <v>1468</v>
      </c>
      <c r="B412" s="812"/>
      <c r="C412" s="812"/>
      <c r="D412" s="812"/>
      <c r="E412" s="813"/>
    </row>
    <row r="413" spans="1:5" ht="13.5" thickBot="1" x14ac:dyDescent="0.25">
      <c r="A413" s="811" t="s">
        <v>1740</v>
      </c>
      <c r="B413" s="812"/>
      <c r="C413" s="812"/>
      <c r="D413" s="812"/>
      <c r="E413" s="813"/>
    </row>
    <row r="414" spans="1:5" ht="38.25" x14ac:dyDescent="0.2">
      <c r="A414" s="796">
        <v>1</v>
      </c>
      <c r="B414" s="799" t="s">
        <v>1741</v>
      </c>
      <c r="C414" s="420" t="s">
        <v>1742</v>
      </c>
      <c r="D414" s="796" t="s">
        <v>1743</v>
      </c>
      <c r="E414" s="802">
        <f>25540*1.5*7.22*0.6*1.08</f>
        <v>179235.63360000003</v>
      </c>
    </row>
    <row r="415" spans="1:5" x14ac:dyDescent="0.2">
      <c r="A415" s="797"/>
      <c r="B415" s="800"/>
      <c r="C415" s="420" t="s">
        <v>1581</v>
      </c>
      <c r="D415" s="797"/>
      <c r="E415" s="803"/>
    </row>
    <row r="416" spans="1:5" x14ac:dyDescent="0.2">
      <c r="A416" s="797"/>
      <c r="B416" s="800"/>
      <c r="C416" s="420" t="s">
        <v>1582</v>
      </c>
      <c r="D416" s="797"/>
      <c r="E416" s="803"/>
    </row>
    <row r="417" spans="1:5" ht="13.5" thickBot="1" x14ac:dyDescent="0.25">
      <c r="A417" s="798"/>
      <c r="B417" s="801"/>
      <c r="C417" s="422" t="s">
        <v>1590</v>
      </c>
      <c r="D417" s="798"/>
      <c r="E417" s="804"/>
    </row>
    <row r="418" spans="1:5" ht="38.25" x14ac:dyDescent="0.2">
      <c r="A418" s="796">
        <v>2</v>
      </c>
      <c r="B418" s="799" t="s">
        <v>1744</v>
      </c>
      <c r="C418" s="420" t="s">
        <v>1645</v>
      </c>
      <c r="D418" s="796" t="s">
        <v>1701</v>
      </c>
      <c r="E418" s="802">
        <f>2640*2*7.22*0.6*1.08</f>
        <v>24702.7968</v>
      </c>
    </row>
    <row r="419" spans="1:5" x14ac:dyDescent="0.2">
      <c r="A419" s="797"/>
      <c r="B419" s="800"/>
      <c r="C419" s="420" t="s">
        <v>1581</v>
      </c>
      <c r="D419" s="797"/>
      <c r="E419" s="803"/>
    </row>
    <row r="420" spans="1:5" x14ac:dyDescent="0.2">
      <c r="A420" s="797"/>
      <c r="B420" s="800"/>
      <c r="C420" s="420" t="s">
        <v>1582</v>
      </c>
      <c r="D420" s="797"/>
      <c r="E420" s="803"/>
    </row>
    <row r="421" spans="1:5" ht="13.5" thickBot="1" x14ac:dyDescent="0.25">
      <c r="A421" s="798"/>
      <c r="B421" s="801"/>
      <c r="C421" s="422" t="s">
        <v>1590</v>
      </c>
      <c r="D421" s="798"/>
      <c r="E421" s="804"/>
    </row>
    <row r="422" spans="1:5" ht="13.5" thickBot="1" x14ac:dyDescent="0.25">
      <c r="A422" s="829" t="s">
        <v>1745</v>
      </c>
      <c r="B422" s="812"/>
      <c r="C422" s="812"/>
      <c r="D422" s="812"/>
      <c r="E422" s="813"/>
    </row>
    <row r="423" spans="1:5" ht="38.25" x14ac:dyDescent="0.2">
      <c r="A423" s="796">
        <v>1</v>
      </c>
      <c r="B423" s="799" t="s">
        <v>1746</v>
      </c>
      <c r="C423" s="420" t="s">
        <v>1742</v>
      </c>
      <c r="D423" s="796" t="s">
        <v>1747</v>
      </c>
      <c r="E423" s="802">
        <f>25540*6.45*7.22*0.6*1.08</f>
        <v>770713.22448000009</v>
      </c>
    </row>
    <row r="424" spans="1:5" x14ac:dyDescent="0.2">
      <c r="A424" s="797"/>
      <c r="B424" s="800"/>
      <c r="C424" s="420" t="s">
        <v>1581</v>
      </c>
      <c r="D424" s="797"/>
      <c r="E424" s="803"/>
    </row>
    <row r="425" spans="1:5" x14ac:dyDescent="0.2">
      <c r="A425" s="797"/>
      <c r="B425" s="800"/>
      <c r="C425" s="420" t="s">
        <v>1582</v>
      </c>
      <c r="D425" s="797"/>
      <c r="E425" s="803"/>
    </row>
    <row r="426" spans="1:5" ht="13.5" thickBot="1" x14ac:dyDescent="0.25">
      <c r="A426" s="798"/>
      <c r="B426" s="801"/>
      <c r="C426" s="422" t="s">
        <v>1590</v>
      </c>
      <c r="D426" s="798"/>
      <c r="E426" s="804"/>
    </row>
    <row r="427" spans="1:5" ht="38.25" x14ac:dyDescent="0.2">
      <c r="A427" s="796">
        <v>2</v>
      </c>
      <c r="B427" s="799" t="s">
        <v>1748</v>
      </c>
      <c r="C427" s="420" t="s">
        <v>1645</v>
      </c>
      <c r="D427" s="796" t="s">
        <v>1749</v>
      </c>
      <c r="E427" s="802">
        <f>2640*24*7.22*0.6*1.08</f>
        <v>296433.56160000002</v>
      </c>
    </row>
    <row r="428" spans="1:5" x14ac:dyDescent="0.2">
      <c r="A428" s="797"/>
      <c r="B428" s="800"/>
      <c r="C428" s="420" t="s">
        <v>1581</v>
      </c>
      <c r="D428" s="797"/>
      <c r="E428" s="803"/>
    </row>
    <row r="429" spans="1:5" x14ac:dyDescent="0.2">
      <c r="A429" s="797"/>
      <c r="B429" s="800"/>
      <c r="C429" s="420" t="s">
        <v>1582</v>
      </c>
      <c r="D429" s="797"/>
      <c r="E429" s="803"/>
    </row>
    <row r="430" spans="1:5" ht="13.5" thickBot="1" x14ac:dyDescent="0.25">
      <c r="A430" s="798"/>
      <c r="B430" s="801"/>
      <c r="C430" s="422" t="s">
        <v>1590</v>
      </c>
      <c r="D430" s="798"/>
      <c r="E430" s="804"/>
    </row>
    <row r="431" spans="1:5" ht="38.25" x14ac:dyDescent="0.2">
      <c r="A431" s="796">
        <v>3</v>
      </c>
      <c r="B431" s="799" t="s">
        <v>1719</v>
      </c>
      <c r="C431" s="420" t="s">
        <v>1676</v>
      </c>
      <c r="D431" s="796" t="s">
        <v>1720</v>
      </c>
      <c r="E431" s="802">
        <f>34650*1.5*7.22*0.6*1.08</f>
        <v>243168.15599999999</v>
      </c>
    </row>
    <row r="432" spans="1:5" x14ac:dyDescent="0.2">
      <c r="A432" s="797"/>
      <c r="B432" s="800"/>
      <c r="C432" s="420" t="s">
        <v>1581</v>
      </c>
      <c r="D432" s="797"/>
      <c r="E432" s="803"/>
    </row>
    <row r="433" spans="1:5" x14ac:dyDescent="0.2">
      <c r="A433" s="797"/>
      <c r="B433" s="800"/>
      <c r="C433" s="420" t="s">
        <v>1582</v>
      </c>
      <c r="D433" s="797"/>
      <c r="E433" s="803"/>
    </row>
    <row r="434" spans="1:5" ht="13.5" thickBot="1" x14ac:dyDescent="0.25">
      <c r="A434" s="798"/>
      <c r="B434" s="801"/>
      <c r="C434" s="422" t="s">
        <v>1590</v>
      </c>
      <c r="D434" s="798"/>
      <c r="E434" s="804"/>
    </row>
    <row r="435" spans="1:5" ht="38.25" x14ac:dyDescent="0.2">
      <c r="A435" s="796">
        <v>4</v>
      </c>
      <c r="B435" s="799" t="s">
        <v>1678</v>
      </c>
      <c r="C435" s="420" t="s">
        <v>1679</v>
      </c>
      <c r="D435" s="796" t="s">
        <v>1680</v>
      </c>
      <c r="E435" s="802">
        <f>8450*1*7.22*0.6*1.08</f>
        <v>39533.832000000002</v>
      </c>
    </row>
    <row r="436" spans="1:5" x14ac:dyDescent="0.2">
      <c r="A436" s="797"/>
      <c r="B436" s="800"/>
      <c r="C436" s="420" t="s">
        <v>1581</v>
      </c>
      <c r="D436" s="797"/>
      <c r="E436" s="803"/>
    </row>
    <row r="437" spans="1:5" x14ac:dyDescent="0.2">
      <c r="A437" s="797"/>
      <c r="B437" s="800"/>
      <c r="C437" s="420" t="s">
        <v>1582</v>
      </c>
      <c r="D437" s="797"/>
      <c r="E437" s="803"/>
    </row>
    <row r="438" spans="1:5" ht="13.5" thickBot="1" x14ac:dyDescent="0.25">
      <c r="A438" s="798"/>
      <c r="B438" s="801"/>
      <c r="C438" s="422" t="s">
        <v>1590</v>
      </c>
      <c r="D438" s="798"/>
      <c r="E438" s="804"/>
    </row>
    <row r="439" spans="1:5" ht="38.25" x14ac:dyDescent="0.2">
      <c r="A439" s="796">
        <v>5</v>
      </c>
      <c r="B439" s="799" t="s">
        <v>1606</v>
      </c>
      <c r="C439" s="420" t="s">
        <v>1607</v>
      </c>
      <c r="D439" s="796" t="s">
        <v>1673</v>
      </c>
      <c r="E439" s="802">
        <f>8870*1*7.22*0.6*1.08</f>
        <v>41498.8272</v>
      </c>
    </row>
    <row r="440" spans="1:5" x14ac:dyDescent="0.2">
      <c r="A440" s="797"/>
      <c r="B440" s="800"/>
      <c r="C440" s="420" t="s">
        <v>1581</v>
      </c>
      <c r="D440" s="797"/>
      <c r="E440" s="803"/>
    </row>
    <row r="441" spans="1:5" x14ac:dyDescent="0.2">
      <c r="A441" s="797"/>
      <c r="B441" s="800"/>
      <c r="C441" s="420" t="s">
        <v>1582</v>
      </c>
      <c r="D441" s="797"/>
      <c r="E441" s="803"/>
    </row>
    <row r="442" spans="1:5" ht="13.5" thickBot="1" x14ac:dyDescent="0.25">
      <c r="A442" s="798"/>
      <c r="B442" s="801"/>
      <c r="C442" s="422" t="s">
        <v>1590</v>
      </c>
      <c r="D442" s="798"/>
      <c r="E442" s="804"/>
    </row>
    <row r="443" spans="1:5" ht="19.5" customHeight="1" thickBot="1" x14ac:dyDescent="0.25">
      <c r="A443" s="510"/>
      <c r="B443" s="511" t="s">
        <v>2322</v>
      </c>
      <c r="C443" s="511"/>
      <c r="D443" s="511"/>
      <c r="E443" s="512">
        <f>SUM(E382:E442)*1</f>
        <v>2728339.5693600005</v>
      </c>
    </row>
    <row r="444" spans="1:5" ht="19.5" customHeight="1" thickBot="1" x14ac:dyDescent="0.25">
      <c r="A444" s="835" t="s">
        <v>1012</v>
      </c>
      <c r="B444" s="836"/>
      <c r="C444" s="836"/>
      <c r="D444" s="836"/>
      <c r="E444" s="837"/>
    </row>
    <row r="445" spans="1:5" ht="13.5" thickBot="1" x14ac:dyDescent="0.25">
      <c r="A445" s="811" t="s">
        <v>1750</v>
      </c>
      <c r="B445" s="812"/>
      <c r="C445" s="812"/>
      <c r="D445" s="812"/>
      <c r="E445" s="813"/>
    </row>
    <row r="446" spans="1:5" ht="38.25" x14ac:dyDescent="0.2">
      <c r="A446" s="796">
        <v>1</v>
      </c>
      <c r="B446" s="799" t="s">
        <v>1751</v>
      </c>
      <c r="C446" s="420" t="s">
        <v>1600</v>
      </c>
      <c r="D446" s="796" t="s">
        <v>1752</v>
      </c>
      <c r="E446" s="802">
        <f>21120*7*7.22*0.6*1.08</f>
        <v>691678.31040000007</v>
      </c>
    </row>
    <row r="447" spans="1:5" x14ac:dyDescent="0.2">
      <c r="A447" s="797"/>
      <c r="B447" s="800"/>
      <c r="C447" s="420" t="s">
        <v>1581</v>
      </c>
      <c r="D447" s="797"/>
      <c r="E447" s="803"/>
    </row>
    <row r="448" spans="1:5" x14ac:dyDescent="0.2">
      <c r="A448" s="797"/>
      <c r="B448" s="800"/>
      <c r="C448" s="420" t="s">
        <v>1582</v>
      </c>
      <c r="D448" s="797"/>
      <c r="E448" s="803"/>
    </row>
    <row r="449" spans="1:5" ht="13.5" thickBot="1" x14ac:dyDescent="0.25">
      <c r="A449" s="798"/>
      <c r="B449" s="801"/>
      <c r="C449" s="422" t="s">
        <v>1590</v>
      </c>
      <c r="D449" s="798"/>
      <c r="E449" s="804"/>
    </row>
    <row r="450" spans="1:5" ht="38.25" x14ac:dyDescent="0.2">
      <c r="A450" s="796">
        <v>2</v>
      </c>
      <c r="B450" s="799" t="s">
        <v>1670</v>
      </c>
      <c r="C450" s="420" t="s">
        <v>1596</v>
      </c>
      <c r="D450" s="796" t="s">
        <v>1603</v>
      </c>
      <c r="E450" s="802">
        <f>433690*0.2*7.22*0.6*1.08</f>
        <v>405808.93728000001</v>
      </c>
    </row>
    <row r="451" spans="1:5" x14ac:dyDescent="0.2">
      <c r="A451" s="797"/>
      <c r="B451" s="800"/>
      <c r="C451" s="420" t="s">
        <v>1581</v>
      </c>
      <c r="D451" s="797"/>
      <c r="E451" s="803"/>
    </row>
    <row r="452" spans="1:5" x14ac:dyDescent="0.2">
      <c r="A452" s="797"/>
      <c r="B452" s="800"/>
      <c r="C452" s="420" t="s">
        <v>1582</v>
      </c>
      <c r="D452" s="797"/>
      <c r="E452" s="803"/>
    </row>
    <row r="453" spans="1:5" ht="13.5" thickBot="1" x14ac:dyDescent="0.25">
      <c r="A453" s="798"/>
      <c r="B453" s="801"/>
      <c r="C453" s="422" t="s">
        <v>1590</v>
      </c>
      <c r="D453" s="798"/>
      <c r="E453" s="804"/>
    </row>
    <row r="454" spans="1:5" ht="38.25" x14ac:dyDescent="0.2">
      <c r="A454" s="796">
        <v>3</v>
      </c>
      <c r="B454" s="799" t="s">
        <v>1671</v>
      </c>
      <c r="C454" s="420" t="s">
        <v>1588</v>
      </c>
      <c r="D454" s="796" t="s">
        <v>1753</v>
      </c>
      <c r="E454" s="802">
        <f>10070*9*7.22*0.6*1.08</f>
        <v>424017.89279999997</v>
      </c>
    </row>
    <row r="455" spans="1:5" x14ac:dyDescent="0.2">
      <c r="A455" s="797"/>
      <c r="B455" s="800"/>
      <c r="C455" s="420" t="s">
        <v>1581</v>
      </c>
      <c r="D455" s="797"/>
      <c r="E455" s="803"/>
    </row>
    <row r="456" spans="1:5" x14ac:dyDescent="0.2">
      <c r="A456" s="797"/>
      <c r="B456" s="800"/>
      <c r="C456" s="420" t="s">
        <v>1582</v>
      </c>
      <c r="D456" s="797"/>
      <c r="E456" s="803"/>
    </row>
    <row r="457" spans="1:5" ht="13.5" thickBot="1" x14ac:dyDescent="0.25">
      <c r="A457" s="798"/>
      <c r="B457" s="801"/>
      <c r="C457" s="422" t="s">
        <v>1590</v>
      </c>
      <c r="D457" s="798"/>
      <c r="E457" s="804"/>
    </row>
    <row r="458" spans="1:5" ht="38.25" x14ac:dyDescent="0.2">
      <c r="A458" s="796">
        <v>4</v>
      </c>
      <c r="B458" s="799" t="s">
        <v>1754</v>
      </c>
      <c r="C458" s="420" t="s">
        <v>1607</v>
      </c>
      <c r="D458" s="796" t="s">
        <v>1673</v>
      </c>
      <c r="E458" s="802">
        <f>8870*1*7.22*0.6*1.08</f>
        <v>41498.8272</v>
      </c>
    </row>
    <row r="459" spans="1:5" x14ac:dyDescent="0.2">
      <c r="A459" s="797"/>
      <c r="B459" s="800"/>
      <c r="C459" s="420" t="s">
        <v>1581</v>
      </c>
      <c r="D459" s="797"/>
      <c r="E459" s="803"/>
    </row>
    <row r="460" spans="1:5" x14ac:dyDescent="0.2">
      <c r="A460" s="797"/>
      <c r="B460" s="800"/>
      <c r="C460" s="420" t="s">
        <v>1582</v>
      </c>
      <c r="D460" s="797"/>
      <c r="E460" s="803"/>
    </row>
    <row r="461" spans="1:5" ht="13.5" thickBot="1" x14ac:dyDescent="0.25">
      <c r="A461" s="798"/>
      <c r="B461" s="801"/>
      <c r="C461" s="422" t="s">
        <v>1590</v>
      </c>
      <c r="D461" s="798"/>
      <c r="E461" s="804"/>
    </row>
    <row r="462" spans="1:5" ht="13.5" thickBot="1" x14ac:dyDescent="0.25">
      <c r="A462" s="811" t="s">
        <v>1755</v>
      </c>
      <c r="B462" s="812"/>
      <c r="C462" s="812"/>
      <c r="D462" s="812"/>
      <c r="E462" s="813"/>
    </row>
    <row r="463" spans="1:5" ht="38.25" x14ac:dyDescent="0.2">
      <c r="A463" s="796">
        <v>1</v>
      </c>
      <c r="B463" s="799" t="s">
        <v>1756</v>
      </c>
      <c r="C463" s="420" t="s">
        <v>1579</v>
      </c>
      <c r="D463" s="796" t="s">
        <v>1757</v>
      </c>
      <c r="E463" s="802">
        <f>157250*1*7.22*0.6*1.15*1.55*0.8*1.08</f>
        <v>1049113.2765600001</v>
      </c>
    </row>
    <row r="464" spans="1:5" x14ac:dyDescent="0.2">
      <c r="A464" s="797"/>
      <c r="B464" s="800"/>
      <c r="C464" s="420" t="s">
        <v>1581</v>
      </c>
      <c r="D464" s="797"/>
      <c r="E464" s="803"/>
    </row>
    <row r="465" spans="1:5" x14ac:dyDescent="0.2">
      <c r="A465" s="797"/>
      <c r="B465" s="800"/>
      <c r="C465" s="420" t="s">
        <v>1582</v>
      </c>
      <c r="D465" s="797"/>
      <c r="E465" s="803"/>
    </row>
    <row r="466" spans="1:5" ht="25.5" x14ac:dyDescent="0.2">
      <c r="A466" s="797"/>
      <c r="B466" s="800"/>
      <c r="C466" s="420" t="s">
        <v>1583</v>
      </c>
      <c r="D466" s="797"/>
      <c r="E466" s="803"/>
    </row>
    <row r="467" spans="1:5" ht="25.5" x14ac:dyDescent="0.2">
      <c r="A467" s="797"/>
      <c r="B467" s="800"/>
      <c r="C467" s="420" t="s">
        <v>1758</v>
      </c>
      <c r="D467" s="797"/>
      <c r="E467" s="803"/>
    </row>
    <row r="468" spans="1:5" x14ac:dyDescent="0.2">
      <c r="A468" s="797"/>
      <c r="B468" s="800"/>
      <c r="C468" s="420" t="s">
        <v>1585</v>
      </c>
      <c r="D468" s="797"/>
      <c r="E468" s="803"/>
    </row>
    <row r="469" spans="1:5" ht="13.5" thickBot="1" x14ac:dyDescent="0.25">
      <c r="A469" s="798"/>
      <c r="B469" s="801"/>
      <c r="C469" s="422" t="s">
        <v>1586</v>
      </c>
      <c r="D469" s="798"/>
      <c r="E469" s="804"/>
    </row>
    <row r="470" spans="1:5" ht="38.25" x14ac:dyDescent="0.2">
      <c r="A470" s="796">
        <v>2</v>
      </c>
      <c r="B470" s="799" t="s">
        <v>1759</v>
      </c>
      <c r="C470" s="420" t="s">
        <v>1588</v>
      </c>
      <c r="D470" s="796" t="s">
        <v>1760</v>
      </c>
      <c r="E470" s="802">
        <f>10070*12*7.22*0.6*1.08</f>
        <v>565357.19039999996</v>
      </c>
    </row>
    <row r="471" spans="1:5" x14ac:dyDescent="0.2">
      <c r="A471" s="797"/>
      <c r="B471" s="800"/>
      <c r="C471" s="420" t="s">
        <v>1581</v>
      </c>
      <c r="D471" s="797"/>
      <c r="E471" s="803"/>
    </row>
    <row r="472" spans="1:5" x14ac:dyDescent="0.2">
      <c r="A472" s="797"/>
      <c r="B472" s="800"/>
      <c r="C472" s="420" t="s">
        <v>1582</v>
      </c>
      <c r="D472" s="797"/>
      <c r="E472" s="803"/>
    </row>
    <row r="473" spans="1:5" ht="13.5" thickBot="1" x14ac:dyDescent="0.25">
      <c r="A473" s="798"/>
      <c r="B473" s="801"/>
      <c r="C473" s="422" t="s">
        <v>1590</v>
      </c>
      <c r="D473" s="798"/>
      <c r="E473" s="804"/>
    </row>
    <row r="474" spans="1:5" ht="38.25" x14ac:dyDescent="0.2">
      <c r="A474" s="796">
        <v>3</v>
      </c>
      <c r="B474" s="799" t="s">
        <v>1761</v>
      </c>
      <c r="C474" s="420" t="s">
        <v>1579</v>
      </c>
      <c r="D474" s="796" t="s">
        <v>1762</v>
      </c>
      <c r="E474" s="802">
        <f>11880*12*7.22*0.6*1.08</f>
        <v>666975.51359999995</v>
      </c>
    </row>
    <row r="475" spans="1:5" x14ac:dyDescent="0.2">
      <c r="A475" s="797"/>
      <c r="B475" s="800"/>
      <c r="C475" s="420" t="s">
        <v>1581</v>
      </c>
      <c r="D475" s="797"/>
      <c r="E475" s="803"/>
    </row>
    <row r="476" spans="1:5" x14ac:dyDescent="0.2">
      <c r="A476" s="797"/>
      <c r="B476" s="800"/>
      <c r="C476" s="420" t="s">
        <v>1582</v>
      </c>
      <c r="D476" s="797"/>
      <c r="E476" s="803"/>
    </row>
    <row r="477" spans="1:5" ht="13.5" thickBot="1" x14ac:dyDescent="0.25">
      <c r="A477" s="798"/>
      <c r="B477" s="801"/>
      <c r="C477" s="422" t="s">
        <v>1590</v>
      </c>
      <c r="D477" s="798"/>
      <c r="E477" s="804"/>
    </row>
    <row r="478" spans="1:5" ht="38.25" x14ac:dyDescent="0.2">
      <c r="A478" s="796">
        <v>4</v>
      </c>
      <c r="B478" s="799" t="s">
        <v>1763</v>
      </c>
      <c r="C478" s="420" t="s">
        <v>1594</v>
      </c>
      <c r="D478" s="796" t="s">
        <v>1762</v>
      </c>
      <c r="E478" s="802">
        <f>11880*12*7.22*0.6*1.08</f>
        <v>666975.51359999995</v>
      </c>
    </row>
    <row r="479" spans="1:5" x14ac:dyDescent="0.2">
      <c r="A479" s="797"/>
      <c r="B479" s="800"/>
      <c r="C479" s="420" t="s">
        <v>1581</v>
      </c>
      <c r="D479" s="797"/>
      <c r="E479" s="803"/>
    </row>
    <row r="480" spans="1:5" x14ac:dyDescent="0.2">
      <c r="A480" s="797"/>
      <c r="B480" s="800"/>
      <c r="C480" s="420" t="s">
        <v>1582</v>
      </c>
      <c r="D480" s="797"/>
      <c r="E480" s="803"/>
    </row>
    <row r="481" spans="1:5" ht="13.5" thickBot="1" x14ac:dyDescent="0.25">
      <c r="A481" s="798"/>
      <c r="B481" s="801"/>
      <c r="C481" s="422" t="s">
        <v>1590</v>
      </c>
      <c r="D481" s="798"/>
      <c r="E481" s="804"/>
    </row>
    <row r="482" spans="1:5" ht="38.25" x14ac:dyDescent="0.2">
      <c r="A482" s="796">
        <v>5</v>
      </c>
      <c r="B482" s="799" t="s">
        <v>1764</v>
      </c>
      <c r="C482" s="420" t="s">
        <v>1596</v>
      </c>
      <c r="D482" s="796" t="s">
        <v>1632</v>
      </c>
      <c r="E482" s="802">
        <f>433690*0.1*7.22*0.6*1.08</f>
        <v>202904.46864000001</v>
      </c>
    </row>
    <row r="483" spans="1:5" x14ac:dyDescent="0.2">
      <c r="A483" s="797"/>
      <c r="B483" s="800"/>
      <c r="C483" s="420" t="s">
        <v>1581</v>
      </c>
      <c r="D483" s="797"/>
      <c r="E483" s="803"/>
    </row>
    <row r="484" spans="1:5" x14ac:dyDescent="0.2">
      <c r="A484" s="797"/>
      <c r="B484" s="800"/>
      <c r="C484" s="420" t="s">
        <v>1582</v>
      </c>
      <c r="D484" s="797"/>
      <c r="E484" s="803"/>
    </row>
    <row r="485" spans="1:5" ht="13.5" thickBot="1" x14ac:dyDescent="0.25">
      <c r="A485" s="798"/>
      <c r="B485" s="801"/>
      <c r="C485" s="422" t="s">
        <v>1590</v>
      </c>
      <c r="D485" s="798"/>
      <c r="E485" s="804"/>
    </row>
    <row r="486" spans="1:5" ht="13.5" thickBot="1" x14ac:dyDescent="0.25">
      <c r="A486" s="811" t="s">
        <v>1765</v>
      </c>
      <c r="B486" s="812"/>
      <c r="C486" s="812"/>
      <c r="D486" s="812"/>
      <c r="E486" s="813"/>
    </row>
    <row r="487" spans="1:5" ht="38.25" x14ac:dyDescent="0.2">
      <c r="A487" s="796">
        <v>1</v>
      </c>
      <c r="B487" s="799" t="s">
        <v>1669</v>
      </c>
      <c r="C487" s="420" t="s">
        <v>1600</v>
      </c>
      <c r="D487" s="796" t="s">
        <v>1639</v>
      </c>
      <c r="E487" s="802">
        <f>21120*4*7.22*0.6*1.08</f>
        <v>395244.7488</v>
      </c>
    </row>
    <row r="488" spans="1:5" x14ac:dyDescent="0.2">
      <c r="A488" s="797"/>
      <c r="B488" s="800"/>
      <c r="C488" s="420" t="s">
        <v>1581</v>
      </c>
      <c r="D488" s="797"/>
      <c r="E488" s="803"/>
    </row>
    <row r="489" spans="1:5" x14ac:dyDescent="0.2">
      <c r="A489" s="797"/>
      <c r="B489" s="800"/>
      <c r="C489" s="420" t="s">
        <v>1582</v>
      </c>
      <c r="D489" s="797"/>
      <c r="E489" s="803"/>
    </row>
    <row r="490" spans="1:5" ht="13.5" thickBot="1" x14ac:dyDescent="0.25">
      <c r="A490" s="798"/>
      <c r="B490" s="801"/>
      <c r="C490" s="422" t="s">
        <v>1590</v>
      </c>
      <c r="D490" s="798"/>
      <c r="E490" s="804"/>
    </row>
    <row r="491" spans="1:5" ht="38.25" x14ac:dyDescent="0.2">
      <c r="A491" s="796">
        <v>2</v>
      </c>
      <c r="B491" s="799" t="s">
        <v>1670</v>
      </c>
      <c r="C491" s="420" t="s">
        <v>1596</v>
      </c>
      <c r="D491" s="796" t="s">
        <v>1603</v>
      </c>
      <c r="E491" s="802">
        <f>433690*0.2*7.22*0.6*1.08</f>
        <v>405808.93728000001</v>
      </c>
    </row>
    <row r="492" spans="1:5" x14ac:dyDescent="0.2">
      <c r="A492" s="797"/>
      <c r="B492" s="800"/>
      <c r="C492" s="420" t="s">
        <v>1581</v>
      </c>
      <c r="D492" s="797"/>
      <c r="E492" s="803"/>
    </row>
    <row r="493" spans="1:5" x14ac:dyDescent="0.2">
      <c r="A493" s="797"/>
      <c r="B493" s="800"/>
      <c r="C493" s="420" t="s">
        <v>1582</v>
      </c>
      <c r="D493" s="797"/>
      <c r="E493" s="803"/>
    </row>
    <row r="494" spans="1:5" ht="13.5" thickBot="1" x14ac:dyDescent="0.25">
      <c r="A494" s="798"/>
      <c r="B494" s="801"/>
      <c r="C494" s="422" t="s">
        <v>1590</v>
      </c>
      <c r="D494" s="798"/>
      <c r="E494" s="804"/>
    </row>
    <row r="495" spans="1:5" ht="38.25" x14ac:dyDescent="0.2">
      <c r="A495" s="796">
        <v>3</v>
      </c>
      <c r="B495" s="799" t="s">
        <v>1671</v>
      </c>
      <c r="C495" s="420" t="s">
        <v>1588</v>
      </c>
      <c r="D495" s="796" t="s">
        <v>1753</v>
      </c>
      <c r="E495" s="802">
        <f>10070*9*7.22*0.6*1.08</f>
        <v>424017.89279999997</v>
      </c>
    </row>
    <row r="496" spans="1:5" x14ac:dyDescent="0.2">
      <c r="A496" s="797"/>
      <c r="B496" s="800"/>
      <c r="C496" s="420" t="s">
        <v>1581</v>
      </c>
      <c r="D496" s="797"/>
      <c r="E496" s="803"/>
    </row>
    <row r="497" spans="1:5" x14ac:dyDescent="0.2">
      <c r="A497" s="797"/>
      <c r="B497" s="800"/>
      <c r="C497" s="420" t="s">
        <v>1582</v>
      </c>
      <c r="D497" s="797"/>
      <c r="E497" s="803"/>
    </row>
    <row r="498" spans="1:5" ht="13.5" thickBot="1" x14ac:dyDescent="0.25">
      <c r="A498" s="798"/>
      <c r="B498" s="801"/>
      <c r="C498" s="422" t="s">
        <v>1590</v>
      </c>
      <c r="D498" s="798"/>
      <c r="E498" s="804"/>
    </row>
    <row r="499" spans="1:5" ht="38.25" x14ac:dyDescent="0.2">
      <c r="A499" s="796">
        <v>4</v>
      </c>
      <c r="B499" s="799" t="s">
        <v>1766</v>
      </c>
      <c r="C499" s="420" t="s">
        <v>1607</v>
      </c>
      <c r="D499" s="796" t="s">
        <v>1673</v>
      </c>
      <c r="E499" s="834">
        <f>8870*1*7.22*0.6*1.08</f>
        <v>41498.8272</v>
      </c>
    </row>
    <row r="500" spans="1:5" x14ac:dyDescent="0.2">
      <c r="A500" s="797"/>
      <c r="B500" s="800"/>
      <c r="C500" s="420" t="s">
        <v>1581</v>
      </c>
      <c r="D500" s="797"/>
      <c r="E500" s="803"/>
    </row>
    <row r="501" spans="1:5" x14ac:dyDescent="0.2">
      <c r="A501" s="797"/>
      <c r="B501" s="800"/>
      <c r="C501" s="420" t="s">
        <v>1582</v>
      </c>
      <c r="D501" s="797"/>
      <c r="E501" s="803"/>
    </row>
    <row r="502" spans="1:5" ht="13.5" thickBot="1" x14ac:dyDescent="0.25">
      <c r="A502" s="798"/>
      <c r="B502" s="801"/>
      <c r="C502" s="422" t="s">
        <v>1590</v>
      </c>
      <c r="D502" s="798"/>
      <c r="E502" s="804"/>
    </row>
    <row r="503" spans="1:5" ht="13.5" thickBot="1" x14ac:dyDescent="0.25">
      <c r="A503" s="811" t="s">
        <v>1277</v>
      </c>
      <c r="B503" s="812"/>
      <c r="C503" s="812"/>
      <c r="D503" s="812"/>
      <c r="E503" s="813"/>
    </row>
    <row r="504" spans="1:5" ht="13.5" thickBot="1" x14ac:dyDescent="0.25">
      <c r="A504" s="811" t="s">
        <v>1767</v>
      </c>
      <c r="B504" s="812"/>
      <c r="C504" s="812"/>
      <c r="D504" s="812"/>
      <c r="E504" s="813"/>
    </row>
    <row r="505" spans="1:5" ht="38.25" x14ac:dyDescent="0.2">
      <c r="A505" s="796">
        <v>1</v>
      </c>
      <c r="B505" s="799" t="s">
        <v>1768</v>
      </c>
      <c r="C505" s="420" t="s">
        <v>1596</v>
      </c>
      <c r="D505" s="796" t="s">
        <v>1769</v>
      </c>
      <c r="E505" s="802">
        <f>433690*0.5*7.22*0.6*1.08</f>
        <v>1014522.3432</v>
      </c>
    </row>
    <row r="506" spans="1:5" x14ac:dyDescent="0.2">
      <c r="A506" s="797"/>
      <c r="B506" s="800"/>
      <c r="C506" s="420" t="s">
        <v>1581</v>
      </c>
      <c r="D506" s="797"/>
      <c r="E506" s="803"/>
    </row>
    <row r="507" spans="1:5" x14ac:dyDescent="0.2">
      <c r="A507" s="797"/>
      <c r="B507" s="800"/>
      <c r="C507" s="420" t="s">
        <v>1582</v>
      </c>
      <c r="D507" s="797"/>
      <c r="E507" s="803"/>
    </row>
    <row r="508" spans="1:5" ht="13.5" thickBot="1" x14ac:dyDescent="0.25">
      <c r="A508" s="798"/>
      <c r="B508" s="801"/>
      <c r="C508" s="422" t="s">
        <v>1590</v>
      </c>
      <c r="D508" s="798"/>
      <c r="E508" s="804"/>
    </row>
    <row r="509" spans="1:5" ht="38.25" x14ac:dyDescent="0.2">
      <c r="A509" s="796">
        <v>2</v>
      </c>
      <c r="B509" s="799" t="s">
        <v>1770</v>
      </c>
      <c r="C509" s="420" t="s">
        <v>1645</v>
      </c>
      <c r="D509" s="796" t="s">
        <v>1725</v>
      </c>
      <c r="E509" s="802">
        <f>2640*8*7.22*0.6*1.08</f>
        <v>98811.1872</v>
      </c>
    </row>
    <row r="510" spans="1:5" x14ac:dyDescent="0.2">
      <c r="A510" s="797"/>
      <c r="B510" s="800"/>
      <c r="C510" s="420" t="s">
        <v>1581</v>
      </c>
      <c r="D510" s="797"/>
      <c r="E510" s="803"/>
    </row>
    <row r="511" spans="1:5" x14ac:dyDescent="0.2">
      <c r="A511" s="797"/>
      <c r="B511" s="800"/>
      <c r="C511" s="420" t="s">
        <v>1582</v>
      </c>
      <c r="D511" s="797"/>
      <c r="E511" s="803"/>
    </row>
    <row r="512" spans="1:5" ht="13.5" thickBot="1" x14ac:dyDescent="0.25">
      <c r="A512" s="798"/>
      <c r="B512" s="801"/>
      <c r="C512" s="422" t="s">
        <v>1590</v>
      </c>
      <c r="D512" s="798"/>
      <c r="E512" s="804"/>
    </row>
    <row r="513" spans="1:5" ht="13.5" thickBot="1" x14ac:dyDescent="0.25">
      <c r="A513" s="829" t="s">
        <v>1771</v>
      </c>
      <c r="B513" s="812"/>
      <c r="C513" s="812"/>
      <c r="D513" s="812"/>
      <c r="E513" s="813"/>
    </row>
    <row r="514" spans="1:5" ht="38.25" x14ac:dyDescent="0.2">
      <c r="A514" s="796">
        <v>1</v>
      </c>
      <c r="B514" s="799" t="s">
        <v>1772</v>
      </c>
      <c r="C514" s="420" t="s">
        <v>1676</v>
      </c>
      <c r="D514" s="796" t="s">
        <v>1773</v>
      </c>
      <c r="E514" s="802">
        <f>34650*2.5*7.22*0.6*1.08</f>
        <v>405280.26</v>
      </c>
    </row>
    <row r="515" spans="1:5" x14ac:dyDescent="0.2">
      <c r="A515" s="797"/>
      <c r="B515" s="800"/>
      <c r="C515" s="420" t="s">
        <v>1581</v>
      </c>
      <c r="D515" s="797"/>
      <c r="E515" s="803"/>
    </row>
    <row r="516" spans="1:5" x14ac:dyDescent="0.2">
      <c r="A516" s="797"/>
      <c r="B516" s="800"/>
      <c r="C516" s="420" t="s">
        <v>1582</v>
      </c>
      <c r="D516" s="797"/>
      <c r="E516" s="803"/>
    </row>
    <row r="517" spans="1:5" ht="13.5" thickBot="1" x14ac:dyDescent="0.25">
      <c r="A517" s="798"/>
      <c r="B517" s="801"/>
      <c r="C517" s="422" t="s">
        <v>1590</v>
      </c>
      <c r="D517" s="798"/>
      <c r="E517" s="804"/>
    </row>
    <row r="518" spans="1:5" ht="13.5" thickBot="1" x14ac:dyDescent="0.25">
      <c r="A518" s="829" t="s">
        <v>1774</v>
      </c>
      <c r="B518" s="812"/>
      <c r="C518" s="812"/>
      <c r="D518" s="812"/>
      <c r="E518" s="813"/>
    </row>
    <row r="519" spans="1:5" ht="38.25" x14ac:dyDescent="0.2">
      <c r="A519" s="796">
        <v>1</v>
      </c>
      <c r="B519" s="799" t="s">
        <v>1678</v>
      </c>
      <c r="C519" s="420" t="s">
        <v>1679</v>
      </c>
      <c r="D519" s="796" t="s">
        <v>1680</v>
      </c>
      <c r="E519" s="802">
        <f>8450*1*7.22*0.6*1.08</f>
        <v>39533.832000000002</v>
      </c>
    </row>
    <row r="520" spans="1:5" x14ac:dyDescent="0.2">
      <c r="A520" s="797"/>
      <c r="B520" s="800"/>
      <c r="C520" s="420" t="s">
        <v>1581</v>
      </c>
      <c r="D520" s="797"/>
      <c r="E520" s="803"/>
    </row>
    <row r="521" spans="1:5" x14ac:dyDescent="0.2">
      <c r="A521" s="797"/>
      <c r="B521" s="800"/>
      <c r="C521" s="420" t="s">
        <v>1582</v>
      </c>
      <c r="D521" s="797"/>
      <c r="E521" s="803"/>
    </row>
    <row r="522" spans="1:5" ht="13.5" thickBot="1" x14ac:dyDescent="0.25">
      <c r="A522" s="798"/>
      <c r="B522" s="801"/>
      <c r="C522" s="422" t="s">
        <v>1590</v>
      </c>
      <c r="D522" s="798"/>
      <c r="E522" s="804"/>
    </row>
    <row r="523" spans="1:5" ht="38.25" x14ac:dyDescent="0.2">
      <c r="A523" s="796">
        <v>2</v>
      </c>
      <c r="B523" s="799" t="s">
        <v>1606</v>
      </c>
      <c r="C523" s="420" t="s">
        <v>1607</v>
      </c>
      <c r="D523" s="796" t="s">
        <v>1673</v>
      </c>
      <c r="E523" s="802">
        <f>8870*1*7.22*0.6*1.08</f>
        <v>41498.8272</v>
      </c>
    </row>
    <row r="524" spans="1:5" x14ac:dyDescent="0.2">
      <c r="A524" s="797"/>
      <c r="B524" s="800"/>
      <c r="C524" s="420" t="s">
        <v>1581</v>
      </c>
      <c r="D524" s="797"/>
      <c r="E524" s="803"/>
    </row>
    <row r="525" spans="1:5" x14ac:dyDescent="0.2">
      <c r="A525" s="797"/>
      <c r="B525" s="800"/>
      <c r="C525" s="420" t="s">
        <v>1582</v>
      </c>
      <c r="D525" s="797"/>
      <c r="E525" s="803"/>
    </row>
    <row r="526" spans="1:5" ht="13.5" thickBot="1" x14ac:dyDescent="0.25">
      <c r="A526" s="798"/>
      <c r="B526" s="801"/>
      <c r="C526" s="422" t="s">
        <v>1590</v>
      </c>
      <c r="D526" s="798"/>
      <c r="E526" s="804"/>
    </row>
    <row r="527" spans="1:5" ht="13.5" thickBot="1" x14ac:dyDescent="0.25">
      <c r="A527" s="811" t="s">
        <v>1775</v>
      </c>
      <c r="B527" s="812"/>
      <c r="C527" s="812"/>
      <c r="D527" s="812"/>
      <c r="E527" s="813"/>
    </row>
    <row r="528" spans="1:5" ht="38.25" x14ac:dyDescent="0.2">
      <c r="A528" s="796">
        <v>1</v>
      </c>
      <c r="B528" s="799" t="s">
        <v>1682</v>
      </c>
      <c r="C528" s="420" t="s">
        <v>1600</v>
      </c>
      <c r="D528" s="796" t="s">
        <v>1683</v>
      </c>
      <c r="E528" s="802">
        <f>21120*1*7.22*0.6*1.08</f>
        <v>98811.1872</v>
      </c>
    </row>
    <row r="529" spans="1:5" x14ac:dyDescent="0.2">
      <c r="A529" s="797"/>
      <c r="B529" s="800"/>
      <c r="C529" s="420" t="s">
        <v>1581</v>
      </c>
      <c r="D529" s="797"/>
      <c r="E529" s="803"/>
    </row>
    <row r="530" spans="1:5" x14ac:dyDescent="0.2">
      <c r="A530" s="797"/>
      <c r="B530" s="800"/>
      <c r="C530" s="420" t="s">
        <v>1582</v>
      </c>
      <c r="D530" s="797"/>
      <c r="E530" s="803"/>
    </row>
    <row r="531" spans="1:5" ht="13.5" thickBot="1" x14ac:dyDescent="0.25">
      <c r="A531" s="798"/>
      <c r="B531" s="801"/>
      <c r="C531" s="422" t="s">
        <v>1590</v>
      </c>
      <c r="D531" s="798"/>
      <c r="E531" s="804"/>
    </row>
    <row r="532" spans="1:5" ht="38.25" x14ac:dyDescent="0.2">
      <c r="A532" s="796">
        <v>2</v>
      </c>
      <c r="B532" s="799" t="s">
        <v>1776</v>
      </c>
      <c r="C532" s="420" t="s">
        <v>1596</v>
      </c>
      <c r="D532" s="796" t="s">
        <v>1729</v>
      </c>
      <c r="E532" s="802">
        <f>433690*0.7*7.22*0.6*1.08</f>
        <v>1420331.28048</v>
      </c>
    </row>
    <row r="533" spans="1:5" x14ac:dyDescent="0.2">
      <c r="A533" s="797"/>
      <c r="B533" s="800"/>
      <c r="C533" s="420" t="s">
        <v>1581</v>
      </c>
      <c r="D533" s="797"/>
      <c r="E533" s="803"/>
    </row>
    <row r="534" spans="1:5" x14ac:dyDescent="0.2">
      <c r="A534" s="797"/>
      <c r="B534" s="800"/>
      <c r="C534" s="420" t="s">
        <v>1582</v>
      </c>
      <c r="D534" s="797"/>
      <c r="E534" s="803"/>
    </row>
    <row r="535" spans="1:5" ht="13.5" thickBot="1" x14ac:dyDescent="0.25">
      <c r="A535" s="798"/>
      <c r="B535" s="801"/>
      <c r="C535" s="422" t="s">
        <v>1590</v>
      </c>
      <c r="D535" s="798"/>
      <c r="E535" s="804"/>
    </row>
    <row r="536" spans="1:5" ht="38.25" x14ac:dyDescent="0.2">
      <c r="A536" s="796">
        <v>3</v>
      </c>
      <c r="B536" s="799" t="s">
        <v>1770</v>
      </c>
      <c r="C536" s="420" t="s">
        <v>1645</v>
      </c>
      <c r="D536" s="796" t="s">
        <v>1777</v>
      </c>
      <c r="E536" s="802">
        <f>2640*12*7.22*0.6*1.08</f>
        <v>148216.78080000001</v>
      </c>
    </row>
    <row r="537" spans="1:5" x14ac:dyDescent="0.2">
      <c r="A537" s="797"/>
      <c r="B537" s="800"/>
      <c r="C537" s="420" t="s">
        <v>1581</v>
      </c>
      <c r="D537" s="797"/>
      <c r="E537" s="803"/>
    </row>
    <row r="538" spans="1:5" x14ac:dyDescent="0.2">
      <c r="A538" s="797"/>
      <c r="B538" s="800"/>
      <c r="C538" s="420" t="s">
        <v>1582</v>
      </c>
      <c r="D538" s="797"/>
      <c r="E538" s="803"/>
    </row>
    <row r="539" spans="1:5" ht="13.5" thickBot="1" x14ac:dyDescent="0.25">
      <c r="A539" s="798"/>
      <c r="B539" s="801"/>
      <c r="C539" s="422" t="s">
        <v>1590</v>
      </c>
      <c r="D539" s="798"/>
      <c r="E539" s="804"/>
    </row>
    <row r="540" spans="1:5" ht="13.5" thickBot="1" x14ac:dyDescent="0.25">
      <c r="A540" s="829" t="s">
        <v>1778</v>
      </c>
      <c r="B540" s="812"/>
      <c r="C540" s="812"/>
      <c r="D540" s="812"/>
      <c r="E540" s="813"/>
    </row>
    <row r="541" spans="1:5" ht="38.25" x14ac:dyDescent="0.2">
      <c r="A541" s="796">
        <v>1</v>
      </c>
      <c r="B541" s="799" t="s">
        <v>1682</v>
      </c>
      <c r="C541" s="420" t="s">
        <v>1600</v>
      </c>
      <c r="D541" s="796" t="s">
        <v>1683</v>
      </c>
      <c r="E541" s="802">
        <f>21120*1*7.22*0.6*1.08</f>
        <v>98811.1872</v>
      </c>
    </row>
    <row r="542" spans="1:5" x14ac:dyDescent="0.2">
      <c r="A542" s="797"/>
      <c r="B542" s="800"/>
      <c r="C542" s="420" t="s">
        <v>1581</v>
      </c>
      <c r="D542" s="797"/>
      <c r="E542" s="803"/>
    </row>
    <row r="543" spans="1:5" x14ac:dyDescent="0.2">
      <c r="A543" s="797"/>
      <c r="B543" s="800"/>
      <c r="C543" s="420" t="s">
        <v>1582</v>
      </c>
      <c r="D543" s="797"/>
      <c r="E543" s="803"/>
    </row>
    <row r="544" spans="1:5" ht="13.5" thickBot="1" x14ac:dyDescent="0.25">
      <c r="A544" s="798"/>
      <c r="B544" s="801"/>
      <c r="C544" s="422" t="s">
        <v>1590</v>
      </c>
      <c r="D544" s="798"/>
      <c r="E544" s="804"/>
    </row>
    <row r="545" spans="1:7" ht="38.25" x14ac:dyDescent="0.2">
      <c r="A545" s="796">
        <v>2</v>
      </c>
      <c r="B545" s="799" t="s">
        <v>1776</v>
      </c>
      <c r="C545" s="420" t="s">
        <v>1596</v>
      </c>
      <c r="D545" s="796" t="s">
        <v>1729</v>
      </c>
      <c r="E545" s="802">
        <f>433690*0.7*7.22*0.6*1.08</f>
        <v>1420331.28048</v>
      </c>
    </row>
    <row r="546" spans="1:7" x14ac:dyDescent="0.2">
      <c r="A546" s="797"/>
      <c r="B546" s="800"/>
      <c r="C546" s="420" t="s">
        <v>1581</v>
      </c>
      <c r="D546" s="797"/>
      <c r="E546" s="803"/>
    </row>
    <row r="547" spans="1:7" x14ac:dyDescent="0.2">
      <c r="A547" s="797"/>
      <c r="B547" s="800"/>
      <c r="C547" s="420" t="s">
        <v>1582</v>
      </c>
      <c r="D547" s="797"/>
      <c r="E547" s="803"/>
    </row>
    <row r="548" spans="1:7" ht="13.5" thickBot="1" x14ac:dyDescent="0.25">
      <c r="A548" s="798"/>
      <c r="B548" s="801"/>
      <c r="C548" s="422" t="s">
        <v>1590</v>
      </c>
      <c r="D548" s="798"/>
      <c r="E548" s="804"/>
    </row>
    <row r="549" spans="1:7" ht="38.25" x14ac:dyDescent="0.2">
      <c r="A549" s="796">
        <v>3</v>
      </c>
      <c r="B549" s="799" t="s">
        <v>1770</v>
      </c>
      <c r="C549" s="420" t="s">
        <v>1645</v>
      </c>
      <c r="D549" s="796" t="s">
        <v>1777</v>
      </c>
      <c r="E549" s="802">
        <f>2640*12*7.22*0.6*1.08</f>
        <v>148216.78080000001</v>
      </c>
    </row>
    <row r="550" spans="1:7" x14ac:dyDescent="0.2">
      <c r="A550" s="797"/>
      <c r="B550" s="800"/>
      <c r="C550" s="420" t="s">
        <v>1581</v>
      </c>
      <c r="D550" s="797"/>
      <c r="E550" s="803"/>
    </row>
    <row r="551" spans="1:7" x14ac:dyDescent="0.2">
      <c r="A551" s="797"/>
      <c r="B551" s="800"/>
      <c r="C551" s="420" t="s">
        <v>1582</v>
      </c>
      <c r="D551" s="797"/>
      <c r="E551" s="803"/>
    </row>
    <row r="552" spans="1:7" ht="13.5" thickBot="1" x14ac:dyDescent="0.25">
      <c r="A552" s="798"/>
      <c r="B552" s="801"/>
      <c r="C552" s="422" t="s">
        <v>1590</v>
      </c>
      <c r="D552" s="798"/>
      <c r="E552" s="804"/>
    </row>
    <row r="553" spans="1:7" ht="13.5" thickBot="1" x14ac:dyDescent="0.25">
      <c r="A553" s="829" t="s">
        <v>933</v>
      </c>
      <c r="B553" s="812"/>
      <c r="C553" s="812"/>
      <c r="D553" s="812"/>
      <c r="E553" s="813"/>
    </row>
    <row r="554" spans="1:7" x14ac:dyDescent="0.2">
      <c r="A554" s="829" t="s">
        <v>1779</v>
      </c>
      <c r="B554" s="812"/>
      <c r="C554" s="812"/>
      <c r="D554" s="812"/>
      <c r="E554" s="813"/>
    </row>
    <row r="555" spans="1:7" ht="38.25" x14ac:dyDescent="0.2">
      <c r="A555" s="421">
        <v>1</v>
      </c>
      <c r="B555" s="422" t="s">
        <v>1780</v>
      </c>
      <c r="C555" s="422"/>
      <c r="D555" s="423"/>
      <c r="E555" s="425"/>
    </row>
    <row r="556" spans="1:7" ht="102" x14ac:dyDescent="0.2">
      <c r="A556" s="830" t="s">
        <v>40</v>
      </c>
      <c r="B556" s="799" t="s">
        <v>1781</v>
      </c>
      <c r="C556" s="420" t="s">
        <v>1782</v>
      </c>
      <c r="D556" s="796" t="s">
        <v>1783</v>
      </c>
      <c r="E556" s="802"/>
    </row>
    <row r="557" spans="1:7" ht="38.25" x14ac:dyDescent="0.2">
      <c r="A557" s="831"/>
      <c r="B557" s="801"/>
      <c r="C557" s="422" t="s">
        <v>1784</v>
      </c>
      <c r="D557" s="798"/>
      <c r="E557" s="804"/>
    </row>
    <row r="558" spans="1:7" ht="51.75" thickBot="1" x14ac:dyDescent="0.25">
      <c r="A558" s="451" t="s">
        <v>42</v>
      </c>
      <c r="B558" s="422" t="s">
        <v>1785</v>
      </c>
      <c r="C558" s="422" t="s">
        <v>1786</v>
      </c>
      <c r="D558" s="423" t="s">
        <v>1787</v>
      </c>
      <c r="E558" s="425"/>
    </row>
    <row r="559" spans="1:7" x14ac:dyDescent="0.2">
      <c r="A559" s="830" t="s">
        <v>44</v>
      </c>
      <c r="B559" s="799" t="s">
        <v>1788</v>
      </c>
      <c r="C559" s="420"/>
      <c r="D559" s="833" t="s">
        <v>2333</v>
      </c>
      <c r="E559" s="802">
        <f>3.56*111025.075*7.22*0.6</f>
        <v>1712219.824644</v>
      </c>
      <c r="G559" s="558"/>
    </row>
    <row r="560" spans="1:7" x14ac:dyDescent="0.2">
      <c r="A560" s="832"/>
      <c r="B560" s="800"/>
      <c r="C560" s="420" t="s">
        <v>1789</v>
      </c>
      <c r="D560" s="797"/>
      <c r="E560" s="803"/>
      <c r="G560" s="558"/>
    </row>
    <row r="561" spans="1:7" ht="13.5" thickBot="1" x14ac:dyDescent="0.25">
      <c r="A561" s="831"/>
      <c r="B561" s="801"/>
      <c r="C561" s="422" t="s">
        <v>1790</v>
      </c>
      <c r="D561" s="798"/>
      <c r="E561" s="804"/>
      <c r="G561" s="558"/>
    </row>
    <row r="562" spans="1:7" ht="30" customHeight="1" thickBot="1" x14ac:dyDescent="0.25">
      <c r="A562" s="510"/>
      <c r="B562" s="511" t="s">
        <v>2323</v>
      </c>
      <c r="C562" s="509" t="s">
        <v>2325</v>
      </c>
      <c r="D562" s="515" t="s">
        <v>2318</v>
      </c>
      <c r="E562" s="512">
        <f>E559*0.7</f>
        <v>1198553.8772507999</v>
      </c>
    </row>
    <row r="563" spans="1:7" s="513" customFormat="1" ht="22.5" customHeight="1" thickBot="1" x14ac:dyDescent="0.3">
      <c r="A563" s="826" t="s">
        <v>892</v>
      </c>
      <c r="B563" s="827"/>
      <c r="C563" s="827"/>
      <c r="D563" s="827"/>
      <c r="E563" s="828"/>
    </row>
    <row r="564" spans="1:7" ht="13.5" thickBot="1" x14ac:dyDescent="0.25">
      <c r="A564" s="790" t="s">
        <v>1791</v>
      </c>
      <c r="B564" s="791"/>
      <c r="C564" s="791"/>
      <c r="D564" s="791"/>
      <c r="E564" s="792"/>
    </row>
    <row r="565" spans="1:7" ht="38.25" x14ac:dyDescent="0.2">
      <c r="A565" s="778">
        <v>1</v>
      </c>
      <c r="B565" s="781" t="s">
        <v>1792</v>
      </c>
      <c r="C565" s="401" t="s">
        <v>1600</v>
      </c>
      <c r="D565" s="778" t="s">
        <v>1793</v>
      </c>
      <c r="E565" s="784">
        <f>21120*6*7.22*0.6*1.08</f>
        <v>592867.12320000003</v>
      </c>
    </row>
    <row r="566" spans="1:7" x14ac:dyDescent="0.2">
      <c r="A566" s="779"/>
      <c r="B566" s="782"/>
      <c r="C566" s="401" t="s">
        <v>1581</v>
      </c>
      <c r="D566" s="779"/>
      <c r="E566" s="785"/>
    </row>
    <row r="567" spans="1:7" x14ac:dyDescent="0.2">
      <c r="A567" s="779"/>
      <c r="B567" s="782"/>
      <c r="C567" s="401" t="s">
        <v>1582</v>
      </c>
      <c r="D567" s="779"/>
      <c r="E567" s="785"/>
    </row>
    <row r="568" spans="1:7" ht="13.5" thickBot="1" x14ac:dyDescent="0.25">
      <c r="A568" s="780"/>
      <c r="B568" s="783"/>
      <c r="C568" s="405" t="s">
        <v>1590</v>
      </c>
      <c r="D568" s="780"/>
      <c r="E568" s="786"/>
    </row>
    <row r="569" spans="1:7" ht="38.25" x14ac:dyDescent="0.2">
      <c r="A569" s="778">
        <v>2</v>
      </c>
      <c r="B569" s="781" t="s">
        <v>1794</v>
      </c>
      <c r="C569" s="401" t="s">
        <v>1641</v>
      </c>
      <c r="D569" s="778" t="s">
        <v>1795</v>
      </c>
      <c r="E569" s="784">
        <f>11083*4*7.22*0.6*1.08</f>
        <v>207409.92191999999</v>
      </c>
    </row>
    <row r="570" spans="1:7" x14ac:dyDescent="0.2">
      <c r="A570" s="779"/>
      <c r="B570" s="782"/>
      <c r="C570" s="401" t="s">
        <v>1581</v>
      </c>
      <c r="D570" s="779"/>
      <c r="E570" s="785"/>
    </row>
    <row r="571" spans="1:7" x14ac:dyDescent="0.2">
      <c r="A571" s="779"/>
      <c r="B571" s="782"/>
      <c r="C571" s="401" t="s">
        <v>1643</v>
      </c>
      <c r="D571" s="779"/>
      <c r="E571" s="785"/>
    </row>
    <row r="572" spans="1:7" ht="13.5" thickBot="1" x14ac:dyDescent="0.25">
      <c r="A572" s="780"/>
      <c r="B572" s="783"/>
      <c r="C572" s="405" t="s">
        <v>1590</v>
      </c>
      <c r="D572" s="780"/>
      <c r="E572" s="786"/>
    </row>
    <row r="573" spans="1:7" ht="38.25" x14ac:dyDescent="0.2">
      <c r="A573" s="778">
        <v>3</v>
      </c>
      <c r="B573" s="781" t="s">
        <v>1796</v>
      </c>
      <c r="C573" s="401" t="s">
        <v>1596</v>
      </c>
      <c r="D573" s="778" t="s">
        <v>1690</v>
      </c>
      <c r="E573" s="784">
        <f>433690*0.6*7.22*0.6*1.08</f>
        <v>1217426.8118400001</v>
      </c>
    </row>
    <row r="574" spans="1:7" x14ac:dyDescent="0.2">
      <c r="A574" s="779"/>
      <c r="B574" s="782"/>
      <c r="C574" s="401" t="s">
        <v>1581</v>
      </c>
      <c r="D574" s="779"/>
      <c r="E574" s="785"/>
    </row>
    <row r="575" spans="1:7" x14ac:dyDescent="0.2">
      <c r="A575" s="779"/>
      <c r="B575" s="782"/>
      <c r="C575" s="401" t="s">
        <v>1582</v>
      </c>
      <c r="D575" s="779"/>
      <c r="E575" s="785"/>
    </row>
    <row r="576" spans="1:7" ht="13.5" thickBot="1" x14ac:dyDescent="0.25">
      <c r="A576" s="780"/>
      <c r="B576" s="783"/>
      <c r="C576" s="405" t="s">
        <v>1590</v>
      </c>
      <c r="D576" s="780"/>
      <c r="E576" s="786"/>
    </row>
    <row r="577" spans="1:7" ht="38.25" x14ac:dyDescent="0.2">
      <c r="A577" s="778">
        <v>4</v>
      </c>
      <c r="B577" s="781" t="s">
        <v>1797</v>
      </c>
      <c r="C577" s="401" t="s">
        <v>1588</v>
      </c>
      <c r="D577" s="778" t="s">
        <v>1753</v>
      </c>
      <c r="E577" s="784">
        <f>10070*9*7.22*0.6*1.08</f>
        <v>424017.89279999997</v>
      </c>
    </row>
    <row r="578" spans="1:7" x14ac:dyDescent="0.2">
      <c r="A578" s="779"/>
      <c r="B578" s="782"/>
      <c r="C578" s="401" t="s">
        <v>1581</v>
      </c>
      <c r="D578" s="779"/>
      <c r="E578" s="785"/>
    </row>
    <row r="579" spans="1:7" x14ac:dyDescent="0.2">
      <c r="A579" s="779"/>
      <c r="B579" s="782"/>
      <c r="C579" s="401" t="s">
        <v>1582</v>
      </c>
      <c r="D579" s="779"/>
      <c r="E579" s="785"/>
    </row>
    <row r="580" spans="1:7" ht="13.5" thickBot="1" x14ac:dyDescent="0.25">
      <c r="A580" s="780"/>
      <c r="B580" s="783"/>
      <c r="C580" s="405" t="s">
        <v>1590</v>
      </c>
      <c r="D580" s="780"/>
      <c r="E580" s="786"/>
    </row>
    <row r="581" spans="1:7" ht="38.25" x14ac:dyDescent="0.2">
      <c r="A581" s="778">
        <v>5</v>
      </c>
      <c r="B581" s="781" t="s">
        <v>1672</v>
      </c>
      <c r="C581" s="401" t="s">
        <v>1607</v>
      </c>
      <c r="D581" s="778" t="s">
        <v>1673</v>
      </c>
      <c r="E581" s="784">
        <f>8870*1*7.22*0.6*1.08</f>
        <v>41498.8272</v>
      </c>
    </row>
    <row r="582" spans="1:7" s="431" customFormat="1" x14ac:dyDescent="0.2">
      <c r="A582" s="779"/>
      <c r="B582" s="782"/>
      <c r="C582" s="401" t="s">
        <v>1581</v>
      </c>
      <c r="D582" s="779"/>
      <c r="E582" s="785"/>
      <c r="F582" s="452"/>
      <c r="G582" s="453"/>
    </row>
    <row r="583" spans="1:7" s="431" customFormat="1" x14ac:dyDescent="0.2">
      <c r="A583" s="779"/>
      <c r="B583" s="782"/>
      <c r="C583" s="401" t="s">
        <v>1582</v>
      </c>
      <c r="D583" s="779"/>
      <c r="E583" s="785"/>
      <c r="F583" s="452"/>
      <c r="G583" s="452"/>
    </row>
    <row r="584" spans="1:7" s="431" customFormat="1" ht="13.5" thickBot="1" x14ac:dyDescent="0.25">
      <c r="A584" s="780"/>
      <c r="B584" s="783"/>
      <c r="C584" s="405" t="s">
        <v>1590</v>
      </c>
      <c r="D584" s="780"/>
      <c r="E584" s="786"/>
    </row>
    <row r="585" spans="1:7" s="431" customFormat="1" ht="13.5" thickBot="1" x14ac:dyDescent="0.25">
      <c r="A585" s="824" t="s">
        <v>1798</v>
      </c>
      <c r="B585" s="791"/>
      <c r="C585" s="791"/>
      <c r="D585" s="791"/>
      <c r="E585" s="792"/>
    </row>
    <row r="586" spans="1:7" s="431" customFormat="1" ht="38.25" x14ac:dyDescent="0.2">
      <c r="A586" s="778">
        <v>1</v>
      </c>
      <c r="B586" s="781" t="s">
        <v>1792</v>
      </c>
      <c r="C586" s="401" t="s">
        <v>1600</v>
      </c>
      <c r="D586" s="778" t="s">
        <v>1793</v>
      </c>
      <c r="E586" s="784">
        <f>21120*6*7.22*0.6*1.08</f>
        <v>592867.12320000003</v>
      </c>
    </row>
    <row r="587" spans="1:7" s="431" customFormat="1" x14ac:dyDescent="0.2">
      <c r="A587" s="779"/>
      <c r="B587" s="782"/>
      <c r="C587" s="401" t="s">
        <v>1581</v>
      </c>
      <c r="D587" s="779"/>
      <c r="E587" s="785"/>
    </row>
    <row r="588" spans="1:7" s="431" customFormat="1" x14ac:dyDescent="0.2">
      <c r="A588" s="779"/>
      <c r="B588" s="782"/>
      <c r="C588" s="401" t="s">
        <v>1582</v>
      </c>
      <c r="D588" s="779"/>
      <c r="E588" s="785"/>
    </row>
    <row r="589" spans="1:7" s="431" customFormat="1" ht="13.5" thickBot="1" x14ac:dyDescent="0.25">
      <c r="A589" s="780"/>
      <c r="B589" s="783"/>
      <c r="C589" s="405" t="s">
        <v>1590</v>
      </c>
      <c r="D589" s="780"/>
      <c r="E589" s="786"/>
    </row>
    <row r="590" spans="1:7" s="431" customFormat="1" ht="38.25" x14ac:dyDescent="0.2">
      <c r="A590" s="778">
        <v>2</v>
      </c>
      <c r="B590" s="781" t="s">
        <v>1794</v>
      </c>
      <c r="C590" s="401" t="s">
        <v>1641</v>
      </c>
      <c r="D590" s="778" t="s">
        <v>1795</v>
      </c>
      <c r="E590" s="784">
        <f>11083*4*7.22*0.6*1.08</f>
        <v>207409.92191999999</v>
      </c>
    </row>
    <row r="591" spans="1:7" s="431" customFormat="1" x14ac:dyDescent="0.2">
      <c r="A591" s="779"/>
      <c r="B591" s="782"/>
      <c r="C591" s="401" t="s">
        <v>1581</v>
      </c>
      <c r="D591" s="779"/>
      <c r="E591" s="785"/>
    </row>
    <row r="592" spans="1:7" s="431" customFormat="1" x14ac:dyDescent="0.2">
      <c r="A592" s="779"/>
      <c r="B592" s="782"/>
      <c r="C592" s="401" t="s">
        <v>1643</v>
      </c>
      <c r="D592" s="779"/>
      <c r="E592" s="785"/>
    </row>
    <row r="593" spans="1:5" s="431" customFormat="1" ht="13.5" thickBot="1" x14ac:dyDescent="0.25">
      <c r="A593" s="780"/>
      <c r="B593" s="783"/>
      <c r="C593" s="405" t="s">
        <v>1590</v>
      </c>
      <c r="D593" s="780"/>
      <c r="E593" s="786"/>
    </row>
    <row r="594" spans="1:5" s="431" customFormat="1" ht="38.25" x14ac:dyDescent="0.2">
      <c r="A594" s="778">
        <v>3</v>
      </c>
      <c r="B594" s="781" t="s">
        <v>1796</v>
      </c>
      <c r="C594" s="401" t="s">
        <v>1596</v>
      </c>
      <c r="D594" s="778" t="s">
        <v>1690</v>
      </c>
      <c r="E594" s="784">
        <f>433690*0.6*7.22*0.6*1.08</f>
        <v>1217426.8118400001</v>
      </c>
    </row>
    <row r="595" spans="1:5" s="431" customFormat="1" x14ac:dyDescent="0.2">
      <c r="A595" s="779"/>
      <c r="B595" s="782"/>
      <c r="C595" s="401" t="s">
        <v>1581</v>
      </c>
      <c r="D595" s="779"/>
      <c r="E595" s="785"/>
    </row>
    <row r="596" spans="1:5" s="431" customFormat="1" x14ac:dyDescent="0.2">
      <c r="A596" s="779"/>
      <c r="B596" s="782"/>
      <c r="C596" s="401" t="s">
        <v>1582</v>
      </c>
      <c r="D596" s="779"/>
      <c r="E596" s="785"/>
    </row>
    <row r="597" spans="1:5" s="431" customFormat="1" ht="13.5" thickBot="1" x14ac:dyDescent="0.25">
      <c r="A597" s="780"/>
      <c r="B597" s="783"/>
      <c r="C597" s="405" t="s">
        <v>1590</v>
      </c>
      <c r="D597" s="780"/>
      <c r="E597" s="786"/>
    </row>
    <row r="598" spans="1:5" s="431" customFormat="1" ht="38.25" x14ac:dyDescent="0.2">
      <c r="A598" s="778">
        <v>4</v>
      </c>
      <c r="B598" s="781" t="s">
        <v>1797</v>
      </c>
      <c r="C598" s="401" t="s">
        <v>1588</v>
      </c>
      <c r="D598" s="778" t="s">
        <v>1753</v>
      </c>
      <c r="E598" s="784">
        <f>10070*9*7.22*0.6*1.08</f>
        <v>424017.89279999997</v>
      </c>
    </row>
    <row r="599" spans="1:5" s="431" customFormat="1" x14ac:dyDescent="0.2">
      <c r="A599" s="779"/>
      <c r="B599" s="782"/>
      <c r="C599" s="401" t="s">
        <v>1581</v>
      </c>
      <c r="D599" s="779"/>
      <c r="E599" s="785"/>
    </row>
    <row r="600" spans="1:5" s="431" customFormat="1" x14ac:dyDescent="0.2">
      <c r="A600" s="779"/>
      <c r="B600" s="782"/>
      <c r="C600" s="401" t="s">
        <v>1582</v>
      </c>
      <c r="D600" s="779"/>
      <c r="E600" s="785"/>
    </row>
    <row r="601" spans="1:5" s="431" customFormat="1" ht="13.5" thickBot="1" x14ac:dyDescent="0.25">
      <c r="A601" s="780"/>
      <c r="B601" s="783"/>
      <c r="C601" s="405" t="s">
        <v>1590</v>
      </c>
      <c r="D601" s="780"/>
      <c r="E601" s="786"/>
    </row>
    <row r="602" spans="1:5" s="431" customFormat="1" ht="38.25" x14ac:dyDescent="0.2">
      <c r="A602" s="778">
        <v>5</v>
      </c>
      <c r="B602" s="781" t="s">
        <v>1672</v>
      </c>
      <c r="C602" s="401" t="s">
        <v>1607</v>
      </c>
      <c r="D602" s="778" t="s">
        <v>1673</v>
      </c>
      <c r="E602" s="825">
        <f>8870*1*7.22*0.6*1.08</f>
        <v>41498.8272</v>
      </c>
    </row>
    <row r="603" spans="1:5" s="431" customFormat="1" x14ac:dyDescent="0.2">
      <c r="A603" s="779"/>
      <c r="B603" s="782"/>
      <c r="C603" s="401" t="s">
        <v>1581</v>
      </c>
      <c r="D603" s="779"/>
      <c r="E603" s="785"/>
    </row>
    <row r="604" spans="1:5" s="431" customFormat="1" x14ac:dyDescent="0.2">
      <c r="A604" s="779"/>
      <c r="B604" s="782"/>
      <c r="C604" s="401" t="s">
        <v>1582</v>
      </c>
      <c r="D604" s="779"/>
      <c r="E604" s="785"/>
    </row>
    <row r="605" spans="1:5" s="431" customFormat="1" ht="13.5" thickBot="1" x14ac:dyDescent="0.25">
      <c r="A605" s="780"/>
      <c r="B605" s="783"/>
      <c r="C605" s="405" t="s">
        <v>1590</v>
      </c>
      <c r="D605" s="780"/>
      <c r="E605" s="786"/>
    </row>
    <row r="606" spans="1:5" s="431" customFormat="1" ht="13.5" thickBot="1" x14ac:dyDescent="0.25">
      <c r="A606" s="790" t="s">
        <v>1799</v>
      </c>
      <c r="B606" s="791"/>
      <c r="C606" s="791"/>
      <c r="D606" s="791"/>
      <c r="E606" s="792"/>
    </row>
    <row r="607" spans="1:5" s="431" customFormat="1" ht="38.25" x14ac:dyDescent="0.2">
      <c r="A607" s="778">
        <v>1</v>
      </c>
      <c r="B607" s="781" t="s">
        <v>1800</v>
      </c>
      <c r="C607" s="401" t="s">
        <v>1600</v>
      </c>
      <c r="D607" s="778" t="s">
        <v>1612</v>
      </c>
      <c r="E607" s="784">
        <f>21120*5*7.22*0.6*1.08</f>
        <v>494055.93600000005</v>
      </c>
    </row>
    <row r="608" spans="1:5" s="431" customFormat="1" x14ac:dyDescent="0.2">
      <c r="A608" s="779"/>
      <c r="B608" s="782"/>
      <c r="C608" s="401" t="s">
        <v>1581</v>
      </c>
      <c r="D608" s="779"/>
      <c r="E608" s="785"/>
    </row>
    <row r="609" spans="1:5" s="431" customFormat="1" x14ac:dyDescent="0.2">
      <c r="A609" s="779"/>
      <c r="B609" s="782"/>
      <c r="C609" s="401" t="s">
        <v>1582</v>
      </c>
      <c r="D609" s="779"/>
      <c r="E609" s="785"/>
    </row>
    <row r="610" spans="1:5" s="431" customFormat="1" ht="13.5" thickBot="1" x14ac:dyDescent="0.25">
      <c r="A610" s="780"/>
      <c r="B610" s="783"/>
      <c r="C610" s="405" t="s">
        <v>1590</v>
      </c>
      <c r="D610" s="780"/>
      <c r="E610" s="786"/>
    </row>
    <row r="611" spans="1:5" s="431" customFormat="1" ht="25.5" x14ac:dyDescent="0.2">
      <c r="A611" s="778">
        <v>2</v>
      </c>
      <c r="B611" s="781" t="s">
        <v>1801</v>
      </c>
      <c r="C611" s="401" t="s">
        <v>1802</v>
      </c>
      <c r="D611" s="778" t="s">
        <v>1803</v>
      </c>
      <c r="E611" s="784">
        <f>400910*(1+(1*0.5))*7.22*0.6*0.35*1.08</f>
        <v>984732.78203999996</v>
      </c>
    </row>
    <row r="612" spans="1:5" s="431" customFormat="1" x14ac:dyDescent="0.2">
      <c r="A612" s="779"/>
      <c r="B612" s="782"/>
      <c r="C612" s="401" t="s">
        <v>1581</v>
      </c>
      <c r="D612" s="779"/>
      <c r="E612" s="785"/>
    </row>
    <row r="613" spans="1:5" s="431" customFormat="1" x14ac:dyDescent="0.2">
      <c r="A613" s="779"/>
      <c r="B613" s="782"/>
      <c r="C613" s="401" t="s">
        <v>1582</v>
      </c>
      <c r="D613" s="779"/>
      <c r="E613" s="785"/>
    </row>
    <row r="614" spans="1:5" s="431" customFormat="1" ht="25.5" x14ac:dyDescent="0.2">
      <c r="A614" s="779"/>
      <c r="B614" s="782"/>
      <c r="C614" s="401" t="s">
        <v>1626</v>
      </c>
      <c r="D614" s="779"/>
      <c r="E614" s="785"/>
    </row>
    <row r="615" spans="1:5" s="431" customFormat="1" ht="13.5" thickBot="1" x14ac:dyDescent="0.25">
      <c r="A615" s="780"/>
      <c r="B615" s="783"/>
      <c r="C615" s="405" t="s">
        <v>1804</v>
      </c>
      <c r="D615" s="780"/>
      <c r="E615" s="786"/>
    </row>
    <row r="616" spans="1:5" s="431" customFormat="1" ht="38.25" x14ac:dyDescent="0.2">
      <c r="A616" s="778">
        <v>3</v>
      </c>
      <c r="B616" s="781" t="s">
        <v>1805</v>
      </c>
      <c r="C616" s="401" t="s">
        <v>1596</v>
      </c>
      <c r="D616" s="778" t="s">
        <v>1614</v>
      </c>
      <c r="E616" s="784">
        <f>433690*0.3*7.22*0.6*1.08</f>
        <v>608713.40592000005</v>
      </c>
    </row>
    <row r="617" spans="1:5" s="431" customFormat="1" x14ac:dyDescent="0.2">
      <c r="A617" s="779"/>
      <c r="B617" s="782"/>
      <c r="C617" s="401" t="s">
        <v>1581</v>
      </c>
      <c r="D617" s="779"/>
      <c r="E617" s="785"/>
    </row>
    <row r="618" spans="1:5" s="431" customFormat="1" x14ac:dyDescent="0.2">
      <c r="A618" s="779"/>
      <c r="B618" s="782"/>
      <c r="C618" s="401" t="s">
        <v>1582</v>
      </c>
      <c r="D618" s="779"/>
      <c r="E618" s="785"/>
    </row>
    <row r="619" spans="1:5" s="431" customFormat="1" ht="13.5" thickBot="1" x14ac:dyDescent="0.25">
      <c r="A619" s="780"/>
      <c r="B619" s="783"/>
      <c r="C619" s="405" t="s">
        <v>1590</v>
      </c>
      <c r="D619" s="780"/>
      <c r="E619" s="786"/>
    </row>
    <row r="620" spans="1:5" s="431" customFormat="1" ht="38.25" x14ac:dyDescent="0.2">
      <c r="A620" s="778">
        <v>4</v>
      </c>
      <c r="B620" s="781" t="s">
        <v>1797</v>
      </c>
      <c r="C620" s="401" t="s">
        <v>1588</v>
      </c>
      <c r="D620" s="778" t="s">
        <v>1753</v>
      </c>
      <c r="E620" s="784">
        <f>10070*9*7.22*0.6*1.08</f>
        <v>424017.89279999997</v>
      </c>
    </row>
    <row r="621" spans="1:5" s="431" customFormat="1" x14ac:dyDescent="0.2">
      <c r="A621" s="779"/>
      <c r="B621" s="782"/>
      <c r="C621" s="401" t="s">
        <v>1581</v>
      </c>
      <c r="D621" s="779"/>
      <c r="E621" s="785"/>
    </row>
    <row r="622" spans="1:5" s="431" customFormat="1" x14ac:dyDescent="0.2">
      <c r="A622" s="779"/>
      <c r="B622" s="782"/>
      <c r="C622" s="401" t="s">
        <v>1582</v>
      </c>
      <c r="D622" s="779"/>
      <c r="E622" s="785"/>
    </row>
    <row r="623" spans="1:5" s="431" customFormat="1" ht="13.5" thickBot="1" x14ac:dyDescent="0.25">
      <c r="A623" s="780"/>
      <c r="B623" s="783"/>
      <c r="C623" s="405" t="s">
        <v>1590</v>
      </c>
      <c r="D623" s="780"/>
      <c r="E623" s="786"/>
    </row>
    <row r="624" spans="1:5" s="431" customFormat="1" ht="38.25" x14ac:dyDescent="0.2">
      <c r="A624" s="778">
        <v>5</v>
      </c>
      <c r="B624" s="781" t="s">
        <v>1766</v>
      </c>
      <c r="C624" s="401" t="s">
        <v>1607</v>
      </c>
      <c r="D624" s="778" t="s">
        <v>1673</v>
      </c>
      <c r="E624" s="784">
        <f>8870*1*7.22*0.6*1.08</f>
        <v>41498.8272</v>
      </c>
    </row>
    <row r="625" spans="1:5" s="431" customFormat="1" x14ac:dyDescent="0.2">
      <c r="A625" s="779"/>
      <c r="B625" s="782"/>
      <c r="C625" s="401" t="s">
        <v>1581</v>
      </c>
      <c r="D625" s="779"/>
      <c r="E625" s="785"/>
    </row>
    <row r="626" spans="1:5" s="431" customFormat="1" x14ac:dyDescent="0.2">
      <c r="A626" s="779"/>
      <c r="B626" s="782"/>
      <c r="C626" s="401" t="s">
        <v>1582</v>
      </c>
      <c r="D626" s="779"/>
      <c r="E626" s="785"/>
    </row>
    <row r="627" spans="1:5" s="431" customFormat="1" ht="13.5" thickBot="1" x14ac:dyDescent="0.25">
      <c r="A627" s="780"/>
      <c r="B627" s="783"/>
      <c r="C627" s="405" t="s">
        <v>1590</v>
      </c>
      <c r="D627" s="780"/>
      <c r="E627" s="786"/>
    </row>
    <row r="628" spans="1:5" s="431" customFormat="1" ht="13.5" thickBot="1" x14ac:dyDescent="0.25">
      <c r="A628" s="824" t="s">
        <v>1806</v>
      </c>
      <c r="B628" s="791"/>
      <c r="C628" s="791"/>
      <c r="D628" s="791"/>
      <c r="E628" s="792"/>
    </row>
    <row r="629" spans="1:5" s="431" customFormat="1" ht="38.25" x14ac:dyDescent="0.2">
      <c r="A629" s="778">
        <v>1</v>
      </c>
      <c r="B629" s="781" t="s">
        <v>1800</v>
      </c>
      <c r="C629" s="401" t="s">
        <v>1600</v>
      </c>
      <c r="D629" s="778" t="s">
        <v>1612</v>
      </c>
      <c r="E629" s="784">
        <f>21120*5*7.22*0.6*1.08</f>
        <v>494055.93600000005</v>
      </c>
    </row>
    <row r="630" spans="1:5" s="431" customFormat="1" x14ac:dyDescent="0.2">
      <c r="A630" s="779"/>
      <c r="B630" s="782"/>
      <c r="C630" s="401" t="s">
        <v>1581</v>
      </c>
      <c r="D630" s="779"/>
      <c r="E630" s="785"/>
    </row>
    <row r="631" spans="1:5" s="431" customFormat="1" x14ac:dyDescent="0.2">
      <c r="A631" s="779"/>
      <c r="B631" s="782"/>
      <c r="C631" s="401" t="s">
        <v>1582</v>
      </c>
      <c r="D631" s="779"/>
      <c r="E631" s="785"/>
    </row>
    <row r="632" spans="1:5" s="431" customFormat="1" ht="13.5" thickBot="1" x14ac:dyDescent="0.25">
      <c r="A632" s="780"/>
      <c r="B632" s="783"/>
      <c r="C632" s="405" t="s">
        <v>1590</v>
      </c>
      <c r="D632" s="780"/>
      <c r="E632" s="786"/>
    </row>
    <row r="633" spans="1:5" s="431" customFormat="1" ht="38.25" x14ac:dyDescent="0.2">
      <c r="A633" s="778">
        <v>2</v>
      </c>
      <c r="B633" s="781" t="s">
        <v>1807</v>
      </c>
      <c r="C633" s="401" t="s">
        <v>1596</v>
      </c>
      <c r="D633" s="778" t="s">
        <v>1808</v>
      </c>
      <c r="E633" s="784">
        <f>433690*0.15*7.22*0.6*1.08</f>
        <v>304356.70296000002</v>
      </c>
    </row>
    <row r="634" spans="1:5" s="431" customFormat="1" x14ac:dyDescent="0.2">
      <c r="A634" s="779"/>
      <c r="B634" s="782"/>
      <c r="C634" s="401" t="s">
        <v>1581</v>
      </c>
      <c r="D634" s="779"/>
      <c r="E634" s="785"/>
    </row>
    <row r="635" spans="1:5" s="431" customFormat="1" x14ac:dyDescent="0.2">
      <c r="A635" s="779"/>
      <c r="B635" s="782"/>
      <c r="C635" s="401" t="s">
        <v>1582</v>
      </c>
      <c r="D635" s="779"/>
      <c r="E635" s="785"/>
    </row>
    <row r="636" spans="1:5" s="431" customFormat="1" ht="13.5" thickBot="1" x14ac:dyDescent="0.25">
      <c r="A636" s="780"/>
      <c r="B636" s="783"/>
      <c r="C636" s="405" t="s">
        <v>1590</v>
      </c>
      <c r="D636" s="780"/>
      <c r="E636" s="786"/>
    </row>
    <row r="637" spans="1:5" s="431" customFormat="1" ht="38.25" x14ac:dyDescent="0.2">
      <c r="A637" s="778">
        <v>3</v>
      </c>
      <c r="B637" s="781" t="s">
        <v>1797</v>
      </c>
      <c r="C637" s="401" t="s">
        <v>1588</v>
      </c>
      <c r="D637" s="778" t="s">
        <v>1753</v>
      </c>
      <c r="E637" s="784">
        <f>10070*9*7.22*0.6*1.08</f>
        <v>424017.89279999997</v>
      </c>
    </row>
    <row r="638" spans="1:5" s="431" customFormat="1" x14ac:dyDescent="0.2">
      <c r="A638" s="779"/>
      <c r="B638" s="782"/>
      <c r="C638" s="401" t="s">
        <v>1581</v>
      </c>
      <c r="D638" s="779"/>
      <c r="E638" s="785"/>
    </row>
    <row r="639" spans="1:5" s="431" customFormat="1" x14ac:dyDescent="0.2">
      <c r="A639" s="779"/>
      <c r="B639" s="782"/>
      <c r="C639" s="401" t="s">
        <v>1582</v>
      </c>
      <c r="D639" s="779"/>
      <c r="E639" s="785"/>
    </row>
    <row r="640" spans="1:5" s="431" customFormat="1" ht="13.5" thickBot="1" x14ac:dyDescent="0.25">
      <c r="A640" s="780"/>
      <c r="B640" s="783"/>
      <c r="C640" s="405" t="s">
        <v>1590</v>
      </c>
      <c r="D640" s="780"/>
      <c r="E640" s="786"/>
    </row>
    <row r="641" spans="1:5" s="431" customFormat="1" ht="38.25" x14ac:dyDescent="0.2">
      <c r="A641" s="778">
        <v>4</v>
      </c>
      <c r="B641" s="781" t="s">
        <v>1766</v>
      </c>
      <c r="C641" s="401" t="s">
        <v>1607</v>
      </c>
      <c r="D641" s="778" t="s">
        <v>1673</v>
      </c>
      <c r="E641" s="784">
        <f>8870*1*7.22*0.6*1.08</f>
        <v>41498.8272</v>
      </c>
    </row>
    <row r="642" spans="1:5" s="431" customFormat="1" x14ac:dyDescent="0.2">
      <c r="A642" s="779"/>
      <c r="B642" s="782"/>
      <c r="C642" s="401" t="s">
        <v>1581</v>
      </c>
      <c r="D642" s="779"/>
      <c r="E642" s="785"/>
    </row>
    <row r="643" spans="1:5" s="431" customFormat="1" x14ac:dyDescent="0.2">
      <c r="A643" s="779"/>
      <c r="B643" s="782"/>
      <c r="C643" s="401" t="s">
        <v>1582</v>
      </c>
      <c r="D643" s="779"/>
      <c r="E643" s="785"/>
    </row>
    <row r="644" spans="1:5" s="431" customFormat="1" ht="13.5" thickBot="1" x14ac:dyDescent="0.25">
      <c r="A644" s="780"/>
      <c r="B644" s="783"/>
      <c r="C644" s="405" t="s">
        <v>1590</v>
      </c>
      <c r="D644" s="780"/>
      <c r="E644" s="786"/>
    </row>
    <row r="645" spans="1:5" s="431" customFormat="1" ht="13.5" thickBot="1" x14ac:dyDescent="0.25">
      <c r="A645" s="790" t="s">
        <v>1809</v>
      </c>
      <c r="B645" s="791"/>
      <c r="C645" s="791"/>
      <c r="D645" s="791"/>
      <c r="E645" s="792"/>
    </row>
    <row r="646" spans="1:5" s="431" customFormat="1" ht="25.5" x14ac:dyDescent="0.2">
      <c r="A646" s="778">
        <v>1</v>
      </c>
      <c r="B646" s="781" t="s">
        <v>1810</v>
      </c>
      <c r="C646" s="401" t="s">
        <v>1619</v>
      </c>
      <c r="D646" s="778" t="s">
        <v>1811</v>
      </c>
      <c r="E646" s="784">
        <f>(224900+1742*400)*1.71*0.6*1.08*0.35</f>
        <v>357461.06760000001</v>
      </c>
    </row>
    <row r="647" spans="1:5" s="431" customFormat="1" x14ac:dyDescent="0.2">
      <c r="A647" s="779"/>
      <c r="B647" s="782"/>
      <c r="C647" s="401" t="s">
        <v>1621</v>
      </c>
      <c r="D647" s="779"/>
      <c r="E647" s="785"/>
    </row>
    <row r="648" spans="1:5" s="431" customFormat="1" x14ac:dyDescent="0.2">
      <c r="A648" s="779"/>
      <c r="B648" s="782"/>
      <c r="C648" s="401" t="s">
        <v>1582</v>
      </c>
      <c r="D648" s="779"/>
      <c r="E648" s="785"/>
    </row>
    <row r="649" spans="1:5" s="431" customFormat="1" x14ac:dyDescent="0.2">
      <c r="A649" s="779"/>
      <c r="B649" s="782"/>
      <c r="C649" s="401" t="s">
        <v>1590</v>
      </c>
      <c r="D649" s="779"/>
      <c r="E649" s="785"/>
    </row>
    <row r="650" spans="1:5" s="431" customFormat="1" ht="26.25" thickBot="1" x14ac:dyDescent="0.25">
      <c r="A650" s="780"/>
      <c r="B650" s="783"/>
      <c r="C650" s="405" t="s">
        <v>1622</v>
      </c>
      <c r="D650" s="780"/>
      <c r="E650" s="786"/>
    </row>
    <row r="651" spans="1:5" s="431" customFormat="1" ht="13.5" thickBot="1" x14ac:dyDescent="0.25">
      <c r="A651" s="824" t="s">
        <v>1812</v>
      </c>
      <c r="B651" s="791"/>
      <c r="C651" s="791"/>
      <c r="D651" s="791"/>
      <c r="E651" s="792"/>
    </row>
    <row r="652" spans="1:5" s="431" customFormat="1" ht="38.25" x14ac:dyDescent="0.2">
      <c r="A652" s="778">
        <v>1</v>
      </c>
      <c r="B652" s="781" t="s">
        <v>1792</v>
      </c>
      <c r="C652" s="401" t="s">
        <v>1600</v>
      </c>
      <c r="D652" s="778" t="s">
        <v>1793</v>
      </c>
      <c r="E652" s="784">
        <f>21120*6*7.22*0.6*1.08</f>
        <v>592867.12320000003</v>
      </c>
    </row>
    <row r="653" spans="1:5" s="431" customFormat="1" x14ac:dyDescent="0.2">
      <c r="A653" s="779"/>
      <c r="B653" s="782"/>
      <c r="C653" s="401" t="s">
        <v>1581</v>
      </c>
      <c r="D653" s="779"/>
      <c r="E653" s="785"/>
    </row>
    <row r="654" spans="1:5" s="431" customFormat="1" x14ac:dyDescent="0.2">
      <c r="A654" s="779"/>
      <c r="B654" s="782"/>
      <c r="C654" s="401" t="s">
        <v>1582</v>
      </c>
      <c r="D654" s="779"/>
      <c r="E654" s="785"/>
    </row>
    <row r="655" spans="1:5" s="431" customFormat="1" ht="13.5" thickBot="1" x14ac:dyDescent="0.25">
      <c r="A655" s="780"/>
      <c r="B655" s="783"/>
      <c r="C655" s="405" t="s">
        <v>1590</v>
      </c>
      <c r="D655" s="780"/>
      <c r="E655" s="786"/>
    </row>
    <row r="656" spans="1:5" s="431" customFormat="1" ht="38.25" x14ac:dyDescent="0.2">
      <c r="A656" s="778">
        <v>2</v>
      </c>
      <c r="B656" s="781" t="s">
        <v>1640</v>
      </c>
      <c r="C656" s="401" t="s">
        <v>1641</v>
      </c>
      <c r="D656" s="778" t="s">
        <v>1795</v>
      </c>
      <c r="E656" s="784">
        <f>11083*4*7.22*0.6*1.08</f>
        <v>207409.92191999999</v>
      </c>
    </row>
    <row r="657" spans="1:5" s="431" customFormat="1" x14ac:dyDescent="0.2">
      <c r="A657" s="779"/>
      <c r="B657" s="782"/>
      <c r="C657" s="401" t="s">
        <v>1581</v>
      </c>
      <c r="D657" s="779"/>
      <c r="E657" s="785"/>
    </row>
    <row r="658" spans="1:5" s="431" customFormat="1" x14ac:dyDescent="0.2">
      <c r="A658" s="779"/>
      <c r="B658" s="782"/>
      <c r="C658" s="401" t="s">
        <v>1643</v>
      </c>
      <c r="D658" s="779"/>
      <c r="E658" s="785"/>
    </row>
    <row r="659" spans="1:5" s="431" customFormat="1" ht="13.5" thickBot="1" x14ac:dyDescent="0.25">
      <c r="A659" s="780"/>
      <c r="B659" s="783"/>
      <c r="C659" s="405" t="s">
        <v>1590</v>
      </c>
      <c r="D659" s="780"/>
      <c r="E659" s="786"/>
    </row>
    <row r="660" spans="1:5" s="431" customFormat="1" ht="38.25" x14ac:dyDescent="0.2">
      <c r="A660" s="778">
        <v>3</v>
      </c>
      <c r="B660" s="781" t="s">
        <v>1813</v>
      </c>
      <c r="C660" s="401" t="s">
        <v>1596</v>
      </c>
      <c r="D660" s="778" t="s">
        <v>1614</v>
      </c>
      <c r="E660" s="784">
        <f>433690*0.3*7.22*0.6*1.08</f>
        <v>608713.40592000005</v>
      </c>
    </row>
    <row r="661" spans="1:5" s="431" customFormat="1" x14ac:dyDescent="0.2">
      <c r="A661" s="779"/>
      <c r="B661" s="782"/>
      <c r="C661" s="401" t="s">
        <v>1581</v>
      </c>
      <c r="D661" s="779"/>
      <c r="E661" s="785"/>
    </row>
    <row r="662" spans="1:5" s="431" customFormat="1" x14ac:dyDescent="0.2">
      <c r="A662" s="779"/>
      <c r="B662" s="782"/>
      <c r="C662" s="401" t="s">
        <v>1582</v>
      </c>
      <c r="D662" s="779"/>
      <c r="E662" s="785"/>
    </row>
    <row r="663" spans="1:5" s="431" customFormat="1" ht="13.5" thickBot="1" x14ac:dyDescent="0.25">
      <c r="A663" s="780"/>
      <c r="B663" s="783"/>
      <c r="C663" s="405" t="s">
        <v>1590</v>
      </c>
      <c r="D663" s="780"/>
      <c r="E663" s="786"/>
    </row>
    <row r="664" spans="1:5" s="431" customFormat="1" ht="38.25" x14ac:dyDescent="0.2">
      <c r="A664" s="778">
        <v>4</v>
      </c>
      <c r="B664" s="781" t="s">
        <v>1797</v>
      </c>
      <c r="C664" s="401" t="s">
        <v>1588</v>
      </c>
      <c r="D664" s="778" t="s">
        <v>1753</v>
      </c>
      <c r="E664" s="784">
        <f>10070*9*7.22*0.6*1.08</f>
        <v>424017.89279999997</v>
      </c>
    </row>
    <row r="665" spans="1:5" s="431" customFormat="1" x14ac:dyDescent="0.2">
      <c r="A665" s="779"/>
      <c r="B665" s="782"/>
      <c r="C665" s="401" t="s">
        <v>1581</v>
      </c>
      <c r="D665" s="779"/>
      <c r="E665" s="785"/>
    </row>
    <row r="666" spans="1:5" s="431" customFormat="1" x14ac:dyDescent="0.2">
      <c r="A666" s="779"/>
      <c r="B666" s="782"/>
      <c r="C666" s="401" t="s">
        <v>1582</v>
      </c>
      <c r="D666" s="779"/>
      <c r="E666" s="785"/>
    </row>
    <row r="667" spans="1:5" s="431" customFormat="1" ht="13.5" thickBot="1" x14ac:dyDescent="0.25">
      <c r="A667" s="780"/>
      <c r="B667" s="783"/>
      <c r="C667" s="405" t="s">
        <v>1590</v>
      </c>
      <c r="D667" s="780"/>
      <c r="E667" s="786"/>
    </row>
    <row r="668" spans="1:5" s="431" customFormat="1" ht="38.25" x14ac:dyDescent="0.2">
      <c r="A668" s="778">
        <v>5</v>
      </c>
      <c r="B668" s="781" t="s">
        <v>1672</v>
      </c>
      <c r="C668" s="401" t="s">
        <v>1607</v>
      </c>
      <c r="D668" s="778" t="s">
        <v>1673</v>
      </c>
      <c r="E668" s="784">
        <f>8870*1*7.22*0.6*1.08</f>
        <v>41498.8272</v>
      </c>
    </row>
    <row r="669" spans="1:5" s="431" customFormat="1" x14ac:dyDescent="0.2">
      <c r="A669" s="779"/>
      <c r="B669" s="782"/>
      <c r="C669" s="401" t="s">
        <v>1581</v>
      </c>
      <c r="D669" s="779"/>
      <c r="E669" s="785"/>
    </row>
    <row r="670" spans="1:5" s="431" customFormat="1" x14ac:dyDescent="0.2">
      <c r="A670" s="779"/>
      <c r="B670" s="782"/>
      <c r="C670" s="401" t="s">
        <v>1582</v>
      </c>
      <c r="D670" s="779"/>
      <c r="E670" s="785"/>
    </row>
    <row r="671" spans="1:5" s="431" customFormat="1" ht="13.5" thickBot="1" x14ac:dyDescent="0.25">
      <c r="A671" s="780"/>
      <c r="B671" s="783"/>
      <c r="C671" s="405" t="s">
        <v>1590</v>
      </c>
      <c r="D671" s="780"/>
      <c r="E671" s="786"/>
    </row>
    <row r="672" spans="1:5" s="431" customFormat="1" ht="13.5" thickBot="1" x14ac:dyDescent="0.25">
      <c r="A672" s="790" t="s">
        <v>1814</v>
      </c>
      <c r="B672" s="791"/>
      <c r="C672" s="791"/>
      <c r="D672" s="791"/>
      <c r="E672" s="792"/>
    </row>
    <row r="673" spans="1:5" s="431" customFormat="1" ht="38.25" x14ac:dyDescent="0.2">
      <c r="A673" s="778">
        <v>1</v>
      </c>
      <c r="B673" s="781" t="s">
        <v>1669</v>
      </c>
      <c r="C673" s="401" t="s">
        <v>1600</v>
      </c>
      <c r="D673" s="778" t="s">
        <v>1639</v>
      </c>
      <c r="E673" s="784">
        <f>21120*4*7.22*0.6*1.08</f>
        <v>395244.7488</v>
      </c>
    </row>
    <row r="674" spans="1:5" s="431" customFormat="1" x14ac:dyDescent="0.2">
      <c r="A674" s="779"/>
      <c r="B674" s="782"/>
      <c r="C674" s="401" t="s">
        <v>1581</v>
      </c>
      <c r="D674" s="779"/>
      <c r="E674" s="785"/>
    </row>
    <row r="675" spans="1:5" s="431" customFormat="1" x14ac:dyDescent="0.2">
      <c r="A675" s="779"/>
      <c r="B675" s="782"/>
      <c r="C675" s="401" t="s">
        <v>1582</v>
      </c>
      <c r="D675" s="779"/>
      <c r="E675" s="785"/>
    </row>
    <row r="676" spans="1:5" s="431" customFormat="1" ht="13.5" thickBot="1" x14ac:dyDescent="0.25">
      <c r="A676" s="780"/>
      <c r="B676" s="783"/>
      <c r="C676" s="405" t="s">
        <v>1590</v>
      </c>
      <c r="D676" s="780"/>
      <c r="E676" s="786"/>
    </row>
    <row r="677" spans="1:5" s="431" customFormat="1" ht="38.25" x14ac:dyDescent="0.2">
      <c r="A677" s="778">
        <v>2</v>
      </c>
      <c r="B677" s="781" t="s">
        <v>1670</v>
      </c>
      <c r="C677" s="401" t="s">
        <v>1596</v>
      </c>
      <c r="D677" s="778" t="s">
        <v>1603</v>
      </c>
      <c r="E677" s="784">
        <f>433690*0.2*7.22*0.6*1.08</f>
        <v>405808.93728000001</v>
      </c>
    </row>
    <row r="678" spans="1:5" s="431" customFormat="1" x14ac:dyDescent="0.2">
      <c r="A678" s="779"/>
      <c r="B678" s="782"/>
      <c r="C678" s="401" t="s">
        <v>1581</v>
      </c>
      <c r="D678" s="779"/>
      <c r="E678" s="785"/>
    </row>
    <row r="679" spans="1:5" s="431" customFormat="1" x14ac:dyDescent="0.2">
      <c r="A679" s="779"/>
      <c r="B679" s="782"/>
      <c r="C679" s="401" t="s">
        <v>1582</v>
      </c>
      <c r="D679" s="779"/>
      <c r="E679" s="785"/>
    </row>
    <row r="680" spans="1:5" s="431" customFormat="1" ht="13.5" thickBot="1" x14ac:dyDescent="0.25">
      <c r="A680" s="780"/>
      <c r="B680" s="783"/>
      <c r="C680" s="405" t="s">
        <v>1590</v>
      </c>
      <c r="D680" s="780"/>
      <c r="E680" s="786"/>
    </row>
    <row r="681" spans="1:5" s="431" customFormat="1" ht="38.25" x14ac:dyDescent="0.2">
      <c r="A681" s="778">
        <v>3</v>
      </c>
      <c r="B681" s="781" t="s">
        <v>1671</v>
      </c>
      <c r="C681" s="401" t="s">
        <v>1588</v>
      </c>
      <c r="D681" s="778" t="s">
        <v>1753</v>
      </c>
      <c r="E681" s="784">
        <f>10070*9*7.22*0.6*1.08</f>
        <v>424017.89279999997</v>
      </c>
    </row>
    <row r="682" spans="1:5" s="431" customFormat="1" x14ac:dyDescent="0.2">
      <c r="A682" s="779"/>
      <c r="B682" s="782"/>
      <c r="C682" s="401" t="s">
        <v>1581</v>
      </c>
      <c r="D682" s="779"/>
      <c r="E682" s="785"/>
    </row>
    <row r="683" spans="1:5" s="431" customFormat="1" x14ac:dyDescent="0.2">
      <c r="A683" s="779"/>
      <c r="B683" s="782"/>
      <c r="C683" s="401" t="s">
        <v>1582</v>
      </c>
      <c r="D683" s="779"/>
      <c r="E683" s="785"/>
    </row>
    <row r="684" spans="1:5" s="431" customFormat="1" ht="13.5" thickBot="1" x14ac:dyDescent="0.25">
      <c r="A684" s="780"/>
      <c r="B684" s="783"/>
      <c r="C684" s="405" t="s">
        <v>1590</v>
      </c>
      <c r="D684" s="780"/>
      <c r="E684" s="786"/>
    </row>
    <row r="685" spans="1:5" s="431" customFormat="1" ht="38.25" x14ac:dyDescent="0.2">
      <c r="A685" s="778">
        <v>4</v>
      </c>
      <c r="B685" s="781" t="s">
        <v>1672</v>
      </c>
      <c r="C685" s="401" t="s">
        <v>1607</v>
      </c>
      <c r="D685" s="778" t="s">
        <v>1673</v>
      </c>
      <c r="E685" s="784">
        <f>8870*1*7.22*0.6*1.08</f>
        <v>41498.8272</v>
      </c>
    </row>
    <row r="686" spans="1:5" s="431" customFormat="1" x14ac:dyDescent="0.2">
      <c r="A686" s="779"/>
      <c r="B686" s="782"/>
      <c r="C686" s="401" t="s">
        <v>1581</v>
      </c>
      <c r="D686" s="779"/>
      <c r="E686" s="785"/>
    </row>
    <row r="687" spans="1:5" s="431" customFormat="1" x14ac:dyDescent="0.2">
      <c r="A687" s="779"/>
      <c r="B687" s="782"/>
      <c r="C687" s="401" t="s">
        <v>1582</v>
      </c>
      <c r="D687" s="779"/>
      <c r="E687" s="785"/>
    </row>
    <row r="688" spans="1:5" s="431" customFormat="1" ht="13.5" thickBot="1" x14ac:dyDescent="0.25">
      <c r="A688" s="780"/>
      <c r="B688" s="783"/>
      <c r="C688" s="405" t="s">
        <v>1590</v>
      </c>
      <c r="D688" s="780"/>
      <c r="E688" s="786"/>
    </row>
    <row r="689" spans="1:5" s="431" customFormat="1" ht="13.5" thickBot="1" x14ac:dyDescent="0.25">
      <c r="A689" s="824" t="s">
        <v>1815</v>
      </c>
      <c r="B689" s="791"/>
      <c r="C689" s="791"/>
      <c r="D689" s="791"/>
      <c r="E689" s="792"/>
    </row>
    <row r="690" spans="1:5" s="431" customFormat="1" ht="38.25" x14ac:dyDescent="0.2">
      <c r="A690" s="778">
        <v>1</v>
      </c>
      <c r="B690" s="781" t="s">
        <v>1816</v>
      </c>
      <c r="C690" s="401" t="s">
        <v>1635</v>
      </c>
      <c r="D690" s="778" t="s">
        <v>1636</v>
      </c>
      <c r="E690" s="784">
        <f>59070*1*7.22*0.6*1.08*1.15</f>
        <v>317816.92007999995</v>
      </c>
    </row>
    <row r="691" spans="1:5" s="431" customFormat="1" x14ac:dyDescent="0.2">
      <c r="A691" s="779"/>
      <c r="B691" s="782"/>
      <c r="C691" s="401" t="s">
        <v>1581</v>
      </c>
      <c r="D691" s="779"/>
      <c r="E691" s="785"/>
    </row>
    <row r="692" spans="1:5" s="431" customFormat="1" x14ac:dyDescent="0.2">
      <c r="A692" s="779"/>
      <c r="B692" s="782"/>
      <c r="C692" s="401" t="s">
        <v>1582</v>
      </c>
      <c r="D692" s="779"/>
      <c r="E692" s="785"/>
    </row>
    <row r="693" spans="1:5" s="431" customFormat="1" x14ac:dyDescent="0.2">
      <c r="A693" s="779"/>
      <c r="B693" s="782"/>
      <c r="C693" s="401" t="s">
        <v>1590</v>
      </c>
      <c r="D693" s="779"/>
      <c r="E693" s="785"/>
    </row>
    <row r="694" spans="1:5" s="431" customFormat="1" ht="26.25" thickBot="1" x14ac:dyDescent="0.25">
      <c r="A694" s="780"/>
      <c r="B694" s="783"/>
      <c r="C694" s="405" t="s">
        <v>1637</v>
      </c>
      <c r="D694" s="780"/>
      <c r="E694" s="786"/>
    </row>
    <row r="695" spans="1:5" s="431" customFormat="1" ht="38.25" x14ac:dyDescent="0.2">
      <c r="A695" s="778">
        <v>2</v>
      </c>
      <c r="B695" s="781" t="s">
        <v>1817</v>
      </c>
      <c r="C695" s="401" t="s">
        <v>1600</v>
      </c>
      <c r="D695" s="778" t="s">
        <v>1639</v>
      </c>
      <c r="E695" s="784">
        <f>21120*4*7.22*0.6*1.08</f>
        <v>395244.7488</v>
      </c>
    </row>
    <row r="696" spans="1:5" s="431" customFormat="1" x14ac:dyDescent="0.2">
      <c r="A696" s="779"/>
      <c r="B696" s="782"/>
      <c r="C696" s="401" t="s">
        <v>1581</v>
      </c>
      <c r="D696" s="779"/>
      <c r="E696" s="785"/>
    </row>
    <row r="697" spans="1:5" s="431" customFormat="1" x14ac:dyDescent="0.2">
      <c r="A697" s="779"/>
      <c r="B697" s="782"/>
      <c r="C697" s="401" t="s">
        <v>1582</v>
      </c>
      <c r="D697" s="779"/>
      <c r="E697" s="785"/>
    </row>
    <row r="698" spans="1:5" s="431" customFormat="1" ht="13.5" thickBot="1" x14ac:dyDescent="0.25">
      <c r="A698" s="780"/>
      <c r="B698" s="783"/>
      <c r="C698" s="405" t="s">
        <v>1590</v>
      </c>
      <c r="D698" s="780"/>
      <c r="E698" s="786"/>
    </row>
    <row r="699" spans="1:5" s="431" customFormat="1" ht="38.25" x14ac:dyDescent="0.2">
      <c r="A699" s="778">
        <v>3</v>
      </c>
      <c r="B699" s="781" t="s">
        <v>1713</v>
      </c>
      <c r="C699" s="401" t="s">
        <v>1645</v>
      </c>
      <c r="D699" s="778" t="s">
        <v>1714</v>
      </c>
      <c r="E699" s="784">
        <f>2640*6*7.22*0.6*1.08</f>
        <v>74108.390400000004</v>
      </c>
    </row>
    <row r="700" spans="1:5" s="431" customFormat="1" x14ac:dyDescent="0.2">
      <c r="A700" s="779"/>
      <c r="B700" s="782"/>
      <c r="C700" s="401" t="s">
        <v>1581</v>
      </c>
      <c r="D700" s="779"/>
      <c r="E700" s="785"/>
    </row>
    <row r="701" spans="1:5" s="431" customFormat="1" x14ac:dyDescent="0.2">
      <c r="A701" s="779"/>
      <c r="B701" s="782"/>
      <c r="C701" s="401" t="s">
        <v>1582</v>
      </c>
      <c r="D701" s="779"/>
      <c r="E701" s="785"/>
    </row>
    <row r="702" spans="1:5" s="431" customFormat="1" ht="13.5" thickBot="1" x14ac:dyDescent="0.25">
      <c r="A702" s="780"/>
      <c r="B702" s="783"/>
      <c r="C702" s="405" t="s">
        <v>1590</v>
      </c>
      <c r="D702" s="780"/>
      <c r="E702" s="786"/>
    </row>
    <row r="703" spans="1:5" s="431" customFormat="1" ht="38.25" x14ac:dyDescent="0.2">
      <c r="A703" s="778">
        <v>4</v>
      </c>
      <c r="B703" s="781" t="s">
        <v>1591</v>
      </c>
      <c r="C703" s="401" t="s">
        <v>1648</v>
      </c>
      <c r="D703" s="778" t="s">
        <v>1715</v>
      </c>
      <c r="E703" s="784">
        <f>4790*4*7.22*0.6*1.08</f>
        <v>89641.209599999987</v>
      </c>
    </row>
    <row r="704" spans="1:5" s="431" customFormat="1" x14ac:dyDescent="0.2">
      <c r="A704" s="779"/>
      <c r="B704" s="782"/>
      <c r="C704" s="401" t="s">
        <v>1581</v>
      </c>
      <c r="D704" s="779"/>
      <c r="E704" s="785"/>
    </row>
    <row r="705" spans="1:5" s="431" customFormat="1" x14ac:dyDescent="0.2">
      <c r="A705" s="779"/>
      <c r="B705" s="782"/>
      <c r="C705" s="401" t="s">
        <v>1582</v>
      </c>
      <c r="D705" s="779"/>
      <c r="E705" s="785"/>
    </row>
    <row r="706" spans="1:5" s="431" customFormat="1" ht="13.5" thickBot="1" x14ac:dyDescent="0.25">
      <c r="A706" s="780"/>
      <c r="B706" s="783"/>
      <c r="C706" s="405" t="s">
        <v>1590</v>
      </c>
      <c r="D706" s="780"/>
      <c r="E706" s="786"/>
    </row>
    <row r="707" spans="1:5" s="431" customFormat="1" ht="25.5" x14ac:dyDescent="0.2">
      <c r="A707" s="778">
        <v>5</v>
      </c>
      <c r="B707" s="781" t="s">
        <v>1650</v>
      </c>
      <c r="C707" s="401" t="s">
        <v>1651</v>
      </c>
      <c r="D707" s="778" t="s">
        <v>1652</v>
      </c>
      <c r="E707" s="784">
        <f>11800*2*1.71*0.6*1.08</f>
        <v>26150.688000000002</v>
      </c>
    </row>
    <row r="708" spans="1:5" s="431" customFormat="1" x14ac:dyDescent="0.2">
      <c r="A708" s="779"/>
      <c r="B708" s="782"/>
      <c r="C708" s="401" t="s">
        <v>1621</v>
      </c>
      <c r="D708" s="779"/>
      <c r="E708" s="785"/>
    </row>
    <row r="709" spans="1:5" s="431" customFormat="1" x14ac:dyDescent="0.2">
      <c r="A709" s="779"/>
      <c r="B709" s="782"/>
      <c r="C709" s="401" t="s">
        <v>1582</v>
      </c>
      <c r="D709" s="779"/>
      <c r="E709" s="785"/>
    </row>
    <row r="710" spans="1:5" s="431" customFormat="1" ht="13.5" thickBot="1" x14ac:dyDescent="0.25">
      <c r="A710" s="780"/>
      <c r="B710" s="783"/>
      <c r="C710" s="405" t="s">
        <v>1590</v>
      </c>
      <c r="D710" s="780"/>
      <c r="E710" s="786"/>
    </row>
    <row r="711" spans="1:5" s="431" customFormat="1" ht="38.25" x14ac:dyDescent="0.2">
      <c r="A711" s="778">
        <v>6</v>
      </c>
      <c r="B711" s="781" t="s">
        <v>1654</v>
      </c>
      <c r="C711" s="401" t="s">
        <v>1655</v>
      </c>
      <c r="D711" s="778" t="s">
        <v>1656</v>
      </c>
      <c r="E711" s="784">
        <f>4130*2*7.22*0.6*1.08</f>
        <v>38644.905600000006</v>
      </c>
    </row>
    <row r="712" spans="1:5" s="431" customFormat="1" x14ac:dyDescent="0.2">
      <c r="A712" s="779"/>
      <c r="B712" s="782"/>
      <c r="C712" s="401" t="s">
        <v>1581</v>
      </c>
      <c r="D712" s="779"/>
      <c r="E712" s="785"/>
    </row>
    <row r="713" spans="1:5" s="431" customFormat="1" x14ac:dyDescent="0.2">
      <c r="A713" s="779"/>
      <c r="B713" s="782"/>
      <c r="C713" s="401" t="s">
        <v>1582</v>
      </c>
      <c r="D713" s="779"/>
      <c r="E713" s="785"/>
    </row>
    <row r="714" spans="1:5" s="431" customFormat="1" ht="13.5" thickBot="1" x14ac:dyDescent="0.25">
      <c r="A714" s="780"/>
      <c r="B714" s="783"/>
      <c r="C714" s="405" t="s">
        <v>1590</v>
      </c>
      <c r="D714" s="780"/>
      <c r="E714" s="786"/>
    </row>
    <row r="715" spans="1:5" s="431" customFormat="1" ht="13.5" thickBot="1" x14ac:dyDescent="0.25">
      <c r="A715" s="824" t="s">
        <v>1277</v>
      </c>
      <c r="B715" s="791"/>
      <c r="C715" s="791"/>
      <c r="D715" s="791"/>
      <c r="E715" s="792"/>
    </row>
    <row r="716" spans="1:5" s="431" customFormat="1" ht="13.5" thickBot="1" x14ac:dyDescent="0.25">
      <c r="A716" s="824" t="s">
        <v>1818</v>
      </c>
      <c r="B716" s="791"/>
      <c r="C716" s="791"/>
      <c r="D716" s="791"/>
      <c r="E716" s="792"/>
    </row>
    <row r="717" spans="1:5" s="431" customFormat="1" ht="38.25" x14ac:dyDescent="0.2">
      <c r="A717" s="778">
        <v>1</v>
      </c>
      <c r="B717" s="781" t="s">
        <v>1819</v>
      </c>
      <c r="C717" s="401" t="s">
        <v>1596</v>
      </c>
      <c r="D717" s="778" t="s">
        <v>1820</v>
      </c>
      <c r="E717" s="784">
        <f>433690*1*7.22*0.6*1.08</f>
        <v>2029044.6864</v>
      </c>
    </row>
    <row r="718" spans="1:5" s="431" customFormat="1" x14ac:dyDescent="0.2">
      <c r="A718" s="779"/>
      <c r="B718" s="782"/>
      <c r="C718" s="401" t="s">
        <v>1581</v>
      </c>
      <c r="D718" s="779"/>
      <c r="E718" s="785"/>
    </row>
    <row r="719" spans="1:5" s="431" customFormat="1" x14ac:dyDescent="0.2">
      <c r="A719" s="779"/>
      <c r="B719" s="782"/>
      <c r="C719" s="401" t="s">
        <v>1582</v>
      </c>
      <c r="D719" s="779"/>
      <c r="E719" s="785"/>
    </row>
    <row r="720" spans="1:5" s="431" customFormat="1" ht="13.5" thickBot="1" x14ac:dyDescent="0.25">
      <c r="A720" s="780"/>
      <c r="B720" s="783"/>
      <c r="C720" s="405" t="s">
        <v>1590</v>
      </c>
      <c r="D720" s="780"/>
      <c r="E720" s="786"/>
    </row>
    <row r="721" spans="1:5" s="431" customFormat="1" ht="38.25" x14ac:dyDescent="0.2">
      <c r="A721" s="778">
        <v>2</v>
      </c>
      <c r="B721" s="781" t="s">
        <v>1691</v>
      </c>
      <c r="C721" s="401" t="s">
        <v>1645</v>
      </c>
      <c r="D721" s="778" t="s">
        <v>1692</v>
      </c>
      <c r="E721" s="784">
        <f>2640*25*7.22*0.6*1.08</f>
        <v>308784.96000000002</v>
      </c>
    </row>
    <row r="722" spans="1:5" s="431" customFormat="1" x14ac:dyDescent="0.2">
      <c r="A722" s="779"/>
      <c r="B722" s="782"/>
      <c r="C722" s="401" t="s">
        <v>1581</v>
      </c>
      <c r="D722" s="779"/>
      <c r="E722" s="785"/>
    </row>
    <row r="723" spans="1:5" s="431" customFormat="1" x14ac:dyDescent="0.2">
      <c r="A723" s="779"/>
      <c r="B723" s="782"/>
      <c r="C723" s="401" t="s">
        <v>1582</v>
      </c>
      <c r="D723" s="779"/>
      <c r="E723" s="785"/>
    </row>
    <row r="724" spans="1:5" s="431" customFormat="1" ht="13.5" thickBot="1" x14ac:dyDescent="0.25">
      <c r="A724" s="780"/>
      <c r="B724" s="783"/>
      <c r="C724" s="405" t="s">
        <v>1590</v>
      </c>
      <c r="D724" s="780"/>
      <c r="E724" s="786"/>
    </row>
    <row r="725" spans="1:5" s="431" customFormat="1" ht="13.5" thickBot="1" x14ac:dyDescent="0.25">
      <c r="A725" s="824" t="s">
        <v>1821</v>
      </c>
      <c r="B725" s="791"/>
      <c r="C725" s="791"/>
      <c r="D725" s="791"/>
      <c r="E725" s="792"/>
    </row>
    <row r="726" spans="1:5" s="431" customFormat="1" ht="38.25" x14ac:dyDescent="0.2">
      <c r="A726" s="778">
        <v>1</v>
      </c>
      <c r="B726" s="781" t="s">
        <v>1822</v>
      </c>
      <c r="C726" s="401" t="s">
        <v>1676</v>
      </c>
      <c r="D726" s="778" t="s">
        <v>1823</v>
      </c>
      <c r="E726" s="784">
        <f>34650*3*7.22*0.6*1.08</f>
        <v>486336.31199999998</v>
      </c>
    </row>
    <row r="727" spans="1:5" s="431" customFormat="1" x14ac:dyDescent="0.2">
      <c r="A727" s="779"/>
      <c r="B727" s="782"/>
      <c r="C727" s="401" t="s">
        <v>1581</v>
      </c>
      <c r="D727" s="779"/>
      <c r="E727" s="785"/>
    </row>
    <row r="728" spans="1:5" s="431" customFormat="1" x14ac:dyDescent="0.2">
      <c r="A728" s="779"/>
      <c r="B728" s="782"/>
      <c r="C728" s="401" t="s">
        <v>1582</v>
      </c>
      <c r="D728" s="779"/>
      <c r="E728" s="785"/>
    </row>
    <row r="729" spans="1:5" s="431" customFormat="1" ht="13.5" thickBot="1" x14ac:dyDescent="0.25">
      <c r="A729" s="780"/>
      <c r="B729" s="783"/>
      <c r="C729" s="405" t="s">
        <v>1590</v>
      </c>
      <c r="D729" s="780"/>
      <c r="E729" s="786"/>
    </row>
    <row r="730" spans="1:5" s="431" customFormat="1" ht="38.25" x14ac:dyDescent="0.2">
      <c r="A730" s="778">
        <v>2</v>
      </c>
      <c r="B730" s="781" t="s">
        <v>1678</v>
      </c>
      <c r="C730" s="401" t="s">
        <v>1679</v>
      </c>
      <c r="D730" s="778" t="s">
        <v>1680</v>
      </c>
      <c r="E730" s="784">
        <f>8450*1*7.22*0.6*1.08</f>
        <v>39533.832000000002</v>
      </c>
    </row>
    <row r="731" spans="1:5" s="431" customFormat="1" x14ac:dyDescent="0.2">
      <c r="A731" s="779"/>
      <c r="B731" s="782"/>
      <c r="C731" s="401" t="s">
        <v>1581</v>
      </c>
      <c r="D731" s="779"/>
      <c r="E731" s="785"/>
    </row>
    <row r="732" spans="1:5" s="431" customFormat="1" x14ac:dyDescent="0.2">
      <c r="A732" s="779"/>
      <c r="B732" s="782"/>
      <c r="C732" s="401" t="s">
        <v>1582</v>
      </c>
      <c r="D732" s="779"/>
      <c r="E732" s="785"/>
    </row>
    <row r="733" spans="1:5" s="431" customFormat="1" ht="13.5" thickBot="1" x14ac:dyDescent="0.25">
      <c r="A733" s="780"/>
      <c r="B733" s="783"/>
      <c r="C733" s="405" t="s">
        <v>1590</v>
      </c>
      <c r="D733" s="780"/>
      <c r="E733" s="786"/>
    </row>
    <row r="734" spans="1:5" s="431" customFormat="1" ht="38.25" x14ac:dyDescent="0.2">
      <c r="A734" s="778">
        <v>3</v>
      </c>
      <c r="B734" s="781" t="s">
        <v>1606</v>
      </c>
      <c r="C734" s="401" t="s">
        <v>1607</v>
      </c>
      <c r="D734" s="778" t="s">
        <v>1673</v>
      </c>
      <c r="E734" s="784">
        <f>8870*1*7.22*0.6*1.08</f>
        <v>41498.8272</v>
      </c>
    </row>
    <row r="735" spans="1:5" s="431" customFormat="1" x14ac:dyDescent="0.2">
      <c r="A735" s="779"/>
      <c r="B735" s="782"/>
      <c r="C735" s="401" t="s">
        <v>1581</v>
      </c>
      <c r="D735" s="779"/>
      <c r="E735" s="785"/>
    </row>
    <row r="736" spans="1:5" s="431" customFormat="1" x14ac:dyDescent="0.2">
      <c r="A736" s="779"/>
      <c r="B736" s="782"/>
      <c r="C736" s="401" t="s">
        <v>1582</v>
      </c>
      <c r="D736" s="779"/>
      <c r="E736" s="785"/>
    </row>
    <row r="737" spans="1:5" s="431" customFormat="1" ht="13.5" thickBot="1" x14ac:dyDescent="0.25">
      <c r="A737" s="780"/>
      <c r="B737" s="783"/>
      <c r="C737" s="405" t="s">
        <v>1590</v>
      </c>
      <c r="D737" s="780"/>
      <c r="E737" s="786"/>
    </row>
    <row r="738" spans="1:5" s="431" customFormat="1" ht="13.5" thickBot="1" x14ac:dyDescent="0.25">
      <c r="A738" s="824" t="s">
        <v>1824</v>
      </c>
      <c r="B738" s="791"/>
      <c r="C738" s="791"/>
      <c r="D738" s="791"/>
      <c r="E738" s="792"/>
    </row>
    <row r="739" spans="1:5" s="431" customFormat="1" ht="38.25" x14ac:dyDescent="0.2">
      <c r="A739" s="778">
        <v>1</v>
      </c>
      <c r="B739" s="781" t="s">
        <v>1682</v>
      </c>
      <c r="C739" s="401" t="s">
        <v>1600</v>
      </c>
      <c r="D739" s="778" t="s">
        <v>1683</v>
      </c>
      <c r="E739" s="784">
        <f>21120*1*7.22*0.6*1.08</f>
        <v>98811.1872</v>
      </c>
    </row>
    <row r="740" spans="1:5" s="431" customFormat="1" x14ac:dyDescent="0.2">
      <c r="A740" s="779"/>
      <c r="B740" s="782"/>
      <c r="C740" s="401" t="s">
        <v>1581</v>
      </c>
      <c r="D740" s="779"/>
      <c r="E740" s="785"/>
    </row>
    <row r="741" spans="1:5" s="431" customFormat="1" x14ac:dyDescent="0.2">
      <c r="A741" s="779"/>
      <c r="B741" s="782"/>
      <c r="C741" s="401" t="s">
        <v>1582</v>
      </c>
      <c r="D741" s="779"/>
      <c r="E741" s="785"/>
    </row>
    <row r="742" spans="1:5" s="431" customFormat="1" ht="13.5" thickBot="1" x14ac:dyDescent="0.25">
      <c r="A742" s="780"/>
      <c r="B742" s="783"/>
      <c r="C742" s="405" t="s">
        <v>1590</v>
      </c>
      <c r="D742" s="780"/>
      <c r="E742" s="786"/>
    </row>
    <row r="743" spans="1:5" s="431" customFormat="1" ht="38.25" x14ac:dyDescent="0.2">
      <c r="A743" s="778">
        <v>1</v>
      </c>
      <c r="B743" s="781" t="s">
        <v>1825</v>
      </c>
      <c r="C743" s="401" t="s">
        <v>1596</v>
      </c>
      <c r="D743" s="778" t="s">
        <v>1614</v>
      </c>
      <c r="E743" s="784">
        <f>433690*0.3*7.22*0.6*1.08</f>
        <v>608713.40592000005</v>
      </c>
    </row>
    <row r="744" spans="1:5" s="431" customFormat="1" x14ac:dyDescent="0.2">
      <c r="A744" s="779"/>
      <c r="B744" s="782"/>
      <c r="C744" s="401" t="s">
        <v>1581</v>
      </c>
      <c r="D744" s="779"/>
      <c r="E744" s="785"/>
    </row>
    <row r="745" spans="1:5" s="431" customFormat="1" x14ac:dyDescent="0.2">
      <c r="A745" s="779"/>
      <c r="B745" s="782"/>
      <c r="C745" s="401" t="s">
        <v>1582</v>
      </c>
      <c r="D745" s="779"/>
      <c r="E745" s="785"/>
    </row>
    <row r="746" spans="1:5" s="431" customFormat="1" ht="13.5" thickBot="1" x14ac:dyDescent="0.25">
      <c r="A746" s="780"/>
      <c r="B746" s="783"/>
      <c r="C746" s="405" t="s">
        <v>1590</v>
      </c>
      <c r="D746" s="780"/>
      <c r="E746" s="786"/>
    </row>
    <row r="747" spans="1:5" s="431" customFormat="1" ht="38.25" x14ac:dyDescent="0.2">
      <c r="A747" s="778">
        <v>2</v>
      </c>
      <c r="B747" s="781" t="s">
        <v>1770</v>
      </c>
      <c r="C747" s="401" t="s">
        <v>1645</v>
      </c>
      <c r="D747" s="778" t="s">
        <v>1777</v>
      </c>
      <c r="E747" s="784">
        <f>2640*12*7.22*0.6*1.08</f>
        <v>148216.78080000001</v>
      </c>
    </row>
    <row r="748" spans="1:5" s="431" customFormat="1" x14ac:dyDescent="0.2">
      <c r="A748" s="779"/>
      <c r="B748" s="782"/>
      <c r="C748" s="401" t="s">
        <v>1581</v>
      </c>
      <c r="D748" s="779"/>
      <c r="E748" s="785"/>
    </row>
    <row r="749" spans="1:5" s="431" customFormat="1" x14ac:dyDescent="0.2">
      <c r="A749" s="779"/>
      <c r="B749" s="782"/>
      <c r="C749" s="401" t="s">
        <v>1582</v>
      </c>
      <c r="D749" s="779"/>
      <c r="E749" s="785"/>
    </row>
    <row r="750" spans="1:5" s="431" customFormat="1" ht="13.5" thickBot="1" x14ac:dyDescent="0.25">
      <c r="A750" s="780"/>
      <c r="B750" s="783"/>
      <c r="C750" s="405" t="s">
        <v>1590</v>
      </c>
      <c r="D750" s="780"/>
      <c r="E750" s="786"/>
    </row>
    <row r="751" spans="1:5" s="431" customFormat="1" ht="13.5" thickBot="1" x14ac:dyDescent="0.25">
      <c r="A751" s="824" t="s">
        <v>1826</v>
      </c>
      <c r="B751" s="791"/>
      <c r="C751" s="791"/>
      <c r="D751" s="791"/>
      <c r="E751" s="792"/>
    </row>
    <row r="752" spans="1:5" s="431" customFormat="1" ht="38.25" x14ac:dyDescent="0.2">
      <c r="A752" s="778">
        <v>1</v>
      </c>
      <c r="B752" s="781" t="s">
        <v>1827</v>
      </c>
      <c r="C752" s="401" t="s">
        <v>1665</v>
      </c>
      <c r="D752" s="778" t="s">
        <v>1828</v>
      </c>
      <c r="E752" s="784">
        <f>(11000+550*725)*7.22*0.6*1.08</f>
        <v>1917039.9600000002</v>
      </c>
    </row>
    <row r="753" spans="1:5" s="431" customFormat="1" x14ac:dyDescent="0.2">
      <c r="A753" s="779"/>
      <c r="B753" s="782"/>
      <c r="C753" s="401" t="s">
        <v>1581</v>
      </c>
      <c r="D753" s="779"/>
      <c r="E753" s="785"/>
    </row>
    <row r="754" spans="1:5" s="431" customFormat="1" x14ac:dyDescent="0.2">
      <c r="A754" s="779"/>
      <c r="B754" s="782"/>
      <c r="C754" s="401" t="s">
        <v>1582</v>
      </c>
      <c r="D754" s="779"/>
      <c r="E754" s="785"/>
    </row>
    <row r="755" spans="1:5" s="431" customFormat="1" ht="13.5" thickBot="1" x14ac:dyDescent="0.25">
      <c r="A755" s="780"/>
      <c r="B755" s="783"/>
      <c r="C755" s="405" t="s">
        <v>1590</v>
      </c>
      <c r="D755" s="780"/>
      <c r="E755" s="786"/>
    </row>
    <row r="756" spans="1:5" s="431" customFormat="1" ht="13.5" thickBot="1" x14ac:dyDescent="0.25">
      <c r="A756" s="790" t="s">
        <v>1829</v>
      </c>
      <c r="B756" s="791"/>
      <c r="C756" s="791"/>
      <c r="D756" s="791"/>
      <c r="E756" s="792"/>
    </row>
    <row r="757" spans="1:5" s="431" customFormat="1" ht="38.25" x14ac:dyDescent="0.2">
      <c r="A757" s="778">
        <v>1</v>
      </c>
      <c r="B757" s="781" t="s">
        <v>1830</v>
      </c>
      <c r="C757" s="401" t="s">
        <v>1596</v>
      </c>
      <c r="D757" s="778" t="s">
        <v>1769</v>
      </c>
      <c r="E757" s="784">
        <f>433690*0.5*7.22*0.6*1.08</f>
        <v>1014522.3432</v>
      </c>
    </row>
    <row r="758" spans="1:5" s="431" customFormat="1" x14ac:dyDescent="0.2">
      <c r="A758" s="779"/>
      <c r="B758" s="782"/>
      <c r="C758" s="401" t="s">
        <v>1581</v>
      </c>
      <c r="D758" s="779"/>
      <c r="E758" s="785"/>
    </row>
    <row r="759" spans="1:5" s="431" customFormat="1" x14ac:dyDescent="0.2">
      <c r="A759" s="779"/>
      <c r="B759" s="782"/>
      <c r="C759" s="401" t="s">
        <v>1582</v>
      </c>
      <c r="D759" s="779"/>
      <c r="E759" s="785"/>
    </row>
    <row r="760" spans="1:5" s="431" customFormat="1" ht="13.5" thickBot="1" x14ac:dyDescent="0.25">
      <c r="A760" s="780"/>
      <c r="B760" s="783"/>
      <c r="C760" s="405" t="s">
        <v>1590</v>
      </c>
      <c r="D760" s="780"/>
      <c r="E760" s="786"/>
    </row>
    <row r="761" spans="1:5" s="431" customFormat="1" ht="38.25" x14ac:dyDescent="0.2">
      <c r="A761" s="778">
        <v>2</v>
      </c>
      <c r="B761" s="781" t="s">
        <v>1770</v>
      </c>
      <c r="C761" s="401" t="s">
        <v>1645</v>
      </c>
      <c r="D761" s="778" t="s">
        <v>1777</v>
      </c>
      <c r="E761" s="784">
        <f>2640*12*7.22*0.6*1.08</f>
        <v>148216.78080000001</v>
      </c>
    </row>
    <row r="762" spans="1:5" s="431" customFormat="1" x14ac:dyDescent="0.2">
      <c r="A762" s="779"/>
      <c r="B762" s="782"/>
      <c r="C762" s="401" t="s">
        <v>1581</v>
      </c>
      <c r="D762" s="779"/>
      <c r="E762" s="785"/>
    </row>
    <row r="763" spans="1:5" s="431" customFormat="1" x14ac:dyDescent="0.2">
      <c r="A763" s="779"/>
      <c r="B763" s="782"/>
      <c r="C763" s="401" t="s">
        <v>1582</v>
      </c>
      <c r="D763" s="779"/>
      <c r="E763" s="785"/>
    </row>
    <row r="764" spans="1:5" s="431" customFormat="1" ht="13.5" thickBot="1" x14ac:dyDescent="0.25">
      <c r="A764" s="780"/>
      <c r="B764" s="783"/>
      <c r="C764" s="405" t="s">
        <v>1590</v>
      </c>
      <c r="D764" s="780"/>
      <c r="E764" s="786"/>
    </row>
    <row r="765" spans="1:5" s="431" customFormat="1" ht="13.5" thickBot="1" x14ac:dyDescent="0.25">
      <c r="A765" s="824" t="s">
        <v>1831</v>
      </c>
      <c r="B765" s="791"/>
      <c r="C765" s="791"/>
      <c r="D765" s="791"/>
      <c r="E765" s="792"/>
    </row>
    <row r="766" spans="1:5" s="431" customFormat="1" ht="38.25" customHeight="1" x14ac:dyDescent="0.2">
      <c r="A766" s="778">
        <v>1</v>
      </c>
      <c r="B766" s="781" t="s">
        <v>1832</v>
      </c>
      <c r="C766" s="401" t="s">
        <v>1833</v>
      </c>
      <c r="D766" s="778" t="s">
        <v>1834</v>
      </c>
      <c r="E766" s="784">
        <f>(33000+39900*0.15)*1.71*0.6*1.08</f>
        <v>43198.498800000001</v>
      </c>
    </row>
    <row r="767" spans="1:5" s="431" customFormat="1" x14ac:dyDescent="0.2">
      <c r="A767" s="779"/>
      <c r="B767" s="782"/>
      <c r="C767" s="401" t="s">
        <v>1621</v>
      </c>
      <c r="D767" s="779"/>
      <c r="E767" s="785"/>
    </row>
    <row r="768" spans="1:5" s="431" customFormat="1" x14ac:dyDescent="0.2">
      <c r="A768" s="779"/>
      <c r="B768" s="782"/>
      <c r="C768" s="401" t="s">
        <v>1582</v>
      </c>
      <c r="D768" s="779"/>
      <c r="E768" s="785"/>
    </row>
    <row r="769" spans="1:5" s="431" customFormat="1" ht="13.5" thickBot="1" x14ac:dyDescent="0.25">
      <c r="A769" s="780"/>
      <c r="B769" s="783"/>
      <c r="C769" s="405" t="s">
        <v>1590</v>
      </c>
      <c r="D769" s="780"/>
      <c r="E769" s="786"/>
    </row>
    <row r="770" spans="1:5" s="431" customFormat="1" ht="38.25" customHeight="1" x14ac:dyDescent="0.2">
      <c r="A770" s="778">
        <v>2</v>
      </c>
      <c r="B770" s="781" t="s">
        <v>1835</v>
      </c>
      <c r="C770" s="401" t="s">
        <v>1836</v>
      </c>
      <c r="D770" s="778" t="s">
        <v>1837</v>
      </c>
      <c r="E770" s="784">
        <f>13400*3*1.71*0.6*1.08</f>
        <v>44544.815999999999</v>
      </c>
    </row>
    <row r="771" spans="1:5" s="431" customFormat="1" x14ac:dyDescent="0.2">
      <c r="A771" s="779"/>
      <c r="B771" s="782"/>
      <c r="C771" s="401" t="s">
        <v>1621</v>
      </c>
      <c r="D771" s="779"/>
      <c r="E771" s="785"/>
    </row>
    <row r="772" spans="1:5" s="431" customFormat="1" x14ac:dyDescent="0.2">
      <c r="A772" s="779"/>
      <c r="B772" s="782"/>
      <c r="C772" s="401" t="s">
        <v>1582</v>
      </c>
      <c r="D772" s="779"/>
      <c r="E772" s="785"/>
    </row>
    <row r="773" spans="1:5" s="431" customFormat="1" ht="13.5" thickBot="1" x14ac:dyDescent="0.25">
      <c r="A773" s="780"/>
      <c r="B773" s="783"/>
      <c r="C773" s="405" t="s">
        <v>1590</v>
      </c>
      <c r="D773" s="780"/>
      <c r="E773" s="786"/>
    </row>
    <row r="774" spans="1:5" s="431" customFormat="1" ht="38.25" customHeight="1" x14ac:dyDescent="0.2">
      <c r="A774" s="778">
        <v>3</v>
      </c>
      <c r="B774" s="781" t="s">
        <v>1838</v>
      </c>
      <c r="C774" s="401" t="s">
        <v>1839</v>
      </c>
      <c r="D774" s="778" t="s">
        <v>1840</v>
      </c>
      <c r="E774" s="784">
        <f>9200*1*1.71*0.6*1.08</f>
        <v>10194.335999999999</v>
      </c>
    </row>
    <row r="775" spans="1:5" s="431" customFormat="1" x14ac:dyDescent="0.2">
      <c r="A775" s="779"/>
      <c r="B775" s="782"/>
      <c r="C775" s="401" t="s">
        <v>1621</v>
      </c>
      <c r="D775" s="779"/>
      <c r="E775" s="785"/>
    </row>
    <row r="776" spans="1:5" s="431" customFormat="1" x14ac:dyDescent="0.2">
      <c r="A776" s="779"/>
      <c r="B776" s="782"/>
      <c r="C776" s="401" t="s">
        <v>1582</v>
      </c>
      <c r="D776" s="779"/>
      <c r="E776" s="785"/>
    </row>
    <row r="777" spans="1:5" s="431" customFormat="1" ht="13.5" thickBot="1" x14ac:dyDescent="0.25">
      <c r="A777" s="780"/>
      <c r="B777" s="783"/>
      <c r="C777" s="405" t="s">
        <v>1590</v>
      </c>
      <c r="D777" s="780"/>
      <c r="E777" s="786"/>
    </row>
    <row r="778" spans="1:5" s="431" customFormat="1" ht="51" x14ac:dyDescent="0.2">
      <c r="A778" s="778">
        <v>4</v>
      </c>
      <c r="B778" s="781" t="s">
        <v>1841</v>
      </c>
      <c r="C778" s="401" t="s">
        <v>1842</v>
      </c>
      <c r="D778" s="778" t="s">
        <v>1843</v>
      </c>
      <c r="E778" s="784">
        <f>33700*1*1.71*0.6*1.08</f>
        <v>37342.296000000002</v>
      </c>
    </row>
    <row r="779" spans="1:5" s="431" customFormat="1" x14ac:dyDescent="0.2">
      <c r="A779" s="779"/>
      <c r="B779" s="782"/>
      <c r="C779" s="401" t="s">
        <v>1621</v>
      </c>
      <c r="D779" s="779"/>
      <c r="E779" s="785"/>
    </row>
    <row r="780" spans="1:5" s="431" customFormat="1" x14ac:dyDescent="0.2">
      <c r="A780" s="779"/>
      <c r="B780" s="782"/>
      <c r="C780" s="401" t="s">
        <v>1582</v>
      </c>
      <c r="D780" s="779"/>
      <c r="E780" s="785"/>
    </row>
    <row r="781" spans="1:5" s="431" customFormat="1" ht="13.5" thickBot="1" x14ac:dyDescent="0.25">
      <c r="A781" s="780"/>
      <c r="B781" s="783"/>
      <c r="C781" s="405" t="s">
        <v>1590</v>
      </c>
      <c r="D781" s="780"/>
      <c r="E781" s="786"/>
    </row>
    <row r="782" spans="1:5" s="431" customFormat="1" ht="38.25" customHeight="1" x14ac:dyDescent="0.2">
      <c r="A782" s="778">
        <v>5</v>
      </c>
      <c r="B782" s="781" t="s">
        <v>1844</v>
      </c>
      <c r="C782" s="401" t="s">
        <v>1845</v>
      </c>
      <c r="D782" s="778" t="s">
        <v>1846</v>
      </c>
      <c r="E782" s="784">
        <f>7700*2*1.71*0.6*1.08</f>
        <v>17064.432000000001</v>
      </c>
    </row>
    <row r="783" spans="1:5" s="431" customFormat="1" x14ac:dyDescent="0.2">
      <c r="A783" s="779"/>
      <c r="B783" s="782"/>
      <c r="C783" s="401" t="s">
        <v>1621</v>
      </c>
      <c r="D783" s="779"/>
      <c r="E783" s="785"/>
    </row>
    <row r="784" spans="1:5" s="431" customFormat="1" x14ac:dyDescent="0.2">
      <c r="A784" s="779"/>
      <c r="B784" s="782"/>
      <c r="C784" s="401" t="s">
        <v>1582</v>
      </c>
      <c r="D784" s="779"/>
      <c r="E784" s="785"/>
    </row>
    <row r="785" spans="1:5" s="431" customFormat="1" ht="13.5" thickBot="1" x14ac:dyDescent="0.25">
      <c r="A785" s="780"/>
      <c r="B785" s="783"/>
      <c r="C785" s="405" t="s">
        <v>1590</v>
      </c>
      <c r="D785" s="780"/>
      <c r="E785" s="786"/>
    </row>
    <row r="786" spans="1:5" s="431" customFormat="1" ht="38.25" x14ac:dyDescent="0.2">
      <c r="A786" s="778">
        <v>6</v>
      </c>
      <c r="B786" s="781" t="s">
        <v>1847</v>
      </c>
      <c r="C786" s="401" t="s">
        <v>1596</v>
      </c>
      <c r="D786" s="778" t="s">
        <v>1848</v>
      </c>
      <c r="E786" s="784">
        <f>433690*0.735*7.22*0.6*1.08</f>
        <v>1491347.8445040004</v>
      </c>
    </row>
    <row r="787" spans="1:5" s="431" customFormat="1" x14ac:dyDescent="0.2">
      <c r="A787" s="779"/>
      <c r="B787" s="782"/>
      <c r="C787" s="401" t="s">
        <v>1581</v>
      </c>
      <c r="D787" s="779"/>
      <c r="E787" s="785"/>
    </row>
    <row r="788" spans="1:5" s="431" customFormat="1" x14ac:dyDescent="0.2">
      <c r="A788" s="779"/>
      <c r="B788" s="782"/>
      <c r="C788" s="401" t="s">
        <v>1582</v>
      </c>
      <c r="D788" s="779"/>
      <c r="E788" s="785"/>
    </row>
    <row r="789" spans="1:5" s="431" customFormat="1" ht="13.5" thickBot="1" x14ac:dyDescent="0.25">
      <c r="A789" s="780"/>
      <c r="B789" s="783"/>
      <c r="C789" s="405" t="s">
        <v>1590</v>
      </c>
      <c r="D789" s="780"/>
      <c r="E789" s="786"/>
    </row>
    <row r="790" spans="1:5" s="431" customFormat="1" ht="38.25" x14ac:dyDescent="0.2">
      <c r="A790" s="778">
        <v>7</v>
      </c>
      <c r="B790" s="781" t="s">
        <v>1700</v>
      </c>
      <c r="C790" s="401" t="s">
        <v>1645</v>
      </c>
      <c r="D790" s="778" t="s">
        <v>1701</v>
      </c>
      <c r="E790" s="784">
        <f>2640*2*7.22*0.6*1.08</f>
        <v>24702.7968</v>
      </c>
    </row>
    <row r="791" spans="1:5" s="431" customFormat="1" x14ac:dyDescent="0.2">
      <c r="A791" s="779"/>
      <c r="B791" s="782"/>
      <c r="C791" s="401" t="s">
        <v>1581</v>
      </c>
      <c r="D791" s="779"/>
      <c r="E791" s="785"/>
    </row>
    <row r="792" spans="1:5" s="431" customFormat="1" x14ac:dyDescent="0.2">
      <c r="A792" s="779"/>
      <c r="B792" s="782"/>
      <c r="C792" s="401" t="s">
        <v>1582</v>
      </c>
      <c r="D792" s="779"/>
      <c r="E792" s="785"/>
    </row>
    <row r="793" spans="1:5" s="431" customFormat="1" ht="13.5" thickBot="1" x14ac:dyDescent="0.25">
      <c r="A793" s="780"/>
      <c r="B793" s="783"/>
      <c r="C793" s="405" t="s">
        <v>1590</v>
      </c>
      <c r="D793" s="780"/>
      <c r="E793" s="786"/>
    </row>
    <row r="794" spans="1:5" s="431" customFormat="1" ht="13.5" thickBot="1" x14ac:dyDescent="0.25">
      <c r="A794" s="824" t="s">
        <v>1849</v>
      </c>
      <c r="B794" s="791"/>
      <c r="C794" s="791"/>
      <c r="D794" s="791"/>
      <c r="E794" s="792"/>
    </row>
    <row r="795" spans="1:5" s="431" customFormat="1" ht="38.25" customHeight="1" x14ac:dyDescent="0.2">
      <c r="A795" s="778">
        <v>1</v>
      </c>
      <c r="B795" s="781" t="s">
        <v>1850</v>
      </c>
      <c r="C795" s="401" t="s">
        <v>1833</v>
      </c>
      <c r="D795" s="778" t="s">
        <v>1851</v>
      </c>
      <c r="E795" s="784">
        <f>(85000+31509*13.541)*1.71*0.6*1.08</f>
        <v>566963.94592151989</v>
      </c>
    </row>
    <row r="796" spans="1:5" s="431" customFormat="1" x14ac:dyDescent="0.2">
      <c r="A796" s="779"/>
      <c r="B796" s="782"/>
      <c r="C796" s="401" t="s">
        <v>1621</v>
      </c>
      <c r="D796" s="779"/>
      <c r="E796" s="785"/>
    </row>
    <row r="797" spans="1:5" s="431" customFormat="1" x14ac:dyDescent="0.2">
      <c r="A797" s="779"/>
      <c r="B797" s="782"/>
      <c r="C797" s="401" t="s">
        <v>1582</v>
      </c>
      <c r="D797" s="779"/>
      <c r="E797" s="785"/>
    </row>
    <row r="798" spans="1:5" s="431" customFormat="1" ht="13.5" thickBot="1" x14ac:dyDescent="0.25">
      <c r="A798" s="780"/>
      <c r="B798" s="783"/>
      <c r="C798" s="405" t="s">
        <v>1590</v>
      </c>
      <c r="D798" s="780"/>
      <c r="E798" s="786"/>
    </row>
    <row r="799" spans="1:5" s="431" customFormat="1" ht="38.25" customHeight="1" x14ac:dyDescent="0.2">
      <c r="A799" s="778">
        <v>2</v>
      </c>
      <c r="B799" s="781" t="s">
        <v>1852</v>
      </c>
      <c r="C799" s="401" t="s">
        <v>1836</v>
      </c>
      <c r="D799" s="778" t="s">
        <v>1853</v>
      </c>
      <c r="E799" s="784">
        <f>13400*19*1.71*0.6*1.08</f>
        <v>282117.16800000001</v>
      </c>
    </row>
    <row r="800" spans="1:5" s="431" customFormat="1" x14ac:dyDescent="0.2">
      <c r="A800" s="779"/>
      <c r="B800" s="782"/>
      <c r="C800" s="401" t="s">
        <v>1621</v>
      </c>
      <c r="D800" s="779"/>
      <c r="E800" s="785"/>
    </row>
    <row r="801" spans="1:5" s="431" customFormat="1" x14ac:dyDescent="0.2">
      <c r="A801" s="779"/>
      <c r="B801" s="782"/>
      <c r="C801" s="401" t="s">
        <v>1582</v>
      </c>
      <c r="D801" s="779"/>
      <c r="E801" s="785"/>
    </row>
    <row r="802" spans="1:5" s="431" customFormat="1" ht="13.5" thickBot="1" x14ac:dyDescent="0.25">
      <c r="A802" s="780"/>
      <c r="B802" s="783"/>
      <c r="C802" s="405" t="s">
        <v>1590</v>
      </c>
      <c r="D802" s="780"/>
      <c r="E802" s="786"/>
    </row>
    <row r="803" spans="1:5" s="431" customFormat="1" ht="38.25" customHeight="1" x14ac:dyDescent="0.2">
      <c r="A803" s="778">
        <v>3</v>
      </c>
      <c r="B803" s="781" t="s">
        <v>1854</v>
      </c>
      <c r="C803" s="401" t="s">
        <v>1839</v>
      </c>
      <c r="D803" s="778" t="s">
        <v>1855</v>
      </c>
      <c r="E803" s="784">
        <f>9200*7*1.71*0.6*1.08</f>
        <v>71360.351999999999</v>
      </c>
    </row>
    <row r="804" spans="1:5" s="431" customFormat="1" x14ac:dyDescent="0.2">
      <c r="A804" s="779"/>
      <c r="B804" s="782"/>
      <c r="C804" s="401" t="s">
        <v>1621</v>
      </c>
      <c r="D804" s="779"/>
      <c r="E804" s="785"/>
    </row>
    <row r="805" spans="1:5" s="431" customFormat="1" x14ac:dyDescent="0.2">
      <c r="A805" s="779"/>
      <c r="B805" s="782"/>
      <c r="C805" s="401" t="s">
        <v>1582</v>
      </c>
      <c r="D805" s="779"/>
      <c r="E805" s="785"/>
    </row>
    <row r="806" spans="1:5" s="431" customFormat="1" ht="13.5" thickBot="1" x14ac:dyDescent="0.25">
      <c r="A806" s="780"/>
      <c r="B806" s="783"/>
      <c r="C806" s="405" t="s">
        <v>1590</v>
      </c>
      <c r="D806" s="780"/>
      <c r="E806" s="786"/>
    </row>
    <row r="807" spans="1:5" s="431" customFormat="1" ht="51" x14ac:dyDescent="0.2">
      <c r="A807" s="778">
        <v>4</v>
      </c>
      <c r="B807" s="781" t="s">
        <v>1856</v>
      </c>
      <c r="C807" s="401" t="s">
        <v>1842</v>
      </c>
      <c r="D807" s="778" t="s">
        <v>1857</v>
      </c>
      <c r="E807" s="784">
        <f>33700*4*1.71*0.6*1.08</f>
        <v>149369.18400000001</v>
      </c>
    </row>
    <row r="808" spans="1:5" s="431" customFormat="1" x14ac:dyDescent="0.2">
      <c r="A808" s="779"/>
      <c r="B808" s="782"/>
      <c r="C808" s="401" t="s">
        <v>1621</v>
      </c>
      <c r="D808" s="779"/>
      <c r="E808" s="785"/>
    </row>
    <row r="809" spans="1:5" s="431" customFormat="1" x14ac:dyDescent="0.2">
      <c r="A809" s="779"/>
      <c r="B809" s="782"/>
      <c r="C809" s="401" t="s">
        <v>1582</v>
      </c>
      <c r="D809" s="779"/>
      <c r="E809" s="785"/>
    </row>
    <row r="810" spans="1:5" s="431" customFormat="1" ht="13.5" thickBot="1" x14ac:dyDescent="0.25">
      <c r="A810" s="780"/>
      <c r="B810" s="783"/>
      <c r="C810" s="405" t="s">
        <v>1590</v>
      </c>
      <c r="D810" s="780"/>
      <c r="E810" s="786"/>
    </row>
    <row r="811" spans="1:5" s="431" customFormat="1" ht="51" x14ac:dyDescent="0.2">
      <c r="A811" s="778">
        <v>5</v>
      </c>
      <c r="B811" s="781" t="s">
        <v>1858</v>
      </c>
      <c r="C811" s="401" t="s">
        <v>1842</v>
      </c>
      <c r="D811" s="778" t="s">
        <v>1859</v>
      </c>
      <c r="E811" s="784">
        <f>33700*(1+(30*0.5))*1.71*0.6*1.08</f>
        <v>597476.73600000003</v>
      </c>
    </row>
    <row r="812" spans="1:5" s="431" customFormat="1" x14ac:dyDescent="0.2">
      <c r="A812" s="779"/>
      <c r="B812" s="782"/>
      <c r="C812" s="401" t="s">
        <v>1621</v>
      </c>
      <c r="D812" s="779"/>
      <c r="E812" s="785"/>
    </row>
    <row r="813" spans="1:5" s="431" customFormat="1" x14ac:dyDescent="0.2">
      <c r="A813" s="779"/>
      <c r="B813" s="782"/>
      <c r="C813" s="401" t="s">
        <v>1582</v>
      </c>
      <c r="D813" s="779"/>
      <c r="E813" s="785"/>
    </row>
    <row r="814" spans="1:5" s="431" customFormat="1" ht="13.5" thickBot="1" x14ac:dyDescent="0.25">
      <c r="A814" s="780"/>
      <c r="B814" s="783"/>
      <c r="C814" s="405" t="s">
        <v>1590</v>
      </c>
      <c r="D814" s="780"/>
      <c r="E814" s="786"/>
    </row>
    <row r="815" spans="1:5" s="431" customFormat="1" ht="38.25" customHeight="1" x14ac:dyDescent="0.2">
      <c r="A815" s="778">
        <v>6</v>
      </c>
      <c r="B815" s="781" t="s">
        <v>1860</v>
      </c>
      <c r="C815" s="401" t="s">
        <v>1845</v>
      </c>
      <c r="D815" s="778" t="s">
        <v>1861</v>
      </c>
      <c r="E815" s="825">
        <f>7700*19*1.71*0.6*1.08</f>
        <v>162112.10399999999</v>
      </c>
    </row>
    <row r="816" spans="1:5" s="431" customFormat="1" x14ac:dyDescent="0.2">
      <c r="A816" s="779"/>
      <c r="B816" s="782"/>
      <c r="C816" s="401" t="s">
        <v>1621</v>
      </c>
      <c r="D816" s="779"/>
      <c r="E816" s="785"/>
    </row>
    <row r="817" spans="1:5" s="431" customFormat="1" x14ac:dyDescent="0.2">
      <c r="A817" s="779"/>
      <c r="B817" s="782"/>
      <c r="C817" s="401" t="s">
        <v>1582</v>
      </c>
      <c r="D817" s="779"/>
      <c r="E817" s="785"/>
    </row>
    <row r="818" spans="1:5" s="431" customFormat="1" ht="13.5" thickBot="1" x14ac:dyDescent="0.25">
      <c r="A818" s="780"/>
      <c r="B818" s="783"/>
      <c r="C818" s="405" t="s">
        <v>1590</v>
      </c>
      <c r="D818" s="780"/>
      <c r="E818" s="786"/>
    </row>
    <row r="819" spans="1:5" s="431" customFormat="1" ht="38.25" x14ac:dyDescent="0.2">
      <c r="A819" s="778">
        <v>7</v>
      </c>
      <c r="B819" s="781" t="s">
        <v>1862</v>
      </c>
      <c r="C819" s="401" t="s">
        <v>1635</v>
      </c>
      <c r="D819" s="778" t="s">
        <v>1863</v>
      </c>
      <c r="E819" s="784">
        <f>59070*18*7.22*0.6*1.15*1.08*0.5</f>
        <v>2860352.2807200002</v>
      </c>
    </row>
    <row r="820" spans="1:5" s="431" customFormat="1" x14ac:dyDescent="0.2">
      <c r="A820" s="779"/>
      <c r="B820" s="782"/>
      <c r="C820" s="401" t="s">
        <v>1581</v>
      </c>
      <c r="D820" s="779"/>
      <c r="E820" s="785"/>
    </row>
    <row r="821" spans="1:5" s="431" customFormat="1" x14ac:dyDescent="0.2">
      <c r="A821" s="779"/>
      <c r="B821" s="782"/>
      <c r="C821" s="401" t="s">
        <v>1643</v>
      </c>
      <c r="D821" s="779"/>
      <c r="E821" s="785"/>
    </row>
    <row r="822" spans="1:5" s="431" customFormat="1" ht="25.5" x14ac:dyDescent="0.2">
      <c r="A822" s="779"/>
      <c r="B822" s="782"/>
      <c r="C822" s="401" t="s">
        <v>1583</v>
      </c>
      <c r="D822" s="779"/>
      <c r="E822" s="785"/>
    </row>
    <row r="823" spans="1:5" s="431" customFormat="1" x14ac:dyDescent="0.2">
      <c r="A823" s="779"/>
      <c r="B823" s="782"/>
      <c r="C823" s="401" t="s">
        <v>1804</v>
      </c>
      <c r="D823" s="779"/>
      <c r="E823" s="785"/>
    </row>
    <row r="824" spans="1:5" s="431" customFormat="1" ht="13.5" thickBot="1" x14ac:dyDescent="0.25">
      <c r="A824" s="780"/>
      <c r="B824" s="783"/>
      <c r="C824" s="405" t="s">
        <v>1864</v>
      </c>
      <c r="D824" s="780"/>
      <c r="E824" s="786"/>
    </row>
    <row r="825" spans="1:5" s="431" customFormat="1" ht="38.25" x14ac:dyDescent="0.2">
      <c r="A825" s="778">
        <v>8</v>
      </c>
      <c r="B825" s="781" t="s">
        <v>1865</v>
      </c>
      <c r="C825" s="401" t="s">
        <v>1645</v>
      </c>
      <c r="D825" s="778" t="s">
        <v>1866</v>
      </c>
      <c r="E825" s="784">
        <f>2640*18*7.22*0.6*1.08</f>
        <v>222325.17120000001</v>
      </c>
    </row>
    <row r="826" spans="1:5" s="431" customFormat="1" x14ac:dyDescent="0.2">
      <c r="A826" s="779"/>
      <c r="B826" s="782"/>
      <c r="C826" s="401" t="s">
        <v>1581</v>
      </c>
      <c r="D826" s="779"/>
      <c r="E826" s="785"/>
    </row>
    <row r="827" spans="1:5" s="431" customFormat="1" x14ac:dyDescent="0.2">
      <c r="A827" s="779"/>
      <c r="B827" s="782"/>
      <c r="C827" s="401" t="s">
        <v>1582</v>
      </c>
      <c r="D827" s="779"/>
      <c r="E827" s="785"/>
    </row>
    <row r="828" spans="1:5" s="431" customFormat="1" ht="13.5" thickBot="1" x14ac:dyDescent="0.25">
      <c r="A828" s="780"/>
      <c r="B828" s="783"/>
      <c r="C828" s="405" t="s">
        <v>1590</v>
      </c>
      <c r="D828" s="780"/>
      <c r="E828" s="786"/>
    </row>
    <row r="829" spans="1:5" s="431" customFormat="1" ht="38.25" x14ac:dyDescent="0.2">
      <c r="A829" s="778">
        <v>9</v>
      </c>
      <c r="B829" s="781" t="s">
        <v>1591</v>
      </c>
      <c r="C829" s="401" t="s">
        <v>1648</v>
      </c>
      <c r="D829" s="778" t="s">
        <v>1867</v>
      </c>
      <c r="E829" s="784">
        <f>4790*18*7.22*0.6*1.08</f>
        <v>403385.44319999998</v>
      </c>
    </row>
    <row r="830" spans="1:5" s="431" customFormat="1" x14ac:dyDescent="0.2">
      <c r="A830" s="779"/>
      <c r="B830" s="782"/>
      <c r="C830" s="401" t="s">
        <v>1581</v>
      </c>
      <c r="D830" s="779"/>
      <c r="E830" s="785"/>
    </row>
    <row r="831" spans="1:5" s="431" customFormat="1" x14ac:dyDescent="0.2">
      <c r="A831" s="779"/>
      <c r="B831" s="782"/>
      <c r="C831" s="401" t="s">
        <v>1582</v>
      </c>
      <c r="D831" s="779"/>
      <c r="E831" s="785"/>
    </row>
    <row r="832" spans="1:5" s="431" customFormat="1" ht="13.5" thickBot="1" x14ac:dyDescent="0.25">
      <c r="A832" s="780"/>
      <c r="B832" s="783"/>
      <c r="C832" s="405" t="s">
        <v>1590</v>
      </c>
      <c r="D832" s="780"/>
      <c r="E832" s="786"/>
    </row>
    <row r="833" spans="1:5" s="431" customFormat="1" ht="25.5" x14ac:dyDescent="0.2">
      <c r="A833" s="778">
        <v>10</v>
      </c>
      <c r="B833" s="781" t="s">
        <v>1868</v>
      </c>
      <c r="C833" s="401" t="s">
        <v>1651</v>
      </c>
      <c r="D833" s="778" t="s">
        <v>1869</v>
      </c>
      <c r="E833" s="784">
        <f>11800*18*1.71*0.6*1.08</f>
        <v>235356.19200000001</v>
      </c>
    </row>
    <row r="834" spans="1:5" s="431" customFormat="1" x14ac:dyDescent="0.2">
      <c r="A834" s="779"/>
      <c r="B834" s="782"/>
      <c r="C834" s="401" t="s">
        <v>1621</v>
      </c>
      <c r="D834" s="779"/>
      <c r="E834" s="785"/>
    </row>
    <row r="835" spans="1:5" s="431" customFormat="1" x14ac:dyDescent="0.2">
      <c r="A835" s="779"/>
      <c r="B835" s="782"/>
      <c r="C835" s="401" t="s">
        <v>1582</v>
      </c>
      <c r="D835" s="779"/>
      <c r="E835" s="785"/>
    </row>
    <row r="836" spans="1:5" s="431" customFormat="1" ht="13.5" thickBot="1" x14ac:dyDescent="0.25">
      <c r="A836" s="780"/>
      <c r="B836" s="783"/>
      <c r="C836" s="405" t="s">
        <v>1590</v>
      </c>
      <c r="D836" s="780"/>
      <c r="E836" s="786"/>
    </row>
    <row r="837" spans="1:5" s="431" customFormat="1" ht="38.25" x14ac:dyDescent="0.2">
      <c r="A837" s="778">
        <v>11</v>
      </c>
      <c r="B837" s="781" t="s">
        <v>1654</v>
      </c>
      <c r="C837" s="401" t="s">
        <v>1655</v>
      </c>
      <c r="D837" s="778" t="s">
        <v>1870</v>
      </c>
      <c r="E837" s="784">
        <f>4130*18*7.22*0.6*1.08</f>
        <v>347804.15039999998</v>
      </c>
    </row>
    <row r="838" spans="1:5" s="431" customFormat="1" x14ac:dyDescent="0.2">
      <c r="A838" s="779"/>
      <c r="B838" s="782"/>
      <c r="C838" s="401" t="s">
        <v>1581</v>
      </c>
      <c r="D838" s="779"/>
      <c r="E838" s="785"/>
    </row>
    <row r="839" spans="1:5" s="431" customFormat="1" x14ac:dyDescent="0.2">
      <c r="A839" s="779"/>
      <c r="B839" s="782"/>
      <c r="C839" s="401" t="s">
        <v>1582</v>
      </c>
      <c r="D839" s="779"/>
      <c r="E839" s="785"/>
    </row>
    <row r="840" spans="1:5" s="431" customFormat="1" ht="13.5" thickBot="1" x14ac:dyDescent="0.25">
      <c r="A840" s="780"/>
      <c r="B840" s="783"/>
      <c r="C840" s="405" t="s">
        <v>1590</v>
      </c>
      <c r="D840" s="780"/>
      <c r="E840" s="786"/>
    </row>
    <row r="841" spans="1:5" s="431" customFormat="1" ht="38.25" x14ac:dyDescent="0.2">
      <c r="A841" s="778">
        <v>12</v>
      </c>
      <c r="B841" s="781" t="s">
        <v>1871</v>
      </c>
      <c r="C841" s="401" t="s">
        <v>1607</v>
      </c>
      <c r="D841" s="778" t="s">
        <v>1872</v>
      </c>
      <c r="E841" s="784">
        <f>8870*18*7.22*0.6*1.08*0.25</f>
        <v>186744.7224</v>
      </c>
    </row>
    <row r="842" spans="1:5" s="431" customFormat="1" x14ac:dyDescent="0.2">
      <c r="A842" s="779"/>
      <c r="B842" s="782"/>
      <c r="C842" s="401" t="s">
        <v>1581</v>
      </c>
      <c r="D842" s="779"/>
      <c r="E842" s="785"/>
    </row>
    <row r="843" spans="1:5" s="431" customFormat="1" x14ac:dyDescent="0.2">
      <c r="A843" s="779"/>
      <c r="B843" s="782"/>
      <c r="C843" s="401" t="s">
        <v>1582</v>
      </c>
      <c r="D843" s="779"/>
      <c r="E843" s="785"/>
    </row>
    <row r="844" spans="1:5" s="431" customFormat="1" x14ac:dyDescent="0.2">
      <c r="A844" s="779"/>
      <c r="B844" s="782"/>
      <c r="C844" s="401" t="s">
        <v>1590</v>
      </c>
      <c r="D844" s="779"/>
      <c r="E844" s="785"/>
    </row>
    <row r="845" spans="1:5" s="431" customFormat="1" ht="13.5" thickBot="1" x14ac:dyDescent="0.25">
      <c r="A845" s="780"/>
      <c r="B845" s="783"/>
      <c r="C845" s="405" t="s">
        <v>1609</v>
      </c>
      <c r="D845" s="780"/>
      <c r="E845" s="786"/>
    </row>
    <row r="846" spans="1:5" s="431" customFormat="1" ht="13.5" thickBot="1" x14ac:dyDescent="0.25">
      <c r="A846" s="824" t="s">
        <v>1873</v>
      </c>
      <c r="B846" s="791"/>
      <c r="C846" s="791"/>
      <c r="D846" s="791"/>
      <c r="E846" s="792"/>
    </row>
    <row r="847" spans="1:5" s="431" customFormat="1" ht="38.25" customHeight="1" x14ac:dyDescent="0.2">
      <c r="A847" s="778">
        <v>1</v>
      </c>
      <c r="B847" s="781" t="s">
        <v>1874</v>
      </c>
      <c r="C847" s="401" t="s">
        <v>1833</v>
      </c>
      <c r="D847" s="778" t="s">
        <v>1875</v>
      </c>
      <c r="E847" s="784">
        <f>(33000+39900*4.5)*1.71*0.6*1.08</f>
        <v>235522.40400000001</v>
      </c>
    </row>
    <row r="848" spans="1:5" s="431" customFormat="1" x14ac:dyDescent="0.2">
      <c r="A848" s="779"/>
      <c r="B848" s="782"/>
      <c r="C848" s="401" t="s">
        <v>1876</v>
      </c>
      <c r="D848" s="779"/>
      <c r="E848" s="785"/>
    </row>
    <row r="849" spans="1:5" s="431" customFormat="1" x14ac:dyDescent="0.2">
      <c r="A849" s="779"/>
      <c r="B849" s="782"/>
      <c r="C849" s="401" t="s">
        <v>1877</v>
      </c>
      <c r="D849" s="779"/>
      <c r="E849" s="785"/>
    </row>
    <row r="850" spans="1:5" s="431" customFormat="1" ht="13.5" thickBot="1" x14ac:dyDescent="0.25">
      <c r="A850" s="780"/>
      <c r="B850" s="783"/>
      <c r="C850" s="405" t="s">
        <v>1590</v>
      </c>
      <c r="D850" s="780"/>
      <c r="E850" s="786"/>
    </row>
    <row r="851" spans="1:5" s="431" customFormat="1" ht="38.25" customHeight="1" x14ac:dyDescent="0.2">
      <c r="A851" s="778">
        <v>2</v>
      </c>
      <c r="B851" s="781" t="s">
        <v>1878</v>
      </c>
      <c r="C851" s="401" t="s">
        <v>1833</v>
      </c>
      <c r="D851" s="778" t="s">
        <v>1879</v>
      </c>
      <c r="E851" s="784">
        <f>(85000+31509*15)*1.71*0.6*1.08</f>
        <v>617904.1908000001</v>
      </c>
    </row>
    <row r="852" spans="1:5" s="431" customFormat="1" x14ac:dyDescent="0.2">
      <c r="A852" s="779"/>
      <c r="B852" s="782"/>
      <c r="C852" s="401" t="s">
        <v>1876</v>
      </c>
      <c r="D852" s="779"/>
      <c r="E852" s="785"/>
    </row>
    <row r="853" spans="1:5" s="431" customFormat="1" x14ac:dyDescent="0.2">
      <c r="A853" s="779"/>
      <c r="B853" s="782"/>
      <c r="C853" s="401" t="s">
        <v>1877</v>
      </c>
      <c r="D853" s="779"/>
      <c r="E853" s="785"/>
    </row>
    <row r="854" spans="1:5" s="431" customFormat="1" ht="13.5" thickBot="1" x14ac:dyDescent="0.25">
      <c r="A854" s="780"/>
      <c r="B854" s="783"/>
      <c r="C854" s="405" t="s">
        <v>1590</v>
      </c>
      <c r="D854" s="780"/>
      <c r="E854" s="786"/>
    </row>
    <row r="855" spans="1:5" s="431" customFormat="1" ht="38.25" customHeight="1" x14ac:dyDescent="0.2">
      <c r="A855" s="778">
        <v>2</v>
      </c>
      <c r="B855" s="781" t="s">
        <v>1852</v>
      </c>
      <c r="C855" s="401" t="s">
        <v>1836</v>
      </c>
      <c r="D855" s="778" t="s">
        <v>1880</v>
      </c>
      <c r="E855" s="784">
        <f>13400*(1+(18*0.5))*1.71*0.6*1.08</f>
        <v>148482.72</v>
      </c>
    </row>
    <row r="856" spans="1:5" s="431" customFormat="1" x14ac:dyDescent="0.2">
      <c r="A856" s="779"/>
      <c r="B856" s="782"/>
      <c r="C856" s="401" t="s">
        <v>1876</v>
      </c>
      <c r="D856" s="779"/>
      <c r="E856" s="785"/>
    </row>
    <row r="857" spans="1:5" s="431" customFormat="1" x14ac:dyDescent="0.2">
      <c r="A857" s="779"/>
      <c r="B857" s="782"/>
      <c r="C857" s="401" t="s">
        <v>1877</v>
      </c>
      <c r="D857" s="779"/>
      <c r="E857" s="785"/>
    </row>
    <row r="858" spans="1:5" s="431" customFormat="1" ht="13.5" thickBot="1" x14ac:dyDescent="0.25">
      <c r="A858" s="780"/>
      <c r="B858" s="783"/>
      <c r="C858" s="405" t="s">
        <v>1590</v>
      </c>
      <c r="D858" s="780"/>
      <c r="E858" s="786"/>
    </row>
    <row r="859" spans="1:5" s="431" customFormat="1" ht="51" x14ac:dyDescent="0.2">
      <c r="A859" s="778">
        <v>3</v>
      </c>
      <c r="B859" s="781" t="s">
        <v>1881</v>
      </c>
      <c r="C859" s="401" t="s">
        <v>1882</v>
      </c>
      <c r="D859" s="778" t="s">
        <v>1883</v>
      </c>
      <c r="E859" s="784">
        <f>(14200+138*50)*1.71*0.6*1.08*33</f>
        <v>771556.10400000005</v>
      </c>
    </row>
    <row r="860" spans="1:5" s="431" customFormat="1" x14ac:dyDescent="0.2">
      <c r="A860" s="779"/>
      <c r="B860" s="782"/>
      <c r="C860" s="401" t="s">
        <v>1876</v>
      </c>
      <c r="D860" s="779"/>
      <c r="E860" s="785"/>
    </row>
    <row r="861" spans="1:5" s="431" customFormat="1" x14ac:dyDescent="0.2">
      <c r="A861" s="779"/>
      <c r="B861" s="782"/>
      <c r="C861" s="401" t="s">
        <v>1877</v>
      </c>
      <c r="D861" s="779"/>
      <c r="E861" s="785"/>
    </row>
    <row r="862" spans="1:5" s="431" customFormat="1" x14ac:dyDescent="0.2">
      <c r="A862" s="779"/>
      <c r="B862" s="782"/>
      <c r="C862" s="401" t="s">
        <v>1590</v>
      </c>
      <c r="D862" s="779"/>
      <c r="E862" s="785"/>
    </row>
    <row r="863" spans="1:5" s="431" customFormat="1" ht="13.5" thickBot="1" x14ac:dyDescent="0.25">
      <c r="A863" s="780"/>
      <c r="B863" s="783"/>
      <c r="C863" s="405" t="s">
        <v>1884</v>
      </c>
      <c r="D863" s="780"/>
      <c r="E863" s="786"/>
    </row>
    <row r="864" spans="1:5" s="431" customFormat="1" ht="38.25" customHeight="1" x14ac:dyDescent="0.2">
      <c r="A864" s="778">
        <v>4</v>
      </c>
      <c r="B864" s="781" t="s">
        <v>1885</v>
      </c>
      <c r="C864" s="401" t="s">
        <v>1839</v>
      </c>
      <c r="D864" s="778" t="s">
        <v>1886</v>
      </c>
      <c r="E864" s="784">
        <f>9200*14*1.71*0.6*1.08</f>
        <v>142720.704</v>
      </c>
    </row>
    <row r="865" spans="1:5" s="431" customFormat="1" x14ac:dyDescent="0.2">
      <c r="A865" s="779"/>
      <c r="B865" s="782"/>
      <c r="C865" s="401" t="s">
        <v>1876</v>
      </c>
      <c r="D865" s="779"/>
      <c r="E865" s="785"/>
    </row>
    <row r="866" spans="1:5" s="431" customFormat="1" x14ac:dyDescent="0.2">
      <c r="A866" s="779"/>
      <c r="B866" s="782"/>
      <c r="C866" s="401" t="s">
        <v>1877</v>
      </c>
      <c r="D866" s="779"/>
      <c r="E866" s="785"/>
    </row>
    <row r="867" spans="1:5" s="431" customFormat="1" ht="13.5" thickBot="1" x14ac:dyDescent="0.25">
      <c r="A867" s="780"/>
      <c r="B867" s="783"/>
      <c r="C867" s="405" t="s">
        <v>1590</v>
      </c>
      <c r="D867" s="780"/>
      <c r="E867" s="786"/>
    </row>
    <row r="868" spans="1:5" s="431" customFormat="1" ht="51" x14ac:dyDescent="0.2">
      <c r="A868" s="778">
        <v>5</v>
      </c>
      <c r="B868" s="781" t="s">
        <v>1887</v>
      </c>
      <c r="C868" s="401" t="s">
        <v>1842</v>
      </c>
      <c r="D868" s="778" t="s">
        <v>1857</v>
      </c>
      <c r="E868" s="784">
        <f>33700*4*1.71*0.6*1.08</f>
        <v>149369.18400000001</v>
      </c>
    </row>
    <row r="869" spans="1:5" s="431" customFormat="1" x14ac:dyDescent="0.2">
      <c r="A869" s="779"/>
      <c r="B869" s="782"/>
      <c r="C869" s="401" t="s">
        <v>1876</v>
      </c>
      <c r="D869" s="779"/>
      <c r="E869" s="785"/>
    </row>
    <row r="870" spans="1:5" s="431" customFormat="1" x14ac:dyDescent="0.2">
      <c r="A870" s="779"/>
      <c r="B870" s="782"/>
      <c r="C870" s="401" t="s">
        <v>1877</v>
      </c>
      <c r="D870" s="779"/>
      <c r="E870" s="785"/>
    </row>
    <row r="871" spans="1:5" s="431" customFormat="1" ht="13.5" thickBot="1" x14ac:dyDescent="0.25">
      <c r="A871" s="780"/>
      <c r="B871" s="783"/>
      <c r="C871" s="405" t="s">
        <v>1590</v>
      </c>
      <c r="D871" s="780"/>
      <c r="E871" s="786"/>
    </row>
    <row r="872" spans="1:5" s="431" customFormat="1" ht="51" x14ac:dyDescent="0.2">
      <c r="A872" s="778">
        <v>6</v>
      </c>
      <c r="B872" s="781" t="s">
        <v>1888</v>
      </c>
      <c r="C872" s="401" t="s">
        <v>1889</v>
      </c>
      <c r="D872" s="778" t="s">
        <v>1890</v>
      </c>
      <c r="E872" s="784">
        <f>2900*36*1.71*0.6*1.08</f>
        <v>115683.552</v>
      </c>
    </row>
    <row r="873" spans="1:5" s="431" customFormat="1" x14ac:dyDescent="0.2">
      <c r="A873" s="779"/>
      <c r="B873" s="782"/>
      <c r="C873" s="401" t="s">
        <v>1876</v>
      </c>
      <c r="D873" s="779"/>
      <c r="E873" s="785"/>
    </row>
    <row r="874" spans="1:5" s="431" customFormat="1" x14ac:dyDescent="0.2">
      <c r="A874" s="779"/>
      <c r="B874" s="782"/>
      <c r="C874" s="401" t="s">
        <v>1877</v>
      </c>
      <c r="D874" s="779"/>
      <c r="E874" s="785"/>
    </row>
    <row r="875" spans="1:5" s="431" customFormat="1" ht="13.5" thickBot="1" x14ac:dyDescent="0.25">
      <c r="A875" s="780"/>
      <c r="B875" s="783"/>
      <c r="C875" s="405" t="s">
        <v>1590</v>
      </c>
      <c r="D875" s="780"/>
      <c r="E875" s="786"/>
    </row>
    <row r="876" spans="1:5" s="431" customFormat="1" ht="38.25" customHeight="1" x14ac:dyDescent="0.2">
      <c r="A876" s="778">
        <v>7</v>
      </c>
      <c r="B876" s="781" t="s">
        <v>1891</v>
      </c>
      <c r="C876" s="401" t="s">
        <v>1845</v>
      </c>
      <c r="D876" s="778" t="s">
        <v>1892</v>
      </c>
      <c r="E876" s="784">
        <f>7700*5*1.71*0.6*1.08</f>
        <v>42661.08</v>
      </c>
    </row>
    <row r="877" spans="1:5" s="431" customFormat="1" x14ac:dyDescent="0.2">
      <c r="A877" s="779"/>
      <c r="B877" s="782"/>
      <c r="C877" s="401" t="s">
        <v>1876</v>
      </c>
      <c r="D877" s="779"/>
      <c r="E877" s="785"/>
    </row>
    <row r="878" spans="1:5" s="431" customFormat="1" x14ac:dyDescent="0.2">
      <c r="A878" s="779"/>
      <c r="B878" s="782"/>
      <c r="C878" s="401" t="s">
        <v>1877</v>
      </c>
      <c r="D878" s="779"/>
      <c r="E878" s="785"/>
    </row>
    <row r="879" spans="1:5" s="431" customFormat="1" ht="13.5" thickBot="1" x14ac:dyDescent="0.25">
      <c r="A879" s="780"/>
      <c r="B879" s="783"/>
      <c r="C879" s="405" t="s">
        <v>1590</v>
      </c>
      <c r="D879" s="780"/>
      <c r="E879" s="786"/>
    </row>
    <row r="880" spans="1:5" s="431" customFormat="1" ht="38.25" x14ac:dyDescent="0.2">
      <c r="A880" s="778">
        <v>8</v>
      </c>
      <c r="B880" s="781" t="s">
        <v>1893</v>
      </c>
      <c r="C880" s="401" t="s">
        <v>1635</v>
      </c>
      <c r="D880" s="778" t="s">
        <v>1894</v>
      </c>
      <c r="E880" s="784">
        <f>59070*(1+(19*0.8))*7.22*0.6*1.15*1.08*0.5</f>
        <v>2574317.052648</v>
      </c>
    </row>
    <row r="881" spans="1:5" s="431" customFormat="1" x14ac:dyDescent="0.2">
      <c r="A881" s="779"/>
      <c r="B881" s="782"/>
      <c r="C881" s="401" t="s">
        <v>1895</v>
      </c>
      <c r="D881" s="779"/>
      <c r="E881" s="785"/>
    </row>
    <row r="882" spans="1:5" s="431" customFormat="1" x14ac:dyDescent="0.2">
      <c r="A882" s="779"/>
      <c r="B882" s="782"/>
      <c r="C882" s="401" t="s">
        <v>1877</v>
      </c>
      <c r="D882" s="779"/>
      <c r="E882" s="785"/>
    </row>
    <row r="883" spans="1:5" s="431" customFormat="1" ht="25.5" x14ac:dyDescent="0.2">
      <c r="A883" s="779"/>
      <c r="B883" s="782"/>
      <c r="C883" s="401" t="s">
        <v>1583</v>
      </c>
      <c r="D883" s="779"/>
      <c r="E883" s="785"/>
    </row>
    <row r="884" spans="1:5" s="431" customFormat="1" x14ac:dyDescent="0.2">
      <c r="A884" s="779"/>
      <c r="B884" s="782"/>
      <c r="C884" s="401" t="s">
        <v>1804</v>
      </c>
      <c r="D884" s="779"/>
      <c r="E884" s="785"/>
    </row>
    <row r="885" spans="1:5" s="431" customFormat="1" ht="26.25" thickBot="1" x14ac:dyDescent="0.25">
      <c r="A885" s="780"/>
      <c r="B885" s="783"/>
      <c r="C885" s="405" t="s">
        <v>1896</v>
      </c>
      <c r="D885" s="780"/>
      <c r="E885" s="786"/>
    </row>
    <row r="886" spans="1:5" s="431" customFormat="1" ht="38.25" x14ac:dyDescent="0.2">
      <c r="A886" s="778">
        <v>9</v>
      </c>
      <c r="B886" s="781" t="s">
        <v>1897</v>
      </c>
      <c r="C886" s="401" t="s">
        <v>1600</v>
      </c>
      <c r="D886" s="778" t="s">
        <v>1898</v>
      </c>
      <c r="E886" s="784">
        <f>21120*(1+(19*0.8))*7.22*0.6*1.08</f>
        <v>1600741.2326400001</v>
      </c>
    </row>
    <row r="887" spans="1:5" s="431" customFormat="1" x14ac:dyDescent="0.2">
      <c r="A887" s="779"/>
      <c r="B887" s="782"/>
      <c r="C887" s="401" t="s">
        <v>1895</v>
      </c>
      <c r="D887" s="779"/>
      <c r="E887" s="785"/>
    </row>
    <row r="888" spans="1:5" s="431" customFormat="1" x14ac:dyDescent="0.2">
      <c r="A888" s="779"/>
      <c r="B888" s="782"/>
      <c r="C888" s="401" t="s">
        <v>1877</v>
      </c>
      <c r="D888" s="779"/>
      <c r="E888" s="785"/>
    </row>
    <row r="889" spans="1:5" s="431" customFormat="1" ht="13.5" thickBot="1" x14ac:dyDescent="0.25">
      <c r="A889" s="780"/>
      <c r="B889" s="783"/>
      <c r="C889" s="405" t="s">
        <v>1590</v>
      </c>
      <c r="D889" s="780"/>
      <c r="E889" s="786"/>
    </row>
    <row r="890" spans="1:5" s="431" customFormat="1" ht="38.25" x14ac:dyDescent="0.2">
      <c r="A890" s="778">
        <v>10</v>
      </c>
      <c r="B890" s="781" t="s">
        <v>1899</v>
      </c>
      <c r="C890" s="401" t="s">
        <v>1596</v>
      </c>
      <c r="D890" s="778" t="s">
        <v>1900</v>
      </c>
      <c r="E890" s="784">
        <f>433690*0.4*7.22*0.6*1.08</f>
        <v>811617.87456000003</v>
      </c>
    </row>
    <row r="891" spans="1:5" s="431" customFormat="1" x14ac:dyDescent="0.2">
      <c r="A891" s="779"/>
      <c r="B891" s="782"/>
      <c r="C891" s="401" t="s">
        <v>1895</v>
      </c>
      <c r="D891" s="779"/>
      <c r="E891" s="785"/>
    </row>
    <row r="892" spans="1:5" s="431" customFormat="1" x14ac:dyDescent="0.2">
      <c r="A892" s="779"/>
      <c r="B892" s="782"/>
      <c r="C892" s="401" t="s">
        <v>1877</v>
      </c>
      <c r="D892" s="779"/>
      <c r="E892" s="785"/>
    </row>
    <row r="893" spans="1:5" s="431" customFormat="1" ht="13.5" thickBot="1" x14ac:dyDescent="0.25">
      <c r="A893" s="780"/>
      <c r="B893" s="783"/>
      <c r="C893" s="405" t="s">
        <v>1590</v>
      </c>
      <c r="D893" s="780"/>
      <c r="E893" s="786"/>
    </row>
    <row r="894" spans="1:5" s="431" customFormat="1" ht="38.25" x14ac:dyDescent="0.2">
      <c r="A894" s="778">
        <v>11</v>
      </c>
      <c r="B894" s="781" t="s">
        <v>1901</v>
      </c>
      <c r="C894" s="401" t="s">
        <v>1645</v>
      </c>
      <c r="D894" s="778" t="s">
        <v>1902</v>
      </c>
      <c r="E894" s="784">
        <f>2640*20*7.22*0.6*1.08</f>
        <v>247027.96800000002</v>
      </c>
    </row>
    <row r="895" spans="1:5" s="431" customFormat="1" x14ac:dyDescent="0.2">
      <c r="A895" s="779"/>
      <c r="B895" s="782"/>
      <c r="C895" s="401" t="s">
        <v>1895</v>
      </c>
      <c r="D895" s="779"/>
      <c r="E895" s="785"/>
    </row>
    <row r="896" spans="1:5" s="431" customFormat="1" x14ac:dyDescent="0.2">
      <c r="A896" s="779"/>
      <c r="B896" s="782"/>
      <c r="C896" s="401" t="s">
        <v>1877</v>
      </c>
      <c r="D896" s="779"/>
      <c r="E896" s="785"/>
    </row>
    <row r="897" spans="1:5" s="431" customFormat="1" ht="13.5" thickBot="1" x14ac:dyDescent="0.25">
      <c r="A897" s="780"/>
      <c r="B897" s="783"/>
      <c r="C897" s="405" t="s">
        <v>1590</v>
      </c>
      <c r="D897" s="780"/>
      <c r="E897" s="786"/>
    </row>
    <row r="898" spans="1:5" s="431" customFormat="1" ht="25.5" x14ac:dyDescent="0.2">
      <c r="A898" s="778">
        <v>12</v>
      </c>
      <c r="B898" s="781" t="s">
        <v>1903</v>
      </c>
      <c r="C898" s="401" t="s">
        <v>1904</v>
      </c>
      <c r="D898" s="778" t="s">
        <v>1905</v>
      </c>
      <c r="E898" s="784">
        <f>11800*(1+(19*0.5))*1.71*0.6*1.08</f>
        <v>137291.11199999999</v>
      </c>
    </row>
    <row r="899" spans="1:5" s="431" customFormat="1" x14ac:dyDescent="0.2">
      <c r="A899" s="779"/>
      <c r="B899" s="782"/>
      <c r="C899" s="401" t="s">
        <v>1876</v>
      </c>
      <c r="D899" s="779"/>
      <c r="E899" s="785"/>
    </row>
    <row r="900" spans="1:5" s="431" customFormat="1" x14ac:dyDescent="0.2">
      <c r="A900" s="779"/>
      <c r="B900" s="782"/>
      <c r="C900" s="401" t="s">
        <v>1877</v>
      </c>
      <c r="D900" s="779"/>
      <c r="E900" s="785"/>
    </row>
    <row r="901" spans="1:5" s="431" customFormat="1" ht="13.5" thickBot="1" x14ac:dyDescent="0.25">
      <c r="A901" s="780"/>
      <c r="B901" s="783"/>
      <c r="C901" s="405" t="s">
        <v>1590</v>
      </c>
      <c r="D901" s="780"/>
      <c r="E901" s="786"/>
    </row>
    <row r="902" spans="1:5" s="431" customFormat="1" ht="38.25" x14ac:dyDescent="0.2">
      <c r="A902" s="778">
        <v>13</v>
      </c>
      <c r="B902" s="781" t="s">
        <v>1906</v>
      </c>
      <c r="C902" s="401" t="s">
        <v>1679</v>
      </c>
      <c r="D902" s="778" t="s">
        <v>1907</v>
      </c>
      <c r="E902" s="784">
        <f>8450*20*7.22*0.6*1.08*0.2</f>
        <v>158135.32800000001</v>
      </c>
    </row>
    <row r="903" spans="1:5" s="431" customFormat="1" x14ac:dyDescent="0.2">
      <c r="A903" s="779"/>
      <c r="B903" s="782"/>
      <c r="C903" s="401" t="s">
        <v>1895</v>
      </c>
      <c r="D903" s="779"/>
      <c r="E903" s="785"/>
    </row>
    <row r="904" spans="1:5" s="431" customFormat="1" x14ac:dyDescent="0.2">
      <c r="A904" s="779"/>
      <c r="B904" s="782"/>
      <c r="C904" s="401" t="s">
        <v>1877</v>
      </c>
      <c r="D904" s="779"/>
      <c r="E904" s="785"/>
    </row>
    <row r="905" spans="1:5" s="431" customFormat="1" x14ac:dyDescent="0.2">
      <c r="A905" s="779"/>
      <c r="B905" s="782"/>
      <c r="C905" s="401" t="s">
        <v>1590</v>
      </c>
      <c r="D905" s="779"/>
      <c r="E905" s="785"/>
    </row>
    <row r="906" spans="1:5" s="431" customFormat="1" ht="13.5" thickBot="1" x14ac:dyDescent="0.25">
      <c r="A906" s="780"/>
      <c r="B906" s="783"/>
      <c r="C906" s="405" t="s">
        <v>1908</v>
      </c>
      <c r="D906" s="780"/>
      <c r="E906" s="786"/>
    </row>
    <row r="907" spans="1:5" s="431" customFormat="1" ht="38.25" x14ac:dyDescent="0.2">
      <c r="A907" s="778">
        <v>14</v>
      </c>
      <c r="B907" s="781" t="s">
        <v>1909</v>
      </c>
      <c r="C907" s="401" t="s">
        <v>1607</v>
      </c>
      <c r="D907" s="778" t="s">
        <v>1910</v>
      </c>
      <c r="E907" s="784">
        <f>8870*20*7.22*0.6*1.08*0.25</f>
        <v>207494.136</v>
      </c>
    </row>
    <row r="908" spans="1:5" s="431" customFormat="1" x14ac:dyDescent="0.2">
      <c r="A908" s="779"/>
      <c r="B908" s="782"/>
      <c r="C908" s="401" t="s">
        <v>1895</v>
      </c>
      <c r="D908" s="779"/>
      <c r="E908" s="785"/>
    </row>
    <row r="909" spans="1:5" s="431" customFormat="1" x14ac:dyDescent="0.2">
      <c r="A909" s="779"/>
      <c r="B909" s="782"/>
      <c r="C909" s="401" t="s">
        <v>1877</v>
      </c>
      <c r="D909" s="779"/>
      <c r="E909" s="785"/>
    </row>
    <row r="910" spans="1:5" s="431" customFormat="1" x14ac:dyDescent="0.2">
      <c r="A910" s="779"/>
      <c r="B910" s="782"/>
      <c r="C910" s="401" t="s">
        <v>1590</v>
      </c>
      <c r="D910" s="779"/>
      <c r="E910" s="785"/>
    </row>
    <row r="911" spans="1:5" s="431" customFormat="1" ht="13.5" thickBot="1" x14ac:dyDescent="0.25">
      <c r="A911" s="780"/>
      <c r="B911" s="783"/>
      <c r="C911" s="405" t="s">
        <v>1911</v>
      </c>
      <c r="D911" s="780"/>
      <c r="E911" s="786"/>
    </row>
    <row r="912" spans="1:5" ht="30" customHeight="1" thickBot="1" x14ac:dyDescent="0.25">
      <c r="A912" s="510"/>
      <c r="B912" s="511" t="s">
        <v>2324</v>
      </c>
      <c r="C912" s="509" t="s">
        <v>2325</v>
      </c>
      <c r="D912" s="515" t="s">
        <v>2318</v>
      </c>
      <c r="E912" s="512">
        <f>SUM(E565:E911)*0.7</f>
        <v>25044978.736507464</v>
      </c>
    </row>
    <row r="913" spans="1:5" s="514" customFormat="1" ht="22.5" customHeight="1" thickBot="1" x14ac:dyDescent="0.3">
      <c r="A913" s="454">
        <v>1</v>
      </c>
      <c r="B913" s="455" t="s">
        <v>1912</v>
      </c>
      <c r="C913" s="455"/>
      <c r="D913" s="456"/>
      <c r="E913" s="457">
        <f>E912+E562+E443+E379+E272+E150</f>
        <v>57066164.856591865</v>
      </c>
    </row>
    <row r="914" spans="1:5" s="514" customFormat="1" ht="51" customHeight="1" thickBot="1" x14ac:dyDescent="0.3">
      <c r="A914" s="403">
        <v>2</v>
      </c>
      <c r="B914" s="418" t="s">
        <v>1401</v>
      </c>
      <c r="C914" s="418" t="s">
        <v>1402</v>
      </c>
      <c r="D914" s="418" t="s">
        <v>1403</v>
      </c>
      <c r="E914" s="419">
        <f>E913*0.8</f>
        <v>45652931.885273494</v>
      </c>
    </row>
    <row r="915" spans="1:5" s="431" customFormat="1" ht="13.5" thickBot="1" x14ac:dyDescent="0.25">
      <c r="A915" s="787" t="s">
        <v>252</v>
      </c>
      <c r="B915" s="788"/>
      <c r="C915" s="788"/>
      <c r="D915" s="789"/>
      <c r="E915" s="410">
        <f>E914</f>
        <v>45652931.885273494</v>
      </c>
    </row>
    <row r="916" spans="1:5" s="431" customFormat="1" x14ac:dyDescent="0.2">
      <c r="E916" s="452"/>
    </row>
    <row r="917" spans="1:5" s="431" customFormat="1" x14ac:dyDescent="0.2">
      <c r="E917" s="452"/>
    </row>
    <row r="918" spans="1:5" s="431" customFormat="1" x14ac:dyDescent="0.2">
      <c r="E918" s="452"/>
    </row>
    <row r="919" spans="1:5" s="431" customFormat="1" x14ac:dyDescent="0.2">
      <c r="E919" s="452"/>
    </row>
    <row r="920" spans="1:5" s="431" customFormat="1" x14ac:dyDescent="0.2">
      <c r="E920" s="452"/>
    </row>
    <row r="921" spans="1:5" s="431" customFormat="1" x14ac:dyDescent="0.2">
      <c r="E921" s="452"/>
    </row>
    <row r="922" spans="1:5" s="431" customFormat="1" x14ac:dyDescent="0.2">
      <c r="E922" s="452"/>
    </row>
    <row r="923" spans="1:5" s="431" customFormat="1" x14ac:dyDescent="0.2">
      <c r="E923" s="452"/>
    </row>
    <row r="924" spans="1:5" s="431" customFormat="1" x14ac:dyDescent="0.2">
      <c r="E924" s="452"/>
    </row>
    <row r="925" spans="1:5" s="431" customFormat="1" x14ac:dyDescent="0.2">
      <c r="E925" s="452"/>
    </row>
    <row r="926" spans="1:5" s="431" customFormat="1" x14ac:dyDescent="0.2">
      <c r="E926" s="452"/>
    </row>
    <row r="927" spans="1:5" s="431" customFormat="1" x14ac:dyDescent="0.2">
      <c r="E927" s="452"/>
    </row>
    <row r="928" spans="1:5" s="431" customFormat="1" x14ac:dyDescent="0.2">
      <c r="E928" s="452"/>
    </row>
    <row r="929" spans="5:7" s="431" customFormat="1" x14ac:dyDescent="0.2">
      <c r="E929" s="452"/>
    </row>
    <row r="930" spans="5:7" s="431" customFormat="1" x14ac:dyDescent="0.2">
      <c r="E930" s="452"/>
    </row>
    <row r="931" spans="5:7" x14ac:dyDescent="0.2">
      <c r="G931" s="458"/>
    </row>
  </sheetData>
  <mergeCells count="863">
    <mergeCell ref="A3:E3"/>
    <mergeCell ref="A4:E4"/>
    <mergeCell ref="C6:E6"/>
    <mergeCell ref="A17:E17"/>
    <mergeCell ref="A18:E18"/>
    <mergeCell ref="A19:A25"/>
    <mergeCell ref="B19:B25"/>
    <mergeCell ref="D19:D25"/>
    <mergeCell ref="E19:E25"/>
    <mergeCell ref="A26:A29"/>
    <mergeCell ref="B26:B29"/>
    <mergeCell ref="D26:D29"/>
    <mergeCell ref="E26:E29"/>
    <mergeCell ref="A30:A33"/>
    <mergeCell ref="B30:B33"/>
    <mergeCell ref="D30:D33"/>
    <mergeCell ref="E30:E33"/>
    <mergeCell ref="A34:A37"/>
    <mergeCell ref="B34:B37"/>
    <mergeCell ref="D34:D37"/>
    <mergeCell ref="E34:E37"/>
    <mergeCell ref="A38:A41"/>
    <mergeCell ref="B38:B41"/>
    <mergeCell ref="D38:D41"/>
    <mergeCell ref="E38:E41"/>
    <mergeCell ref="A42:E42"/>
    <mergeCell ref="A43:A46"/>
    <mergeCell ref="B43:B46"/>
    <mergeCell ref="D43:D46"/>
    <mergeCell ref="E43:E46"/>
    <mergeCell ref="A47:A50"/>
    <mergeCell ref="B47:B50"/>
    <mergeCell ref="D47:D50"/>
    <mergeCell ref="E47:E50"/>
    <mergeCell ref="A51:A54"/>
    <mergeCell ref="B51:B54"/>
    <mergeCell ref="D51:D54"/>
    <mergeCell ref="E51:E54"/>
    <mergeCell ref="A55:A59"/>
    <mergeCell ref="B55:B59"/>
    <mergeCell ref="D55:D59"/>
    <mergeCell ref="E55:E59"/>
    <mergeCell ref="A60:E60"/>
    <mergeCell ref="A61:A64"/>
    <mergeCell ref="B61:B64"/>
    <mergeCell ref="D61:D64"/>
    <mergeCell ref="E61:E64"/>
    <mergeCell ref="A65:A68"/>
    <mergeCell ref="B65:B68"/>
    <mergeCell ref="D65:D68"/>
    <mergeCell ref="E65:E68"/>
    <mergeCell ref="A69:A72"/>
    <mergeCell ref="B69:B72"/>
    <mergeCell ref="D69:D72"/>
    <mergeCell ref="E69:E72"/>
    <mergeCell ref="A73:A77"/>
    <mergeCell ref="B73:B77"/>
    <mergeCell ref="D73:D77"/>
    <mergeCell ref="E73:E77"/>
    <mergeCell ref="A78:E78"/>
    <mergeCell ref="A79:A83"/>
    <mergeCell ref="B79:B83"/>
    <mergeCell ref="D79:D83"/>
    <mergeCell ref="E79:E83"/>
    <mergeCell ref="A84:E84"/>
    <mergeCell ref="A85:A89"/>
    <mergeCell ref="B85:B89"/>
    <mergeCell ref="D85:D89"/>
    <mergeCell ref="E85:E89"/>
    <mergeCell ref="A90:E90"/>
    <mergeCell ref="A91:A95"/>
    <mergeCell ref="B91:B95"/>
    <mergeCell ref="D91:D95"/>
    <mergeCell ref="E91:E95"/>
    <mergeCell ref="A96:E96"/>
    <mergeCell ref="A97:A100"/>
    <mergeCell ref="B97:B100"/>
    <mergeCell ref="D97:D100"/>
    <mergeCell ref="E97:E100"/>
    <mergeCell ref="A101:A104"/>
    <mergeCell ref="B101:B104"/>
    <mergeCell ref="D101:D104"/>
    <mergeCell ref="E101:E104"/>
    <mergeCell ref="A105:A108"/>
    <mergeCell ref="B105:B108"/>
    <mergeCell ref="D105:D108"/>
    <mergeCell ref="E105:E108"/>
    <mergeCell ref="A109:A113"/>
    <mergeCell ref="B109:B113"/>
    <mergeCell ref="D109:D113"/>
    <mergeCell ref="E109:E113"/>
    <mergeCell ref="A114:E114"/>
    <mergeCell ref="A115:A119"/>
    <mergeCell ref="B115:B119"/>
    <mergeCell ref="D115:D119"/>
    <mergeCell ref="E115:E119"/>
    <mergeCell ref="A120:A123"/>
    <mergeCell ref="B120:B123"/>
    <mergeCell ref="D120:D123"/>
    <mergeCell ref="E120:E123"/>
    <mergeCell ref="A124:A127"/>
    <mergeCell ref="B124:B127"/>
    <mergeCell ref="D124:D127"/>
    <mergeCell ref="E124:E127"/>
    <mergeCell ref="A128:A131"/>
    <mergeCell ref="B128:B131"/>
    <mergeCell ref="D128:D131"/>
    <mergeCell ref="E128:E131"/>
    <mergeCell ref="A132:A135"/>
    <mergeCell ref="B132:B135"/>
    <mergeCell ref="D132:D135"/>
    <mergeCell ref="E132:E135"/>
    <mergeCell ref="A136:A139"/>
    <mergeCell ref="B136:B139"/>
    <mergeCell ref="D136:D139"/>
    <mergeCell ref="E136:E139"/>
    <mergeCell ref="A140:A143"/>
    <mergeCell ref="B140:B143"/>
    <mergeCell ref="D140:D143"/>
    <mergeCell ref="E140:E143"/>
    <mergeCell ref="A144:E144"/>
    <mergeCell ref="A145:A149"/>
    <mergeCell ref="B145:B149"/>
    <mergeCell ref="D145:D149"/>
    <mergeCell ref="E145:E149"/>
    <mergeCell ref="A151:E151"/>
    <mergeCell ref="A152:E152"/>
    <mergeCell ref="A153:A157"/>
    <mergeCell ref="B153:B157"/>
    <mergeCell ref="D153:D157"/>
    <mergeCell ref="E153:E157"/>
    <mergeCell ref="A158:A161"/>
    <mergeCell ref="B158:B161"/>
    <mergeCell ref="D158:D161"/>
    <mergeCell ref="E158:E161"/>
    <mergeCell ref="A162:A165"/>
    <mergeCell ref="B162:B165"/>
    <mergeCell ref="D162:D165"/>
    <mergeCell ref="E162:E165"/>
    <mergeCell ref="A166:A169"/>
    <mergeCell ref="B166:B169"/>
    <mergeCell ref="D166:D169"/>
    <mergeCell ref="E166:E169"/>
    <mergeCell ref="A170:A173"/>
    <mergeCell ref="B170:B173"/>
    <mergeCell ref="D170:D173"/>
    <mergeCell ref="E170:E173"/>
    <mergeCell ref="A174:A177"/>
    <mergeCell ref="B174:B177"/>
    <mergeCell ref="D174:D177"/>
    <mergeCell ref="E174:E177"/>
    <mergeCell ref="A178:A181"/>
    <mergeCell ref="B178:B181"/>
    <mergeCell ref="D178:D181"/>
    <mergeCell ref="E178:E181"/>
    <mergeCell ref="A182:E182"/>
    <mergeCell ref="A183:A186"/>
    <mergeCell ref="B183:B186"/>
    <mergeCell ref="D183:D186"/>
    <mergeCell ref="E183:E186"/>
    <mergeCell ref="A187:E187"/>
    <mergeCell ref="A188:A191"/>
    <mergeCell ref="B188:B191"/>
    <mergeCell ref="D188:D191"/>
    <mergeCell ref="E188:E191"/>
    <mergeCell ref="A192:E192"/>
    <mergeCell ref="A193:A197"/>
    <mergeCell ref="B193:B197"/>
    <mergeCell ref="D193:D197"/>
    <mergeCell ref="E193:E197"/>
    <mergeCell ref="A198:E198"/>
    <mergeCell ref="A199:A202"/>
    <mergeCell ref="B199:B202"/>
    <mergeCell ref="D199:D202"/>
    <mergeCell ref="E199:E202"/>
    <mergeCell ref="A203:A206"/>
    <mergeCell ref="B203:B206"/>
    <mergeCell ref="D203:D206"/>
    <mergeCell ref="E203:E206"/>
    <mergeCell ref="A207:A210"/>
    <mergeCell ref="B207:B210"/>
    <mergeCell ref="D207:D210"/>
    <mergeCell ref="E207:E210"/>
    <mergeCell ref="A211:A214"/>
    <mergeCell ref="B211:B214"/>
    <mergeCell ref="D211:D214"/>
    <mergeCell ref="E211:E214"/>
    <mergeCell ref="A215:E215"/>
    <mergeCell ref="A216:E216"/>
    <mergeCell ref="A217:A220"/>
    <mergeCell ref="B217:B220"/>
    <mergeCell ref="D217:D220"/>
    <mergeCell ref="E217:E220"/>
    <mergeCell ref="A221:A224"/>
    <mergeCell ref="B221:B224"/>
    <mergeCell ref="D221:D224"/>
    <mergeCell ref="E221:E224"/>
    <mergeCell ref="A225:A228"/>
    <mergeCell ref="B225:B228"/>
    <mergeCell ref="D225:D228"/>
    <mergeCell ref="E225:E228"/>
    <mergeCell ref="A229:E229"/>
    <mergeCell ref="A230:A233"/>
    <mergeCell ref="B230:B233"/>
    <mergeCell ref="D230:D233"/>
    <mergeCell ref="E230:E233"/>
    <mergeCell ref="A234:A237"/>
    <mergeCell ref="B234:B237"/>
    <mergeCell ref="D234:D237"/>
    <mergeCell ref="E234:E237"/>
    <mergeCell ref="A238:A241"/>
    <mergeCell ref="B238:B241"/>
    <mergeCell ref="D238:D241"/>
    <mergeCell ref="E238:E241"/>
    <mergeCell ref="A242:E242"/>
    <mergeCell ref="A243:A246"/>
    <mergeCell ref="B243:B246"/>
    <mergeCell ref="D243:D246"/>
    <mergeCell ref="E243:E246"/>
    <mergeCell ref="A247:A250"/>
    <mergeCell ref="B247:B250"/>
    <mergeCell ref="D247:D250"/>
    <mergeCell ref="E247:E250"/>
    <mergeCell ref="A251:E251"/>
    <mergeCell ref="A252:A255"/>
    <mergeCell ref="B252:B255"/>
    <mergeCell ref="D252:D255"/>
    <mergeCell ref="E252:E255"/>
    <mergeCell ref="A256:E256"/>
    <mergeCell ref="A257:E257"/>
    <mergeCell ref="A258:A261"/>
    <mergeCell ref="B258:B261"/>
    <mergeCell ref="D258:D261"/>
    <mergeCell ref="E258:E261"/>
    <mergeCell ref="A262:A265"/>
    <mergeCell ref="B262:B265"/>
    <mergeCell ref="D262:D265"/>
    <mergeCell ref="E262:E265"/>
    <mergeCell ref="A266:E266"/>
    <mergeCell ref="A267:E267"/>
    <mergeCell ref="A268:A271"/>
    <mergeCell ref="B268:B271"/>
    <mergeCell ref="D268:D271"/>
    <mergeCell ref="E268:E271"/>
    <mergeCell ref="A273:E273"/>
    <mergeCell ref="A274:E274"/>
    <mergeCell ref="A275:A278"/>
    <mergeCell ref="B275:B278"/>
    <mergeCell ref="D275:D278"/>
    <mergeCell ref="E275:E278"/>
    <mergeCell ref="A279:E279"/>
    <mergeCell ref="A280:A285"/>
    <mergeCell ref="B280:B285"/>
    <mergeCell ref="D280:D285"/>
    <mergeCell ref="E280:E285"/>
    <mergeCell ref="A286:A289"/>
    <mergeCell ref="B286:B289"/>
    <mergeCell ref="D286:D289"/>
    <mergeCell ref="E286:E289"/>
    <mergeCell ref="A290:A293"/>
    <mergeCell ref="B290:B293"/>
    <mergeCell ref="D290:D293"/>
    <mergeCell ref="E290:E293"/>
    <mergeCell ref="A294:A297"/>
    <mergeCell ref="B294:B297"/>
    <mergeCell ref="D294:D297"/>
    <mergeCell ref="E294:E297"/>
    <mergeCell ref="A298:A301"/>
    <mergeCell ref="B298:B301"/>
    <mergeCell ref="D298:D301"/>
    <mergeCell ref="E298:E301"/>
    <mergeCell ref="A302:A305"/>
    <mergeCell ref="B302:B305"/>
    <mergeCell ref="D302:D305"/>
    <mergeCell ref="E302:E305"/>
    <mergeCell ref="A306:E306"/>
    <mergeCell ref="A307:A311"/>
    <mergeCell ref="B307:B311"/>
    <mergeCell ref="D307:D311"/>
    <mergeCell ref="E307:E311"/>
    <mergeCell ref="A312:E312"/>
    <mergeCell ref="A313:A317"/>
    <mergeCell ref="B313:B317"/>
    <mergeCell ref="D313:D317"/>
    <mergeCell ref="E313:E317"/>
    <mergeCell ref="A318:E318"/>
    <mergeCell ref="A319:E319"/>
    <mergeCell ref="A320:A323"/>
    <mergeCell ref="B320:B323"/>
    <mergeCell ref="D320:D323"/>
    <mergeCell ref="E320:E323"/>
    <mergeCell ref="A324:A327"/>
    <mergeCell ref="B324:B327"/>
    <mergeCell ref="D324:D327"/>
    <mergeCell ref="E324:E327"/>
    <mergeCell ref="A328:A331"/>
    <mergeCell ref="B328:B331"/>
    <mergeCell ref="D328:D331"/>
    <mergeCell ref="E328:E331"/>
    <mergeCell ref="A332:E332"/>
    <mergeCell ref="A333:A336"/>
    <mergeCell ref="B333:B336"/>
    <mergeCell ref="D333:D336"/>
    <mergeCell ref="E333:E336"/>
    <mergeCell ref="A337:A340"/>
    <mergeCell ref="B337:B340"/>
    <mergeCell ref="D337:D340"/>
    <mergeCell ref="E337:E340"/>
    <mergeCell ref="A341:A344"/>
    <mergeCell ref="B341:B344"/>
    <mergeCell ref="D341:D344"/>
    <mergeCell ref="E341:E344"/>
    <mergeCell ref="A345:E345"/>
    <mergeCell ref="A346:A349"/>
    <mergeCell ref="B346:B349"/>
    <mergeCell ref="D346:D349"/>
    <mergeCell ref="E346:E349"/>
    <mergeCell ref="A350:A353"/>
    <mergeCell ref="B350:B353"/>
    <mergeCell ref="D350:D353"/>
    <mergeCell ref="E350:E353"/>
    <mergeCell ref="A354:E354"/>
    <mergeCell ref="A355:E355"/>
    <mergeCell ref="A356:A359"/>
    <mergeCell ref="B356:B359"/>
    <mergeCell ref="D356:D359"/>
    <mergeCell ref="E356:E359"/>
    <mergeCell ref="A360:A363"/>
    <mergeCell ref="B360:B363"/>
    <mergeCell ref="D360:D363"/>
    <mergeCell ref="E360:E363"/>
    <mergeCell ref="A364:E364"/>
    <mergeCell ref="A365:E365"/>
    <mergeCell ref="A366:A369"/>
    <mergeCell ref="B366:B369"/>
    <mergeCell ref="D366:D369"/>
    <mergeCell ref="E366:E369"/>
    <mergeCell ref="A370:A373"/>
    <mergeCell ref="B370:B373"/>
    <mergeCell ref="D370:D373"/>
    <mergeCell ref="E370:E373"/>
    <mergeCell ref="A374:E374"/>
    <mergeCell ref="A375:A378"/>
    <mergeCell ref="B375:B378"/>
    <mergeCell ref="D375:D378"/>
    <mergeCell ref="E375:E378"/>
    <mergeCell ref="A380:E380"/>
    <mergeCell ref="A381:E381"/>
    <mergeCell ref="A382:A385"/>
    <mergeCell ref="B382:B385"/>
    <mergeCell ref="D382:D385"/>
    <mergeCell ref="E382:E385"/>
    <mergeCell ref="A386:E386"/>
    <mergeCell ref="A387:A391"/>
    <mergeCell ref="B387:B391"/>
    <mergeCell ref="D387:D391"/>
    <mergeCell ref="E387:E391"/>
    <mergeCell ref="A392:A395"/>
    <mergeCell ref="B392:B395"/>
    <mergeCell ref="D392:D395"/>
    <mergeCell ref="E392:E395"/>
    <mergeCell ref="A396:A399"/>
    <mergeCell ref="B396:B399"/>
    <mergeCell ref="D396:D399"/>
    <mergeCell ref="E396:E399"/>
    <mergeCell ref="A400:A403"/>
    <mergeCell ref="B400:B403"/>
    <mergeCell ref="D400:D403"/>
    <mergeCell ref="E400:E403"/>
    <mergeCell ref="A404:A407"/>
    <mergeCell ref="B404:B407"/>
    <mergeCell ref="D404:D407"/>
    <mergeCell ref="E404:E407"/>
    <mergeCell ref="A408:A411"/>
    <mergeCell ref="B408:B411"/>
    <mergeCell ref="D408:D411"/>
    <mergeCell ref="E408:E411"/>
    <mergeCell ref="A412:E412"/>
    <mergeCell ref="A413:E413"/>
    <mergeCell ref="A414:A417"/>
    <mergeCell ref="B414:B417"/>
    <mergeCell ref="D414:D417"/>
    <mergeCell ref="E414:E417"/>
    <mergeCell ref="A418:A421"/>
    <mergeCell ref="B418:B421"/>
    <mergeCell ref="D418:D421"/>
    <mergeCell ref="E418:E421"/>
    <mergeCell ref="A422:E422"/>
    <mergeCell ref="A423:A426"/>
    <mergeCell ref="B423:B426"/>
    <mergeCell ref="D423:D426"/>
    <mergeCell ref="E423:E426"/>
    <mergeCell ref="A427:A430"/>
    <mergeCell ref="B427:B430"/>
    <mergeCell ref="D427:D430"/>
    <mergeCell ref="E427:E430"/>
    <mergeCell ref="A431:A434"/>
    <mergeCell ref="B431:B434"/>
    <mergeCell ref="D431:D434"/>
    <mergeCell ref="E431:E434"/>
    <mergeCell ref="A435:A438"/>
    <mergeCell ref="B435:B438"/>
    <mergeCell ref="D435:D438"/>
    <mergeCell ref="E435:E438"/>
    <mergeCell ref="A439:A442"/>
    <mergeCell ref="B439:B442"/>
    <mergeCell ref="D439:D442"/>
    <mergeCell ref="E439:E442"/>
    <mergeCell ref="A444:E444"/>
    <mergeCell ref="A445:E445"/>
    <mergeCell ref="A446:A449"/>
    <mergeCell ref="B446:B449"/>
    <mergeCell ref="D446:D449"/>
    <mergeCell ref="E446:E449"/>
    <mergeCell ref="A450:A453"/>
    <mergeCell ref="B450:B453"/>
    <mergeCell ref="D450:D453"/>
    <mergeCell ref="E450:E453"/>
    <mergeCell ref="A454:A457"/>
    <mergeCell ref="B454:B457"/>
    <mergeCell ref="D454:D457"/>
    <mergeCell ref="E454:E457"/>
    <mergeCell ref="A458:A461"/>
    <mergeCell ref="B458:B461"/>
    <mergeCell ref="D458:D461"/>
    <mergeCell ref="E458:E461"/>
    <mergeCell ref="A462:E462"/>
    <mergeCell ref="A463:A469"/>
    <mergeCell ref="B463:B469"/>
    <mergeCell ref="D463:D469"/>
    <mergeCell ref="E463:E469"/>
    <mergeCell ref="A470:A473"/>
    <mergeCell ref="B470:B473"/>
    <mergeCell ref="D470:D473"/>
    <mergeCell ref="E470:E473"/>
    <mergeCell ref="A474:A477"/>
    <mergeCell ref="B474:B477"/>
    <mergeCell ref="D474:D477"/>
    <mergeCell ref="E474:E477"/>
    <mergeCell ref="A478:A481"/>
    <mergeCell ref="B478:B481"/>
    <mergeCell ref="D478:D481"/>
    <mergeCell ref="E478:E481"/>
    <mergeCell ref="A482:A485"/>
    <mergeCell ref="B482:B485"/>
    <mergeCell ref="D482:D485"/>
    <mergeCell ref="E482:E485"/>
    <mergeCell ref="A486:E486"/>
    <mergeCell ref="A487:A490"/>
    <mergeCell ref="B487:B490"/>
    <mergeCell ref="D487:D490"/>
    <mergeCell ref="E487:E490"/>
    <mergeCell ref="A491:A494"/>
    <mergeCell ref="B491:B494"/>
    <mergeCell ref="D491:D494"/>
    <mergeCell ref="E491:E494"/>
    <mergeCell ref="A495:A498"/>
    <mergeCell ref="B495:B498"/>
    <mergeCell ref="D495:D498"/>
    <mergeCell ref="E495:E498"/>
    <mergeCell ref="A499:A502"/>
    <mergeCell ref="B499:B502"/>
    <mergeCell ref="D499:D502"/>
    <mergeCell ref="E499:E502"/>
    <mergeCell ref="A503:E503"/>
    <mergeCell ref="A504:E504"/>
    <mergeCell ref="A505:A508"/>
    <mergeCell ref="B505:B508"/>
    <mergeCell ref="D505:D508"/>
    <mergeCell ref="E505:E508"/>
    <mergeCell ref="A509:A512"/>
    <mergeCell ref="B509:B512"/>
    <mergeCell ref="D509:D512"/>
    <mergeCell ref="E509:E512"/>
    <mergeCell ref="A513:E513"/>
    <mergeCell ref="A514:A517"/>
    <mergeCell ref="B514:B517"/>
    <mergeCell ref="D514:D517"/>
    <mergeCell ref="E514:E517"/>
    <mergeCell ref="A518:E518"/>
    <mergeCell ref="A519:A522"/>
    <mergeCell ref="B519:B522"/>
    <mergeCell ref="D519:D522"/>
    <mergeCell ref="E519:E522"/>
    <mergeCell ref="A523:A526"/>
    <mergeCell ref="B523:B526"/>
    <mergeCell ref="D523:D526"/>
    <mergeCell ref="E523:E526"/>
    <mergeCell ref="A527:E527"/>
    <mergeCell ref="A528:A531"/>
    <mergeCell ref="B528:B531"/>
    <mergeCell ref="D528:D531"/>
    <mergeCell ref="E528:E531"/>
    <mergeCell ref="A532:A535"/>
    <mergeCell ref="B532:B535"/>
    <mergeCell ref="D532:D535"/>
    <mergeCell ref="E532:E535"/>
    <mergeCell ref="A536:A539"/>
    <mergeCell ref="B536:B539"/>
    <mergeCell ref="D536:D539"/>
    <mergeCell ref="E536:E539"/>
    <mergeCell ref="A540:E540"/>
    <mergeCell ref="A541:A544"/>
    <mergeCell ref="B541:B544"/>
    <mergeCell ref="D541:D544"/>
    <mergeCell ref="E541:E544"/>
    <mergeCell ref="A545:A548"/>
    <mergeCell ref="B545:B548"/>
    <mergeCell ref="D545:D548"/>
    <mergeCell ref="E545:E548"/>
    <mergeCell ref="A549:A552"/>
    <mergeCell ref="B549:B552"/>
    <mergeCell ref="D549:D552"/>
    <mergeCell ref="E549:E552"/>
    <mergeCell ref="A553:E553"/>
    <mergeCell ref="A554:E554"/>
    <mergeCell ref="A556:A557"/>
    <mergeCell ref="B556:B557"/>
    <mergeCell ref="D556:D557"/>
    <mergeCell ref="E556:E557"/>
    <mergeCell ref="A559:A561"/>
    <mergeCell ref="B559:B561"/>
    <mergeCell ref="D559:D561"/>
    <mergeCell ref="E559:E561"/>
    <mergeCell ref="A563:E563"/>
    <mergeCell ref="A564:E564"/>
    <mergeCell ref="A565:A568"/>
    <mergeCell ref="B565:B568"/>
    <mergeCell ref="D565:D568"/>
    <mergeCell ref="E565:E568"/>
    <mergeCell ref="A569:A572"/>
    <mergeCell ref="B569:B572"/>
    <mergeCell ref="D569:D572"/>
    <mergeCell ref="E569:E572"/>
    <mergeCell ref="A573:A576"/>
    <mergeCell ref="B573:B576"/>
    <mergeCell ref="D573:D576"/>
    <mergeCell ref="E573:E576"/>
    <mergeCell ref="A577:A580"/>
    <mergeCell ref="B577:B580"/>
    <mergeCell ref="D577:D580"/>
    <mergeCell ref="E577:E580"/>
    <mergeCell ref="A581:A584"/>
    <mergeCell ref="B581:B584"/>
    <mergeCell ref="D581:D584"/>
    <mergeCell ref="E581:E584"/>
    <mergeCell ref="A585:E585"/>
    <mergeCell ref="A586:A589"/>
    <mergeCell ref="B586:B589"/>
    <mergeCell ref="D586:D589"/>
    <mergeCell ref="E586:E589"/>
    <mergeCell ref="A590:A593"/>
    <mergeCell ref="B590:B593"/>
    <mergeCell ref="D590:D593"/>
    <mergeCell ref="E590:E593"/>
    <mergeCell ref="A594:A597"/>
    <mergeCell ref="B594:B597"/>
    <mergeCell ref="D594:D597"/>
    <mergeCell ref="E594:E597"/>
    <mergeCell ref="A598:A601"/>
    <mergeCell ref="B598:B601"/>
    <mergeCell ref="D598:D601"/>
    <mergeCell ref="E598:E601"/>
    <mergeCell ref="A602:A605"/>
    <mergeCell ref="B602:B605"/>
    <mergeCell ref="D602:D605"/>
    <mergeCell ref="E602:E605"/>
    <mergeCell ref="A606:E606"/>
    <mergeCell ref="A607:A610"/>
    <mergeCell ref="B607:B610"/>
    <mergeCell ref="D607:D610"/>
    <mergeCell ref="E607:E610"/>
    <mergeCell ref="A611:A615"/>
    <mergeCell ref="B611:B615"/>
    <mergeCell ref="D611:D615"/>
    <mergeCell ref="E611:E615"/>
    <mergeCell ref="A616:A619"/>
    <mergeCell ref="B616:B619"/>
    <mergeCell ref="D616:D619"/>
    <mergeCell ref="E616:E619"/>
    <mergeCell ref="A620:A623"/>
    <mergeCell ref="B620:B623"/>
    <mergeCell ref="D620:D623"/>
    <mergeCell ref="E620:E623"/>
    <mergeCell ref="A624:A627"/>
    <mergeCell ref="B624:B627"/>
    <mergeCell ref="D624:D627"/>
    <mergeCell ref="E624:E627"/>
    <mergeCell ref="A628:E628"/>
    <mergeCell ref="A629:A632"/>
    <mergeCell ref="B629:B632"/>
    <mergeCell ref="D629:D632"/>
    <mergeCell ref="E629:E632"/>
    <mergeCell ref="A633:A636"/>
    <mergeCell ref="B633:B636"/>
    <mergeCell ref="D633:D636"/>
    <mergeCell ref="E633:E636"/>
    <mergeCell ref="A637:A640"/>
    <mergeCell ref="B637:B640"/>
    <mergeCell ref="D637:D640"/>
    <mergeCell ref="E637:E640"/>
    <mergeCell ref="A641:A644"/>
    <mergeCell ref="B641:B644"/>
    <mergeCell ref="D641:D644"/>
    <mergeCell ref="E641:E644"/>
    <mergeCell ref="A645:E645"/>
    <mergeCell ref="A646:A650"/>
    <mergeCell ref="B646:B650"/>
    <mergeCell ref="D646:D650"/>
    <mergeCell ref="E646:E650"/>
    <mergeCell ref="A651:E651"/>
    <mergeCell ref="A652:A655"/>
    <mergeCell ref="B652:B655"/>
    <mergeCell ref="D652:D655"/>
    <mergeCell ref="E652:E655"/>
    <mergeCell ref="A656:A659"/>
    <mergeCell ref="B656:B659"/>
    <mergeCell ref="D656:D659"/>
    <mergeCell ref="E656:E659"/>
    <mergeCell ref="A660:A663"/>
    <mergeCell ref="B660:B663"/>
    <mergeCell ref="D660:D663"/>
    <mergeCell ref="E660:E663"/>
    <mergeCell ref="A664:A667"/>
    <mergeCell ref="B664:B667"/>
    <mergeCell ref="D664:D667"/>
    <mergeCell ref="E664:E667"/>
    <mergeCell ref="A668:A671"/>
    <mergeCell ref="B668:B671"/>
    <mergeCell ref="D668:D671"/>
    <mergeCell ref="E668:E671"/>
    <mergeCell ref="A672:E672"/>
    <mergeCell ref="A673:A676"/>
    <mergeCell ref="B673:B676"/>
    <mergeCell ref="D673:D676"/>
    <mergeCell ref="E673:E676"/>
    <mergeCell ref="A677:A680"/>
    <mergeCell ref="B677:B680"/>
    <mergeCell ref="D677:D680"/>
    <mergeCell ref="E677:E680"/>
    <mergeCell ref="A681:A684"/>
    <mergeCell ref="B681:B684"/>
    <mergeCell ref="D681:D684"/>
    <mergeCell ref="E681:E684"/>
    <mergeCell ref="A685:A688"/>
    <mergeCell ref="B685:B688"/>
    <mergeCell ref="D685:D688"/>
    <mergeCell ref="E685:E688"/>
    <mergeCell ref="A689:E689"/>
    <mergeCell ref="A690:A694"/>
    <mergeCell ref="B690:B694"/>
    <mergeCell ref="D690:D694"/>
    <mergeCell ref="E690:E694"/>
    <mergeCell ref="A695:A698"/>
    <mergeCell ref="B695:B698"/>
    <mergeCell ref="D695:D698"/>
    <mergeCell ref="E695:E698"/>
    <mergeCell ref="A699:A702"/>
    <mergeCell ref="B699:B702"/>
    <mergeCell ref="D699:D702"/>
    <mergeCell ref="E699:E702"/>
    <mergeCell ref="A703:A706"/>
    <mergeCell ref="B703:B706"/>
    <mergeCell ref="D703:D706"/>
    <mergeCell ref="E703:E706"/>
    <mergeCell ref="A707:A710"/>
    <mergeCell ref="B707:B710"/>
    <mergeCell ref="D707:D710"/>
    <mergeCell ref="E707:E710"/>
    <mergeCell ref="A711:A714"/>
    <mergeCell ref="B711:B714"/>
    <mergeCell ref="D711:D714"/>
    <mergeCell ref="E711:E714"/>
    <mergeCell ref="A715:E715"/>
    <mergeCell ref="A716:E716"/>
    <mergeCell ref="A717:A720"/>
    <mergeCell ref="B717:B720"/>
    <mergeCell ref="D717:D720"/>
    <mergeCell ref="E717:E720"/>
    <mergeCell ref="A721:A724"/>
    <mergeCell ref="B721:B724"/>
    <mergeCell ref="D721:D724"/>
    <mergeCell ref="E721:E724"/>
    <mergeCell ref="A725:E725"/>
    <mergeCell ref="A726:A729"/>
    <mergeCell ref="B726:B729"/>
    <mergeCell ref="D726:D729"/>
    <mergeCell ref="E726:E729"/>
    <mergeCell ref="A730:A733"/>
    <mergeCell ref="B730:B733"/>
    <mergeCell ref="D730:D733"/>
    <mergeCell ref="E730:E733"/>
    <mergeCell ref="A734:A737"/>
    <mergeCell ref="B734:B737"/>
    <mergeCell ref="D734:D737"/>
    <mergeCell ref="E734:E737"/>
    <mergeCell ref="A738:E738"/>
    <mergeCell ref="A739:A742"/>
    <mergeCell ref="B739:B742"/>
    <mergeCell ref="D739:D742"/>
    <mergeCell ref="E739:E742"/>
    <mergeCell ref="A743:A746"/>
    <mergeCell ref="B743:B746"/>
    <mergeCell ref="D743:D746"/>
    <mergeCell ref="E743:E746"/>
    <mergeCell ref="A747:A750"/>
    <mergeCell ref="B747:B750"/>
    <mergeCell ref="D747:D750"/>
    <mergeCell ref="E747:E750"/>
    <mergeCell ref="A751:E751"/>
    <mergeCell ref="A752:A755"/>
    <mergeCell ref="B752:B755"/>
    <mergeCell ref="D752:D755"/>
    <mergeCell ref="E752:E755"/>
    <mergeCell ref="A756:E756"/>
    <mergeCell ref="A757:A760"/>
    <mergeCell ref="B757:B760"/>
    <mergeCell ref="D757:D760"/>
    <mergeCell ref="E757:E760"/>
    <mergeCell ref="A761:A764"/>
    <mergeCell ref="B761:B764"/>
    <mergeCell ref="D761:D764"/>
    <mergeCell ref="E761:E764"/>
    <mergeCell ref="A765:E765"/>
    <mergeCell ref="A766:A769"/>
    <mergeCell ref="B766:B769"/>
    <mergeCell ref="D766:D769"/>
    <mergeCell ref="E766:E769"/>
    <mergeCell ref="A770:A773"/>
    <mergeCell ref="B770:B773"/>
    <mergeCell ref="D770:D773"/>
    <mergeCell ref="E770:E773"/>
    <mergeCell ref="A774:A777"/>
    <mergeCell ref="B774:B777"/>
    <mergeCell ref="D774:D777"/>
    <mergeCell ref="E774:E777"/>
    <mergeCell ref="A778:A781"/>
    <mergeCell ref="B778:B781"/>
    <mergeCell ref="D778:D781"/>
    <mergeCell ref="E778:E781"/>
    <mergeCell ref="A782:A785"/>
    <mergeCell ref="B782:B785"/>
    <mergeCell ref="D782:D785"/>
    <mergeCell ref="E782:E785"/>
    <mergeCell ref="A786:A789"/>
    <mergeCell ref="B786:B789"/>
    <mergeCell ref="D786:D789"/>
    <mergeCell ref="E786:E789"/>
    <mergeCell ref="A790:A793"/>
    <mergeCell ref="B790:B793"/>
    <mergeCell ref="D790:D793"/>
    <mergeCell ref="E790:E793"/>
    <mergeCell ref="A794:E794"/>
    <mergeCell ref="A795:A798"/>
    <mergeCell ref="B795:B798"/>
    <mergeCell ref="D795:D798"/>
    <mergeCell ref="E795:E798"/>
    <mergeCell ref="A799:A802"/>
    <mergeCell ref="B799:B802"/>
    <mergeCell ref="D799:D802"/>
    <mergeCell ref="E799:E802"/>
    <mergeCell ref="A803:A806"/>
    <mergeCell ref="B803:B806"/>
    <mergeCell ref="D803:D806"/>
    <mergeCell ref="E803:E806"/>
    <mergeCell ref="A807:A810"/>
    <mergeCell ref="B807:B810"/>
    <mergeCell ref="D807:D810"/>
    <mergeCell ref="E807:E810"/>
    <mergeCell ref="A811:A814"/>
    <mergeCell ref="B811:B814"/>
    <mergeCell ref="D811:D814"/>
    <mergeCell ref="E811:E814"/>
    <mergeCell ref="A815:A818"/>
    <mergeCell ref="B815:B818"/>
    <mergeCell ref="D815:D818"/>
    <mergeCell ref="E815:E818"/>
    <mergeCell ref="A819:A824"/>
    <mergeCell ref="B819:B824"/>
    <mergeCell ref="D819:D824"/>
    <mergeCell ref="E819:E824"/>
    <mergeCell ref="A825:A828"/>
    <mergeCell ref="B825:B828"/>
    <mergeCell ref="D825:D828"/>
    <mergeCell ref="E825:E828"/>
    <mergeCell ref="A829:A832"/>
    <mergeCell ref="B829:B832"/>
    <mergeCell ref="D829:D832"/>
    <mergeCell ref="E829:E832"/>
    <mergeCell ref="A833:A836"/>
    <mergeCell ref="B833:B836"/>
    <mergeCell ref="D833:D836"/>
    <mergeCell ref="E833:E836"/>
    <mergeCell ref="A837:A840"/>
    <mergeCell ref="B837:B840"/>
    <mergeCell ref="D837:D840"/>
    <mergeCell ref="E837:E840"/>
    <mergeCell ref="A841:A845"/>
    <mergeCell ref="B841:B845"/>
    <mergeCell ref="D841:D845"/>
    <mergeCell ref="E841:E845"/>
    <mergeCell ref="A846:E846"/>
    <mergeCell ref="A847:A850"/>
    <mergeCell ref="B847:B850"/>
    <mergeCell ref="D847:D850"/>
    <mergeCell ref="E847:E850"/>
    <mergeCell ref="A851:A854"/>
    <mergeCell ref="B851:B854"/>
    <mergeCell ref="D851:D854"/>
    <mergeCell ref="E851:E854"/>
    <mergeCell ref="A855:A858"/>
    <mergeCell ref="B855:B858"/>
    <mergeCell ref="D855:D858"/>
    <mergeCell ref="E855:E858"/>
    <mergeCell ref="A859:A863"/>
    <mergeCell ref="B859:B863"/>
    <mergeCell ref="D859:D863"/>
    <mergeCell ref="E859:E863"/>
    <mergeCell ref="A864:A867"/>
    <mergeCell ref="B864:B867"/>
    <mergeCell ref="D864:D867"/>
    <mergeCell ref="E864:E867"/>
    <mergeCell ref="A868:A871"/>
    <mergeCell ref="B868:B871"/>
    <mergeCell ref="D868:D871"/>
    <mergeCell ref="E868:E871"/>
    <mergeCell ref="A872:A875"/>
    <mergeCell ref="B872:B875"/>
    <mergeCell ref="D872:D875"/>
    <mergeCell ref="E872:E875"/>
    <mergeCell ref="A876:A879"/>
    <mergeCell ref="B876:B879"/>
    <mergeCell ref="D876:D879"/>
    <mergeCell ref="E876:E879"/>
    <mergeCell ref="A880:A885"/>
    <mergeCell ref="B880:B885"/>
    <mergeCell ref="D880:D885"/>
    <mergeCell ref="E880:E885"/>
    <mergeCell ref="A886:A889"/>
    <mergeCell ref="B886:B889"/>
    <mergeCell ref="D886:D889"/>
    <mergeCell ref="E886:E889"/>
    <mergeCell ref="A890:A893"/>
    <mergeCell ref="B890:B893"/>
    <mergeCell ref="D890:D893"/>
    <mergeCell ref="E890:E893"/>
    <mergeCell ref="A894:A897"/>
    <mergeCell ref="B894:B897"/>
    <mergeCell ref="D894:D897"/>
    <mergeCell ref="E894:E897"/>
    <mergeCell ref="A898:A901"/>
    <mergeCell ref="B898:B901"/>
    <mergeCell ref="D898:D901"/>
    <mergeCell ref="E898:E901"/>
    <mergeCell ref="A902:A906"/>
    <mergeCell ref="B902:B906"/>
    <mergeCell ref="D902:D906"/>
    <mergeCell ref="E902:E906"/>
    <mergeCell ref="A907:A911"/>
    <mergeCell ref="B907:B911"/>
    <mergeCell ref="D907:D911"/>
    <mergeCell ref="E907:E911"/>
    <mergeCell ref="A915:D915"/>
  </mergeCells>
  <conditionalFormatting sqref="C1 C3:C16 C915:C61986">
    <cfRule type="containsText" dxfId="31" priority="13" operator="containsText" text="стадия Р">
      <formula>NOT(ISERROR(SEARCH("стадия Р",C1)))</formula>
    </cfRule>
  </conditionalFormatting>
  <conditionalFormatting sqref="A913:E1048576 A150:B150 E150 A1:E149 A151:E271 A273:E378 A380:E442 A444:E561 A563:E911">
    <cfRule type="containsText" dxfId="30" priority="12" operator="containsText" text="Этап ">
      <formula>NOT(ISERROR(SEARCH("Этап ",A1)))</formula>
    </cfRule>
  </conditionalFormatting>
  <conditionalFormatting sqref="A272:B272 E272">
    <cfRule type="containsText" dxfId="29" priority="11" operator="containsText" text="Этап ">
      <formula>NOT(ISERROR(SEARCH("Этап ",A272)))</formula>
    </cfRule>
  </conditionalFormatting>
  <conditionalFormatting sqref="A379:B379 E379">
    <cfRule type="containsText" dxfId="28" priority="10" operator="containsText" text="Этап ">
      <formula>NOT(ISERROR(SEARCH("Этап ",A379)))</formula>
    </cfRule>
  </conditionalFormatting>
  <conditionalFormatting sqref="A443:B443 E443">
    <cfRule type="containsText" dxfId="27" priority="9" operator="containsText" text="Этап ">
      <formula>NOT(ISERROR(SEARCH("Этап ",A443)))</formula>
    </cfRule>
  </conditionalFormatting>
  <conditionalFormatting sqref="A562:B562 E562">
    <cfRule type="containsText" dxfId="26" priority="8" operator="containsText" text="Этап ">
      <formula>NOT(ISERROR(SEARCH("Этап ",A562)))</formula>
    </cfRule>
  </conditionalFormatting>
  <conditionalFormatting sqref="A912:E912">
    <cfRule type="containsText" dxfId="25" priority="7" operator="containsText" text="Этап ">
      <formula>NOT(ISERROR(SEARCH("Этап ",A912)))</formula>
    </cfRule>
  </conditionalFormatting>
  <conditionalFormatting sqref="C562:D562">
    <cfRule type="containsText" dxfId="24" priority="6" operator="containsText" text="Этап ">
      <formula>NOT(ISERROR(SEARCH("Этап ",C562)))</formula>
    </cfRule>
  </conditionalFormatting>
  <conditionalFormatting sqref="C379:D379">
    <cfRule type="containsText" dxfId="23" priority="5" operator="containsText" text="Этап ">
      <formula>NOT(ISERROR(SEARCH("Этап ",C379)))</formula>
    </cfRule>
  </conditionalFormatting>
  <conditionalFormatting sqref="C443:D443">
    <cfRule type="containsText" dxfId="22" priority="4" operator="containsText" text="Этап ">
      <formula>NOT(ISERROR(SEARCH("Этап ",C443)))</formula>
    </cfRule>
  </conditionalFormatting>
  <conditionalFormatting sqref="C272:D272">
    <cfRule type="containsText" dxfId="21" priority="3" operator="containsText" text="Этап ">
      <formula>NOT(ISERROR(SEARCH("Этап ",C272)))</formula>
    </cfRule>
  </conditionalFormatting>
  <conditionalFormatting sqref="C150:D150">
    <cfRule type="containsText" dxfId="20" priority="2" operator="containsText" text="Этап ">
      <formula>NOT(ISERROR(SEARCH("Этап ",C150)))</formula>
    </cfRule>
  </conditionalFormatting>
  <conditionalFormatting sqref="A1:C1048576">
    <cfRule type="containsText" dxfId="19" priority="1" operator="containsText" text="Рассмотрение конструкторской ">
      <formula>NOT(ISERROR(SEARCH("Рассмотрение конструкторской ",A1)))</formula>
    </cfRule>
  </conditionalFormatting>
  <pageMargins left="0.23622047244094491" right="0.23622047244094491" top="0.74803149606299213" bottom="0.74803149606299213" header="0.31496062992125984" footer="0.31496062992125984"/>
  <pageSetup paperSize="9" scale="69" fitToHeight="0" orientation="portrait" verticalDpi="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IV384"/>
  <sheetViews>
    <sheetView topLeftCell="A372" zoomScale="85" workbookViewId="0">
      <selection activeCell="C381" sqref="C381:D381"/>
    </sheetView>
  </sheetViews>
  <sheetFormatPr defaultColWidth="9.140625" defaultRowHeight="12.75" x14ac:dyDescent="0.2"/>
  <cols>
    <col min="1" max="1" width="5.7109375" style="362" customWidth="1"/>
    <col min="2" max="2" width="34.85546875" style="362" customWidth="1"/>
    <col min="3" max="3" width="42.85546875" style="363" customWidth="1"/>
    <col min="4" max="4" width="26.5703125" style="364" customWidth="1"/>
    <col min="5" max="5" width="17.42578125" style="364" customWidth="1"/>
    <col min="6" max="219" width="9.140625" style="362"/>
    <col min="220" max="220" width="28" style="362" customWidth="1"/>
    <col min="221" max="221" width="52" style="362" customWidth="1"/>
    <col min="222" max="222" width="27.28515625" style="362" customWidth="1"/>
    <col min="223" max="223" width="20.5703125" style="362" customWidth="1"/>
    <col min="224" max="225" width="9.140625" style="362"/>
    <col min="226" max="226" width="11.5703125" style="362" bestFit="1" customWidth="1"/>
    <col min="227" max="257" width="9.140625" style="362"/>
    <col min="258" max="258" width="28.7109375" style="362" customWidth="1"/>
    <col min="259" max="259" width="42.85546875" style="362" customWidth="1"/>
    <col min="260" max="260" width="26.28515625" style="362" customWidth="1"/>
    <col min="261" max="261" width="17.42578125" style="362" customWidth="1"/>
    <col min="262" max="475" width="9.140625" style="362"/>
    <col min="476" max="476" width="28" style="362" customWidth="1"/>
    <col min="477" max="477" width="52" style="362" customWidth="1"/>
    <col min="478" max="478" width="27.28515625" style="362" customWidth="1"/>
    <col min="479" max="479" width="20.5703125" style="362" customWidth="1"/>
    <col min="480" max="481" width="9.140625" style="362"/>
    <col min="482" max="482" width="11.5703125" style="362" bestFit="1" customWidth="1"/>
    <col min="483" max="513" width="9.140625" style="362"/>
    <col min="514" max="514" width="28.7109375" style="362" customWidth="1"/>
    <col min="515" max="515" width="42.85546875" style="362" customWidth="1"/>
    <col min="516" max="516" width="26.28515625" style="362" customWidth="1"/>
    <col min="517" max="517" width="17.42578125" style="362" customWidth="1"/>
    <col min="518" max="731" width="9.140625" style="362"/>
    <col min="732" max="732" width="28" style="362" customWidth="1"/>
    <col min="733" max="733" width="52" style="362" customWidth="1"/>
    <col min="734" max="734" width="27.28515625" style="362" customWidth="1"/>
    <col min="735" max="735" width="20.5703125" style="362" customWidth="1"/>
    <col min="736" max="737" width="9.140625" style="362"/>
    <col min="738" max="738" width="11.5703125" style="362" bestFit="1" customWidth="1"/>
    <col min="739" max="769" width="9.140625" style="362"/>
    <col min="770" max="770" width="28.7109375" style="362" customWidth="1"/>
    <col min="771" max="771" width="42.85546875" style="362" customWidth="1"/>
    <col min="772" max="772" width="26.28515625" style="362" customWidth="1"/>
    <col min="773" max="773" width="17.42578125" style="362" customWidth="1"/>
    <col min="774" max="987" width="9.140625" style="362"/>
    <col min="988" max="988" width="28" style="362" customWidth="1"/>
    <col min="989" max="989" width="52" style="362" customWidth="1"/>
    <col min="990" max="990" width="27.28515625" style="362" customWidth="1"/>
    <col min="991" max="991" width="20.5703125" style="362" customWidth="1"/>
    <col min="992" max="993" width="9.140625" style="362"/>
    <col min="994" max="994" width="11.5703125" style="362" bestFit="1" customWidth="1"/>
    <col min="995" max="1025" width="9.140625" style="362"/>
    <col min="1026" max="1026" width="28.7109375" style="362" customWidth="1"/>
    <col min="1027" max="1027" width="42.85546875" style="362" customWidth="1"/>
    <col min="1028" max="1028" width="26.28515625" style="362" customWidth="1"/>
    <col min="1029" max="1029" width="17.42578125" style="362" customWidth="1"/>
    <col min="1030" max="1243" width="9.140625" style="362"/>
    <col min="1244" max="1244" width="28" style="362" customWidth="1"/>
    <col min="1245" max="1245" width="52" style="362" customWidth="1"/>
    <col min="1246" max="1246" width="27.28515625" style="362" customWidth="1"/>
    <col min="1247" max="1247" width="20.5703125" style="362" customWidth="1"/>
    <col min="1248" max="1249" width="9.140625" style="362"/>
    <col min="1250" max="1250" width="11.5703125" style="362" bestFit="1" customWidth="1"/>
    <col min="1251" max="1281" width="9.140625" style="362"/>
    <col min="1282" max="1282" width="28.7109375" style="362" customWidth="1"/>
    <col min="1283" max="1283" width="42.85546875" style="362" customWidth="1"/>
    <col min="1284" max="1284" width="26.28515625" style="362" customWidth="1"/>
    <col min="1285" max="1285" width="17.42578125" style="362" customWidth="1"/>
    <col min="1286" max="1499" width="9.140625" style="362"/>
    <col min="1500" max="1500" width="28" style="362" customWidth="1"/>
    <col min="1501" max="1501" width="52" style="362" customWidth="1"/>
    <col min="1502" max="1502" width="27.28515625" style="362" customWidth="1"/>
    <col min="1503" max="1503" width="20.5703125" style="362" customWidth="1"/>
    <col min="1504" max="1505" width="9.140625" style="362"/>
    <col min="1506" max="1506" width="11.5703125" style="362" bestFit="1" customWidth="1"/>
    <col min="1507" max="1537" width="9.140625" style="362"/>
    <col min="1538" max="1538" width="28.7109375" style="362" customWidth="1"/>
    <col min="1539" max="1539" width="42.85546875" style="362" customWidth="1"/>
    <col min="1540" max="1540" width="26.28515625" style="362" customWidth="1"/>
    <col min="1541" max="1541" width="17.42578125" style="362" customWidth="1"/>
    <col min="1542" max="1755" width="9.140625" style="362"/>
    <col min="1756" max="1756" width="28" style="362" customWidth="1"/>
    <col min="1757" max="1757" width="52" style="362" customWidth="1"/>
    <col min="1758" max="1758" width="27.28515625" style="362" customWidth="1"/>
    <col min="1759" max="1759" width="20.5703125" style="362" customWidth="1"/>
    <col min="1760" max="1761" width="9.140625" style="362"/>
    <col min="1762" max="1762" width="11.5703125" style="362" bestFit="1" customWidth="1"/>
    <col min="1763" max="1793" width="9.140625" style="362"/>
    <col min="1794" max="1794" width="28.7109375" style="362" customWidth="1"/>
    <col min="1795" max="1795" width="42.85546875" style="362" customWidth="1"/>
    <col min="1796" max="1796" width="26.28515625" style="362" customWidth="1"/>
    <col min="1797" max="1797" width="17.42578125" style="362" customWidth="1"/>
    <col min="1798" max="2011" width="9.140625" style="362"/>
    <col min="2012" max="2012" width="28" style="362" customWidth="1"/>
    <col min="2013" max="2013" width="52" style="362" customWidth="1"/>
    <col min="2014" max="2014" width="27.28515625" style="362" customWidth="1"/>
    <col min="2015" max="2015" width="20.5703125" style="362" customWidth="1"/>
    <col min="2016" max="2017" width="9.140625" style="362"/>
    <col min="2018" max="2018" width="11.5703125" style="362" bestFit="1" customWidth="1"/>
    <col min="2019" max="2049" width="9.140625" style="362"/>
    <col min="2050" max="2050" width="28.7109375" style="362" customWidth="1"/>
    <col min="2051" max="2051" width="42.85546875" style="362" customWidth="1"/>
    <col min="2052" max="2052" width="26.28515625" style="362" customWidth="1"/>
    <col min="2053" max="2053" width="17.42578125" style="362" customWidth="1"/>
    <col min="2054" max="2267" width="9.140625" style="362"/>
    <col min="2268" max="2268" width="28" style="362" customWidth="1"/>
    <col min="2269" max="2269" width="52" style="362" customWidth="1"/>
    <col min="2270" max="2270" width="27.28515625" style="362" customWidth="1"/>
    <col min="2271" max="2271" width="20.5703125" style="362" customWidth="1"/>
    <col min="2272" max="2273" width="9.140625" style="362"/>
    <col min="2274" max="2274" width="11.5703125" style="362" bestFit="1" customWidth="1"/>
    <col min="2275" max="2305" width="9.140625" style="362"/>
    <col min="2306" max="2306" width="28.7109375" style="362" customWidth="1"/>
    <col min="2307" max="2307" width="42.85546875" style="362" customWidth="1"/>
    <col min="2308" max="2308" width="26.28515625" style="362" customWidth="1"/>
    <col min="2309" max="2309" width="17.42578125" style="362" customWidth="1"/>
    <col min="2310" max="2523" width="9.140625" style="362"/>
    <col min="2524" max="2524" width="28" style="362" customWidth="1"/>
    <col min="2525" max="2525" width="52" style="362" customWidth="1"/>
    <col min="2526" max="2526" width="27.28515625" style="362" customWidth="1"/>
    <col min="2527" max="2527" width="20.5703125" style="362" customWidth="1"/>
    <col min="2528" max="2529" width="9.140625" style="362"/>
    <col min="2530" max="2530" width="11.5703125" style="362" bestFit="1" customWidth="1"/>
    <col min="2531" max="2561" width="9.140625" style="362"/>
    <col min="2562" max="2562" width="28.7109375" style="362" customWidth="1"/>
    <col min="2563" max="2563" width="42.85546875" style="362" customWidth="1"/>
    <col min="2564" max="2564" width="26.28515625" style="362" customWidth="1"/>
    <col min="2565" max="2565" width="17.42578125" style="362" customWidth="1"/>
    <col min="2566" max="2779" width="9.140625" style="362"/>
    <col min="2780" max="2780" width="28" style="362" customWidth="1"/>
    <col min="2781" max="2781" width="52" style="362" customWidth="1"/>
    <col min="2782" max="2782" width="27.28515625" style="362" customWidth="1"/>
    <col min="2783" max="2783" width="20.5703125" style="362" customWidth="1"/>
    <col min="2784" max="2785" width="9.140625" style="362"/>
    <col min="2786" max="2786" width="11.5703125" style="362" bestFit="1" customWidth="1"/>
    <col min="2787" max="2817" width="9.140625" style="362"/>
    <col min="2818" max="2818" width="28.7109375" style="362" customWidth="1"/>
    <col min="2819" max="2819" width="42.85546875" style="362" customWidth="1"/>
    <col min="2820" max="2820" width="26.28515625" style="362" customWidth="1"/>
    <col min="2821" max="2821" width="17.42578125" style="362" customWidth="1"/>
    <col min="2822" max="3035" width="9.140625" style="362"/>
    <col min="3036" max="3036" width="28" style="362" customWidth="1"/>
    <col min="3037" max="3037" width="52" style="362" customWidth="1"/>
    <col min="3038" max="3038" width="27.28515625" style="362" customWidth="1"/>
    <col min="3039" max="3039" width="20.5703125" style="362" customWidth="1"/>
    <col min="3040" max="3041" width="9.140625" style="362"/>
    <col min="3042" max="3042" width="11.5703125" style="362" bestFit="1" customWidth="1"/>
    <col min="3043" max="3073" width="9.140625" style="362"/>
    <col min="3074" max="3074" width="28.7109375" style="362" customWidth="1"/>
    <col min="3075" max="3075" width="42.85546875" style="362" customWidth="1"/>
    <col min="3076" max="3076" width="26.28515625" style="362" customWidth="1"/>
    <col min="3077" max="3077" width="17.42578125" style="362" customWidth="1"/>
    <col min="3078" max="3291" width="9.140625" style="362"/>
    <col min="3292" max="3292" width="28" style="362" customWidth="1"/>
    <col min="3293" max="3293" width="52" style="362" customWidth="1"/>
    <col min="3294" max="3294" width="27.28515625" style="362" customWidth="1"/>
    <col min="3295" max="3295" width="20.5703125" style="362" customWidth="1"/>
    <col min="3296" max="3297" width="9.140625" style="362"/>
    <col min="3298" max="3298" width="11.5703125" style="362" bestFit="1" customWidth="1"/>
    <col min="3299" max="3329" width="9.140625" style="362"/>
    <col min="3330" max="3330" width="28.7109375" style="362" customWidth="1"/>
    <col min="3331" max="3331" width="42.85546875" style="362" customWidth="1"/>
    <col min="3332" max="3332" width="26.28515625" style="362" customWidth="1"/>
    <col min="3333" max="3333" width="17.42578125" style="362" customWidth="1"/>
    <col min="3334" max="3547" width="9.140625" style="362"/>
    <col min="3548" max="3548" width="28" style="362" customWidth="1"/>
    <col min="3549" max="3549" width="52" style="362" customWidth="1"/>
    <col min="3550" max="3550" width="27.28515625" style="362" customWidth="1"/>
    <col min="3551" max="3551" width="20.5703125" style="362" customWidth="1"/>
    <col min="3552" max="3553" width="9.140625" style="362"/>
    <col min="3554" max="3554" width="11.5703125" style="362" bestFit="1" customWidth="1"/>
    <col min="3555" max="3585" width="9.140625" style="362"/>
    <col min="3586" max="3586" width="28.7109375" style="362" customWidth="1"/>
    <col min="3587" max="3587" width="42.85546875" style="362" customWidth="1"/>
    <col min="3588" max="3588" width="26.28515625" style="362" customWidth="1"/>
    <col min="3589" max="3589" width="17.42578125" style="362" customWidth="1"/>
    <col min="3590" max="3803" width="9.140625" style="362"/>
    <col min="3804" max="3804" width="28" style="362" customWidth="1"/>
    <col min="3805" max="3805" width="52" style="362" customWidth="1"/>
    <col min="3806" max="3806" width="27.28515625" style="362" customWidth="1"/>
    <col min="3807" max="3807" width="20.5703125" style="362" customWidth="1"/>
    <col min="3808" max="3809" width="9.140625" style="362"/>
    <col min="3810" max="3810" width="11.5703125" style="362" bestFit="1" customWidth="1"/>
    <col min="3811" max="3841" width="9.140625" style="362"/>
    <col min="3842" max="3842" width="28.7109375" style="362" customWidth="1"/>
    <col min="3843" max="3843" width="42.85546875" style="362" customWidth="1"/>
    <col min="3844" max="3844" width="26.28515625" style="362" customWidth="1"/>
    <col min="3845" max="3845" width="17.42578125" style="362" customWidth="1"/>
    <col min="3846" max="4059" width="9.140625" style="362"/>
    <col min="4060" max="4060" width="28" style="362" customWidth="1"/>
    <col min="4061" max="4061" width="52" style="362" customWidth="1"/>
    <col min="4062" max="4062" width="27.28515625" style="362" customWidth="1"/>
    <col min="4063" max="4063" width="20.5703125" style="362" customWidth="1"/>
    <col min="4064" max="4065" width="9.140625" style="362"/>
    <col min="4066" max="4066" width="11.5703125" style="362" bestFit="1" customWidth="1"/>
    <col min="4067" max="4097" width="9.140625" style="362"/>
    <col min="4098" max="4098" width="28.7109375" style="362" customWidth="1"/>
    <col min="4099" max="4099" width="42.85546875" style="362" customWidth="1"/>
    <col min="4100" max="4100" width="26.28515625" style="362" customWidth="1"/>
    <col min="4101" max="4101" width="17.42578125" style="362" customWidth="1"/>
    <col min="4102" max="4315" width="9.140625" style="362"/>
    <col min="4316" max="4316" width="28" style="362" customWidth="1"/>
    <col min="4317" max="4317" width="52" style="362" customWidth="1"/>
    <col min="4318" max="4318" width="27.28515625" style="362" customWidth="1"/>
    <col min="4319" max="4319" width="20.5703125" style="362" customWidth="1"/>
    <col min="4320" max="4321" width="9.140625" style="362"/>
    <col min="4322" max="4322" width="11.5703125" style="362" bestFit="1" customWidth="1"/>
    <col min="4323" max="4353" width="9.140625" style="362"/>
    <col min="4354" max="4354" width="28.7109375" style="362" customWidth="1"/>
    <col min="4355" max="4355" width="42.85546875" style="362" customWidth="1"/>
    <col min="4356" max="4356" width="26.28515625" style="362" customWidth="1"/>
    <col min="4357" max="4357" width="17.42578125" style="362" customWidth="1"/>
    <col min="4358" max="4571" width="9.140625" style="362"/>
    <col min="4572" max="4572" width="28" style="362" customWidth="1"/>
    <col min="4573" max="4573" width="52" style="362" customWidth="1"/>
    <col min="4574" max="4574" width="27.28515625" style="362" customWidth="1"/>
    <col min="4575" max="4575" width="20.5703125" style="362" customWidth="1"/>
    <col min="4576" max="4577" width="9.140625" style="362"/>
    <col min="4578" max="4578" width="11.5703125" style="362" bestFit="1" customWidth="1"/>
    <col min="4579" max="4609" width="9.140625" style="362"/>
    <col min="4610" max="4610" width="28.7109375" style="362" customWidth="1"/>
    <col min="4611" max="4611" width="42.85546875" style="362" customWidth="1"/>
    <col min="4612" max="4612" width="26.28515625" style="362" customWidth="1"/>
    <col min="4613" max="4613" width="17.42578125" style="362" customWidth="1"/>
    <col min="4614" max="4827" width="9.140625" style="362"/>
    <col min="4828" max="4828" width="28" style="362" customWidth="1"/>
    <col min="4829" max="4829" width="52" style="362" customWidth="1"/>
    <col min="4830" max="4830" width="27.28515625" style="362" customWidth="1"/>
    <col min="4831" max="4831" width="20.5703125" style="362" customWidth="1"/>
    <col min="4832" max="4833" width="9.140625" style="362"/>
    <col min="4834" max="4834" width="11.5703125" style="362" bestFit="1" customWidth="1"/>
    <col min="4835" max="4865" width="9.140625" style="362"/>
    <col min="4866" max="4866" width="28.7109375" style="362" customWidth="1"/>
    <col min="4867" max="4867" width="42.85546875" style="362" customWidth="1"/>
    <col min="4868" max="4868" width="26.28515625" style="362" customWidth="1"/>
    <col min="4869" max="4869" width="17.42578125" style="362" customWidth="1"/>
    <col min="4870" max="5083" width="9.140625" style="362"/>
    <col min="5084" max="5084" width="28" style="362" customWidth="1"/>
    <col min="5085" max="5085" width="52" style="362" customWidth="1"/>
    <col min="5086" max="5086" width="27.28515625" style="362" customWidth="1"/>
    <col min="5087" max="5087" width="20.5703125" style="362" customWidth="1"/>
    <col min="5088" max="5089" width="9.140625" style="362"/>
    <col min="5090" max="5090" width="11.5703125" style="362" bestFit="1" customWidth="1"/>
    <col min="5091" max="5121" width="9.140625" style="362"/>
    <col min="5122" max="5122" width="28.7109375" style="362" customWidth="1"/>
    <col min="5123" max="5123" width="42.85546875" style="362" customWidth="1"/>
    <col min="5124" max="5124" width="26.28515625" style="362" customWidth="1"/>
    <col min="5125" max="5125" width="17.42578125" style="362" customWidth="1"/>
    <col min="5126" max="5339" width="9.140625" style="362"/>
    <col min="5340" max="5340" width="28" style="362" customWidth="1"/>
    <col min="5341" max="5341" width="52" style="362" customWidth="1"/>
    <col min="5342" max="5342" width="27.28515625" style="362" customWidth="1"/>
    <col min="5343" max="5343" width="20.5703125" style="362" customWidth="1"/>
    <col min="5344" max="5345" width="9.140625" style="362"/>
    <col min="5346" max="5346" width="11.5703125" style="362" bestFit="1" customWidth="1"/>
    <col min="5347" max="5377" width="9.140625" style="362"/>
    <col min="5378" max="5378" width="28.7109375" style="362" customWidth="1"/>
    <col min="5379" max="5379" width="42.85546875" style="362" customWidth="1"/>
    <col min="5380" max="5380" width="26.28515625" style="362" customWidth="1"/>
    <col min="5381" max="5381" width="17.42578125" style="362" customWidth="1"/>
    <col min="5382" max="5595" width="9.140625" style="362"/>
    <col min="5596" max="5596" width="28" style="362" customWidth="1"/>
    <col min="5597" max="5597" width="52" style="362" customWidth="1"/>
    <col min="5598" max="5598" width="27.28515625" style="362" customWidth="1"/>
    <col min="5599" max="5599" width="20.5703125" style="362" customWidth="1"/>
    <col min="5600" max="5601" width="9.140625" style="362"/>
    <col min="5602" max="5602" width="11.5703125" style="362" bestFit="1" customWidth="1"/>
    <col min="5603" max="5633" width="9.140625" style="362"/>
    <col min="5634" max="5634" width="28.7109375" style="362" customWidth="1"/>
    <col min="5635" max="5635" width="42.85546875" style="362" customWidth="1"/>
    <col min="5636" max="5636" width="26.28515625" style="362" customWidth="1"/>
    <col min="5637" max="5637" width="17.42578125" style="362" customWidth="1"/>
    <col min="5638" max="5851" width="9.140625" style="362"/>
    <col min="5852" max="5852" width="28" style="362" customWidth="1"/>
    <col min="5853" max="5853" width="52" style="362" customWidth="1"/>
    <col min="5854" max="5854" width="27.28515625" style="362" customWidth="1"/>
    <col min="5855" max="5855" width="20.5703125" style="362" customWidth="1"/>
    <col min="5856" max="5857" width="9.140625" style="362"/>
    <col min="5858" max="5858" width="11.5703125" style="362" bestFit="1" customWidth="1"/>
    <col min="5859" max="5889" width="9.140625" style="362"/>
    <col min="5890" max="5890" width="28.7109375" style="362" customWidth="1"/>
    <col min="5891" max="5891" width="42.85546875" style="362" customWidth="1"/>
    <col min="5892" max="5892" width="26.28515625" style="362" customWidth="1"/>
    <col min="5893" max="5893" width="17.42578125" style="362" customWidth="1"/>
    <col min="5894" max="6107" width="9.140625" style="362"/>
    <col min="6108" max="6108" width="28" style="362" customWidth="1"/>
    <col min="6109" max="6109" width="52" style="362" customWidth="1"/>
    <col min="6110" max="6110" width="27.28515625" style="362" customWidth="1"/>
    <col min="6111" max="6111" width="20.5703125" style="362" customWidth="1"/>
    <col min="6112" max="6113" width="9.140625" style="362"/>
    <col min="6114" max="6114" width="11.5703125" style="362" bestFit="1" customWidth="1"/>
    <col min="6115" max="6145" width="9.140625" style="362"/>
    <col min="6146" max="6146" width="28.7109375" style="362" customWidth="1"/>
    <col min="6147" max="6147" width="42.85546875" style="362" customWidth="1"/>
    <col min="6148" max="6148" width="26.28515625" style="362" customWidth="1"/>
    <col min="6149" max="6149" width="17.42578125" style="362" customWidth="1"/>
    <col min="6150" max="6363" width="9.140625" style="362"/>
    <col min="6364" max="6364" width="28" style="362" customWidth="1"/>
    <col min="6365" max="6365" width="52" style="362" customWidth="1"/>
    <col min="6366" max="6366" width="27.28515625" style="362" customWidth="1"/>
    <col min="6367" max="6367" width="20.5703125" style="362" customWidth="1"/>
    <col min="6368" max="6369" width="9.140625" style="362"/>
    <col min="6370" max="6370" width="11.5703125" style="362" bestFit="1" customWidth="1"/>
    <col min="6371" max="6401" width="9.140625" style="362"/>
    <col min="6402" max="6402" width="28.7109375" style="362" customWidth="1"/>
    <col min="6403" max="6403" width="42.85546875" style="362" customWidth="1"/>
    <col min="6404" max="6404" width="26.28515625" style="362" customWidth="1"/>
    <col min="6405" max="6405" width="17.42578125" style="362" customWidth="1"/>
    <col min="6406" max="6619" width="9.140625" style="362"/>
    <col min="6620" max="6620" width="28" style="362" customWidth="1"/>
    <col min="6621" max="6621" width="52" style="362" customWidth="1"/>
    <col min="6622" max="6622" width="27.28515625" style="362" customWidth="1"/>
    <col min="6623" max="6623" width="20.5703125" style="362" customWidth="1"/>
    <col min="6624" max="6625" width="9.140625" style="362"/>
    <col min="6626" max="6626" width="11.5703125" style="362" bestFit="1" customWidth="1"/>
    <col min="6627" max="6657" width="9.140625" style="362"/>
    <col min="6658" max="6658" width="28.7109375" style="362" customWidth="1"/>
    <col min="6659" max="6659" width="42.85546875" style="362" customWidth="1"/>
    <col min="6660" max="6660" width="26.28515625" style="362" customWidth="1"/>
    <col min="6661" max="6661" width="17.42578125" style="362" customWidth="1"/>
    <col min="6662" max="6875" width="9.140625" style="362"/>
    <col min="6876" max="6876" width="28" style="362" customWidth="1"/>
    <col min="6877" max="6877" width="52" style="362" customWidth="1"/>
    <col min="6878" max="6878" width="27.28515625" style="362" customWidth="1"/>
    <col min="6879" max="6879" width="20.5703125" style="362" customWidth="1"/>
    <col min="6880" max="6881" width="9.140625" style="362"/>
    <col min="6882" max="6882" width="11.5703125" style="362" bestFit="1" customWidth="1"/>
    <col min="6883" max="6913" width="9.140625" style="362"/>
    <col min="6914" max="6914" width="28.7109375" style="362" customWidth="1"/>
    <col min="6915" max="6915" width="42.85546875" style="362" customWidth="1"/>
    <col min="6916" max="6916" width="26.28515625" style="362" customWidth="1"/>
    <col min="6917" max="6917" width="17.42578125" style="362" customWidth="1"/>
    <col min="6918" max="7131" width="9.140625" style="362"/>
    <col min="7132" max="7132" width="28" style="362" customWidth="1"/>
    <col min="7133" max="7133" width="52" style="362" customWidth="1"/>
    <col min="7134" max="7134" width="27.28515625" style="362" customWidth="1"/>
    <col min="7135" max="7135" width="20.5703125" style="362" customWidth="1"/>
    <col min="7136" max="7137" width="9.140625" style="362"/>
    <col min="7138" max="7138" width="11.5703125" style="362" bestFit="1" customWidth="1"/>
    <col min="7139" max="7169" width="9.140625" style="362"/>
    <col min="7170" max="7170" width="28.7109375" style="362" customWidth="1"/>
    <col min="7171" max="7171" width="42.85546875" style="362" customWidth="1"/>
    <col min="7172" max="7172" width="26.28515625" style="362" customWidth="1"/>
    <col min="7173" max="7173" width="17.42578125" style="362" customWidth="1"/>
    <col min="7174" max="7387" width="9.140625" style="362"/>
    <col min="7388" max="7388" width="28" style="362" customWidth="1"/>
    <col min="7389" max="7389" width="52" style="362" customWidth="1"/>
    <col min="7390" max="7390" width="27.28515625" style="362" customWidth="1"/>
    <col min="7391" max="7391" width="20.5703125" style="362" customWidth="1"/>
    <col min="7392" max="7393" width="9.140625" style="362"/>
    <col min="7394" max="7394" width="11.5703125" style="362" bestFit="1" customWidth="1"/>
    <col min="7395" max="7425" width="9.140625" style="362"/>
    <col min="7426" max="7426" width="28.7109375" style="362" customWidth="1"/>
    <col min="7427" max="7427" width="42.85546875" style="362" customWidth="1"/>
    <col min="7428" max="7428" width="26.28515625" style="362" customWidth="1"/>
    <col min="7429" max="7429" width="17.42578125" style="362" customWidth="1"/>
    <col min="7430" max="7643" width="9.140625" style="362"/>
    <col min="7644" max="7644" width="28" style="362" customWidth="1"/>
    <col min="7645" max="7645" width="52" style="362" customWidth="1"/>
    <col min="7646" max="7646" width="27.28515625" style="362" customWidth="1"/>
    <col min="7647" max="7647" width="20.5703125" style="362" customWidth="1"/>
    <col min="7648" max="7649" width="9.140625" style="362"/>
    <col min="7650" max="7650" width="11.5703125" style="362" bestFit="1" customWidth="1"/>
    <col min="7651" max="7681" width="9.140625" style="362"/>
    <col min="7682" max="7682" width="28.7109375" style="362" customWidth="1"/>
    <col min="7683" max="7683" width="42.85546875" style="362" customWidth="1"/>
    <col min="7684" max="7684" width="26.28515625" style="362" customWidth="1"/>
    <col min="7685" max="7685" width="17.42578125" style="362" customWidth="1"/>
    <col min="7686" max="7899" width="9.140625" style="362"/>
    <col min="7900" max="7900" width="28" style="362" customWidth="1"/>
    <col min="7901" max="7901" width="52" style="362" customWidth="1"/>
    <col min="7902" max="7902" width="27.28515625" style="362" customWidth="1"/>
    <col min="7903" max="7903" width="20.5703125" style="362" customWidth="1"/>
    <col min="7904" max="7905" width="9.140625" style="362"/>
    <col min="7906" max="7906" width="11.5703125" style="362" bestFit="1" customWidth="1"/>
    <col min="7907" max="7937" width="9.140625" style="362"/>
    <col min="7938" max="7938" width="28.7109375" style="362" customWidth="1"/>
    <col min="7939" max="7939" width="42.85546875" style="362" customWidth="1"/>
    <col min="7940" max="7940" width="26.28515625" style="362" customWidth="1"/>
    <col min="7941" max="7941" width="17.42578125" style="362" customWidth="1"/>
    <col min="7942" max="8155" width="9.140625" style="362"/>
    <col min="8156" max="8156" width="28" style="362" customWidth="1"/>
    <col min="8157" max="8157" width="52" style="362" customWidth="1"/>
    <col min="8158" max="8158" width="27.28515625" style="362" customWidth="1"/>
    <col min="8159" max="8159" width="20.5703125" style="362" customWidth="1"/>
    <col min="8160" max="8161" width="9.140625" style="362"/>
    <col min="8162" max="8162" width="11.5703125" style="362" bestFit="1" customWidth="1"/>
    <col min="8163" max="8193" width="9.140625" style="362"/>
    <col min="8194" max="8194" width="28.7109375" style="362" customWidth="1"/>
    <col min="8195" max="8195" width="42.85546875" style="362" customWidth="1"/>
    <col min="8196" max="8196" width="26.28515625" style="362" customWidth="1"/>
    <col min="8197" max="8197" width="17.42578125" style="362" customWidth="1"/>
    <col min="8198" max="8411" width="9.140625" style="362"/>
    <col min="8412" max="8412" width="28" style="362" customWidth="1"/>
    <col min="8413" max="8413" width="52" style="362" customWidth="1"/>
    <col min="8414" max="8414" width="27.28515625" style="362" customWidth="1"/>
    <col min="8415" max="8415" width="20.5703125" style="362" customWidth="1"/>
    <col min="8416" max="8417" width="9.140625" style="362"/>
    <col min="8418" max="8418" width="11.5703125" style="362" bestFit="1" customWidth="1"/>
    <col min="8419" max="8449" width="9.140625" style="362"/>
    <col min="8450" max="8450" width="28.7109375" style="362" customWidth="1"/>
    <col min="8451" max="8451" width="42.85546875" style="362" customWidth="1"/>
    <col min="8452" max="8452" width="26.28515625" style="362" customWidth="1"/>
    <col min="8453" max="8453" width="17.42578125" style="362" customWidth="1"/>
    <col min="8454" max="8667" width="9.140625" style="362"/>
    <col min="8668" max="8668" width="28" style="362" customWidth="1"/>
    <col min="8669" max="8669" width="52" style="362" customWidth="1"/>
    <col min="8670" max="8670" width="27.28515625" style="362" customWidth="1"/>
    <col min="8671" max="8671" width="20.5703125" style="362" customWidth="1"/>
    <col min="8672" max="8673" width="9.140625" style="362"/>
    <col min="8674" max="8674" width="11.5703125" style="362" bestFit="1" customWidth="1"/>
    <col min="8675" max="8705" width="9.140625" style="362"/>
    <col min="8706" max="8706" width="28.7109375" style="362" customWidth="1"/>
    <col min="8707" max="8707" width="42.85546875" style="362" customWidth="1"/>
    <col min="8708" max="8708" width="26.28515625" style="362" customWidth="1"/>
    <col min="8709" max="8709" width="17.42578125" style="362" customWidth="1"/>
    <col min="8710" max="8923" width="9.140625" style="362"/>
    <col min="8924" max="8924" width="28" style="362" customWidth="1"/>
    <col min="8925" max="8925" width="52" style="362" customWidth="1"/>
    <col min="8926" max="8926" width="27.28515625" style="362" customWidth="1"/>
    <col min="8927" max="8927" width="20.5703125" style="362" customWidth="1"/>
    <col min="8928" max="8929" width="9.140625" style="362"/>
    <col min="8930" max="8930" width="11.5703125" style="362" bestFit="1" customWidth="1"/>
    <col min="8931" max="8961" width="9.140625" style="362"/>
    <col min="8962" max="8962" width="28.7109375" style="362" customWidth="1"/>
    <col min="8963" max="8963" width="42.85546875" style="362" customWidth="1"/>
    <col min="8964" max="8964" width="26.28515625" style="362" customWidth="1"/>
    <col min="8965" max="8965" width="17.42578125" style="362" customWidth="1"/>
    <col min="8966" max="9179" width="9.140625" style="362"/>
    <col min="9180" max="9180" width="28" style="362" customWidth="1"/>
    <col min="9181" max="9181" width="52" style="362" customWidth="1"/>
    <col min="9182" max="9182" width="27.28515625" style="362" customWidth="1"/>
    <col min="9183" max="9183" width="20.5703125" style="362" customWidth="1"/>
    <col min="9184" max="9185" width="9.140625" style="362"/>
    <col min="9186" max="9186" width="11.5703125" style="362" bestFit="1" customWidth="1"/>
    <col min="9187" max="9217" width="9.140625" style="362"/>
    <col min="9218" max="9218" width="28.7109375" style="362" customWidth="1"/>
    <col min="9219" max="9219" width="42.85546875" style="362" customWidth="1"/>
    <col min="9220" max="9220" width="26.28515625" style="362" customWidth="1"/>
    <col min="9221" max="9221" width="17.42578125" style="362" customWidth="1"/>
    <col min="9222" max="9435" width="9.140625" style="362"/>
    <col min="9436" max="9436" width="28" style="362" customWidth="1"/>
    <col min="9437" max="9437" width="52" style="362" customWidth="1"/>
    <col min="9438" max="9438" width="27.28515625" style="362" customWidth="1"/>
    <col min="9439" max="9439" width="20.5703125" style="362" customWidth="1"/>
    <col min="9440" max="9441" width="9.140625" style="362"/>
    <col min="9442" max="9442" width="11.5703125" style="362" bestFit="1" customWidth="1"/>
    <col min="9443" max="9473" width="9.140625" style="362"/>
    <col min="9474" max="9474" width="28.7109375" style="362" customWidth="1"/>
    <col min="9475" max="9475" width="42.85546875" style="362" customWidth="1"/>
    <col min="9476" max="9476" width="26.28515625" style="362" customWidth="1"/>
    <col min="9477" max="9477" width="17.42578125" style="362" customWidth="1"/>
    <col min="9478" max="9691" width="9.140625" style="362"/>
    <col min="9692" max="9692" width="28" style="362" customWidth="1"/>
    <col min="9693" max="9693" width="52" style="362" customWidth="1"/>
    <col min="9694" max="9694" width="27.28515625" style="362" customWidth="1"/>
    <col min="9695" max="9695" width="20.5703125" style="362" customWidth="1"/>
    <col min="9696" max="9697" width="9.140625" style="362"/>
    <col min="9698" max="9698" width="11.5703125" style="362" bestFit="1" customWidth="1"/>
    <col min="9699" max="9729" width="9.140625" style="362"/>
    <col min="9730" max="9730" width="28.7109375" style="362" customWidth="1"/>
    <col min="9731" max="9731" width="42.85546875" style="362" customWidth="1"/>
    <col min="9732" max="9732" width="26.28515625" style="362" customWidth="1"/>
    <col min="9733" max="9733" width="17.42578125" style="362" customWidth="1"/>
    <col min="9734" max="9947" width="9.140625" style="362"/>
    <col min="9948" max="9948" width="28" style="362" customWidth="1"/>
    <col min="9949" max="9949" width="52" style="362" customWidth="1"/>
    <col min="9950" max="9950" width="27.28515625" style="362" customWidth="1"/>
    <col min="9951" max="9951" width="20.5703125" style="362" customWidth="1"/>
    <col min="9952" max="9953" width="9.140625" style="362"/>
    <col min="9954" max="9954" width="11.5703125" style="362" bestFit="1" customWidth="1"/>
    <col min="9955" max="9985" width="9.140625" style="362"/>
    <col min="9986" max="9986" width="28.7109375" style="362" customWidth="1"/>
    <col min="9987" max="9987" width="42.85546875" style="362" customWidth="1"/>
    <col min="9988" max="9988" width="26.28515625" style="362" customWidth="1"/>
    <col min="9989" max="9989" width="17.42578125" style="362" customWidth="1"/>
    <col min="9990" max="10203" width="9.140625" style="362"/>
    <col min="10204" max="10204" width="28" style="362" customWidth="1"/>
    <col min="10205" max="10205" width="52" style="362" customWidth="1"/>
    <col min="10206" max="10206" width="27.28515625" style="362" customWidth="1"/>
    <col min="10207" max="10207" width="20.5703125" style="362" customWidth="1"/>
    <col min="10208" max="10209" width="9.140625" style="362"/>
    <col min="10210" max="10210" width="11.5703125" style="362" bestFit="1" customWidth="1"/>
    <col min="10211" max="10241" width="9.140625" style="362"/>
    <col min="10242" max="10242" width="28.7109375" style="362" customWidth="1"/>
    <col min="10243" max="10243" width="42.85546875" style="362" customWidth="1"/>
    <col min="10244" max="10244" width="26.28515625" style="362" customWidth="1"/>
    <col min="10245" max="10245" width="17.42578125" style="362" customWidth="1"/>
    <col min="10246" max="10459" width="9.140625" style="362"/>
    <col min="10460" max="10460" width="28" style="362" customWidth="1"/>
    <col min="10461" max="10461" width="52" style="362" customWidth="1"/>
    <col min="10462" max="10462" width="27.28515625" style="362" customWidth="1"/>
    <col min="10463" max="10463" width="20.5703125" style="362" customWidth="1"/>
    <col min="10464" max="10465" width="9.140625" style="362"/>
    <col min="10466" max="10466" width="11.5703125" style="362" bestFit="1" customWidth="1"/>
    <col min="10467" max="10497" width="9.140625" style="362"/>
    <col min="10498" max="10498" width="28.7109375" style="362" customWidth="1"/>
    <col min="10499" max="10499" width="42.85546875" style="362" customWidth="1"/>
    <col min="10500" max="10500" width="26.28515625" style="362" customWidth="1"/>
    <col min="10501" max="10501" width="17.42578125" style="362" customWidth="1"/>
    <col min="10502" max="10715" width="9.140625" style="362"/>
    <col min="10716" max="10716" width="28" style="362" customWidth="1"/>
    <col min="10717" max="10717" width="52" style="362" customWidth="1"/>
    <col min="10718" max="10718" width="27.28515625" style="362" customWidth="1"/>
    <col min="10719" max="10719" width="20.5703125" style="362" customWidth="1"/>
    <col min="10720" max="10721" width="9.140625" style="362"/>
    <col min="10722" max="10722" width="11.5703125" style="362" bestFit="1" customWidth="1"/>
    <col min="10723" max="10753" width="9.140625" style="362"/>
    <col min="10754" max="10754" width="28.7109375" style="362" customWidth="1"/>
    <col min="10755" max="10755" width="42.85546875" style="362" customWidth="1"/>
    <col min="10756" max="10756" width="26.28515625" style="362" customWidth="1"/>
    <col min="10757" max="10757" width="17.42578125" style="362" customWidth="1"/>
    <col min="10758" max="10971" width="9.140625" style="362"/>
    <col min="10972" max="10972" width="28" style="362" customWidth="1"/>
    <col min="10973" max="10973" width="52" style="362" customWidth="1"/>
    <col min="10974" max="10974" width="27.28515625" style="362" customWidth="1"/>
    <col min="10975" max="10975" width="20.5703125" style="362" customWidth="1"/>
    <col min="10976" max="10977" width="9.140625" style="362"/>
    <col min="10978" max="10978" width="11.5703125" style="362" bestFit="1" customWidth="1"/>
    <col min="10979" max="11009" width="9.140625" style="362"/>
    <col min="11010" max="11010" width="28.7109375" style="362" customWidth="1"/>
    <col min="11011" max="11011" width="42.85546875" style="362" customWidth="1"/>
    <col min="11012" max="11012" width="26.28515625" style="362" customWidth="1"/>
    <col min="11013" max="11013" width="17.42578125" style="362" customWidth="1"/>
    <col min="11014" max="11227" width="9.140625" style="362"/>
    <col min="11228" max="11228" width="28" style="362" customWidth="1"/>
    <col min="11229" max="11229" width="52" style="362" customWidth="1"/>
    <col min="11230" max="11230" width="27.28515625" style="362" customWidth="1"/>
    <col min="11231" max="11231" width="20.5703125" style="362" customWidth="1"/>
    <col min="11232" max="11233" width="9.140625" style="362"/>
    <col min="11234" max="11234" width="11.5703125" style="362" bestFit="1" customWidth="1"/>
    <col min="11235" max="11265" width="9.140625" style="362"/>
    <col min="11266" max="11266" width="28.7109375" style="362" customWidth="1"/>
    <col min="11267" max="11267" width="42.85546875" style="362" customWidth="1"/>
    <col min="11268" max="11268" width="26.28515625" style="362" customWidth="1"/>
    <col min="11269" max="11269" width="17.42578125" style="362" customWidth="1"/>
    <col min="11270" max="11483" width="9.140625" style="362"/>
    <col min="11484" max="11484" width="28" style="362" customWidth="1"/>
    <col min="11485" max="11485" width="52" style="362" customWidth="1"/>
    <col min="11486" max="11486" width="27.28515625" style="362" customWidth="1"/>
    <col min="11487" max="11487" width="20.5703125" style="362" customWidth="1"/>
    <col min="11488" max="11489" width="9.140625" style="362"/>
    <col min="11490" max="11490" width="11.5703125" style="362" bestFit="1" customWidth="1"/>
    <col min="11491" max="11521" width="9.140625" style="362"/>
    <col min="11522" max="11522" width="28.7109375" style="362" customWidth="1"/>
    <col min="11523" max="11523" width="42.85546875" style="362" customWidth="1"/>
    <col min="11524" max="11524" width="26.28515625" style="362" customWidth="1"/>
    <col min="11525" max="11525" width="17.42578125" style="362" customWidth="1"/>
    <col min="11526" max="11739" width="9.140625" style="362"/>
    <col min="11740" max="11740" width="28" style="362" customWidth="1"/>
    <col min="11741" max="11741" width="52" style="362" customWidth="1"/>
    <col min="11742" max="11742" width="27.28515625" style="362" customWidth="1"/>
    <col min="11743" max="11743" width="20.5703125" style="362" customWidth="1"/>
    <col min="11744" max="11745" width="9.140625" style="362"/>
    <col min="11746" max="11746" width="11.5703125" style="362" bestFit="1" customWidth="1"/>
    <col min="11747" max="11777" width="9.140625" style="362"/>
    <col min="11778" max="11778" width="28.7109375" style="362" customWidth="1"/>
    <col min="11779" max="11779" width="42.85546875" style="362" customWidth="1"/>
    <col min="11780" max="11780" width="26.28515625" style="362" customWidth="1"/>
    <col min="11781" max="11781" width="17.42578125" style="362" customWidth="1"/>
    <col min="11782" max="11995" width="9.140625" style="362"/>
    <col min="11996" max="11996" width="28" style="362" customWidth="1"/>
    <col min="11997" max="11997" width="52" style="362" customWidth="1"/>
    <col min="11998" max="11998" width="27.28515625" style="362" customWidth="1"/>
    <col min="11999" max="11999" width="20.5703125" style="362" customWidth="1"/>
    <col min="12000" max="12001" width="9.140625" style="362"/>
    <col min="12002" max="12002" width="11.5703125" style="362" bestFit="1" customWidth="1"/>
    <col min="12003" max="12033" width="9.140625" style="362"/>
    <col min="12034" max="12034" width="28.7109375" style="362" customWidth="1"/>
    <col min="12035" max="12035" width="42.85546875" style="362" customWidth="1"/>
    <col min="12036" max="12036" width="26.28515625" style="362" customWidth="1"/>
    <col min="12037" max="12037" width="17.42578125" style="362" customWidth="1"/>
    <col min="12038" max="12251" width="9.140625" style="362"/>
    <col min="12252" max="12252" width="28" style="362" customWidth="1"/>
    <col min="12253" max="12253" width="52" style="362" customWidth="1"/>
    <col min="12254" max="12254" width="27.28515625" style="362" customWidth="1"/>
    <col min="12255" max="12255" width="20.5703125" style="362" customWidth="1"/>
    <col min="12256" max="12257" width="9.140625" style="362"/>
    <col min="12258" max="12258" width="11.5703125" style="362" bestFit="1" customWidth="1"/>
    <col min="12259" max="12289" width="9.140625" style="362"/>
    <col min="12290" max="12290" width="28.7109375" style="362" customWidth="1"/>
    <col min="12291" max="12291" width="42.85546875" style="362" customWidth="1"/>
    <col min="12292" max="12292" width="26.28515625" style="362" customWidth="1"/>
    <col min="12293" max="12293" width="17.42578125" style="362" customWidth="1"/>
    <col min="12294" max="12507" width="9.140625" style="362"/>
    <col min="12508" max="12508" width="28" style="362" customWidth="1"/>
    <col min="12509" max="12509" width="52" style="362" customWidth="1"/>
    <col min="12510" max="12510" width="27.28515625" style="362" customWidth="1"/>
    <col min="12511" max="12511" width="20.5703125" style="362" customWidth="1"/>
    <col min="12512" max="12513" width="9.140625" style="362"/>
    <col min="12514" max="12514" width="11.5703125" style="362" bestFit="1" customWidth="1"/>
    <col min="12515" max="12545" width="9.140625" style="362"/>
    <col min="12546" max="12546" width="28.7109375" style="362" customWidth="1"/>
    <col min="12547" max="12547" width="42.85546875" style="362" customWidth="1"/>
    <col min="12548" max="12548" width="26.28515625" style="362" customWidth="1"/>
    <col min="12549" max="12549" width="17.42578125" style="362" customWidth="1"/>
    <col min="12550" max="12763" width="9.140625" style="362"/>
    <col min="12764" max="12764" width="28" style="362" customWidth="1"/>
    <col min="12765" max="12765" width="52" style="362" customWidth="1"/>
    <col min="12766" max="12766" width="27.28515625" style="362" customWidth="1"/>
    <col min="12767" max="12767" width="20.5703125" style="362" customWidth="1"/>
    <col min="12768" max="12769" width="9.140625" style="362"/>
    <col min="12770" max="12770" width="11.5703125" style="362" bestFit="1" customWidth="1"/>
    <col min="12771" max="12801" width="9.140625" style="362"/>
    <col min="12802" max="12802" width="28.7109375" style="362" customWidth="1"/>
    <col min="12803" max="12803" width="42.85546875" style="362" customWidth="1"/>
    <col min="12804" max="12804" width="26.28515625" style="362" customWidth="1"/>
    <col min="12805" max="12805" width="17.42578125" style="362" customWidth="1"/>
    <col min="12806" max="13019" width="9.140625" style="362"/>
    <col min="13020" max="13020" width="28" style="362" customWidth="1"/>
    <col min="13021" max="13021" width="52" style="362" customWidth="1"/>
    <col min="13022" max="13022" width="27.28515625" style="362" customWidth="1"/>
    <col min="13023" max="13023" width="20.5703125" style="362" customWidth="1"/>
    <col min="13024" max="13025" width="9.140625" style="362"/>
    <col min="13026" max="13026" width="11.5703125" style="362" bestFit="1" customWidth="1"/>
    <col min="13027" max="13057" width="9.140625" style="362"/>
    <col min="13058" max="13058" width="28.7109375" style="362" customWidth="1"/>
    <col min="13059" max="13059" width="42.85546875" style="362" customWidth="1"/>
    <col min="13060" max="13060" width="26.28515625" style="362" customWidth="1"/>
    <col min="13061" max="13061" width="17.42578125" style="362" customWidth="1"/>
    <col min="13062" max="13275" width="9.140625" style="362"/>
    <col min="13276" max="13276" width="28" style="362" customWidth="1"/>
    <col min="13277" max="13277" width="52" style="362" customWidth="1"/>
    <col min="13278" max="13278" width="27.28515625" style="362" customWidth="1"/>
    <col min="13279" max="13279" width="20.5703125" style="362" customWidth="1"/>
    <col min="13280" max="13281" width="9.140625" style="362"/>
    <col min="13282" max="13282" width="11.5703125" style="362" bestFit="1" customWidth="1"/>
    <col min="13283" max="13313" width="9.140625" style="362"/>
    <col min="13314" max="13314" width="28.7109375" style="362" customWidth="1"/>
    <col min="13315" max="13315" width="42.85546875" style="362" customWidth="1"/>
    <col min="13316" max="13316" width="26.28515625" style="362" customWidth="1"/>
    <col min="13317" max="13317" width="17.42578125" style="362" customWidth="1"/>
    <col min="13318" max="13531" width="9.140625" style="362"/>
    <col min="13532" max="13532" width="28" style="362" customWidth="1"/>
    <col min="13533" max="13533" width="52" style="362" customWidth="1"/>
    <col min="13534" max="13534" width="27.28515625" style="362" customWidth="1"/>
    <col min="13535" max="13535" width="20.5703125" style="362" customWidth="1"/>
    <col min="13536" max="13537" width="9.140625" style="362"/>
    <col min="13538" max="13538" width="11.5703125" style="362" bestFit="1" customWidth="1"/>
    <col min="13539" max="13569" width="9.140625" style="362"/>
    <col min="13570" max="13570" width="28.7109375" style="362" customWidth="1"/>
    <col min="13571" max="13571" width="42.85546875" style="362" customWidth="1"/>
    <col min="13572" max="13572" width="26.28515625" style="362" customWidth="1"/>
    <col min="13573" max="13573" width="17.42578125" style="362" customWidth="1"/>
    <col min="13574" max="13787" width="9.140625" style="362"/>
    <col min="13788" max="13788" width="28" style="362" customWidth="1"/>
    <col min="13789" max="13789" width="52" style="362" customWidth="1"/>
    <col min="13790" max="13790" width="27.28515625" style="362" customWidth="1"/>
    <col min="13791" max="13791" width="20.5703125" style="362" customWidth="1"/>
    <col min="13792" max="13793" width="9.140625" style="362"/>
    <col min="13794" max="13794" width="11.5703125" style="362" bestFit="1" customWidth="1"/>
    <col min="13795" max="13825" width="9.140625" style="362"/>
    <col min="13826" max="13826" width="28.7109375" style="362" customWidth="1"/>
    <col min="13827" max="13827" width="42.85546875" style="362" customWidth="1"/>
    <col min="13828" max="13828" width="26.28515625" style="362" customWidth="1"/>
    <col min="13829" max="13829" width="17.42578125" style="362" customWidth="1"/>
    <col min="13830" max="14043" width="9.140625" style="362"/>
    <col min="14044" max="14044" width="28" style="362" customWidth="1"/>
    <col min="14045" max="14045" width="52" style="362" customWidth="1"/>
    <col min="14046" max="14046" width="27.28515625" style="362" customWidth="1"/>
    <col min="14047" max="14047" width="20.5703125" style="362" customWidth="1"/>
    <col min="14048" max="14049" width="9.140625" style="362"/>
    <col min="14050" max="14050" width="11.5703125" style="362" bestFit="1" customWidth="1"/>
    <col min="14051" max="14081" width="9.140625" style="362"/>
    <col min="14082" max="14082" width="28.7109375" style="362" customWidth="1"/>
    <col min="14083" max="14083" width="42.85546875" style="362" customWidth="1"/>
    <col min="14084" max="14084" width="26.28515625" style="362" customWidth="1"/>
    <col min="14085" max="14085" width="17.42578125" style="362" customWidth="1"/>
    <col min="14086" max="14299" width="9.140625" style="362"/>
    <col min="14300" max="14300" width="28" style="362" customWidth="1"/>
    <col min="14301" max="14301" width="52" style="362" customWidth="1"/>
    <col min="14302" max="14302" width="27.28515625" style="362" customWidth="1"/>
    <col min="14303" max="14303" width="20.5703125" style="362" customWidth="1"/>
    <col min="14304" max="14305" width="9.140625" style="362"/>
    <col min="14306" max="14306" width="11.5703125" style="362" bestFit="1" customWidth="1"/>
    <col min="14307" max="14337" width="9.140625" style="362"/>
    <col min="14338" max="14338" width="28.7109375" style="362" customWidth="1"/>
    <col min="14339" max="14339" width="42.85546875" style="362" customWidth="1"/>
    <col min="14340" max="14340" width="26.28515625" style="362" customWidth="1"/>
    <col min="14341" max="14341" width="17.42578125" style="362" customWidth="1"/>
    <col min="14342" max="14555" width="9.140625" style="362"/>
    <col min="14556" max="14556" width="28" style="362" customWidth="1"/>
    <col min="14557" max="14557" width="52" style="362" customWidth="1"/>
    <col min="14558" max="14558" width="27.28515625" style="362" customWidth="1"/>
    <col min="14559" max="14559" width="20.5703125" style="362" customWidth="1"/>
    <col min="14560" max="14561" width="9.140625" style="362"/>
    <col min="14562" max="14562" width="11.5703125" style="362" bestFit="1" customWidth="1"/>
    <col min="14563" max="14593" width="9.140625" style="362"/>
    <col min="14594" max="14594" width="28.7109375" style="362" customWidth="1"/>
    <col min="14595" max="14595" width="42.85546875" style="362" customWidth="1"/>
    <col min="14596" max="14596" width="26.28515625" style="362" customWidth="1"/>
    <col min="14597" max="14597" width="17.42578125" style="362" customWidth="1"/>
    <col min="14598" max="14811" width="9.140625" style="362"/>
    <col min="14812" max="14812" width="28" style="362" customWidth="1"/>
    <col min="14813" max="14813" width="52" style="362" customWidth="1"/>
    <col min="14814" max="14814" width="27.28515625" style="362" customWidth="1"/>
    <col min="14815" max="14815" width="20.5703125" style="362" customWidth="1"/>
    <col min="14816" max="14817" width="9.140625" style="362"/>
    <col min="14818" max="14818" width="11.5703125" style="362" bestFit="1" customWidth="1"/>
    <col min="14819" max="14849" width="9.140625" style="362"/>
    <col min="14850" max="14850" width="28.7109375" style="362" customWidth="1"/>
    <col min="14851" max="14851" width="42.85546875" style="362" customWidth="1"/>
    <col min="14852" max="14852" width="26.28515625" style="362" customWidth="1"/>
    <col min="14853" max="14853" width="17.42578125" style="362" customWidth="1"/>
    <col min="14854" max="15067" width="9.140625" style="362"/>
    <col min="15068" max="15068" width="28" style="362" customWidth="1"/>
    <col min="15069" max="15069" width="52" style="362" customWidth="1"/>
    <col min="15070" max="15070" width="27.28515625" style="362" customWidth="1"/>
    <col min="15071" max="15071" width="20.5703125" style="362" customWidth="1"/>
    <col min="15072" max="15073" width="9.140625" style="362"/>
    <col min="15074" max="15074" width="11.5703125" style="362" bestFit="1" customWidth="1"/>
    <col min="15075" max="15105" width="9.140625" style="362"/>
    <col min="15106" max="15106" width="28.7109375" style="362" customWidth="1"/>
    <col min="15107" max="15107" width="42.85546875" style="362" customWidth="1"/>
    <col min="15108" max="15108" width="26.28515625" style="362" customWidth="1"/>
    <col min="15109" max="15109" width="17.42578125" style="362" customWidth="1"/>
    <col min="15110" max="15323" width="9.140625" style="362"/>
    <col min="15324" max="15324" width="28" style="362" customWidth="1"/>
    <col min="15325" max="15325" width="52" style="362" customWidth="1"/>
    <col min="15326" max="15326" width="27.28515625" style="362" customWidth="1"/>
    <col min="15327" max="15327" width="20.5703125" style="362" customWidth="1"/>
    <col min="15328" max="15329" width="9.140625" style="362"/>
    <col min="15330" max="15330" width="11.5703125" style="362" bestFit="1" customWidth="1"/>
    <col min="15331" max="15361" width="9.140625" style="362"/>
    <col min="15362" max="15362" width="28.7109375" style="362" customWidth="1"/>
    <col min="15363" max="15363" width="42.85546875" style="362" customWidth="1"/>
    <col min="15364" max="15364" width="26.28515625" style="362" customWidth="1"/>
    <col min="15365" max="15365" width="17.42578125" style="362" customWidth="1"/>
    <col min="15366" max="15579" width="9.140625" style="362"/>
    <col min="15580" max="15580" width="28" style="362" customWidth="1"/>
    <col min="15581" max="15581" width="52" style="362" customWidth="1"/>
    <col min="15582" max="15582" width="27.28515625" style="362" customWidth="1"/>
    <col min="15583" max="15583" width="20.5703125" style="362" customWidth="1"/>
    <col min="15584" max="15585" width="9.140625" style="362"/>
    <col min="15586" max="15586" width="11.5703125" style="362" bestFit="1" customWidth="1"/>
    <col min="15587" max="15617" width="9.140625" style="362"/>
    <col min="15618" max="15618" width="28.7109375" style="362" customWidth="1"/>
    <col min="15619" max="15619" width="42.85546875" style="362" customWidth="1"/>
    <col min="15620" max="15620" width="26.28515625" style="362" customWidth="1"/>
    <col min="15621" max="15621" width="17.42578125" style="362" customWidth="1"/>
    <col min="15622" max="15835" width="9.140625" style="362"/>
    <col min="15836" max="15836" width="28" style="362" customWidth="1"/>
    <col min="15837" max="15837" width="52" style="362" customWidth="1"/>
    <col min="15838" max="15838" width="27.28515625" style="362" customWidth="1"/>
    <col min="15839" max="15839" width="20.5703125" style="362" customWidth="1"/>
    <col min="15840" max="15841" width="9.140625" style="362"/>
    <col min="15842" max="15842" width="11.5703125" style="362" bestFit="1" customWidth="1"/>
    <col min="15843" max="15873" width="9.140625" style="362"/>
    <col min="15874" max="15874" width="28.7109375" style="362" customWidth="1"/>
    <col min="15875" max="15875" width="42.85546875" style="362" customWidth="1"/>
    <col min="15876" max="15876" width="26.28515625" style="362" customWidth="1"/>
    <col min="15877" max="15877" width="17.42578125" style="362" customWidth="1"/>
    <col min="15878" max="16091" width="9.140625" style="362"/>
    <col min="16092" max="16092" width="28" style="362" customWidth="1"/>
    <col min="16093" max="16093" width="52" style="362" customWidth="1"/>
    <col min="16094" max="16094" width="27.28515625" style="362" customWidth="1"/>
    <col min="16095" max="16095" width="20.5703125" style="362" customWidth="1"/>
    <col min="16096" max="16097" width="9.140625" style="362"/>
    <col min="16098" max="16098" width="11.5703125" style="362" bestFit="1" customWidth="1"/>
    <col min="16099" max="16129" width="9.140625" style="362"/>
    <col min="16130" max="16130" width="28.7109375" style="362" customWidth="1"/>
    <col min="16131" max="16131" width="42.85546875" style="362" customWidth="1"/>
    <col min="16132" max="16132" width="26.28515625" style="362" customWidth="1"/>
    <col min="16133" max="16133" width="17.42578125" style="362" customWidth="1"/>
    <col min="16134" max="16347" width="9.140625" style="362"/>
    <col min="16348" max="16348" width="28" style="362" customWidth="1"/>
    <col min="16349" max="16349" width="52" style="362" customWidth="1"/>
    <col min="16350" max="16350" width="27.28515625" style="362" customWidth="1"/>
    <col min="16351" max="16351" width="20.5703125" style="362" customWidth="1"/>
    <col min="16352" max="16353" width="9.140625" style="362"/>
    <col min="16354" max="16354" width="11.5703125" style="362" bestFit="1" customWidth="1"/>
    <col min="16355" max="16384" width="9.140625" style="362"/>
  </cols>
  <sheetData>
    <row r="1" spans="1:256" x14ac:dyDescent="0.2">
      <c r="A1" s="365"/>
      <c r="B1" s="366"/>
      <c r="C1" s="367"/>
      <c r="D1" s="368"/>
      <c r="E1" s="369" t="s">
        <v>1310</v>
      </c>
      <c r="F1" s="368"/>
      <c r="G1" s="370"/>
      <c r="H1" s="368"/>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c r="BJ1" s="371"/>
      <c r="BK1" s="371"/>
      <c r="BL1" s="371"/>
      <c r="BM1" s="371"/>
      <c r="BN1" s="371"/>
      <c r="BO1" s="371"/>
      <c r="BP1" s="371"/>
      <c r="BQ1" s="371"/>
      <c r="BR1" s="371"/>
      <c r="BS1" s="371"/>
      <c r="BT1" s="371"/>
      <c r="BU1" s="371"/>
      <c r="BV1" s="371"/>
      <c r="BW1" s="371"/>
      <c r="BX1" s="371"/>
      <c r="BY1" s="371"/>
      <c r="BZ1" s="371"/>
      <c r="CA1" s="371"/>
      <c r="CB1" s="371"/>
      <c r="CC1" s="371"/>
      <c r="CD1" s="371"/>
      <c r="CE1" s="371"/>
      <c r="CF1" s="371"/>
      <c r="CG1" s="371"/>
      <c r="CH1" s="371"/>
      <c r="CI1" s="371"/>
      <c r="CJ1" s="371"/>
      <c r="CK1" s="371"/>
      <c r="CL1" s="371"/>
      <c r="CM1" s="371"/>
      <c r="CN1" s="371"/>
      <c r="CO1" s="371"/>
      <c r="CP1" s="371"/>
      <c r="CQ1" s="371"/>
      <c r="CR1" s="371"/>
      <c r="CS1" s="371"/>
      <c r="CT1" s="371"/>
      <c r="CU1" s="371"/>
      <c r="CV1" s="371"/>
      <c r="CW1" s="371"/>
      <c r="CX1" s="371"/>
      <c r="CY1" s="371"/>
      <c r="CZ1" s="371"/>
      <c r="DA1" s="371"/>
      <c r="DB1" s="371"/>
      <c r="DC1" s="371"/>
      <c r="DD1" s="371"/>
      <c r="DE1" s="371"/>
      <c r="DF1" s="371"/>
      <c r="DG1" s="371"/>
      <c r="DH1" s="371"/>
      <c r="DI1" s="371"/>
      <c r="DJ1" s="371"/>
      <c r="DK1" s="371"/>
      <c r="DL1" s="371"/>
      <c r="DM1" s="371"/>
      <c r="DN1" s="371"/>
      <c r="DO1" s="371"/>
      <c r="DP1" s="371"/>
      <c r="DQ1" s="371"/>
      <c r="DR1" s="371"/>
      <c r="DS1" s="371"/>
      <c r="DT1" s="371"/>
      <c r="DU1" s="371"/>
      <c r="DV1" s="371"/>
      <c r="DW1" s="371"/>
      <c r="DX1" s="371"/>
      <c r="DY1" s="371"/>
      <c r="DZ1" s="371"/>
      <c r="EA1" s="371"/>
      <c r="EB1" s="371"/>
      <c r="EC1" s="371"/>
      <c r="ED1" s="371"/>
      <c r="EE1" s="371"/>
      <c r="EF1" s="371"/>
      <c r="EG1" s="371"/>
      <c r="EH1" s="371"/>
      <c r="EI1" s="371"/>
      <c r="EJ1" s="371"/>
      <c r="EK1" s="371"/>
      <c r="EL1" s="371"/>
      <c r="EM1" s="371"/>
      <c r="EN1" s="371"/>
      <c r="EO1" s="371"/>
      <c r="EP1" s="371"/>
      <c r="EQ1" s="371"/>
      <c r="ER1" s="371"/>
      <c r="ES1" s="371"/>
      <c r="ET1" s="371"/>
      <c r="EU1" s="371"/>
      <c r="EV1" s="371"/>
      <c r="EW1" s="371"/>
      <c r="EX1" s="371"/>
      <c r="EY1" s="371"/>
      <c r="EZ1" s="371"/>
      <c r="FA1" s="371"/>
      <c r="FB1" s="371"/>
      <c r="FC1" s="371"/>
      <c r="FD1" s="371"/>
      <c r="FE1" s="371"/>
      <c r="FF1" s="371"/>
      <c r="FG1" s="371"/>
      <c r="FH1" s="371"/>
      <c r="FI1" s="371"/>
      <c r="FJ1" s="371"/>
      <c r="FK1" s="371"/>
      <c r="FL1" s="371"/>
      <c r="FM1" s="371"/>
      <c r="FN1" s="371"/>
      <c r="FO1" s="371"/>
      <c r="FP1" s="371"/>
      <c r="FQ1" s="371"/>
      <c r="FR1" s="371"/>
      <c r="FS1" s="371"/>
      <c r="FT1" s="371"/>
      <c r="FU1" s="371"/>
      <c r="FV1" s="371"/>
      <c r="FW1" s="371"/>
      <c r="FX1" s="371"/>
      <c r="FY1" s="371"/>
      <c r="FZ1" s="371"/>
      <c r="GA1" s="371"/>
      <c r="GB1" s="371"/>
      <c r="GC1" s="371"/>
      <c r="GD1" s="371"/>
      <c r="GE1" s="371"/>
      <c r="GF1" s="371"/>
      <c r="GG1" s="371"/>
      <c r="GH1" s="371"/>
      <c r="GI1" s="371"/>
      <c r="GJ1" s="371"/>
      <c r="GK1" s="371"/>
      <c r="GL1" s="371"/>
      <c r="GM1" s="371"/>
      <c r="GN1" s="371"/>
      <c r="GO1" s="371"/>
      <c r="GP1" s="371"/>
      <c r="GQ1" s="371"/>
      <c r="GR1" s="371"/>
      <c r="GS1" s="371"/>
      <c r="GT1" s="371"/>
      <c r="GU1" s="371"/>
      <c r="GV1" s="371"/>
      <c r="GW1" s="371"/>
      <c r="GX1" s="371"/>
      <c r="GY1" s="371"/>
      <c r="GZ1" s="371"/>
      <c r="HA1" s="371"/>
      <c r="HB1" s="371"/>
      <c r="HC1" s="371"/>
      <c r="HD1" s="371"/>
      <c r="HE1" s="371"/>
      <c r="HF1" s="371"/>
      <c r="HG1" s="371"/>
      <c r="HH1" s="371"/>
      <c r="HI1" s="371"/>
      <c r="HJ1" s="371"/>
      <c r="HK1" s="371"/>
      <c r="HL1" s="371"/>
      <c r="HM1" s="371"/>
      <c r="HN1" s="371"/>
      <c r="HO1" s="371"/>
      <c r="HP1" s="371"/>
      <c r="HQ1" s="371"/>
      <c r="HR1" s="371"/>
      <c r="HS1" s="371"/>
      <c r="HT1" s="371"/>
      <c r="HU1" s="371"/>
      <c r="HV1" s="371"/>
      <c r="HW1" s="371"/>
      <c r="HX1" s="371"/>
      <c r="HY1" s="371"/>
      <c r="HZ1" s="371"/>
      <c r="IA1" s="371"/>
      <c r="IB1" s="371"/>
      <c r="IC1" s="371"/>
      <c r="ID1" s="371"/>
      <c r="IE1" s="371"/>
      <c r="IF1" s="371"/>
      <c r="IG1" s="371"/>
      <c r="IH1" s="371"/>
      <c r="II1" s="371"/>
      <c r="IJ1" s="371"/>
      <c r="IK1" s="371"/>
      <c r="IL1" s="371"/>
      <c r="IM1" s="371"/>
      <c r="IN1" s="371"/>
      <c r="IO1" s="371"/>
      <c r="IP1" s="371"/>
      <c r="IQ1" s="371"/>
      <c r="IR1" s="371"/>
      <c r="IS1" s="371"/>
      <c r="IT1" s="371"/>
      <c r="IU1" s="371"/>
      <c r="IV1" s="371"/>
    </row>
    <row r="2" spans="1:256" x14ac:dyDescent="0.2">
      <c r="A2" s="365"/>
      <c r="B2" s="368"/>
      <c r="D2" s="368"/>
      <c r="E2" s="372"/>
      <c r="F2" s="368"/>
      <c r="G2" s="370"/>
      <c r="H2" s="368"/>
      <c r="I2" s="370"/>
      <c r="J2" s="371"/>
      <c r="K2" s="371"/>
      <c r="L2" s="371"/>
      <c r="M2" s="371"/>
      <c r="N2" s="371"/>
      <c r="O2" s="371"/>
      <c r="P2" s="371"/>
      <c r="Q2" s="371"/>
      <c r="R2" s="371"/>
      <c r="S2" s="371"/>
      <c r="T2" s="371"/>
      <c r="U2" s="371"/>
      <c r="V2" s="371"/>
      <c r="W2" s="371"/>
      <c r="X2" s="371"/>
      <c r="Y2" s="371"/>
      <c r="Z2" s="371"/>
      <c r="AA2" s="371"/>
      <c r="AB2" s="371"/>
      <c r="AC2" s="371"/>
      <c r="AD2" s="371"/>
      <c r="AE2" s="371"/>
      <c r="AF2" s="371"/>
      <c r="AG2" s="371"/>
      <c r="AH2" s="371"/>
      <c r="AI2" s="371"/>
      <c r="AJ2" s="371"/>
      <c r="AK2" s="371"/>
      <c r="AL2" s="371"/>
      <c r="AM2" s="371"/>
      <c r="AN2" s="371"/>
      <c r="AO2" s="371"/>
      <c r="AP2" s="371"/>
      <c r="AQ2" s="371"/>
      <c r="AR2" s="371"/>
      <c r="AS2" s="371"/>
      <c r="AT2" s="371"/>
      <c r="AU2" s="371"/>
      <c r="AV2" s="371"/>
      <c r="AW2" s="371"/>
      <c r="AX2" s="371"/>
      <c r="AY2" s="371"/>
      <c r="AZ2" s="371"/>
      <c r="BA2" s="371"/>
      <c r="BB2" s="371"/>
      <c r="BC2" s="371"/>
      <c r="BD2" s="371"/>
      <c r="BE2" s="371"/>
      <c r="BF2" s="371"/>
      <c r="BG2" s="371"/>
      <c r="BH2" s="371"/>
      <c r="BI2" s="371"/>
      <c r="BJ2" s="371"/>
      <c r="BK2" s="371"/>
      <c r="BL2" s="371"/>
      <c r="BM2" s="371"/>
      <c r="BN2" s="371"/>
      <c r="BO2" s="371"/>
      <c r="BP2" s="371"/>
      <c r="BQ2" s="371"/>
      <c r="BR2" s="371"/>
      <c r="BS2" s="371"/>
      <c r="BT2" s="371"/>
      <c r="BU2" s="371"/>
      <c r="BV2" s="371"/>
      <c r="BW2" s="371"/>
      <c r="BX2" s="371"/>
      <c r="BY2" s="371"/>
      <c r="BZ2" s="371"/>
      <c r="CA2" s="371"/>
      <c r="CB2" s="371"/>
      <c r="CC2" s="371"/>
      <c r="CD2" s="371"/>
      <c r="CE2" s="371"/>
      <c r="CF2" s="371"/>
      <c r="CG2" s="371"/>
      <c r="CH2" s="371"/>
      <c r="CI2" s="371"/>
      <c r="CJ2" s="371"/>
      <c r="CK2" s="371"/>
      <c r="CL2" s="371"/>
      <c r="CM2" s="371"/>
      <c r="CN2" s="371"/>
      <c r="CO2" s="371"/>
      <c r="CP2" s="371"/>
      <c r="CQ2" s="371"/>
      <c r="CR2" s="371"/>
      <c r="CS2" s="371"/>
      <c r="CT2" s="371"/>
      <c r="CU2" s="371"/>
      <c r="CV2" s="371"/>
      <c r="CW2" s="371"/>
      <c r="CX2" s="371"/>
      <c r="CY2" s="371"/>
      <c r="CZ2" s="371"/>
      <c r="DA2" s="371"/>
      <c r="DB2" s="371"/>
      <c r="DC2" s="371"/>
      <c r="DD2" s="371"/>
      <c r="DE2" s="371"/>
      <c r="DF2" s="371"/>
      <c r="DG2" s="371"/>
      <c r="DH2" s="371"/>
      <c r="DI2" s="371"/>
      <c r="DJ2" s="371"/>
      <c r="DK2" s="371"/>
      <c r="DL2" s="371"/>
      <c r="DM2" s="371"/>
      <c r="DN2" s="371"/>
      <c r="DO2" s="371"/>
      <c r="DP2" s="371"/>
      <c r="DQ2" s="371"/>
      <c r="DR2" s="371"/>
      <c r="DS2" s="371"/>
      <c r="DT2" s="371"/>
      <c r="DU2" s="371"/>
      <c r="DV2" s="371"/>
      <c r="DW2" s="371"/>
      <c r="DX2" s="371"/>
      <c r="DY2" s="371"/>
      <c r="DZ2" s="371"/>
      <c r="EA2" s="371"/>
      <c r="EB2" s="371"/>
      <c r="EC2" s="371"/>
      <c r="ED2" s="371"/>
      <c r="EE2" s="371"/>
      <c r="EF2" s="371"/>
      <c r="EG2" s="371"/>
      <c r="EH2" s="371"/>
      <c r="EI2" s="371"/>
      <c r="EJ2" s="371"/>
      <c r="EK2" s="371"/>
      <c r="EL2" s="371"/>
      <c r="EM2" s="371"/>
      <c r="EN2" s="371"/>
      <c r="EO2" s="371"/>
      <c r="EP2" s="371"/>
      <c r="EQ2" s="371"/>
      <c r="ER2" s="371"/>
      <c r="ES2" s="371"/>
      <c r="ET2" s="371"/>
      <c r="EU2" s="371"/>
      <c r="EV2" s="371"/>
      <c r="EW2" s="371"/>
      <c r="EX2" s="371"/>
      <c r="EY2" s="371"/>
      <c r="EZ2" s="371"/>
      <c r="FA2" s="371"/>
      <c r="FB2" s="371"/>
      <c r="FC2" s="371"/>
      <c r="FD2" s="371"/>
      <c r="FE2" s="371"/>
      <c r="FF2" s="371"/>
      <c r="FG2" s="371"/>
      <c r="FH2" s="371"/>
      <c r="FI2" s="371"/>
      <c r="FJ2" s="371"/>
      <c r="FK2" s="371"/>
      <c r="FL2" s="371"/>
      <c r="FM2" s="371"/>
      <c r="FN2" s="371"/>
      <c r="FO2" s="371"/>
      <c r="FP2" s="371"/>
      <c r="FQ2" s="371"/>
      <c r="FR2" s="371"/>
      <c r="FS2" s="371"/>
      <c r="FT2" s="371"/>
      <c r="FU2" s="371"/>
      <c r="FV2" s="371"/>
      <c r="FW2" s="371"/>
      <c r="FX2" s="371"/>
      <c r="FY2" s="371"/>
      <c r="FZ2" s="371"/>
      <c r="GA2" s="371"/>
      <c r="GB2" s="371"/>
      <c r="GC2" s="371"/>
      <c r="GD2" s="371"/>
      <c r="GE2" s="371"/>
      <c r="GF2" s="371"/>
      <c r="GG2" s="371"/>
      <c r="GH2" s="371"/>
      <c r="GI2" s="371"/>
      <c r="GJ2" s="371"/>
      <c r="GK2" s="371"/>
      <c r="GL2" s="371"/>
      <c r="GM2" s="371"/>
      <c r="GN2" s="371"/>
      <c r="GO2" s="371"/>
      <c r="GP2" s="371"/>
      <c r="GQ2" s="371"/>
      <c r="GR2" s="371"/>
      <c r="GS2" s="371"/>
      <c r="GT2" s="371"/>
      <c r="GU2" s="371"/>
      <c r="GV2" s="371"/>
      <c r="GW2" s="371"/>
      <c r="GX2" s="371"/>
      <c r="GY2" s="371"/>
      <c r="GZ2" s="371"/>
      <c r="HA2" s="371"/>
      <c r="HB2" s="371"/>
      <c r="HC2" s="371"/>
      <c r="HD2" s="371"/>
      <c r="HE2" s="371"/>
      <c r="HF2" s="371"/>
      <c r="HG2" s="371"/>
      <c r="HH2" s="371"/>
      <c r="HI2" s="371"/>
      <c r="HJ2" s="371"/>
      <c r="HK2" s="371"/>
      <c r="HL2" s="371"/>
      <c r="HM2" s="371"/>
      <c r="HN2" s="371"/>
      <c r="HO2" s="371"/>
      <c r="HP2" s="371"/>
      <c r="HQ2" s="371"/>
      <c r="HR2" s="371"/>
      <c r="HS2" s="371"/>
      <c r="HT2" s="371"/>
      <c r="HU2" s="371"/>
      <c r="HV2" s="371"/>
      <c r="HW2" s="371"/>
      <c r="HX2" s="371"/>
      <c r="HY2" s="371"/>
      <c r="HZ2" s="371"/>
      <c r="IA2" s="371"/>
      <c r="IB2" s="371"/>
      <c r="IC2" s="371"/>
      <c r="ID2" s="371"/>
      <c r="IE2" s="371"/>
      <c r="IF2" s="371"/>
      <c r="IG2" s="371"/>
      <c r="IH2" s="371"/>
      <c r="II2" s="371"/>
      <c r="IJ2" s="371"/>
      <c r="IK2" s="371"/>
      <c r="IL2" s="371"/>
      <c r="IM2" s="371"/>
      <c r="IN2" s="371"/>
      <c r="IO2" s="371"/>
      <c r="IP2" s="371"/>
      <c r="IQ2" s="371"/>
      <c r="IR2" s="371"/>
      <c r="IS2" s="371"/>
      <c r="IT2" s="371"/>
      <c r="IU2" s="371"/>
      <c r="IV2" s="371"/>
    </row>
    <row r="3" spans="1:256" x14ac:dyDescent="0.2">
      <c r="A3" s="793" t="str">
        <f>СВОД!E44</f>
        <v>Смета №3.11</v>
      </c>
      <c r="B3" s="793"/>
      <c r="C3" s="793"/>
      <c r="D3" s="793"/>
      <c r="E3" s="793"/>
      <c r="F3" s="373"/>
      <c r="G3" s="373"/>
      <c r="H3" s="373"/>
      <c r="I3" s="373"/>
      <c r="J3" s="371"/>
      <c r="K3" s="371"/>
      <c r="L3" s="371"/>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O3" s="371"/>
      <c r="AP3" s="371"/>
      <c r="AQ3" s="371"/>
      <c r="AR3" s="371"/>
      <c r="AS3" s="371"/>
      <c r="AT3" s="371"/>
      <c r="AU3" s="371"/>
      <c r="AV3" s="371"/>
      <c r="AW3" s="371"/>
      <c r="AX3" s="371"/>
      <c r="AY3" s="371"/>
      <c r="AZ3" s="371"/>
      <c r="BA3" s="371"/>
      <c r="BB3" s="371"/>
      <c r="BC3" s="371"/>
      <c r="BD3" s="371"/>
      <c r="BE3" s="371"/>
      <c r="BF3" s="371"/>
      <c r="BG3" s="371"/>
      <c r="BH3" s="371"/>
      <c r="BI3" s="371"/>
      <c r="BJ3" s="371"/>
      <c r="BK3" s="371"/>
      <c r="BL3" s="371"/>
      <c r="BM3" s="371"/>
      <c r="BN3" s="371"/>
      <c r="BO3" s="371"/>
      <c r="BP3" s="371"/>
      <c r="BQ3" s="371"/>
      <c r="BR3" s="371"/>
      <c r="BS3" s="371"/>
      <c r="BT3" s="371"/>
      <c r="BU3" s="371"/>
      <c r="BV3" s="371"/>
      <c r="BW3" s="371"/>
      <c r="BX3" s="371"/>
      <c r="BY3" s="371"/>
      <c r="BZ3" s="371"/>
      <c r="CA3" s="371"/>
      <c r="CB3" s="371"/>
      <c r="CC3" s="371"/>
      <c r="CD3" s="371"/>
      <c r="CE3" s="371"/>
      <c r="CF3" s="371"/>
      <c r="CG3" s="371"/>
      <c r="CH3" s="371"/>
      <c r="CI3" s="371"/>
      <c r="CJ3" s="371"/>
      <c r="CK3" s="371"/>
      <c r="CL3" s="371"/>
      <c r="CM3" s="371"/>
      <c r="CN3" s="371"/>
      <c r="CO3" s="371"/>
      <c r="CP3" s="371"/>
      <c r="CQ3" s="371"/>
      <c r="CR3" s="371"/>
      <c r="CS3" s="371"/>
      <c r="CT3" s="371"/>
      <c r="CU3" s="371"/>
      <c r="CV3" s="371"/>
      <c r="CW3" s="371"/>
      <c r="CX3" s="371"/>
      <c r="CY3" s="371"/>
      <c r="CZ3" s="371"/>
      <c r="DA3" s="371"/>
      <c r="DB3" s="371"/>
      <c r="DC3" s="371"/>
      <c r="DD3" s="371"/>
      <c r="DE3" s="371"/>
      <c r="DF3" s="371"/>
      <c r="DG3" s="371"/>
      <c r="DH3" s="371"/>
      <c r="DI3" s="371"/>
      <c r="DJ3" s="371"/>
      <c r="DK3" s="371"/>
      <c r="DL3" s="371"/>
      <c r="DM3" s="371"/>
      <c r="DN3" s="371"/>
      <c r="DO3" s="371"/>
      <c r="DP3" s="371"/>
      <c r="DQ3" s="371"/>
      <c r="DR3" s="371"/>
      <c r="DS3" s="371"/>
      <c r="DT3" s="371"/>
      <c r="DU3" s="371"/>
      <c r="DV3" s="371"/>
      <c r="DW3" s="371"/>
      <c r="DX3" s="371"/>
      <c r="DY3" s="371"/>
      <c r="DZ3" s="371"/>
      <c r="EA3" s="371"/>
      <c r="EB3" s="371"/>
      <c r="EC3" s="371"/>
      <c r="ED3" s="371"/>
      <c r="EE3" s="371"/>
      <c r="EF3" s="371"/>
      <c r="EG3" s="371"/>
      <c r="EH3" s="371"/>
      <c r="EI3" s="371"/>
      <c r="EJ3" s="371"/>
      <c r="EK3" s="371"/>
      <c r="EL3" s="371"/>
      <c r="EM3" s="371"/>
      <c r="EN3" s="371"/>
      <c r="EO3" s="371"/>
      <c r="EP3" s="371"/>
      <c r="EQ3" s="371"/>
      <c r="ER3" s="371"/>
      <c r="ES3" s="371"/>
      <c r="ET3" s="371"/>
      <c r="EU3" s="371"/>
      <c r="EV3" s="371"/>
      <c r="EW3" s="371"/>
      <c r="EX3" s="371"/>
      <c r="EY3" s="371"/>
      <c r="EZ3" s="371"/>
      <c r="FA3" s="371"/>
      <c r="FB3" s="371"/>
      <c r="FC3" s="371"/>
      <c r="FD3" s="371"/>
      <c r="FE3" s="371"/>
      <c r="FF3" s="371"/>
      <c r="FG3" s="371"/>
      <c r="FH3" s="371"/>
      <c r="FI3" s="371"/>
      <c r="FJ3" s="371"/>
      <c r="FK3" s="371"/>
      <c r="FL3" s="371"/>
      <c r="FM3" s="371"/>
      <c r="FN3" s="371"/>
      <c r="FO3" s="371"/>
      <c r="FP3" s="371"/>
      <c r="FQ3" s="371"/>
      <c r="FR3" s="371"/>
      <c r="FS3" s="371"/>
      <c r="FT3" s="371"/>
      <c r="FU3" s="371"/>
      <c r="FV3" s="371"/>
      <c r="FW3" s="371"/>
      <c r="FX3" s="371"/>
      <c r="FY3" s="371"/>
      <c r="FZ3" s="371"/>
      <c r="GA3" s="371"/>
      <c r="GB3" s="371"/>
      <c r="GC3" s="371"/>
      <c r="GD3" s="371"/>
      <c r="GE3" s="371"/>
      <c r="GF3" s="371"/>
      <c r="GG3" s="371"/>
      <c r="GH3" s="371"/>
      <c r="GI3" s="371"/>
      <c r="GJ3" s="371"/>
      <c r="GK3" s="371"/>
      <c r="GL3" s="371"/>
      <c r="GM3" s="371"/>
      <c r="GN3" s="371"/>
      <c r="GO3" s="371"/>
      <c r="GP3" s="371"/>
      <c r="GQ3" s="371"/>
      <c r="GR3" s="371"/>
      <c r="GS3" s="371"/>
      <c r="GT3" s="371"/>
      <c r="GU3" s="371"/>
      <c r="GV3" s="371"/>
      <c r="GW3" s="371"/>
      <c r="GX3" s="371"/>
      <c r="GY3" s="371"/>
      <c r="GZ3" s="371"/>
      <c r="HA3" s="371"/>
      <c r="HB3" s="371"/>
      <c r="HC3" s="371"/>
      <c r="HD3" s="371"/>
      <c r="HE3" s="371"/>
      <c r="HF3" s="371"/>
      <c r="HG3" s="371"/>
      <c r="HH3" s="371"/>
      <c r="HI3" s="371"/>
      <c r="HJ3" s="371"/>
      <c r="HK3" s="371"/>
      <c r="HL3" s="371"/>
      <c r="HM3" s="371"/>
      <c r="HN3" s="371"/>
      <c r="HO3" s="371"/>
      <c r="HP3" s="371"/>
      <c r="HQ3" s="371"/>
      <c r="HR3" s="371"/>
      <c r="HS3" s="371"/>
      <c r="HT3" s="371"/>
      <c r="HU3" s="371"/>
      <c r="HV3" s="371"/>
      <c r="HW3" s="371"/>
      <c r="HX3" s="371"/>
      <c r="HY3" s="371"/>
      <c r="HZ3" s="371"/>
      <c r="IA3" s="371"/>
      <c r="IB3" s="371"/>
      <c r="IC3" s="371"/>
      <c r="ID3" s="371"/>
      <c r="IE3" s="371"/>
      <c r="IF3" s="371"/>
      <c r="IG3" s="371"/>
      <c r="IH3" s="371"/>
      <c r="II3" s="371"/>
      <c r="IJ3" s="371"/>
      <c r="IK3" s="371"/>
      <c r="IL3" s="371"/>
      <c r="IM3" s="371"/>
      <c r="IN3" s="371"/>
      <c r="IO3" s="371"/>
      <c r="IP3" s="371"/>
      <c r="IQ3" s="371"/>
      <c r="IR3" s="371"/>
      <c r="IS3" s="371"/>
      <c r="IT3" s="371"/>
      <c r="IU3" s="371"/>
      <c r="IV3" s="371"/>
    </row>
    <row r="4" spans="1:256" x14ac:dyDescent="0.2">
      <c r="A4" s="794" t="s">
        <v>1312</v>
      </c>
      <c r="B4" s="794"/>
      <c r="C4" s="794"/>
      <c r="D4" s="794"/>
      <c r="E4" s="794"/>
      <c r="F4" s="374"/>
      <c r="G4" s="374"/>
      <c r="H4" s="374"/>
      <c r="I4" s="374"/>
      <c r="J4" s="371"/>
      <c r="K4" s="371"/>
      <c r="L4" s="371"/>
      <c r="M4" s="371"/>
      <c r="N4" s="371"/>
      <c r="O4" s="371"/>
      <c r="P4" s="371"/>
      <c r="Q4" s="371"/>
      <c r="R4" s="371"/>
      <c r="S4" s="371"/>
      <c r="T4" s="371"/>
      <c r="U4" s="371"/>
      <c r="V4" s="371"/>
      <c r="W4" s="371"/>
      <c r="X4" s="371"/>
      <c r="Y4" s="371"/>
      <c r="Z4" s="371"/>
      <c r="AA4" s="371"/>
      <c r="AB4" s="371"/>
      <c r="AC4" s="371"/>
      <c r="AD4" s="371"/>
      <c r="AE4" s="371"/>
      <c r="AF4" s="371"/>
      <c r="AG4" s="371"/>
      <c r="AH4" s="371"/>
      <c r="AI4" s="371"/>
      <c r="AJ4" s="371"/>
      <c r="AK4" s="371"/>
      <c r="AL4" s="371"/>
      <c r="AM4" s="371"/>
      <c r="AN4" s="371"/>
      <c r="AO4" s="371"/>
      <c r="AP4" s="371"/>
      <c r="AQ4" s="371"/>
      <c r="AR4" s="371"/>
      <c r="AS4" s="371"/>
      <c r="AT4" s="371"/>
      <c r="AU4" s="371"/>
      <c r="AV4" s="371"/>
      <c r="AW4" s="371"/>
      <c r="AX4" s="371"/>
      <c r="AY4" s="371"/>
      <c r="AZ4" s="371"/>
      <c r="BA4" s="371"/>
      <c r="BB4" s="371"/>
      <c r="BC4" s="371"/>
      <c r="BD4" s="371"/>
      <c r="BE4" s="371"/>
      <c r="BF4" s="371"/>
      <c r="BG4" s="371"/>
      <c r="BH4" s="371"/>
      <c r="BI4" s="371"/>
      <c r="BJ4" s="371"/>
      <c r="BK4" s="371"/>
      <c r="BL4" s="371"/>
      <c r="BM4" s="371"/>
      <c r="BN4" s="371"/>
      <c r="BO4" s="371"/>
      <c r="BP4" s="371"/>
      <c r="BQ4" s="371"/>
      <c r="BR4" s="371"/>
      <c r="BS4" s="371"/>
      <c r="BT4" s="371"/>
      <c r="BU4" s="371"/>
      <c r="BV4" s="371"/>
      <c r="BW4" s="371"/>
      <c r="BX4" s="371"/>
      <c r="BY4" s="371"/>
      <c r="BZ4" s="371"/>
      <c r="CA4" s="371"/>
      <c r="CB4" s="371"/>
      <c r="CC4" s="371"/>
      <c r="CD4" s="371"/>
      <c r="CE4" s="371"/>
      <c r="CF4" s="371"/>
      <c r="CG4" s="371"/>
      <c r="CH4" s="371"/>
      <c r="CI4" s="371"/>
      <c r="CJ4" s="371"/>
      <c r="CK4" s="371"/>
      <c r="CL4" s="371"/>
      <c r="CM4" s="371"/>
      <c r="CN4" s="371"/>
      <c r="CO4" s="371"/>
      <c r="CP4" s="371"/>
      <c r="CQ4" s="371"/>
      <c r="CR4" s="371"/>
      <c r="CS4" s="371"/>
      <c r="CT4" s="371"/>
      <c r="CU4" s="371"/>
      <c r="CV4" s="371"/>
      <c r="CW4" s="371"/>
      <c r="CX4" s="371"/>
      <c r="CY4" s="371"/>
      <c r="CZ4" s="371"/>
      <c r="DA4" s="371"/>
      <c r="DB4" s="371"/>
      <c r="DC4" s="371"/>
      <c r="DD4" s="371"/>
      <c r="DE4" s="371"/>
      <c r="DF4" s="371"/>
      <c r="DG4" s="371"/>
      <c r="DH4" s="371"/>
      <c r="DI4" s="371"/>
      <c r="DJ4" s="371"/>
      <c r="DK4" s="371"/>
      <c r="DL4" s="371"/>
      <c r="DM4" s="371"/>
      <c r="DN4" s="371"/>
      <c r="DO4" s="371"/>
      <c r="DP4" s="371"/>
      <c r="DQ4" s="371"/>
      <c r="DR4" s="371"/>
      <c r="DS4" s="371"/>
      <c r="DT4" s="371"/>
      <c r="DU4" s="371"/>
      <c r="DV4" s="371"/>
      <c r="DW4" s="371"/>
      <c r="DX4" s="371"/>
      <c r="DY4" s="371"/>
      <c r="DZ4" s="371"/>
      <c r="EA4" s="371"/>
      <c r="EB4" s="371"/>
      <c r="EC4" s="371"/>
      <c r="ED4" s="371"/>
      <c r="EE4" s="371"/>
      <c r="EF4" s="371"/>
      <c r="EG4" s="371"/>
      <c r="EH4" s="371"/>
      <c r="EI4" s="371"/>
      <c r="EJ4" s="371"/>
      <c r="EK4" s="371"/>
      <c r="EL4" s="371"/>
      <c r="EM4" s="371"/>
      <c r="EN4" s="371"/>
      <c r="EO4" s="371"/>
      <c r="EP4" s="371"/>
      <c r="EQ4" s="371"/>
      <c r="ER4" s="371"/>
      <c r="ES4" s="371"/>
      <c r="ET4" s="371"/>
      <c r="EU4" s="371"/>
      <c r="EV4" s="371"/>
      <c r="EW4" s="371"/>
      <c r="EX4" s="371"/>
      <c r="EY4" s="371"/>
      <c r="EZ4" s="371"/>
      <c r="FA4" s="371"/>
      <c r="FB4" s="371"/>
      <c r="FC4" s="371"/>
      <c r="FD4" s="371"/>
      <c r="FE4" s="371"/>
      <c r="FF4" s="371"/>
      <c r="FG4" s="371"/>
      <c r="FH4" s="371"/>
      <c r="FI4" s="371"/>
      <c r="FJ4" s="371"/>
      <c r="FK4" s="371"/>
      <c r="FL4" s="371"/>
      <c r="FM4" s="371"/>
      <c r="FN4" s="371"/>
      <c r="FO4" s="371"/>
      <c r="FP4" s="371"/>
      <c r="FQ4" s="371"/>
      <c r="FR4" s="371"/>
      <c r="FS4" s="371"/>
      <c r="FT4" s="371"/>
      <c r="FU4" s="371"/>
      <c r="FV4" s="371"/>
      <c r="FW4" s="371"/>
      <c r="FX4" s="371"/>
      <c r="FY4" s="371"/>
      <c r="FZ4" s="371"/>
      <c r="GA4" s="371"/>
      <c r="GB4" s="371"/>
      <c r="GC4" s="371"/>
      <c r="GD4" s="371"/>
      <c r="GE4" s="371"/>
      <c r="GF4" s="371"/>
      <c r="GG4" s="371"/>
      <c r="GH4" s="371"/>
      <c r="GI4" s="371"/>
      <c r="GJ4" s="371"/>
      <c r="GK4" s="371"/>
      <c r="GL4" s="371"/>
      <c r="GM4" s="371"/>
      <c r="GN4" s="371"/>
      <c r="GO4" s="371"/>
      <c r="GP4" s="371"/>
      <c r="GQ4" s="371"/>
      <c r="GR4" s="371"/>
      <c r="GS4" s="371"/>
      <c r="GT4" s="371"/>
      <c r="GU4" s="371"/>
      <c r="GV4" s="371"/>
      <c r="GW4" s="371"/>
      <c r="GX4" s="371"/>
      <c r="GY4" s="371"/>
      <c r="GZ4" s="371"/>
      <c r="HA4" s="371"/>
      <c r="HB4" s="371"/>
      <c r="HC4" s="371"/>
      <c r="HD4" s="371"/>
      <c r="HE4" s="371"/>
      <c r="HF4" s="371"/>
      <c r="HG4" s="371"/>
      <c r="HH4" s="371"/>
      <c r="HI4" s="371"/>
      <c r="HJ4" s="371"/>
      <c r="HK4" s="371"/>
      <c r="HL4" s="371"/>
      <c r="HM4" s="371"/>
      <c r="HN4" s="371"/>
      <c r="HO4" s="371"/>
      <c r="HP4" s="371"/>
      <c r="HQ4" s="371"/>
      <c r="HR4" s="371"/>
      <c r="HS4" s="371"/>
      <c r="HT4" s="371"/>
      <c r="HU4" s="371"/>
      <c r="HV4" s="371"/>
      <c r="HW4" s="371"/>
      <c r="HX4" s="371"/>
      <c r="HY4" s="371"/>
      <c r="HZ4" s="371"/>
      <c r="IA4" s="371"/>
      <c r="IB4" s="371"/>
      <c r="IC4" s="371"/>
      <c r="ID4" s="371"/>
      <c r="IE4" s="371"/>
      <c r="IF4" s="371"/>
      <c r="IG4" s="371"/>
      <c r="IH4" s="371"/>
      <c r="II4" s="371"/>
      <c r="IJ4" s="371"/>
      <c r="IK4" s="371"/>
      <c r="IL4" s="371"/>
      <c r="IM4" s="371"/>
      <c r="IN4" s="371"/>
      <c r="IO4" s="371"/>
      <c r="IP4" s="371"/>
      <c r="IQ4" s="371"/>
      <c r="IR4" s="371"/>
      <c r="IS4" s="371"/>
      <c r="IT4" s="371"/>
      <c r="IU4" s="371"/>
      <c r="IV4" s="371"/>
    </row>
    <row r="5" spans="1:256" x14ac:dyDescent="0.2">
      <c r="A5" s="365"/>
      <c r="B5" s="368"/>
      <c r="C5" s="368"/>
      <c r="D5" s="368"/>
      <c r="E5" s="372"/>
      <c r="F5" s="368"/>
      <c r="G5" s="370"/>
      <c r="H5" s="368"/>
      <c r="I5" s="370"/>
      <c r="J5" s="371"/>
      <c r="K5" s="371"/>
      <c r="L5" s="371"/>
      <c r="M5" s="371"/>
      <c r="N5" s="371"/>
      <c r="O5" s="371"/>
      <c r="P5" s="371"/>
      <c r="Q5" s="371"/>
      <c r="R5" s="371"/>
      <c r="S5" s="371"/>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row>
    <row r="6" spans="1:256" ht="25.5" x14ac:dyDescent="0.2">
      <c r="A6" s="365"/>
      <c r="B6" s="375" t="s">
        <v>1313</v>
      </c>
      <c r="C6" s="795" t="str">
        <f>СВОД!B44</f>
        <v>Электрохимическая защита</v>
      </c>
      <c r="D6" s="795"/>
      <c r="E6" s="795"/>
      <c r="F6" s="376"/>
      <c r="G6" s="376"/>
      <c r="H6" s="376"/>
      <c r="I6" s="376"/>
      <c r="J6" s="371"/>
      <c r="K6" s="371"/>
      <c r="L6" s="371"/>
      <c r="M6" s="371"/>
      <c r="N6" s="371"/>
      <c r="O6" s="371"/>
      <c r="P6" s="371"/>
      <c r="Q6" s="371"/>
      <c r="R6" s="371"/>
      <c r="S6" s="371"/>
      <c r="T6" s="371"/>
      <c r="U6" s="371"/>
      <c r="V6" s="371"/>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71"/>
      <c r="BF6" s="371"/>
      <c r="BG6" s="371"/>
      <c r="BH6" s="371"/>
      <c r="BI6" s="371"/>
      <c r="BJ6" s="371"/>
      <c r="BK6" s="371"/>
      <c r="BL6" s="371"/>
      <c r="BM6" s="371"/>
      <c r="BN6" s="371"/>
      <c r="BO6" s="371"/>
      <c r="BP6" s="371"/>
      <c r="BQ6" s="371"/>
      <c r="BR6" s="371"/>
      <c r="BS6" s="371"/>
      <c r="BT6" s="371"/>
      <c r="BU6" s="371"/>
      <c r="BV6" s="371"/>
      <c r="BW6" s="371"/>
      <c r="BX6" s="371"/>
      <c r="BY6" s="371"/>
      <c r="BZ6" s="371"/>
      <c r="CA6" s="371"/>
      <c r="CB6" s="371"/>
      <c r="CC6" s="371"/>
      <c r="CD6" s="371"/>
      <c r="CE6" s="371"/>
      <c r="CF6" s="371"/>
      <c r="CG6" s="371"/>
      <c r="CH6" s="371"/>
      <c r="CI6" s="371"/>
      <c r="CJ6" s="371"/>
      <c r="CK6" s="371"/>
      <c r="CL6" s="371"/>
      <c r="CM6" s="371"/>
      <c r="CN6" s="371"/>
      <c r="CO6" s="371"/>
      <c r="CP6" s="371"/>
      <c r="CQ6" s="371"/>
      <c r="CR6" s="371"/>
      <c r="CS6" s="371"/>
      <c r="CT6" s="371"/>
      <c r="CU6" s="371"/>
      <c r="CV6" s="371"/>
      <c r="CW6" s="371"/>
      <c r="CX6" s="371"/>
      <c r="CY6" s="371"/>
      <c r="CZ6" s="371"/>
      <c r="DA6" s="371"/>
      <c r="DB6" s="371"/>
      <c r="DC6" s="371"/>
      <c r="DD6" s="371"/>
      <c r="DE6" s="371"/>
      <c r="DF6" s="371"/>
      <c r="DG6" s="371"/>
      <c r="DH6" s="371"/>
      <c r="DI6" s="371"/>
      <c r="DJ6" s="371"/>
      <c r="DK6" s="371"/>
      <c r="DL6" s="371"/>
      <c r="DM6" s="371"/>
      <c r="DN6" s="371"/>
      <c r="DO6" s="371"/>
      <c r="DP6" s="371"/>
      <c r="DQ6" s="371"/>
      <c r="DR6" s="371"/>
      <c r="DS6" s="371"/>
      <c r="DT6" s="371"/>
      <c r="DU6" s="371"/>
      <c r="DV6" s="371"/>
      <c r="DW6" s="371"/>
      <c r="DX6" s="371"/>
      <c r="DY6" s="371"/>
      <c r="DZ6" s="371"/>
      <c r="EA6" s="371"/>
      <c r="EB6" s="371"/>
      <c r="EC6" s="371"/>
      <c r="ED6" s="371"/>
      <c r="EE6" s="371"/>
      <c r="EF6" s="371"/>
      <c r="EG6" s="371"/>
      <c r="EH6" s="371"/>
      <c r="EI6" s="371"/>
      <c r="EJ6" s="371"/>
      <c r="EK6" s="371"/>
      <c r="EL6" s="371"/>
      <c r="EM6" s="371"/>
      <c r="EN6" s="371"/>
      <c r="EO6" s="371"/>
      <c r="EP6" s="371"/>
      <c r="EQ6" s="371"/>
      <c r="ER6" s="371"/>
      <c r="ES6" s="371"/>
      <c r="ET6" s="371"/>
      <c r="EU6" s="371"/>
      <c r="EV6" s="371"/>
      <c r="EW6" s="371"/>
      <c r="EX6" s="371"/>
      <c r="EY6" s="371"/>
      <c r="EZ6" s="371"/>
      <c r="FA6" s="371"/>
      <c r="FB6" s="371"/>
      <c r="FC6" s="371"/>
      <c r="FD6" s="371"/>
      <c r="FE6" s="371"/>
      <c r="FF6" s="371"/>
      <c r="FG6" s="371"/>
      <c r="FH6" s="371"/>
      <c r="FI6" s="371"/>
      <c r="FJ6" s="371"/>
      <c r="FK6" s="371"/>
      <c r="FL6" s="371"/>
      <c r="FM6" s="371"/>
      <c r="FN6" s="371"/>
      <c r="FO6" s="371"/>
      <c r="FP6" s="371"/>
      <c r="FQ6" s="371"/>
      <c r="FR6" s="371"/>
      <c r="FS6" s="371"/>
      <c r="FT6" s="371"/>
      <c r="FU6" s="371"/>
      <c r="FV6" s="371"/>
      <c r="FW6" s="371"/>
      <c r="FX6" s="371"/>
      <c r="FY6" s="371"/>
      <c r="FZ6" s="371"/>
      <c r="GA6" s="371"/>
      <c r="GB6" s="371"/>
      <c r="GC6" s="371"/>
      <c r="GD6" s="371"/>
      <c r="GE6" s="371"/>
      <c r="GF6" s="371"/>
      <c r="GG6" s="371"/>
      <c r="GH6" s="371"/>
      <c r="GI6" s="371"/>
      <c r="GJ6" s="371"/>
      <c r="GK6" s="371"/>
      <c r="GL6" s="371"/>
      <c r="GM6" s="371"/>
      <c r="GN6" s="371"/>
      <c r="GO6" s="371"/>
      <c r="GP6" s="371"/>
      <c r="GQ6" s="371"/>
      <c r="GR6" s="371"/>
      <c r="GS6" s="371"/>
      <c r="GT6" s="371"/>
      <c r="GU6" s="371"/>
      <c r="GV6" s="371"/>
      <c r="GW6" s="371"/>
      <c r="GX6" s="371"/>
      <c r="GY6" s="371"/>
      <c r="GZ6" s="371"/>
      <c r="HA6" s="371"/>
      <c r="HB6" s="371"/>
      <c r="HC6" s="371"/>
      <c r="HD6" s="371"/>
      <c r="HE6" s="371"/>
      <c r="HF6" s="371"/>
      <c r="HG6" s="371"/>
      <c r="HH6" s="371"/>
      <c r="HI6" s="371"/>
      <c r="HJ6" s="371"/>
      <c r="HK6" s="371"/>
      <c r="HL6" s="371"/>
      <c r="HM6" s="371"/>
      <c r="HN6" s="371"/>
      <c r="HO6" s="371"/>
      <c r="HP6" s="371"/>
      <c r="HQ6" s="371"/>
      <c r="HR6" s="371"/>
      <c r="HS6" s="371"/>
      <c r="HT6" s="371"/>
      <c r="HU6" s="371"/>
      <c r="HV6" s="371"/>
      <c r="HW6" s="371"/>
      <c r="HX6" s="371"/>
      <c r="HY6" s="371"/>
      <c r="HZ6" s="371"/>
      <c r="IA6" s="371"/>
      <c r="IB6" s="371"/>
      <c r="IC6" s="371"/>
      <c r="ID6" s="371"/>
      <c r="IE6" s="371"/>
      <c r="IF6" s="371"/>
      <c r="IG6" s="371"/>
      <c r="IH6" s="371"/>
      <c r="II6" s="371"/>
      <c r="IJ6" s="371"/>
      <c r="IK6" s="371"/>
      <c r="IL6" s="371"/>
      <c r="IM6" s="371"/>
      <c r="IN6" s="371"/>
      <c r="IO6" s="371"/>
      <c r="IP6" s="371"/>
      <c r="IQ6" s="371"/>
      <c r="IR6" s="371"/>
      <c r="IS6" s="371"/>
      <c r="IT6" s="371"/>
      <c r="IU6" s="371"/>
      <c r="IV6" s="371"/>
    </row>
    <row r="7" spans="1:256" x14ac:dyDescent="0.2">
      <c r="A7" s="365"/>
      <c r="B7" s="377"/>
      <c r="C7" s="378"/>
      <c r="D7" s="377"/>
      <c r="E7" s="379"/>
      <c r="F7" s="378"/>
      <c r="G7" s="378"/>
      <c r="H7" s="378"/>
      <c r="I7" s="378"/>
      <c r="J7" s="380"/>
      <c r="K7" s="380"/>
      <c r="L7" s="380"/>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0"/>
      <c r="CH7" s="380"/>
      <c r="CI7" s="380"/>
      <c r="CJ7" s="380"/>
      <c r="CK7" s="380"/>
      <c r="CL7" s="380"/>
      <c r="CM7" s="380"/>
      <c r="CN7" s="380"/>
      <c r="CO7" s="380"/>
      <c r="CP7" s="380"/>
      <c r="CQ7" s="380"/>
      <c r="CR7" s="380"/>
      <c r="CS7" s="380"/>
      <c r="CT7" s="380"/>
      <c r="CU7" s="380"/>
      <c r="CV7" s="380"/>
      <c r="CW7" s="380"/>
      <c r="CX7" s="380"/>
      <c r="CY7" s="380"/>
      <c r="CZ7" s="380"/>
      <c r="DA7" s="380"/>
      <c r="DB7" s="380"/>
      <c r="DC7" s="380"/>
      <c r="DD7" s="380"/>
      <c r="DE7" s="380"/>
      <c r="DF7" s="380"/>
      <c r="DG7" s="380"/>
      <c r="DH7" s="380"/>
      <c r="DI7" s="380"/>
      <c r="DJ7" s="380"/>
      <c r="DK7" s="380"/>
      <c r="DL7" s="380"/>
      <c r="DM7" s="380"/>
      <c r="DN7" s="380"/>
      <c r="DO7" s="380"/>
      <c r="DP7" s="380"/>
      <c r="DQ7" s="380"/>
      <c r="DR7" s="380"/>
      <c r="DS7" s="380"/>
      <c r="DT7" s="380"/>
      <c r="DU7" s="380"/>
      <c r="DV7" s="380"/>
      <c r="DW7" s="380"/>
      <c r="DX7" s="380"/>
      <c r="DY7" s="380"/>
      <c r="DZ7" s="380"/>
      <c r="EA7" s="380"/>
      <c r="EB7" s="380"/>
      <c r="EC7" s="380"/>
      <c r="ED7" s="380"/>
      <c r="EE7" s="380"/>
      <c r="EF7" s="380"/>
      <c r="EG7" s="380"/>
      <c r="EH7" s="380"/>
      <c r="EI7" s="380"/>
      <c r="EJ7" s="380"/>
      <c r="EK7" s="380"/>
      <c r="EL7" s="380"/>
      <c r="EM7" s="380"/>
      <c r="EN7" s="380"/>
      <c r="EO7" s="380"/>
      <c r="EP7" s="380"/>
      <c r="EQ7" s="380"/>
      <c r="ER7" s="380"/>
      <c r="ES7" s="380"/>
      <c r="ET7" s="380"/>
      <c r="EU7" s="380"/>
      <c r="EV7" s="380"/>
      <c r="EW7" s="380"/>
      <c r="EX7" s="380"/>
      <c r="EY7" s="380"/>
      <c r="EZ7" s="380"/>
      <c r="FA7" s="380"/>
      <c r="FB7" s="380"/>
      <c r="FC7" s="380"/>
      <c r="FD7" s="380"/>
      <c r="FE7" s="380"/>
      <c r="FF7" s="380"/>
      <c r="FG7" s="380"/>
      <c r="FH7" s="380"/>
      <c r="FI7" s="380"/>
      <c r="FJ7" s="380"/>
      <c r="FK7" s="380"/>
      <c r="FL7" s="380"/>
      <c r="FM7" s="380"/>
      <c r="FN7" s="380"/>
      <c r="FO7" s="380"/>
      <c r="FP7" s="380"/>
      <c r="FQ7" s="380"/>
      <c r="FR7" s="380"/>
      <c r="FS7" s="380"/>
      <c r="FT7" s="380"/>
      <c r="FU7" s="380"/>
      <c r="FV7" s="380"/>
      <c r="FW7" s="380"/>
      <c r="FX7" s="380"/>
      <c r="FY7" s="380"/>
      <c r="FZ7" s="380"/>
      <c r="GA7" s="380"/>
      <c r="GB7" s="380"/>
      <c r="GC7" s="380"/>
      <c r="GD7" s="380"/>
      <c r="GE7" s="380"/>
      <c r="GF7" s="380"/>
      <c r="GG7" s="380"/>
      <c r="GH7" s="380"/>
      <c r="GI7" s="380"/>
      <c r="GJ7" s="380"/>
      <c r="GK7" s="380"/>
      <c r="GL7" s="380"/>
      <c r="GM7" s="380"/>
      <c r="GN7" s="380"/>
      <c r="GO7" s="380"/>
      <c r="GP7" s="380"/>
      <c r="GQ7" s="380"/>
      <c r="GR7" s="380"/>
      <c r="GS7" s="380"/>
      <c r="GT7" s="380"/>
      <c r="GU7" s="380"/>
      <c r="GV7" s="380"/>
      <c r="GW7" s="380"/>
      <c r="GX7" s="380"/>
      <c r="GY7" s="380"/>
      <c r="GZ7" s="380"/>
      <c r="HA7" s="380"/>
      <c r="HB7" s="380"/>
      <c r="HC7" s="380"/>
      <c r="HD7" s="380"/>
      <c r="HE7" s="380"/>
      <c r="HF7" s="380"/>
      <c r="HG7" s="380"/>
      <c r="HH7" s="380"/>
      <c r="HI7" s="380"/>
      <c r="HJ7" s="380"/>
      <c r="HK7" s="380"/>
      <c r="HL7" s="380"/>
      <c r="HM7" s="380"/>
      <c r="HN7" s="380"/>
      <c r="HO7" s="380"/>
      <c r="HP7" s="380"/>
      <c r="HQ7" s="380"/>
      <c r="HR7" s="380"/>
      <c r="HS7" s="380"/>
      <c r="HT7" s="380"/>
      <c r="HU7" s="380"/>
      <c r="HV7" s="380"/>
      <c r="HW7" s="380"/>
      <c r="HX7" s="380"/>
      <c r="HY7" s="380"/>
      <c r="HZ7" s="380"/>
      <c r="IA7" s="380"/>
      <c r="IB7" s="380"/>
      <c r="IC7" s="380"/>
      <c r="ID7" s="380"/>
      <c r="IE7" s="380"/>
      <c r="IF7" s="380"/>
      <c r="IG7" s="380"/>
      <c r="IH7" s="380"/>
      <c r="II7" s="380"/>
      <c r="IJ7" s="380"/>
      <c r="IK7" s="380"/>
      <c r="IL7" s="380"/>
      <c r="IM7" s="380"/>
      <c r="IN7" s="380"/>
      <c r="IO7" s="380"/>
      <c r="IP7" s="380"/>
      <c r="IQ7" s="380"/>
      <c r="IR7" s="380"/>
      <c r="IS7" s="380"/>
      <c r="IT7" s="380"/>
      <c r="IU7" s="380"/>
      <c r="IV7" s="380"/>
    </row>
    <row r="8" spans="1:256" x14ac:dyDescent="0.2">
      <c r="A8" s="365"/>
      <c r="B8" s="381" t="s">
        <v>1314</v>
      </c>
      <c r="C8" s="377" t="str">
        <f>СВОД!D14</f>
        <v>Определяется по итогам конкурентных процедур</v>
      </c>
      <c r="D8" s="377"/>
      <c r="E8" s="382"/>
      <c r="F8" s="383"/>
      <c r="G8" s="384"/>
      <c r="H8" s="377"/>
      <c r="I8" s="385"/>
      <c r="J8" s="371"/>
      <c r="K8" s="371"/>
      <c r="L8" s="371"/>
      <c r="M8" s="371"/>
      <c r="N8" s="371"/>
      <c r="O8" s="371"/>
      <c r="P8" s="371"/>
      <c r="Q8" s="371"/>
      <c r="R8" s="371"/>
      <c r="S8" s="371"/>
      <c r="T8" s="371"/>
      <c r="U8" s="371"/>
      <c r="V8" s="371"/>
      <c r="W8" s="371"/>
      <c r="X8" s="371"/>
      <c r="Y8" s="371"/>
      <c r="Z8" s="371"/>
      <c r="AA8" s="371"/>
      <c r="AB8" s="371"/>
      <c r="AC8" s="371"/>
      <c r="AD8" s="371"/>
      <c r="AE8" s="371"/>
      <c r="AF8" s="371"/>
      <c r="AG8" s="371"/>
      <c r="AH8" s="371"/>
      <c r="AI8" s="371"/>
      <c r="AJ8" s="371"/>
      <c r="AK8" s="371"/>
      <c r="AL8" s="371"/>
      <c r="AM8" s="371"/>
      <c r="AN8" s="371"/>
      <c r="AO8" s="371"/>
      <c r="AP8" s="371"/>
      <c r="AQ8" s="371"/>
      <c r="AR8" s="371"/>
      <c r="AS8" s="371"/>
      <c r="AT8" s="371"/>
      <c r="AU8" s="371"/>
      <c r="AV8" s="371"/>
      <c r="AW8" s="371"/>
      <c r="AX8" s="371"/>
      <c r="AY8" s="371"/>
      <c r="AZ8" s="371"/>
      <c r="BA8" s="371"/>
      <c r="BB8" s="371"/>
      <c r="BC8" s="371"/>
      <c r="BD8" s="371"/>
      <c r="BE8" s="371"/>
      <c r="BF8" s="371"/>
      <c r="BG8" s="371"/>
      <c r="BH8" s="371"/>
      <c r="BI8" s="371"/>
      <c r="BJ8" s="371"/>
      <c r="BK8" s="371"/>
      <c r="BL8" s="371"/>
      <c r="BM8" s="371"/>
      <c r="BN8" s="371"/>
      <c r="BO8" s="371"/>
      <c r="BP8" s="371"/>
      <c r="BQ8" s="371"/>
      <c r="BR8" s="371"/>
      <c r="BS8" s="371"/>
      <c r="BT8" s="371"/>
      <c r="BU8" s="371"/>
      <c r="BV8" s="371"/>
      <c r="BW8" s="371"/>
      <c r="BX8" s="371"/>
      <c r="BY8" s="371"/>
      <c r="BZ8" s="371"/>
      <c r="CA8" s="371"/>
      <c r="CB8" s="371"/>
      <c r="CC8" s="371"/>
      <c r="CD8" s="371"/>
      <c r="CE8" s="371"/>
      <c r="CF8" s="371"/>
      <c r="CG8" s="371"/>
      <c r="CH8" s="371"/>
      <c r="CI8" s="371"/>
      <c r="CJ8" s="371"/>
      <c r="CK8" s="371"/>
      <c r="CL8" s="371"/>
      <c r="CM8" s="371"/>
      <c r="CN8" s="371"/>
      <c r="CO8" s="371"/>
      <c r="CP8" s="371"/>
      <c r="CQ8" s="371"/>
      <c r="CR8" s="371"/>
      <c r="CS8" s="371"/>
      <c r="CT8" s="371"/>
      <c r="CU8" s="371"/>
      <c r="CV8" s="371"/>
      <c r="CW8" s="371"/>
      <c r="CX8" s="371"/>
      <c r="CY8" s="371"/>
      <c r="CZ8" s="371"/>
      <c r="DA8" s="371"/>
      <c r="DB8" s="371"/>
      <c r="DC8" s="371"/>
      <c r="DD8" s="371"/>
      <c r="DE8" s="371"/>
      <c r="DF8" s="371"/>
      <c r="DG8" s="371"/>
      <c r="DH8" s="371"/>
      <c r="DI8" s="371"/>
      <c r="DJ8" s="371"/>
      <c r="DK8" s="371"/>
      <c r="DL8" s="371"/>
      <c r="DM8" s="371"/>
      <c r="DN8" s="371"/>
      <c r="DO8" s="371"/>
      <c r="DP8" s="371"/>
      <c r="DQ8" s="371"/>
      <c r="DR8" s="371"/>
      <c r="DS8" s="371"/>
      <c r="DT8" s="371"/>
      <c r="DU8" s="371"/>
      <c r="DV8" s="371"/>
      <c r="DW8" s="371"/>
      <c r="DX8" s="371"/>
      <c r="DY8" s="371"/>
      <c r="DZ8" s="371"/>
      <c r="EA8" s="371"/>
      <c r="EB8" s="371"/>
      <c r="EC8" s="371"/>
      <c r="ED8" s="371"/>
      <c r="EE8" s="371"/>
      <c r="EF8" s="371"/>
      <c r="EG8" s="371"/>
      <c r="EH8" s="371"/>
      <c r="EI8" s="371"/>
      <c r="EJ8" s="371"/>
      <c r="EK8" s="371"/>
      <c r="EL8" s="371"/>
      <c r="EM8" s="371"/>
      <c r="EN8" s="371"/>
      <c r="EO8" s="371"/>
      <c r="EP8" s="371"/>
      <c r="EQ8" s="371"/>
      <c r="ER8" s="371"/>
      <c r="ES8" s="371"/>
      <c r="ET8" s="371"/>
      <c r="EU8" s="371"/>
      <c r="EV8" s="371"/>
      <c r="EW8" s="371"/>
      <c r="EX8" s="371"/>
      <c r="EY8" s="371"/>
      <c r="EZ8" s="371"/>
      <c r="FA8" s="371"/>
      <c r="FB8" s="371"/>
      <c r="FC8" s="371"/>
      <c r="FD8" s="371"/>
      <c r="FE8" s="371"/>
      <c r="FF8" s="371"/>
      <c r="FG8" s="371"/>
      <c r="FH8" s="371"/>
      <c r="FI8" s="371"/>
      <c r="FJ8" s="371"/>
      <c r="FK8" s="371"/>
      <c r="FL8" s="371"/>
      <c r="FM8" s="371"/>
      <c r="FN8" s="371"/>
      <c r="FO8" s="371"/>
      <c r="FP8" s="371"/>
      <c r="FQ8" s="371"/>
      <c r="FR8" s="371"/>
      <c r="FS8" s="371"/>
      <c r="FT8" s="371"/>
      <c r="FU8" s="371"/>
      <c r="FV8" s="371"/>
      <c r="FW8" s="371"/>
      <c r="FX8" s="371"/>
      <c r="FY8" s="371"/>
      <c r="FZ8" s="371"/>
      <c r="GA8" s="371"/>
      <c r="GB8" s="371"/>
      <c r="GC8" s="371"/>
      <c r="GD8" s="371"/>
      <c r="GE8" s="371"/>
      <c r="GF8" s="371"/>
      <c r="GG8" s="371"/>
      <c r="GH8" s="371"/>
      <c r="GI8" s="371"/>
      <c r="GJ8" s="371"/>
      <c r="GK8" s="371"/>
      <c r="GL8" s="371"/>
      <c r="GM8" s="371"/>
      <c r="GN8" s="371"/>
      <c r="GO8" s="371"/>
      <c r="GP8" s="371"/>
      <c r="GQ8" s="371"/>
      <c r="GR8" s="371"/>
      <c r="GS8" s="371"/>
      <c r="GT8" s="371"/>
      <c r="GU8" s="371"/>
      <c r="GV8" s="371"/>
      <c r="GW8" s="371"/>
      <c r="GX8" s="371"/>
      <c r="GY8" s="371"/>
      <c r="GZ8" s="371"/>
      <c r="HA8" s="371"/>
      <c r="HB8" s="371"/>
      <c r="HC8" s="371"/>
      <c r="HD8" s="371"/>
      <c r="HE8" s="371"/>
      <c r="HF8" s="371"/>
      <c r="HG8" s="371"/>
      <c r="HH8" s="371"/>
      <c r="HI8" s="371"/>
      <c r="HJ8" s="371"/>
      <c r="HK8" s="371"/>
      <c r="HL8" s="371"/>
      <c r="HM8" s="371"/>
      <c r="HN8" s="371"/>
      <c r="HO8" s="371"/>
      <c r="HP8" s="371"/>
      <c r="HQ8" s="371"/>
      <c r="HR8" s="371"/>
      <c r="HS8" s="371"/>
      <c r="HT8" s="371"/>
      <c r="HU8" s="371"/>
      <c r="HV8" s="371"/>
      <c r="HW8" s="371"/>
      <c r="HX8" s="371"/>
      <c r="HY8" s="371"/>
      <c r="HZ8" s="371"/>
      <c r="IA8" s="371"/>
      <c r="IB8" s="371"/>
      <c r="IC8" s="371"/>
      <c r="ID8" s="371"/>
      <c r="IE8" s="371"/>
      <c r="IF8" s="371"/>
      <c r="IG8" s="371"/>
      <c r="IH8" s="371"/>
      <c r="II8" s="371"/>
      <c r="IJ8" s="371"/>
      <c r="IK8" s="371"/>
      <c r="IL8" s="371"/>
      <c r="IM8" s="371"/>
      <c r="IN8" s="371"/>
      <c r="IO8" s="371"/>
      <c r="IP8" s="371"/>
      <c r="IQ8" s="371"/>
      <c r="IR8" s="371"/>
      <c r="IS8" s="371"/>
      <c r="IT8" s="371"/>
      <c r="IU8" s="371"/>
      <c r="IV8" s="371"/>
    </row>
    <row r="9" spans="1:256" x14ac:dyDescent="0.2">
      <c r="A9" s="365"/>
      <c r="B9" s="381" t="s">
        <v>1315</v>
      </c>
      <c r="C9" s="368"/>
      <c r="D9" s="377"/>
      <c r="E9" s="382"/>
      <c r="F9" s="383"/>
      <c r="G9" s="386"/>
      <c r="H9" s="387"/>
      <c r="I9" s="386"/>
      <c r="J9" s="371"/>
      <c r="K9" s="371"/>
      <c r="L9" s="371"/>
      <c r="M9" s="371"/>
      <c r="N9" s="371"/>
      <c r="O9" s="371"/>
      <c r="P9" s="371"/>
      <c r="Q9" s="371"/>
      <c r="R9" s="371"/>
      <c r="S9" s="371"/>
      <c r="T9" s="371"/>
      <c r="U9" s="371"/>
      <c r="V9" s="371"/>
      <c r="W9" s="371"/>
      <c r="X9" s="371"/>
      <c r="Y9" s="371"/>
      <c r="Z9" s="371"/>
      <c r="AA9" s="371"/>
      <c r="AB9" s="371"/>
      <c r="AC9" s="371"/>
      <c r="AD9" s="371"/>
      <c r="AE9" s="371"/>
      <c r="AF9" s="371"/>
      <c r="AG9" s="371"/>
      <c r="AH9" s="371"/>
      <c r="AI9" s="371"/>
      <c r="AJ9" s="371"/>
      <c r="AK9" s="371"/>
      <c r="AL9" s="371"/>
      <c r="AM9" s="371"/>
      <c r="AN9" s="371"/>
      <c r="AO9" s="371"/>
      <c r="AP9" s="371"/>
      <c r="AQ9" s="371"/>
      <c r="AR9" s="371"/>
      <c r="AS9" s="371"/>
      <c r="AT9" s="371"/>
      <c r="AU9" s="371"/>
      <c r="AV9" s="371"/>
      <c r="AW9" s="371"/>
      <c r="AX9" s="371"/>
      <c r="AY9" s="371"/>
      <c r="AZ9" s="371"/>
      <c r="BA9" s="371"/>
      <c r="BB9" s="371"/>
      <c r="BC9" s="371"/>
      <c r="BD9" s="371"/>
      <c r="BE9" s="371"/>
      <c r="BF9" s="371"/>
      <c r="BG9" s="371"/>
      <c r="BH9" s="371"/>
      <c r="BI9" s="371"/>
      <c r="BJ9" s="371"/>
      <c r="BK9" s="371"/>
      <c r="BL9" s="371"/>
      <c r="BM9" s="371"/>
      <c r="BN9" s="371"/>
      <c r="BO9" s="371"/>
      <c r="BP9" s="371"/>
      <c r="BQ9" s="371"/>
      <c r="BR9" s="371"/>
      <c r="BS9" s="371"/>
      <c r="BT9" s="371"/>
      <c r="BU9" s="371"/>
      <c r="BV9" s="371"/>
      <c r="BW9" s="371"/>
      <c r="BX9" s="371"/>
      <c r="BY9" s="371"/>
      <c r="BZ9" s="371"/>
      <c r="CA9" s="371"/>
      <c r="CB9" s="371"/>
      <c r="CC9" s="371"/>
      <c r="CD9" s="371"/>
      <c r="CE9" s="371"/>
      <c r="CF9" s="371"/>
      <c r="CG9" s="371"/>
      <c r="CH9" s="371"/>
      <c r="CI9" s="371"/>
      <c r="CJ9" s="371"/>
      <c r="CK9" s="371"/>
      <c r="CL9" s="371"/>
      <c r="CM9" s="371"/>
      <c r="CN9" s="371"/>
      <c r="CO9" s="371"/>
      <c r="CP9" s="371"/>
      <c r="CQ9" s="371"/>
      <c r="CR9" s="371"/>
      <c r="CS9" s="371"/>
      <c r="CT9" s="371"/>
      <c r="CU9" s="371"/>
      <c r="CV9" s="371"/>
      <c r="CW9" s="371"/>
      <c r="CX9" s="371"/>
      <c r="CY9" s="371"/>
      <c r="CZ9" s="371"/>
      <c r="DA9" s="371"/>
      <c r="DB9" s="371"/>
      <c r="DC9" s="371"/>
      <c r="DD9" s="371"/>
      <c r="DE9" s="371"/>
      <c r="DF9" s="371"/>
      <c r="DG9" s="371"/>
      <c r="DH9" s="371"/>
      <c r="DI9" s="371"/>
      <c r="DJ9" s="371"/>
      <c r="DK9" s="371"/>
      <c r="DL9" s="371"/>
      <c r="DM9" s="371"/>
      <c r="DN9" s="371"/>
      <c r="DO9" s="371"/>
      <c r="DP9" s="371"/>
      <c r="DQ9" s="371"/>
      <c r="DR9" s="371"/>
      <c r="DS9" s="371"/>
      <c r="DT9" s="371"/>
      <c r="DU9" s="371"/>
      <c r="DV9" s="371"/>
      <c r="DW9" s="371"/>
      <c r="DX9" s="371"/>
      <c r="DY9" s="371"/>
      <c r="DZ9" s="371"/>
      <c r="EA9" s="371"/>
      <c r="EB9" s="371"/>
      <c r="EC9" s="371"/>
      <c r="ED9" s="371"/>
      <c r="EE9" s="371"/>
      <c r="EF9" s="371"/>
      <c r="EG9" s="371"/>
      <c r="EH9" s="371"/>
      <c r="EI9" s="371"/>
      <c r="EJ9" s="371"/>
      <c r="EK9" s="371"/>
      <c r="EL9" s="371"/>
      <c r="EM9" s="371"/>
      <c r="EN9" s="371"/>
      <c r="EO9" s="371"/>
      <c r="EP9" s="371"/>
      <c r="EQ9" s="371"/>
      <c r="ER9" s="371"/>
      <c r="ES9" s="371"/>
      <c r="ET9" s="371"/>
      <c r="EU9" s="371"/>
      <c r="EV9" s="371"/>
      <c r="EW9" s="371"/>
      <c r="EX9" s="371"/>
      <c r="EY9" s="371"/>
      <c r="EZ9" s="371"/>
      <c r="FA9" s="371"/>
      <c r="FB9" s="371"/>
      <c r="FC9" s="371"/>
      <c r="FD9" s="371"/>
      <c r="FE9" s="371"/>
      <c r="FF9" s="371"/>
      <c r="FG9" s="371"/>
      <c r="FH9" s="371"/>
      <c r="FI9" s="371"/>
      <c r="FJ9" s="371"/>
      <c r="FK9" s="371"/>
      <c r="FL9" s="371"/>
      <c r="FM9" s="371"/>
      <c r="FN9" s="371"/>
      <c r="FO9" s="371"/>
      <c r="FP9" s="371"/>
      <c r="FQ9" s="371"/>
      <c r="FR9" s="371"/>
      <c r="FS9" s="371"/>
      <c r="FT9" s="371"/>
      <c r="FU9" s="371"/>
      <c r="FV9" s="371"/>
      <c r="FW9" s="371"/>
      <c r="FX9" s="371"/>
      <c r="FY9" s="371"/>
      <c r="FZ9" s="371"/>
      <c r="GA9" s="371"/>
      <c r="GB9" s="371"/>
      <c r="GC9" s="371"/>
      <c r="GD9" s="371"/>
      <c r="GE9" s="371"/>
      <c r="GF9" s="371"/>
      <c r="GG9" s="371"/>
      <c r="GH9" s="371"/>
      <c r="GI9" s="371"/>
      <c r="GJ9" s="371"/>
      <c r="GK9" s="371"/>
      <c r="GL9" s="371"/>
      <c r="GM9" s="371"/>
      <c r="GN9" s="371"/>
      <c r="GO9" s="371"/>
      <c r="GP9" s="371"/>
      <c r="GQ9" s="371"/>
      <c r="GR9" s="371"/>
      <c r="GS9" s="371"/>
      <c r="GT9" s="371"/>
      <c r="GU9" s="371"/>
      <c r="GV9" s="371"/>
      <c r="GW9" s="371"/>
      <c r="GX9" s="371"/>
      <c r="GY9" s="371"/>
      <c r="GZ9" s="371"/>
      <c r="HA9" s="371"/>
      <c r="HB9" s="371"/>
      <c r="HC9" s="371"/>
      <c r="HD9" s="371"/>
      <c r="HE9" s="371"/>
      <c r="HF9" s="371"/>
      <c r="HG9" s="371"/>
      <c r="HH9" s="371"/>
      <c r="HI9" s="371"/>
      <c r="HJ9" s="371"/>
      <c r="HK9" s="371"/>
      <c r="HL9" s="371"/>
      <c r="HM9" s="371"/>
      <c r="HN9" s="371"/>
      <c r="HO9" s="371"/>
      <c r="HP9" s="371"/>
      <c r="HQ9" s="371"/>
      <c r="HR9" s="371"/>
      <c r="HS9" s="371"/>
      <c r="HT9" s="371"/>
      <c r="HU9" s="371"/>
      <c r="HV9" s="371"/>
      <c r="HW9" s="371"/>
      <c r="HX9" s="371"/>
      <c r="HY9" s="371"/>
      <c r="HZ9" s="371"/>
      <c r="IA9" s="371"/>
      <c r="IB9" s="371"/>
      <c r="IC9" s="371"/>
      <c r="ID9" s="371"/>
      <c r="IE9" s="371"/>
      <c r="IF9" s="371"/>
      <c r="IG9" s="371"/>
      <c r="IH9" s="371"/>
      <c r="II9" s="371"/>
      <c r="IJ9" s="371"/>
      <c r="IK9" s="371"/>
      <c r="IL9" s="371"/>
      <c r="IM9" s="371"/>
      <c r="IN9" s="371"/>
      <c r="IO9" s="371"/>
      <c r="IP9" s="371"/>
      <c r="IQ9" s="371"/>
      <c r="IR9" s="371"/>
      <c r="IS9" s="371"/>
      <c r="IT9" s="371"/>
      <c r="IU9" s="371"/>
      <c r="IV9" s="371"/>
    </row>
    <row r="10" spans="1:256" x14ac:dyDescent="0.2">
      <c r="A10" s="365"/>
      <c r="B10" s="381"/>
      <c r="C10" s="377"/>
      <c r="D10" s="377"/>
      <c r="E10" s="382"/>
      <c r="F10" s="383"/>
      <c r="G10" s="386"/>
      <c r="H10" s="387"/>
      <c r="I10" s="386"/>
      <c r="J10" s="371"/>
      <c r="K10" s="371"/>
      <c r="L10" s="371"/>
      <c r="M10" s="371"/>
      <c r="N10" s="371"/>
      <c r="O10" s="371"/>
      <c r="P10" s="371"/>
      <c r="Q10" s="371"/>
      <c r="R10" s="371"/>
      <c r="S10" s="371"/>
      <c r="T10" s="371"/>
      <c r="U10" s="371"/>
      <c r="V10" s="371"/>
      <c r="W10" s="371"/>
      <c r="X10" s="371"/>
      <c r="Y10" s="371"/>
      <c r="Z10" s="371"/>
      <c r="AA10" s="371"/>
      <c r="AB10" s="371"/>
      <c r="AC10" s="371"/>
      <c r="AD10" s="371"/>
      <c r="AE10" s="371"/>
      <c r="AF10" s="371"/>
      <c r="AG10" s="371"/>
      <c r="AH10" s="371"/>
      <c r="AI10" s="371"/>
      <c r="AJ10" s="371"/>
      <c r="AK10" s="371"/>
      <c r="AL10" s="371"/>
      <c r="AM10" s="371"/>
      <c r="AN10" s="371"/>
      <c r="AO10" s="371"/>
      <c r="AP10" s="371"/>
      <c r="AQ10" s="371"/>
      <c r="AR10" s="371"/>
      <c r="AS10" s="371"/>
      <c r="AT10" s="371"/>
      <c r="AU10" s="371"/>
      <c r="AV10" s="371"/>
      <c r="AW10" s="371"/>
      <c r="AX10" s="371"/>
      <c r="AY10" s="371"/>
      <c r="AZ10" s="371"/>
      <c r="BA10" s="371"/>
      <c r="BB10" s="371"/>
      <c r="BC10" s="371"/>
      <c r="BD10" s="371"/>
      <c r="BE10" s="371"/>
      <c r="BF10" s="371"/>
      <c r="BG10" s="371"/>
      <c r="BH10" s="371"/>
      <c r="BI10" s="371"/>
      <c r="BJ10" s="371"/>
      <c r="BK10" s="371"/>
      <c r="BL10" s="371"/>
      <c r="BM10" s="371"/>
      <c r="BN10" s="371"/>
      <c r="BO10" s="371"/>
      <c r="BP10" s="371"/>
      <c r="BQ10" s="371"/>
      <c r="BR10" s="371"/>
      <c r="BS10" s="371"/>
      <c r="BT10" s="371"/>
      <c r="BU10" s="371"/>
      <c r="BV10" s="371"/>
      <c r="BW10" s="371"/>
      <c r="BX10" s="371"/>
      <c r="BY10" s="371"/>
      <c r="BZ10" s="371"/>
      <c r="CA10" s="371"/>
      <c r="CB10" s="371"/>
      <c r="CC10" s="371"/>
      <c r="CD10" s="371"/>
      <c r="CE10" s="371"/>
      <c r="CF10" s="371"/>
      <c r="CG10" s="371"/>
      <c r="CH10" s="371"/>
      <c r="CI10" s="371"/>
      <c r="CJ10" s="371"/>
      <c r="CK10" s="371"/>
      <c r="CL10" s="371"/>
      <c r="CM10" s="371"/>
      <c r="CN10" s="371"/>
      <c r="CO10" s="371"/>
      <c r="CP10" s="371"/>
      <c r="CQ10" s="371"/>
      <c r="CR10" s="371"/>
      <c r="CS10" s="371"/>
      <c r="CT10" s="371"/>
      <c r="CU10" s="371"/>
      <c r="CV10" s="371"/>
      <c r="CW10" s="371"/>
      <c r="CX10" s="371"/>
      <c r="CY10" s="371"/>
      <c r="CZ10" s="371"/>
      <c r="DA10" s="371"/>
      <c r="DB10" s="371"/>
      <c r="DC10" s="371"/>
      <c r="DD10" s="371"/>
      <c r="DE10" s="371"/>
      <c r="DF10" s="371"/>
      <c r="DG10" s="371"/>
      <c r="DH10" s="371"/>
      <c r="DI10" s="371"/>
      <c r="DJ10" s="371"/>
      <c r="DK10" s="371"/>
      <c r="DL10" s="371"/>
      <c r="DM10" s="371"/>
      <c r="DN10" s="371"/>
      <c r="DO10" s="371"/>
      <c r="DP10" s="371"/>
      <c r="DQ10" s="371"/>
      <c r="DR10" s="371"/>
      <c r="DS10" s="371"/>
      <c r="DT10" s="371"/>
      <c r="DU10" s="371"/>
      <c r="DV10" s="371"/>
      <c r="DW10" s="371"/>
      <c r="DX10" s="371"/>
      <c r="DY10" s="371"/>
      <c r="DZ10" s="371"/>
      <c r="EA10" s="371"/>
      <c r="EB10" s="371"/>
      <c r="EC10" s="371"/>
      <c r="ED10" s="371"/>
      <c r="EE10" s="371"/>
      <c r="EF10" s="371"/>
      <c r="EG10" s="371"/>
      <c r="EH10" s="371"/>
      <c r="EI10" s="371"/>
      <c r="EJ10" s="371"/>
      <c r="EK10" s="371"/>
      <c r="EL10" s="371"/>
      <c r="EM10" s="371"/>
      <c r="EN10" s="371"/>
      <c r="EO10" s="371"/>
      <c r="EP10" s="371"/>
      <c r="EQ10" s="371"/>
      <c r="ER10" s="371"/>
      <c r="ES10" s="371"/>
      <c r="ET10" s="371"/>
      <c r="EU10" s="371"/>
      <c r="EV10" s="371"/>
      <c r="EW10" s="371"/>
      <c r="EX10" s="371"/>
      <c r="EY10" s="371"/>
      <c r="EZ10" s="371"/>
      <c r="FA10" s="371"/>
      <c r="FB10" s="371"/>
      <c r="FC10" s="371"/>
      <c r="FD10" s="371"/>
      <c r="FE10" s="371"/>
      <c r="FF10" s="371"/>
      <c r="FG10" s="371"/>
      <c r="FH10" s="371"/>
      <c r="FI10" s="371"/>
      <c r="FJ10" s="371"/>
      <c r="FK10" s="371"/>
      <c r="FL10" s="371"/>
      <c r="FM10" s="371"/>
      <c r="FN10" s="371"/>
      <c r="FO10" s="371"/>
      <c r="FP10" s="371"/>
      <c r="FQ10" s="371"/>
      <c r="FR10" s="371"/>
      <c r="FS10" s="371"/>
      <c r="FT10" s="371"/>
      <c r="FU10" s="371"/>
      <c r="FV10" s="371"/>
      <c r="FW10" s="371"/>
      <c r="FX10" s="371"/>
      <c r="FY10" s="371"/>
      <c r="FZ10" s="371"/>
      <c r="GA10" s="371"/>
      <c r="GB10" s="371"/>
      <c r="GC10" s="371"/>
      <c r="GD10" s="371"/>
      <c r="GE10" s="371"/>
      <c r="GF10" s="371"/>
      <c r="GG10" s="371"/>
      <c r="GH10" s="371"/>
      <c r="GI10" s="371"/>
      <c r="GJ10" s="371"/>
      <c r="GK10" s="371"/>
      <c r="GL10" s="371"/>
      <c r="GM10" s="371"/>
      <c r="GN10" s="371"/>
      <c r="GO10" s="371"/>
      <c r="GP10" s="371"/>
      <c r="GQ10" s="371"/>
      <c r="GR10" s="371"/>
      <c r="GS10" s="371"/>
      <c r="GT10" s="371"/>
      <c r="GU10" s="371"/>
      <c r="GV10" s="371"/>
      <c r="GW10" s="371"/>
      <c r="GX10" s="371"/>
      <c r="GY10" s="371"/>
      <c r="GZ10" s="371"/>
      <c r="HA10" s="371"/>
      <c r="HB10" s="371"/>
      <c r="HC10" s="371"/>
      <c r="HD10" s="371"/>
      <c r="HE10" s="371"/>
      <c r="HF10" s="371"/>
      <c r="HG10" s="371"/>
      <c r="HH10" s="371"/>
      <c r="HI10" s="371"/>
      <c r="HJ10" s="371"/>
      <c r="HK10" s="371"/>
      <c r="HL10" s="371"/>
      <c r="HM10" s="371"/>
      <c r="HN10" s="371"/>
      <c r="HO10" s="371"/>
      <c r="HP10" s="371"/>
      <c r="HQ10" s="371"/>
      <c r="HR10" s="371"/>
      <c r="HS10" s="371"/>
      <c r="HT10" s="371"/>
      <c r="HU10" s="371"/>
      <c r="HV10" s="371"/>
      <c r="HW10" s="371"/>
      <c r="HX10" s="371"/>
      <c r="HY10" s="371"/>
      <c r="HZ10" s="371"/>
      <c r="IA10" s="371"/>
      <c r="IB10" s="371"/>
      <c r="IC10" s="371"/>
      <c r="ID10" s="371"/>
      <c r="IE10" s="371"/>
      <c r="IF10" s="371"/>
      <c r="IG10" s="371"/>
      <c r="IH10" s="371"/>
      <c r="II10" s="371"/>
      <c r="IJ10" s="371"/>
      <c r="IK10" s="371"/>
      <c r="IL10" s="371"/>
      <c r="IM10" s="371"/>
      <c r="IN10" s="371"/>
      <c r="IO10" s="371"/>
      <c r="IP10" s="371"/>
      <c r="IQ10" s="371"/>
      <c r="IR10" s="371"/>
      <c r="IS10" s="371"/>
      <c r="IT10" s="371"/>
      <c r="IU10" s="371"/>
      <c r="IV10" s="371"/>
    </row>
    <row r="11" spans="1:256" x14ac:dyDescent="0.2">
      <c r="A11" s="365"/>
      <c r="B11" s="388" t="s">
        <v>1316</v>
      </c>
      <c r="C11" s="377" t="str">
        <f>СВОД!D16</f>
        <v>ООО «Газпром проектирование»</v>
      </c>
      <c r="D11" s="377"/>
      <c r="E11" s="382"/>
      <c r="F11" s="387"/>
      <c r="G11" s="386"/>
      <c r="H11" s="387"/>
      <c r="I11" s="386"/>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1"/>
      <c r="BR11" s="371"/>
      <c r="BS11" s="371"/>
      <c r="BT11" s="371"/>
      <c r="BU11" s="371"/>
      <c r="BV11" s="371"/>
      <c r="BW11" s="371"/>
      <c r="BX11" s="371"/>
      <c r="BY11" s="371"/>
      <c r="BZ11" s="371"/>
      <c r="CA11" s="371"/>
      <c r="CB11" s="371"/>
      <c r="CC11" s="371"/>
      <c r="CD11" s="371"/>
      <c r="CE11" s="371"/>
      <c r="CF11" s="371"/>
      <c r="CG11" s="371"/>
      <c r="CH11" s="371"/>
      <c r="CI11" s="371"/>
      <c r="CJ11" s="371"/>
      <c r="CK11" s="371"/>
      <c r="CL11" s="371"/>
      <c r="CM11" s="371"/>
      <c r="CN11" s="371"/>
      <c r="CO11" s="371"/>
      <c r="CP11" s="371"/>
      <c r="CQ11" s="371"/>
      <c r="CR11" s="371"/>
      <c r="CS11" s="371"/>
      <c r="CT11" s="371"/>
      <c r="CU11" s="371"/>
      <c r="CV11" s="371"/>
      <c r="CW11" s="371"/>
      <c r="CX11" s="371"/>
      <c r="CY11" s="371"/>
      <c r="CZ11" s="371"/>
      <c r="DA11" s="371"/>
      <c r="DB11" s="371"/>
      <c r="DC11" s="371"/>
      <c r="DD11" s="371"/>
      <c r="DE11" s="371"/>
      <c r="DF11" s="371"/>
      <c r="DG11" s="371"/>
      <c r="DH11" s="371"/>
      <c r="DI11" s="371"/>
      <c r="DJ11" s="371"/>
      <c r="DK11" s="371"/>
      <c r="DL11" s="371"/>
      <c r="DM11" s="371"/>
      <c r="DN11" s="371"/>
      <c r="DO11" s="371"/>
      <c r="DP11" s="371"/>
      <c r="DQ11" s="371"/>
      <c r="DR11" s="371"/>
      <c r="DS11" s="371"/>
      <c r="DT11" s="371"/>
      <c r="DU11" s="371"/>
      <c r="DV11" s="371"/>
      <c r="DW11" s="371"/>
      <c r="DX11" s="371"/>
      <c r="DY11" s="371"/>
      <c r="DZ11" s="371"/>
      <c r="EA11" s="371"/>
      <c r="EB11" s="371"/>
      <c r="EC11" s="371"/>
      <c r="ED11" s="371"/>
      <c r="EE11" s="371"/>
      <c r="EF11" s="371"/>
      <c r="EG11" s="371"/>
      <c r="EH11" s="371"/>
      <c r="EI11" s="371"/>
      <c r="EJ11" s="371"/>
      <c r="EK11" s="371"/>
      <c r="EL11" s="371"/>
      <c r="EM11" s="371"/>
      <c r="EN11" s="371"/>
      <c r="EO11" s="371"/>
      <c r="EP11" s="371"/>
      <c r="EQ11" s="371"/>
      <c r="ER11" s="371"/>
      <c r="ES11" s="371"/>
      <c r="ET11" s="371"/>
      <c r="EU11" s="371"/>
      <c r="EV11" s="371"/>
      <c r="EW11" s="371"/>
      <c r="EX11" s="371"/>
      <c r="EY11" s="371"/>
      <c r="EZ11" s="371"/>
      <c r="FA11" s="371"/>
      <c r="FB11" s="371"/>
      <c r="FC11" s="371"/>
      <c r="FD11" s="371"/>
      <c r="FE11" s="371"/>
      <c r="FF11" s="371"/>
      <c r="FG11" s="371"/>
      <c r="FH11" s="371"/>
      <c r="FI11" s="371"/>
      <c r="FJ11" s="371"/>
      <c r="FK11" s="371"/>
      <c r="FL11" s="371"/>
      <c r="FM11" s="371"/>
      <c r="FN11" s="371"/>
      <c r="FO11" s="371"/>
      <c r="FP11" s="371"/>
      <c r="FQ11" s="371"/>
      <c r="FR11" s="371"/>
      <c r="FS11" s="371"/>
      <c r="FT11" s="371"/>
      <c r="FU11" s="371"/>
      <c r="FV11" s="371"/>
      <c r="FW11" s="371"/>
      <c r="FX11" s="371"/>
      <c r="FY11" s="371"/>
      <c r="FZ11" s="371"/>
      <c r="GA11" s="371"/>
      <c r="GB11" s="371"/>
      <c r="GC11" s="371"/>
      <c r="GD11" s="371"/>
      <c r="GE11" s="371"/>
      <c r="GF11" s="371"/>
      <c r="GG11" s="371"/>
      <c r="GH11" s="371"/>
      <c r="GI11" s="371"/>
      <c r="GJ11" s="371"/>
      <c r="GK11" s="371"/>
      <c r="GL11" s="371"/>
      <c r="GM11" s="371"/>
      <c r="GN11" s="371"/>
      <c r="GO11" s="371"/>
      <c r="GP11" s="371"/>
      <c r="GQ11" s="371"/>
      <c r="GR11" s="371"/>
      <c r="GS11" s="371"/>
      <c r="GT11" s="371"/>
      <c r="GU11" s="371"/>
      <c r="GV11" s="371"/>
      <c r="GW11" s="371"/>
      <c r="GX11" s="371"/>
      <c r="GY11" s="371"/>
      <c r="GZ11" s="371"/>
      <c r="HA11" s="371"/>
      <c r="HB11" s="371"/>
      <c r="HC11" s="371"/>
      <c r="HD11" s="371"/>
      <c r="HE11" s="371"/>
      <c r="HF11" s="371"/>
      <c r="HG11" s="371"/>
      <c r="HH11" s="371"/>
      <c r="HI11" s="371"/>
      <c r="HJ11" s="371"/>
      <c r="HK11" s="371"/>
      <c r="HL11" s="371"/>
      <c r="HM11" s="371"/>
      <c r="HN11" s="371"/>
      <c r="HO11" s="371"/>
      <c r="HP11" s="371"/>
      <c r="HQ11" s="371"/>
      <c r="HR11" s="371"/>
      <c r="HS11" s="371"/>
      <c r="HT11" s="371"/>
      <c r="HU11" s="371"/>
      <c r="HV11" s="371"/>
      <c r="HW11" s="371"/>
      <c r="HX11" s="371"/>
      <c r="HY11" s="371"/>
      <c r="HZ11" s="371"/>
      <c r="IA11" s="371"/>
      <c r="IB11" s="371"/>
      <c r="IC11" s="371"/>
      <c r="ID11" s="371"/>
      <c r="IE11" s="371"/>
      <c r="IF11" s="371"/>
      <c r="IG11" s="371"/>
      <c r="IH11" s="371"/>
      <c r="II11" s="371"/>
      <c r="IJ11" s="371"/>
      <c r="IK11" s="371"/>
      <c r="IL11" s="371"/>
      <c r="IM11" s="371"/>
      <c r="IN11" s="371"/>
      <c r="IO11" s="371"/>
      <c r="IP11" s="371"/>
      <c r="IQ11" s="371"/>
      <c r="IR11" s="371"/>
      <c r="IS11" s="371"/>
      <c r="IT11" s="371"/>
      <c r="IU11" s="371"/>
      <c r="IV11" s="371"/>
    </row>
    <row r="12" spans="1:256" x14ac:dyDescent="0.2">
      <c r="A12" s="365"/>
      <c r="B12" s="388" t="s">
        <v>1317</v>
      </c>
      <c r="C12" s="377"/>
      <c r="D12" s="377"/>
      <c r="E12" s="389"/>
      <c r="F12" s="387"/>
      <c r="G12" s="386"/>
      <c r="H12" s="387"/>
      <c r="I12" s="386"/>
      <c r="J12" s="371"/>
      <c r="K12" s="371"/>
      <c r="L12" s="371"/>
      <c r="M12" s="371"/>
      <c r="N12" s="371"/>
      <c r="O12" s="371"/>
      <c r="P12" s="371"/>
      <c r="Q12" s="371"/>
      <c r="R12" s="371"/>
      <c r="S12" s="371"/>
      <c r="T12" s="371"/>
      <c r="U12" s="371"/>
      <c r="V12" s="371"/>
      <c r="W12" s="371"/>
      <c r="X12" s="371"/>
      <c r="Y12" s="371"/>
      <c r="Z12" s="371"/>
      <c r="AA12" s="371"/>
      <c r="AB12" s="371"/>
      <c r="AC12" s="371"/>
      <c r="AD12" s="371"/>
      <c r="AE12" s="371"/>
      <c r="AF12" s="371"/>
      <c r="AG12" s="371"/>
      <c r="AH12" s="371"/>
      <c r="AI12" s="371"/>
      <c r="AJ12" s="371"/>
      <c r="AK12" s="371"/>
      <c r="AL12" s="371"/>
      <c r="AM12" s="371"/>
      <c r="AN12" s="371"/>
      <c r="AO12" s="371"/>
      <c r="AP12" s="371"/>
      <c r="AQ12" s="371"/>
      <c r="AR12" s="371"/>
      <c r="AS12" s="371"/>
      <c r="AT12" s="371"/>
      <c r="AU12" s="371"/>
      <c r="AV12" s="371"/>
      <c r="AW12" s="371"/>
      <c r="AX12" s="371"/>
      <c r="AY12" s="371"/>
      <c r="AZ12" s="371"/>
      <c r="BA12" s="371"/>
      <c r="BB12" s="371"/>
      <c r="BC12" s="371"/>
      <c r="BD12" s="371"/>
      <c r="BE12" s="371"/>
      <c r="BF12" s="371"/>
      <c r="BG12" s="371"/>
      <c r="BH12" s="371"/>
      <c r="BI12" s="371"/>
      <c r="BJ12" s="371"/>
      <c r="BK12" s="371"/>
      <c r="BL12" s="371"/>
      <c r="BM12" s="371"/>
      <c r="BN12" s="371"/>
      <c r="BO12" s="371"/>
      <c r="BP12" s="371"/>
      <c r="BQ12" s="371"/>
      <c r="BR12" s="371"/>
      <c r="BS12" s="371"/>
      <c r="BT12" s="371"/>
      <c r="BU12" s="371"/>
      <c r="BV12" s="371"/>
      <c r="BW12" s="371"/>
      <c r="BX12" s="371"/>
      <c r="BY12" s="371"/>
      <c r="BZ12" s="371"/>
      <c r="CA12" s="371"/>
      <c r="CB12" s="371"/>
      <c r="CC12" s="371"/>
      <c r="CD12" s="371"/>
      <c r="CE12" s="371"/>
      <c r="CF12" s="371"/>
      <c r="CG12" s="371"/>
      <c r="CH12" s="371"/>
      <c r="CI12" s="371"/>
      <c r="CJ12" s="371"/>
      <c r="CK12" s="371"/>
      <c r="CL12" s="371"/>
      <c r="CM12" s="371"/>
      <c r="CN12" s="371"/>
      <c r="CO12" s="371"/>
      <c r="CP12" s="371"/>
      <c r="CQ12" s="371"/>
      <c r="CR12" s="371"/>
      <c r="CS12" s="371"/>
      <c r="CT12" s="371"/>
      <c r="CU12" s="371"/>
      <c r="CV12" s="371"/>
      <c r="CW12" s="371"/>
      <c r="CX12" s="371"/>
      <c r="CY12" s="371"/>
      <c r="CZ12" s="371"/>
      <c r="DA12" s="371"/>
      <c r="DB12" s="371"/>
      <c r="DC12" s="371"/>
      <c r="DD12" s="371"/>
      <c r="DE12" s="371"/>
      <c r="DF12" s="371"/>
      <c r="DG12" s="371"/>
      <c r="DH12" s="371"/>
      <c r="DI12" s="371"/>
      <c r="DJ12" s="371"/>
      <c r="DK12" s="371"/>
      <c r="DL12" s="371"/>
      <c r="DM12" s="371"/>
      <c r="DN12" s="371"/>
      <c r="DO12" s="371"/>
      <c r="DP12" s="371"/>
      <c r="DQ12" s="371"/>
      <c r="DR12" s="371"/>
      <c r="DS12" s="371"/>
      <c r="DT12" s="371"/>
      <c r="DU12" s="371"/>
      <c r="DV12" s="371"/>
      <c r="DW12" s="371"/>
      <c r="DX12" s="371"/>
      <c r="DY12" s="371"/>
      <c r="DZ12" s="371"/>
      <c r="EA12" s="371"/>
      <c r="EB12" s="371"/>
      <c r="EC12" s="371"/>
      <c r="ED12" s="371"/>
      <c r="EE12" s="371"/>
      <c r="EF12" s="371"/>
      <c r="EG12" s="371"/>
      <c r="EH12" s="371"/>
      <c r="EI12" s="371"/>
      <c r="EJ12" s="371"/>
      <c r="EK12" s="371"/>
      <c r="EL12" s="371"/>
      <c r="EM12" s="371"/>
      <c r="EN12" s="371"/>
      <c r="EO12" s="371"/>
      <c r="EP12" s="371"/>
      <c r="EQ12" s="371"/>
      <c r="ER12" s="371"/>
      <c r="ES12" s="371"/>
      <c r="ET12" s="371"/>
      <c r="EU12" s="371"/>
      <c r="EV12" s="371"/>
      <c r="EW12" s="371"/>
      <c r="EX12" s="371"/>
      <c r="EY12" s="371"/>
      <c r="EZ12" s="371"/>
      <c r="FA12" s="371"/>
      <c r="FB12" s="371"/>
      <c r="FC12" s="371"/>
      <c r="FD12" s="371"/>
      <c r="FE12" s="371"/>
      <c r="FF12" s="371"/>
      <c r="FG12" s="371"/>
      <c r="FH12" s="371"/>
      <c r="FI12" s="371"/>
      <c r="FJ12" s="371"/>
      <c r="FK12" s="371"/>
      <c r="FL12" s="371"/>
      <c r="FM12" s="371"/>
      <c r="FN12" s="371"/>
      <c r="FO12" s="371"/>
      <c r="FP12" s="371"/>
      <c r="FQ12" s="371"/>
      <c r="FR12" s="371"/>
      <c r="FS12" s="371"/>
      <c r="FT12" s="371"/>
      <c r="FU12" s="371"/>
      <c r="FV12" s="371"/>
      <c r="FW12" s="371"/>
      <c r="FX12" s="371"/>
      <c r="FY12" s="371"/>
      <c r="FZ12" s="371"/>
      <c r="GA12" s="371"/>
      <c r="GB12" s="371"/>
      <c r="GC12" s="371"/>
      <c r="GD12" s="371"/>
      <c r="GE12" s="371"/>
      <c r="GF12" s="371"/>
      <c r="GG12" s="371"/>
      <c r="GH12" s="371"/>
      <c r="GI12" s="371"/>
      <c r="GJ12" s="371"/>
      <c r="GK12" s="371"/>
      <c r="GL12" s="371"/>
      <c r="GM12" s="371"/>
      <c r="GN12" s="371"/>
      <c r="GO12" s="371"/>
      <c r="GP12" s="371"/>
      <c r="GQ12" s="371"/>
      <c r="GR12" s="371"/>
      <c r="GS12" s="371"/>
      <c r="GT12" s="371"/>
      <c r="GU12" s="371"/>
      <c r="GV12" s="371"/>
      <c r="GW12" s="371"/>
      <c r="GX12" s="371"/>
      <c r="GY12" s="371"/>
      <c r="GZ12" s="371"/>
      <c r="HA12" s="371"/>
      <c r="HB12" s="371"/>
      <c r="HC12" s="371"/>
      <c r="HD12" s="371"/>
      <c r="HE12" s="371"/>
      <c r="HF12" s="371"/>
      <c r="HG12" s="371"/>
      <c r="HH12" s="371"/>
      <c r="HI12" s="371"/>
      <c r="HJ12" s="371"/>
      <c r="HK12" s="371"/>
      <c r="HL12" s="371"/>
      <c r="HM12" s="371"/>
      <c r="HN12" s="371"/>
      <c r="HO12" s="371"/>
      <c r="HP12" s="371"/>
      <c r="HQ12" s="371"/>
      <c r="HR12" s="371"/>
      <c r="HS12" s="371"/>
      <c r="HT12" s="371"/>
      <c r="HU12" s="371"/>
      <c r="HV12" s="371"/>
      <c r="HW12" s="371"/>
      <c r="HX12" s="371"/>
      <c r="HY12" s="371"/>
      <c r="HZ12" s="371"/>
      <c r="IA12" s="371"/>
      <c r="IB12" s="371"/>
      <c r="IC12" s="371"/>
      <c r="ID12" s="371"/>
      <c r="IE12" s="371"/>
      <c r="IF12" s="371"/>
      <c r="IG12" s="371"/>
      <c r="IH12" s="371"/>
      <c r="II12" s="371"/>
      <c r="IJ12" s="371"/>
      <c r="IK12" s="371"/>
      <c r="IL12" s="371"/>
      <c r="IM12" s="371"/>
      <c r="IN12" s="371"/>
      <c r="IO12" s="371"/>
      <c r="IP12" s="371"/>
      <c r="IQ12" s="371"/>
      <c r="IR12" s="371"/>
      <c r="IS12" s="371"/>
      <c r="IT12" s="371"/>
      <c r="IU12" s="371"/>
      <c r="IV12" s="371"/>
    </row>
    <row r="13" spans="1:256" x14ac:dyDescent="0.2">
      <c r="A13" s="365"/>
      <c r="B13" s="390" t="s">
        <v>15</v>
      </c>
      <c r="C13" s="368"/>
      <c r="D13" s="368"/>
      <c r="E13" s="372"/>
      <c r="F13" s="368"/>
      <c r="G13" s="390"/>
      <c r="H13" s="370"/>
      <c r="I13" s="370"/>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371"/>
      <c r="AN13" s="371"/>
      <c r="AO13" s="371"/>
      <c r="AP13" s="371"/>
      <c r="AQ13" s="371"/>
      <c r="AR13" s="371"/>
      <c r="AS13" s="371"/>
      <c r="AT13" s="371"/>
      <c r="AU13" s="371"/>
      <c r="AV13" s="371"/>
      <c r="AW13" s="371"/>
      <c r="AX13" s="371"/>
      <c r="AY13" s="371"/>
      <c r="AZ13" s="371"/>
      <c r="BA13" s="371"/>
      <c r="BB13" s="371"/>
      <c r="BC13" s="371"/>
      <c r="BD13" s="371"/>
      <c r="BE13" s="371"/>
      <c r="BF13" s="371"/>
      <c r="BG13" s="371"/>
      <c r="BH13" s="371"/>
      <c r="BI13" s="371"/>
      <c r="BJ13" s="371"/>
      <c r="BK13" s="371"/>
      <c r="BL13" s="371"/>
      <c r="BM13" s="371"/>
      <c r="BN13" s="371"/>
      <c r="BO13" s="371"/>
      <c r="BP13" s="371"/>
      <c r="BQ13" s="371"/>
      <c r="BR13" s="371"/>
      <c r="BS13" s="371"/>
      <c r="BT13" s="371"/>
      <c r="BU13" s="371"/>
      <c r="BV13" s="371"/>
      <c r="BW13" s="371"/>
      <c r="BX13" s="371"/>
      <c r="BY13" s="371"/>
      <c r="BZ13" s="371"/>
      <c r="CA13" s="371"/>
      <c r="CB13" s="371"/>
      <c r="CC13" s="371"/>
      <c r="CD13" s="371"/>
      <c r="CE13" s="371"/>
      <c r="CF13" s="371"/>
      <c r="CG13" s="371"/>
      <c r="CH13" s="371"/>
      <c r="CI13" s="371"/>
      <c r="CJ13" s="371"/>
      <c r="CK13" s="371"/>
      <c r="CL13" s="371"/>
      <c r="CM13" s="371"/>
      <c r="CN13" s="371"/>
      <c r="CO13" s="371"/>
      <c r="CP13" s="371"/>
      <c r="CQ13" s="371"/>
      <c r="CR13" s="371"/>
      <c r="CS13" s="371"/>
      <c r="CT13" s="371"/>
      <c r="CU13" s="371"/>
      <c r="CV13" s="371"/>
      <c r="CW13" s="371"/>
      <c r="CX13" s="371"/>
      <c r="CY13" s="371"/>
      <c r="CZ13" s="371"/>
      <c r="DA13" s="371"/>
      <c r="DB13" s="371"/>
      <c r="DC13" s="371"/>
      <c r="DD13" s="371"/>
      <c r="DE13" s="371"/>
      <c r="DF13" s="371"/>
      <c r="DG13" s="371"/>
      <c r="DH13" s="371"/>
      <c r="DI13" s="371"/>
      <c r="DJ13" s="371"/>
      <c r="DK13" s="371"/>
      <c r="DL13" s="371"/>
      <c r="DM13" s="371"/>
      <c r="DN13" s="371"/>
      <c r="DO13" s="371"/>
      <c r="DP13" s="371"/>
      <c r="DQ13" s="371"/>
      <c r="DR13" s="371"/>
      <c r="DS13" s="371"/>
      <c r="DT13" s="371"/>
      <c r="DU13" s="371"/>
      <c r="DV13" s="371"/>
      <c r="DW13" s="371"/>
      <c r="DX13" s="371"/>
      <c r="DY13" s="371"/>
      <c r="DZ13" s="371"/>
      <c r="EA13" s="371"/>
      <c r="EB13" s="371"/>
      <c r="EC13" s="371"/>
      <c r="ED13" s="371"/>
      <c r="EE13" s="371"/>
      <c r="EF13" s="371"/>
      <c r="EG13" s="371"/>
      <c r="EH13" s="371"/>
      <c r="EI13" s="371"/>
      <c r="EJ13" s="371"/>
      <c r="EK13" s="371"/>
      <c r="EL13" s="371"/>
      <c r="EM13" s="371"/>
      <c r="EN13" s="371"/>
      <c r="EO13" s="371"/>
      <c r="EP13" s="371"/>
      <c r="EQ13" s="371"/>
      <c r="ER13" s="371"/>
      <c r="ES13" s="371"/>
      <c r="ET13" s="371"/>
      <c r="EU13" s="371"/>
      <c r="EV13" s="371"/>
      <c r="EW13" s="371"/>
      <c r="EX13" s="371"/>
      <c r="EY13" s="371"/>
      <c r="EZ13" s="371"/>
      <c r="FA13" s="371"/>
      <c r="FB13" s="371"/>
      <c r="FC13" s="371"/>
      <c r="FD13" s="371"/>
      <c r="FE13" s="371"/>
      <c r="FF13" s="371"/>
      <c r="FG13" s="371"/>
      <c r="FH13" s="371"/>
      <c r="FI13" s="371"/>
      <c r="FJ13" s="371"/>
      <c r="FK13" s="371"/>
      <c r="FL13" s="371"/>
      <c r="FM13" s="371"/>
      <c r="FN13" s="371"/>
      <c r="FO13" s="371"/>
      <c r="FP13" s="371"/>
      <c r="FQ13" s="371"/>
      <c r="FR13" s="371"/>
      <c r="FS13" s="371"/>
      <c r="FT13" s="371"/>
      <c r="FU13" s="371"/>
      <c r="FV13" s="371"/>
      <c r="FW13" s="371"/>
      <c r="FX13" s="371"/>
      <c r="FY13" s="371"/>
      <c r="FZ13" s="371"/>
      <c r="GA13" s="371"/>
      <c r="GB13" s="371"/>
      <c r="GC13" s="371"/>
      <c r="GD13" s="371"/>
      <c r="GE13" s="371"/>
      <c r="GF13" s="371"/>
      <c r="GG13" s="371"/>
      <c r="GH13" s="371"/>
      <c r="GI13" s="371"/>
      <c r="GJ13" s="371"/>
      <c r="GK13" s="371"/>
      <c r="GL13" s="371"/>
      <c r="GM13" s="371"/>
      <c r="GN13" s="371"/>
      <c r="GO13" s="371"/>
      <c r="GP13" s="371"/>
      <c r="GQ13" s="371"/>
      <c r="GR13" s="371"/>
      <c r="GS13" s="371"/>
      <c r="GT13" s="371"/>
      <c r="GU13" s="371"/>
      <c r="GV13" s="371"/>
      <c r="GW13" s="371"/>
      <c r="GX13" s="371"/>
      <c r="GY13" s="371"/>
      <c r="GZ13" s="371"/>
      <c r="HA13" s="371"/>
      <c r="HB13" s="371"/>
      <c r="HC13" s="371"/>
      <c r="HD13" s="371"/>
      <c r="HE13" s="371"/>
      <c r="HF13" s="371"/>
      <c r="HG13" s="371"/>
      <c r="HH13" s="371"/>
      <c r="HI13" s="371"/>
      <c r="HJ13" s="371"/>
      <c r="HK13" s="371"/>
      <c r="HL13" s="371"/>
      <c r="HM13" s="371"/>
      <c r="HN13" s="371"/>
      <c r="HO13" s="371"/>
      <c r="HP13" s="371"/>
      <c r="HQ13" s="371"/>
      <c r="HR13" s="371"/>
      <c r="HS13" s="371"/>
      <c r="HT13" s="371"/>
      <c r="HU13" s="371"/>
      <c r="HV13" s="371"/>
      <c r="HW13" s="371"/>
      <c r="HX13" s="371"/>
      <c r="HY13" s="371"/>
      <c r="HZ13" s="371"/>
      <c r="IA13" s="371"/>
      <c r="IB13" s="371"/>
      <c r="IC13" s="371"/>
      <c r="ID13" s="371"/>
      <c r="IE13" s="371"/>
      <c r="IF13" s="371"/>
      <c r="IG13" s="371"/>
      <c r="IH13" s="371"/>
      <c r="II13" s="371"/>
      <c r="IJ13" s="371"/>
      <c r="IK13" s="371"/>
      <c r="IL13" s="371"/>
      <c r="IM13" s="371"/>
      <c r="IN13" s="371"/>
      <c r="IO13" s="371"/>
      <c r="IP13" s="371"/>
      <c r="IQ13" s="371"/>
      <c r="IR13" s="371"/>
      <c r="IS13" s="371"/>
      <c r="IT13" s="371"/>
      <c r="IU13" s="371"/>
      <c r="IV13" s="371"/>
    </row>
    <row r="14" spans="1:256" ht="70.5" customHeight="1" x14ac:dyDescent="0.2">
      <c r="A14" s="391" t="s">
        <v>1318</v>
      </c>
      <c r="B14" s="392" t="s">
        <v>1319</v>
      </c>
      <c r="C14" s="392" t="s">
        <v>1320</v>
      </c>
      <c r="D14" s="392" t="s">
        <v>1321</v>
      </c>
      <c r="E14" s="393" t="s">
        <v>13</v>
      </c>
      <c r="F14" s="394"/>
      <c r="G14" s="394"/>
      <c r="H14" s="394"/>
      <c r="I14" s="394"/>
      <c r="J14" s="394"/>
      <c r="K14" s="394"/>
      <c r="L14" s="394"/>
      <c r="M14" s="394"/>
      <c r="N14" s="394"/>
      <c r="O14" s="394"/>
      <c r="P14" s="394"/>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4"/>
      <c r="AX14" s="394"/>
      <c r="AY14" s="394"/>
      <c r="AZ14" s="394"/>
      <c r="BA14" s="394"/>
      <c r="BB14" s="394"/>
      <c r="BC14" s="394"/>
      <c r="BD14" s="394"/>
      <c r="BE14" s="394"/>
      <c r="BF14" s="394"/>
      <c r="BG14" s="394"/>
      <c r="BH14" s="394"/>
      <c r="BI14" s="394"/>
      <c r="BJ14" s="394"/>
      <c r="BK14" s="394"/>
      <c r="BL14" s="394"/>
      <c r="BM14" s="394"/>
      <c r="BN14" s="394"/>
      <c r="BO14" s="394"/>
      <c r="BP14" s="394"/>
      <c r="BQ14" s="394"/>
      <c r="BR14" s="394"/>
      <c r="BS14" s="394"/>
      <c r="BT14" s="394"/>
      <c r="BU14" s="394"/>
      <c r="BV14" s="394"/>
      <c r="BW14" s="394"/>
      <c r="BX14" s="394"/>
      <c r="BY14" s="394"/>
      <c r="BZ14" s="394"/>
      <c r="CA14" s="394"/>
      <c r="CB14" s="394"/>
      <c r="CC14" s="394"/>
      <c r="CD14" s="394"/>
      <c r="CE14" s="394"/>
      <c r="CF14" s="394"/>
      <c r="CG14" s="394"/>
      <c r="CH14" s="394"/>
      <c r="CI14" s="394"/>
      <c r="CJ14" s="394"/>
      <c r="CK14" s="394"/>
      <c r="CL14" s="394"/>
      <c r="CM14" s="394"/>
      <c r="CN14" s="394"/>
      <c r="CO14" s="394"/>
      <c r="CP14" s="394"/>
      <c r="CQ14" s="394"/>
      <c r="CR14" s="394"/>
      <c r="CS14" s="394"/>
      <c r="CT14" s="394"/>
      <c r="CU14" s="394"/>
      <c r="CV14" s="394"/>
      <c r="CW14" s="394"/>
      <c r="CX14" s="394"/>
      <c r="CY14" s="394"/>
      <c r="CZ14" s="394"/>
      <c r="DA14" s="394"/>
      <c r="DB14" s="394"/>
      <c r="DC14" s="394"/>
      <c r="DD14" s="394"/>
      <c r="DE14" s="394"/>
      <c r="DF14" s="394"/>
      <c r="DG14" s="394"/>
      <c r="DH14" s="394"/>
      <c r="DI14" s="394"/>
      <c r="DJ14" s="394"/>
      <c r="DK14" s="394"/>
      <c r="DL14" s="394"/>
      <c r="DM14" s="394"/>
      <c r="DN14" s="394"/>
      <c r="DO14" s="394"/>
      <c r="DP14" s="394"/>
      <c r="DQ14" s="394"/>
      <c r="DR14" s="394"/>
      <c r="DS14" s="394"/>
      <c r="DT14" s="394"/>
      <c r="DU14" s="394"/>
      <c r="DV14" s="394"/>
      <c r="DW14" s="394"/>
      <c r="DX14" s="394"/>
      <c r="DY14" s="394"/>
      <c r="DZ14" s="394"/>
      <c r="EA14" s="394"/>
      <c r="EB14" s="394"/>
      <c r="EC14" s="394"/>
      <c r="ED14" s="394"/>
      <c r="EE14" s="394"/>
      <c r="EF14" s="394"/>
      <c r="EG14" s="394"/>
      <c r="EH14" s="394"/>
      <c r="EI14" s="394"/>
      <c r="EJ14" s="394"/>
      <c r="EK14" s="394"/>
      <c r="EL14" s="394"/>
      <c r="EM14" s="394"/>
      <c r="EN14" s="394"/>
      <c r="EO14" s="394"/>
      <c r="EP14" s="394"/>
      <c r="EQ14" s="394"/>
      <c r="ER14" s="394"/>
      <c r="ES14" s="394"/>
      <c r="ET14" s="394"/>
      <c r="EU14" s="394"/>
      <c r="EV14" s="394"/>
      <c r="EW14" s="394"/>
      <c r="EX14" s="394"/>
      <c r="EY14" s="394"/>
      <c r="EZ14" s="394"/>
      <c r="FA14" s="394"/>
      <c r="FB14" s="394"/>
      <c r="FC14" s="394"/>
      <c r="FD14" s="394"/>
      <c r="FE14" s="394"/>
      <c r="FF14" s="394"/>
      <c r="FG14" s="394"/>
      <c r="FH14" s="394"/>
      <c r="FI14" s="394"/>
      <c r="FJ14" s="394"/>
      <c r="FK14" s="394"/>
      <c r="FL14" s="394"/>
      <c r="FM14" s="394"/>
      <c r="FN14" s="394"/>
      <c r="FO14" s="394"/>
      <c r="FP14" s="394"/>
      <c r="FQ14" s="394"/>
      <c r="FR14" s="394"/>
      <c r="FS14" s="394"/>
      <c r="FT14" s="394"/>
      <c r="FU14" s="394"/>
      <c r="FV14" s="394"/>
      <c r="FW14" s="394"/>
      <c r="FX14" s="394"/>
      <c r="FY14" s="394"/>
      <c r="FZ14" s="394"/>
      <c r="GA14" s="394"/>
      <c r="GB14" s="394"/>
      <c r="GC14" s="394"/>
      <c r="GD14" s="394"/>
      <c r="GE14" s="394"/>
      <c r="GF14" s="394"/>
      <c r="GG14" s="394"/>
      <c r="GH14" s="394"/>
      <c r="GI14" s="394"/>
      <c r="GJ14" s="394"/>
      <c r="GK14" s="394"/>
      <c r="GL14" s="394"/>
      <c r="GM14" s="394"/>
      <c r="GN14" s="394"/>
      <c r="GO14" s="394"/>
      <c r="GP14" s="394"/>
      <c r="GQ14" s="394"/>
      <c r="GR14" s="394"/>
      <c r="GS14" s="394"/>
      <c r="GT14" s="394"/>
      <c r="GU14" s="394"/>
      <c r="GV14" s="394"/>
      <c r="GW14" s="394"/>
      <c r="GX14" s="394"/>
      <c r="GY14" s="394"/>
      <c r="GZ14" s="394"/>
      <c r="HA14" s="394"/>
      <c r="HB14" s="394"/>
      <c r="HC14" s="394"/>
      <c r="HD14" s="394"/>
      <c r="HE14" s="394"/>
      <c r="HF14" s="394"/>
      <c r="HG14" s="394"/>
      <c r="HH14" s="394"/>
      <c r="HI14" s="394"/>
      <c r="HJ14" s="394"/>
      <c r="HK14" s="394"/>
      <c r="HL14" s="394"/>
      <c r="HM14" s="394"/>
      <c r="HN14" s="394"/>
      <c r="HO14" s="394"/>
      <c r="HP14" s="394"/>
      <c r="HQ14" s="394"/>
      <c r="HR14" s="394"/>
      <c r="HS14" s="394"/>
      <c r="HT14" s="394"/>
      <c r="HU14" s="394"/>
      <c r="HV14" s="394"/>
      <c r="HW14" s="394"/>
      <c r="HX14" s="394"/>
      <c r="HY14" s="394"/>
      <c r="HZ14" s="394"/>
      <c r="IA14" s="394"/>
      <c r="IB14" s="394"/>
      <c r="IC14" s="394"/>
      <c r="ID14" s="394"/>
      <c r="IE14" s="394"/>
      <c r="IF14" s="394"/>
      <c r="IG14" s="394"/>
      <c r="IH14" s="394"/>
      <c r="II14" s="394"/>
      <c r="IJ14" s="394"/>
      <c r="IK14" s="394"/>
      <c r="IL14" s="394"/>
      <c r="IM14" s="394"/>
      <c r="IN14" s="394"/>
      <c r="IO14" s="394"/>
      <c r="IP14" s="394"/>
      <c r="IQ14" s="394"/>
      <c r="IR14" s="394"/>
      <c r="IS14" s="394"/>
      <c r="IT14" s="394"/>
      <c r="IU14" s="394"/>
      <c r="IV14" s="394"/>
    </row>
    <row r="15" spans="1:256" x14ac:dyDescent="0.2">
      <c r="A15" s="395">
        <v>1</v>
      </c>
      <c r="B15" s="395">
        <v>2</v>
      </c>
      <c r="C15" s="395">
        <v>3</v>
      </c>
      <c r="D15" s="395">
        <v>4</v>
      </c>
      <c r="E15" s="450">
        <v>5</v>
      </c>
      <c r="F15" s="394"/>
      <c r="G15" s="394"/>
      <c r="H15" s="394"/>
      <c r="I15" s="394"/>
      <c r="J15" s="394"/>
      <c r="K15" s="394"/>
      <c r="L15" s="394"/>
      <c r="M15" s="394"/>
      <c r="N15" s="394"/>
      <c r="O15" s="394"/>
      <c r="P15" s="394"/>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4"/>
      <c r="BK15" s="394"/>
      <c r="BL15" s="394"/>
      <c r="BM15" s="394"/>
      <c r="BN15" s="394"/>
      <c r="BO15" s="394"/>
      <c r="BP15" s="394"/>
      <c r="BQ15" s="394"/>
      <c r="BR15" s="394"/>
      <c r="BS15" s="394"/>
      <c r="BT15" s="394"/>
      <c r="BU15" s="394"/>
      <c r="BV15" s="394"/>
      <c r="BW15" s="394"/>
      <c r="BX15" s="394"/>
      <c r="BY15" s="394"/>
      <c r="BZ15" s="394"/>
      <c r="CA15" s="394"/>
      <c r="CB15" s="394"/>
      <c r="CC15" s="394"/>
      <c r="CD15" s="394"/>
      <c r="CE15" s="394"/>
      <c r="CF15" s="394"/>
      <c r="CG15" s="394"/>
      <c r="CH15" s="394"/>
      <c r="CI15" s="394"/>
      <c r="CJ15" s="394"/>
      <c r="CK15" s="394"/>
      <c r="CL15" s="394"/>
      <c r="CM15" s="394"/>
      <c r="CN15" s="394"/>
      <c r="CO15" s="394"/>
      <c r="CP15" s="394"/>
      <c r="CQ15" s="394"/>
      <c r="CR15" s="394"/>
      <c r="CS15" s="394"/>
      <c r="CT15" s="394"/>
      <c r="CU15" s="394"/>
      <c r="CV15" s="394"/>
      <c r="CW15" s="394"/>
      <c r="CX15" s="394"/>
      <c r="CY15" s="394"/>
      <c r="CZ15" s="394"/>
      <c r="DA15" s="394"/>
      <c r="DB15" s="394"/>
      <c r="DC15" s="394"/>
      <c r="DD15" s="394"/>
      <c r="DE15" s="394"/>
      <c r="DF15" s="394"/>
      <c r="DG15" s="394"/>
      <c r="DH15" s="394"/>
      <c r="DI15" s="394"/>
      <c r="DJ15" s="394"/>
      <c r="DK15" s="394"/>
      <c r="DL15" s="394"/>
      <c r="DM15" s="394"/>
      <c r="DN15" s="394"/>
      <c r="DO15" s="394"/>
      <c r="DP15" s="394"/>
      <c r="DQ15" s="394"/>
      <c r="DR15" s="394"/>
      <c r="DS15" s="394"/>
      <c r="DT15" s="394"/>
      <c r="DU15" s="394"/>
      <c r="DV15" s="394"/>
      <c r="DW15" s="394"/>
      <c r="DX15" s="394"/>
      <c r="DY15" s="394"/>
      <c r="DZ15" s="394"/>
      <c r="EA15" s="394"/>
      <c r="EB15" s="394"/>
      <c r="EC15" s="394"/>
      <c r="ED15" s="394"/>
      <c r="EE15" s="394"/>
      <c r="EF15" s="394"/>
      <c r="EG15" s="394"/>
      <c r="EH15" s="394"/>
      <c r="EI15" s="394"/>
      <c r="EJ15" s="394"/>
      <c r="EK15" s="394"/>
      <c r="EL15" s="394"/>
      <c r="EM15" s="394"/>
      <c r="EN15" s="394"/>
      <c r="EO15" s="394"/>
      <c r="EP15" s="394"/>
      <c r="EQ15" s="394"/>
      <c r="ER15" s="394"/>
      <c r="ES15" s="394"/>
      <c r="ET15" s="394"/>
      <c r="EU15" s="394"/>
      <c r="EV15" s="394"/>
      <c r="EW15" s="394"/>
      <c r="EX15" s="394"/>
      <c r="EY15" s="394"/>
      <c r="EZ15" s="394"/>
      <c r="FA15" s="394"/>
      <c r="FB15" s="394"/>
      <c r="FC15" s="394"/>
      <c r="FD15" s="394"/>
      <c r="FE15" s="394"/>
      <c r="FF15" s="394"/>
      <c r="FG15" s="394"/>
      <c r="FH15" s="394"/>
      <c r="FI15" s="394"/>
      <c r="FJ15" s="394"/>
      <c r="FK15" s="394"/>
      <c r="FL15" s="394"/>
      <c r="FM15" s="394"/>
      <c r="FN15" s="394"/>
      <c r="FO15" s="394"/>
      <c r="FP15" s="394"/>
      <c r="FQ15" s="394"/>
      <c r="FR15" s="394"/>
      <c r="FS15" s="394"/>
      <c r="FT15" s="394"/>
      <c r="FU15" s="394"/>
      <c r="FV15" s="394"/>
      <c r="FW15" s="394"/>
      <c r="FX15" s="394"/>
      <c r="FY15" s="394"/>
      <c r="FZ15" s="394"/>
      <c r="GA15" s="394"/>
      <c r="GB15" s="394"/>
      <c r="GC15" s="394"/>
      <c r="GD15" s="394"/>
      <c r="GE15" s="394"/>
      <c r="GF15" s="394"/>
      <c r="GG15" s="394"/>
      <c r="GH15" s="394"/>
      <c r="GI15" s="394"/>
      <c r="GJ15" s="394"/>
      <c r="GK15" s="394"/>
      <c r="GL15" s="394"/>
      <c r="GM15" s="394"/>
      <c r="GN15" s="394"/>
      <c r="GO15" s="394"/>
      <c r="GP15" s="394"/>
      <c r="GQ15" s="394"/>
      <c r="GR15" s="394"/>
      <c r="GS15" s="394"/>
      <c r="GT15" s="394"/>
      <c r="GU15" s="394"/>
      <c r="GV15" s="394"/>
      <c r="GW15" s="394"/>
      <c r="GX15" s="394"/>
      <c r="GY15" s="394"/>
      <c r="GZ15" s="394"/>
      <c r="HA15" s="394"/>
      <c r="HB15" s="394"/>
      <c r="HC15" s="394"/>
      <c r="HD15" s="394"/>
      <c r="HE15" s="394"/>
      <c r="HF15" s="394"/>
      <c r="HG15" s="394"/>
      <c r="HH15" s="394"/>
      <c r="HI15" s="394"/>
      <c r="HJ15" s="394"/>
      <c r="HK15" s="394"/>
      <c r="HL15" s="394"/>
      <c r="HM15" s="394"/>
      <c r="HN15" s="394"/>
      <c r="HO15" s="394"/>
      <c r="HP15" s="394"/>
      <c r="HQ15" s="394"/>
      <c r="HR15" s="394"/>
      <c r="HS15" s="394"/>
      <c r="HT15" s="394"/>
      <c r="HU15" s="394"/>
      <c r="HV15" s="394"/>
      <c r="HW15" s="394"/>
      <c r="HX15" s="394"/>
      <c r="HY15" s="394"/>
      <c r="HZ15" s="394"/>
      <c r="IA15" s="394"/>
      <c r="IB15" s="394"/>
      <c r="IC15" s="394"/>
      <c r="ID15" s="394"/>
      <c r="IE15" s="394"/>
      <c r="IF15" s="394"/>
      <c r="IG15" s="394"/>
      <c r="IH15" s="394"/>
      <c r="II15" s="394"/>
      <c r="IJ15" s="394"/>
      <c r="IK15" s="394"/>
      <c r="IL15" s="394"/>
      <c r="IM15" s="394"/>
      <c r="IN15" s="394"/>
      <c r="IO15" s="394"/>
      <c r="IP15" s="394"/>
      <c r="IQ15" s="394"/>
      <c r="IR15" s="394"/>
      <c r="IS15" s="394"/>
      <c r="IT15" s="394"/>
      <c r="IU15" s="394"/>
      <c r="IV15" s="394"/>
    </row>
    <row r="16" spans="1:256" ht="2.25" customHeight="1" x14ac:dyDescent="0.2">
      <c r="A16" s="396"/>
      <c r="B16" s="396"/>
      <c r="C16" s="397"/>
      <c r="D16" s="397"/>
      <c r="E16" s="398"/>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4"/>
      <c r="BK16" s="394"/>
      <c r="BL16" s="394"/>
      <c r="BM16" s="394"/>
      <c r="BN16" s="394"/>
      <c r="BO16" s="394"/>
      <c r="BP16" s="394"/>
      <c r="BQ16" s="394"/>
      <c r="BR16" s="394"/>
      <c r="BS16" s="394"/>
      <c r="BT16" s="394"/>
      <c r="BU16" s="394"/>
      <c r="BV16" s="394"/>
      <c r="BW16" s="394"/>
      <c r="BX16" s="394"/>
      <c r="BY16" s="394"/>
      <c r="BZ16" s="394"/>
      <c r="CA16" s="394"/>
      <c r="CB16" s="394"/>
      <c r="CC16" s="394"/>
      <c r="CD16" s="394"/>
      <c r="CE16" s="394"/>
      <c r="CF16" s="394"/>
      <c r="CG16" s="394"/>
      <c r="CH16" s="394"/>
      <c r="CI16" s="394"/>
      <c r="CJ16" s="394"/>
      <c r="CK16" s="394"/>
      <c r="CL16" s="394"/>
      <c r="CM16" s="394"/>
      <c r="CN16" s="394"/>
      <c r="CO16" s="394"/>
      <c r="CP16" s="394"/>
      <c r="CQ16" s="394"/>
      <c r="CR16" s="394"/>
      <c r="CS16" s="394"/>
      <c r="CT16" s="394"/>
      <c r="CU16" s="394"/>
      <c r="CV16" s="394"/>
      <c r="CW16" s="394"/>
      <c r="CX16" s="394"/>
      <c r="CY16" s="394"/>
      <c r="CZ16" s="394"/>
      <c r="DA16" s="394"/>
      <c r="DB16" s="394"/>
      <c r="DC16" s="394"/>
      <c r="DD16" s="394"/>
      <c r="DE16" s="394"/>
      <c r="DF16" s="394"/>
      <c r="DG16" s="394"/>
      <c r="DH16" s="394"/>
      <c r="DI16" s="394"/>
      <c r="DJ16" s="394"/>
      <c r="DK16" s="394"/>
      <c r="DL16" s="394"/>
      <c r="DM16" s="394"/>
      <c r="DN16" s="394"/>
      <c r="DO16" s="394"/>
      <c r="DP16" s="394"/>
      <c r="DQ16" s="394"/>
      <c r="DR16" s="394"/>
      <c r="DS16" s="394"/>
      <c r="DT16" s="394"/>
      <c r="DU16" s="394"/>
      <c r="DV16" s="394"/>
      <c r="DW16" s="394"/>
      <c r="DX16" s="394"/>
      <c r="DY16" s="394"/>
      <c r="DZ16" s="394"/>
      <c r="EA16" s="394"/>
      <c r="EB16" s="394"/>
      <c r="EC16" s="394"/>
      <c r="ED16" s="394"/>
      <c r="EE16" s="394"/>
      <c r="EF16" s="394"/>
      <c r="EG16" s="394"/>
      <c r="EH16" s="394"/>
      <c r="EI16" s="394"/>
      <c r="EJ16" s="394"/>
      <c r="EK16" s="394"/>
      <c r="EL16" s="394"/>
      <c r="EM16" s="394"/>
      <c r="EN16" s="394"/>
      <c r="EO16" s="394"/>
      <c r="EP16" s="394"/>
      <c r="EQ16" s="394"/>
      <c r="ER16" s="394"/>
      <c r="ES16" s="394"/>
      <c r="ET16" s="394"/>
      <c r="EU16" s="394"/>
      <c r="EV16" s="394"/>
      <c r="EW16" s="394"/>
      <c r="EX16" s="394"/>
      <c r="EY16" s="394"/>
      <c r="EZ16" s="394"/>
      <c r="FA16" s="394"/>
      <c r="FB16" s="394"/>
      <c r="FC16" s="394"/>
      <c r="FD16" s="394"/>
      <c r="FE16" s="394"/>
      <c r="FF16" s="394"/>
      <c r="FG16" s="394"/>
      <c r="FH16" s="394"/>
      <c r="FI16" s="394"/>
      <c r="FJ16" s="394"/>
      <c r="FK16" s="394"/>
      <c r="FL16" s="394"/>
      <c r="FM16" s="394"/>
      <c r="FN16" s="394"/>
      <c r="FO16" s="394"/>
      <c r="FP16" s="394"/>
      <c r="FQ16" s="394"/>
      <c r="FR16" s="394"/>
      <c r="FS16" s="394"/>
      <c r="FT16" s="394"/>
      <c r="FU16" s="394"/>
      <c r="FV16" s="394"/>
      <c r="FW16" s="394"/>
      <c r="FX16" s="394"/>
      <c r="FY16" s="394"/>
      <c r="FZ16" s="394"/>
      <c r="GA16" s="394"/>
      <c r="GB16" s="394"/>
      <c r="GC16" s="394"/>
      <c r="GD16" s="394"/>
      <c r="GE16" s="394"/>
      <c r="GF16" s="394"/>
      <c r="GG16" s="394"/>
      <c r="GH16" s="394"/>
      <c r="GI16" s="394"/>
      <c r="GJ16" s="394"/>
      <c r="GK16" s="394"/>
      <c r="GL16" s="394"/>
      <c r="GM16" s="394"/>
      <c r="GN16" s="394"/>
      <c r="GO16" s="394"/>
      <c r="GP16" s="394"/>
      <c r="GQ16" s="394"/>
      <c r="GR16" s="394"/>
      <c r="GS16" s="394"/>
      <c r="GT16" s="394"/>
      <c r="GU16" s="394"/>
      <c r="GV16" s="394"/>
      <c r="GW16" s="394"/>
      <c r="GX16" s="394"/>
      <c r="GY16" s="394"/>
      <c r="GZ16" s="394"/>
      <c r="HA16" s="394"/>
      <c r="HB16" s="394"/>
      <c r="HC16" s="394"/>
      <c r="HD16" s="394"/>
      <c r="HE16" s="394"/>
      <c r="HF16" s="394"/>
      <c r="HG16" s="394"/>
      <c r="HH16" s="394"/>
      <c r="HI16" s="394"/>
      <c r="HJ16" s="394"/>
      <c r="HK16" s="394"/>
      <c r="HL16" s="394"/>
      <c r="HM16" s="394"/>
      <c r="HN16" s="394"/>
      <c r="HO16" s="394"/>
      <c r="HP16" s="394"/>
      <c r="HQ16" s="394"/>
      <c r="HR16" s="394"/>
      <c r="HS16" s="394"/>
      <c r="HT16" s="394"/>
      <c r="HU16" s="394"/>
      <c r="HV16" s="394"/>
      <c r="HW16" s="394"/>
      <c r="HX16" s="394"/>
      <c r="HY16" s="394"/>
      <c r="HZ16" s="394"/>
      <c r="IA16" s="394"/>
      <c r="IB16" s="394"/>
      <c r="IC16" s="394"/>
      <c r="ID16" s="394"/>
      <c r="IE16" s="394"/>
      <c r="IF16" s="394"/>
      <c r="IG16" s="394"/>
      <c r="IH16" s="394"/>
      <c r="II16" s="394"/>
      <c r="IJ16" s="394"/>
      <c r="IK16" s="394"/>
      <c r="IL16" s="394"/>
      <c r="IM16" s="394"/>
      <c r="IN16" s="394"/>
      <c r="IO16" s="394"/>
      <c r="IP16" s="394"/>
      <c r="IQ16" s="394"/>
      <c r="IR16" s="394"/>
      <c r="IS16" s="394"/>
      <c r="IT16" s="394"/>
      <c r="IU16" s="394"/>
      <c r="IV16" s="399"/>
    </row>
    <row r="17" spans="1:5" x14ac:dyDescent="0.2">
      <c r="A17" s="790" t="s">
        <v>761</v>
      </c>
      <c r="B17" s="791"/>
      <c r="C17" s="791"/>
      <c r="D17" s="791"/>
      <c r="E17" s="792"/>
    </row>
    <row r="18" spans="1:5" x14ac:dyDescent="0.2">
      <c r="A18" s="790" t="s">
        <v>1913</v>
      </c>
      <c r="B18" s="791"/>
      <c r="C18" s="791"/>
      <c r="D18" s="791"/>
      <c r="E18" s="792"/>
    </row>
    <row r="19" spans="1:5" ht="63.75" x14ac:dyDescent="0.2">
      <c r="A19" s="778">
        <v>1</v>
      </c>
      <c r="B19" s="781" t="s">
        <v>1914</v>
      </c>
      <c r="C19" s="401" t="s">
        <v>1915</v>
      </c>
      <c r="D19" s="778" t="s">
        <v>1916</v>
      </c>
      <c r="E19" s="784">
        <v>153351</v>
      </c>
    </row>
    <row r="20" spans="1:5" x14ac:dyDescent="0.2">
      <c r="A20" s="779"/>
      <c r="B20" s="782"/>
      <c r="C20" s="401" t="s">
        <v>1895</v>
      </c>
      <c r="D20" s="779"/>
      <c r="E20" s="785"/>
    </row>
    <row r="21" spans="1:5" x14ac:dyDescent="0.2">
      <c r="A21" s="780"/>
      <c r="B21" s="783"/>
      <c r="C21" s="405" t="s">
        <v>1917</v>
      </c>
      <c r="D21" s="780"/>
      <c r="E21" s="786"/>
    </row>
    <row r="22" spans="1:5" ht="63.75" x14ac:dyDescent="0.2">
      <c r="A22" s="778">
        <v>2</v>
      </c>
      <c r="B22" s="781" t="s">
        <v>1918</v>
      </c>
      <c r="C22" s="401" t="s">
        <v>1919</v>
      </c>
      <c r="D22" s="778" t="s">
        <v>1920</v>
      </c>
      <c r="E22" s="784">
        <v>24345</v>
      </c>
    </row>
    <row r="23" spans="1:5" x14ac:dyDescent="0.2">
      <c r="A23" s="779"/>
      <c r="B23" s="782"/>
      <c r="C23" s="401" t="s">
        <v>1895</v>
      </c>
      <c r="D23" s="779"/>
      <c r="E23" s="785"/>
    </row>
    <row r="24" spans="1:5" x14ac:dyDescent="0.2">
      <c r="A24" s="779"/>
      <c r="B24" s="782"/>
      <c r="C24" s="401" t="s">
        <v>1917</v>
      </c>
      <c r="D24" s="779"/>
      <c r="E24" s="785"/>
    </row>
    <row r="25" spans="1:5" x14ac:dyDescent="0.2">
      <c r="A25" s="780"/>
      <c r="B25" s="783"/>
      <c r="C25" s="405" t="s">
        <v>1921</v>
      </c>
      <c r="D25" s="780"/>
      <c r="E25" s="786"/>
    </row>
    <row r="26" spans="1:5" ht="51" x14ac:dyDescent="0.2">
      <c r="A26" s="778">
        <v>3</v>
      </c>
      <c r="B26" s="781" t="s">
        <v>1922</v>
      </c>
      <c r="C26" s="401" t="s">
        <v>1923</v>
      </c>
      <c r="D26" s="778" t="s">
        <v>1924</v>
      </c>
      <c r="E26" s="784">
        <v>435266</v>
      </c>
    </row>
    <row r="27" spans="1:5" x14ac:dyDescent="0.2">
      <c r="A27" s="779"/>
      <c r="B27" s="782"/>
      <c r="C27" s="401" t="s">
        <v>1895</v>
      </c>
      <c r="D27" s="779"/>
      <c r="E27" s="785"/>
    </row>
    <row r="28" spans="1:5" x14ac:dyDescent="0.2">
      <c r="A28" s="779"/>
      <c r="B28" s="782"/>
      <c r="C28" s="401" t="s">
        <v>1917</v>
      </c>
      <c r="D28" s="779"/>
      <c r="E28" s="785"/>
    </row>
    <row r="29" spans="1:5" x14ac:dyDescent="0.2">
      <c r="A29" s="780"/>
      <c r="B29" s="783"/>
      <c r="C29" s="405" t="s">
        <v>1925</v>
      </c>
      <c r="D29" s="780"/>
      <c r="E29" s="786"/>
    </row>
    <row r="30" spans="1:5" ht="63.75" x14ac:dyDescent="0.2">
      <c r="A30" s="778">
        <v>4</v>
      </c>
      <c r="B30" s="781" t="s">
        <v>1926</v>
      </c>
      <c r="C30" s="401" t="s">
        <v>1927</v>
      </c>
      <c r="D30" s="778" t="s">
        <v>1928</v>
      </c>
      <c r="E30" s="784">
        <v>118907</v>
      </c>
    </row>
    <row r="31" spans="1:5" x14ac:dyDescent="0.2">
      <c r="A31" s="779"/>
      <c r="B31" s="782"/>
      <c r="C31" s="401" t="s">
        <v>1895</v>
      </c>
      <c r="D31" s="779"/>
      <c r="E31" s="785"/>
    </row>
    <row r="32" spans="1:5" x14ac:dyDescent="0.2">
      <c r="A32" s="779"/>
      <c r="B32" s="782"/>
      <c r="C32" s="401" t="s">
        <v>1917</v>
      </c>
      <c r="D32" s="779"/>
      <c r="E32" s="785"/>
    </row>
    <row r="33" spans="1:5" x14ac:dyDescent="0.2">
      <c r="A33" s="780"/>
      <c r="B33" s="783"/>
      <c r="C33" s="405" t="s">
        <v>1929</v>
      </c>
      <c r="D33" s="780"/>
      <c r="E33" s="786"/>
    </row>
    <row r="34" spans="1:5" ht="38.25" x14ac:dyDescent="0.2">
      <c r="A34" s="778">
        <v>5</v>
      </c>
      <c r="B34" s="781" t="s">
        <v>1930</v>
      </c>
      <c r="C34" s="401" t="s">
        <v>1931</v>
      </c>
      <c r="D34" s="778" t="s">
        <v>1932</v>
      </c>
      <c r="E34" s="784">
        <v>174106</v>
      </c>
    </row>
    <row r="35" spans="1:5" x14ac:dyDescent="0.2">
      <c r="A35" s="779"/>
      <c r="B35" s="782"/>
      <c r="C35" s="401" t="s">
        <v>1895</v>
      </c>
      <c r="D35" s="779"/>
      <c r="E35" s="785"/>
    </row>
    <row r="36" spans="1:5" x14ac:dyDescent="0.2">
      <c r="A36" s="779"/>
      <c r="B36" s="782"/>
      <c r="C36" s="401" t="s">
        <v>1917</v>
      </c>
      <c r="D36" s="779"/>
      <c r="E36" s="785"/>
    </row>
    <row r="37" spans="1:5" x14ac:dyDescent="0.2">
      <c r="A37" s="779"/>
      <c r="B37" s="782"/>
      <c r="C37" s="401" t="s">
        <v>1933</v>
      </c>
      <c r="D37" s="779"/>
      <c r="E37" s="785"/>
    </row>
    <row r="38" spans="1:5" x14ac:dyDescent="0.2">
      <c r="A38" s="780"/>
      <c r="B38" s="783"/>
      <c r="C38" s="405" t="s">
        <v>1934</v>
      </c>
      <c r="D38" s="780"/>
      <c r="E38" s="786"/>
    </row>
    <row r="39" spans="1:5" ht="51" x14ac:dyDescent="0.2">
      <c r="A39" s="778">
        <v>6</v>
      </c>
      <c r="B39" s="781" t="s">
        <v>1935</v>
      </c>
      <c r="C39" s="401" t="s">
        <v>1936</v>
      </c>
      <c r="D39" s="778" t="s">
        <v>1937</v>
      </c>
      <c r="E39" s="784">
        <v>324893</v>
      </c>
    </row>
    <row r="40" spans="1:5" x14ac:dyDescent="0.2">
      <c r="A40" s="779"/>
      <c r="B40" s="782"/>
      <c r="C40" s="401" t="s">
        <v>1895</v>
      </c>
      <c r="D40" s="779"/>
      <c r="E40" s="785"/>
    </row>
    <row r="41" spans="1:5" ht="15" customHeight="1" thickBot="1" x14ac:dyDescent="0.25">
      <c r="A41" s="780"/>
      <c r="B41" s="783"/>
      <c r="C41" s="405" t="s">
        <v>1917</v>
      </c>
      <c r="D41" s="780"/>
      <c r="E41" s="786"/>
    </row>
    <row r="42" spans="1:5" ht="27" customHeight="1" thickBot="1" x14ac:dyDescent="0.25">
      <c r="A42" s="510">
        <v>7</v>
      </c>
      <c r="B42" s="511" t="s">
        <v>2320</v>
      </c>
      <c r="C42" s="509" t="s">
        <v>2325</v>
      </c>
      <c r="D42" s="515" t="s">
        <v>2318</v>
      </c>
      <c r="E42" s="512">
        <f>SUM(E19:E41)*0.7</f>
        <v>861607.6</v>
      </c>
    </row>
    <row r="43" spans="1:5" ht="19.5" customHeight="1" thickBot="1" x14ac:dyDescent="0.25">
      <c r="A43" s="790" t="s">
        <v>802</v>
      </c>
      <c r="B43" s="791"/>
      <c r="C43" s="791"/>
      <c r="D43" s="791"/>
      <c r="E43" s="792"/>
    </row>
    <row r="44" spans="1:5" x14ac:dyDescent="0.2">
      <c r="A44" s="790" t="s">
        <v>1938</v>
      </c>
      <c r="B44" s="791"/>
      <c r="C44" s="791"/>
      <c r="D44" s="791"/>
      <c r="E44" s="792"/>
    </row>
    <row r="45" spans="1:5" ht="63.75" x14ac:dyDescent="0.2">
      <c r="A45" s="778">
        <v>1</v>
      </c>
      <c r="B45" s="781" t="s">
        <v>1914</v>
      </c>
      <c r="C45" s="401" t="s">
        <v>1915</v>
      </c>
      <c r="D45" s="778" t="s">
        <v>1916</v>
      </c>
      <c r="E45" s="784">
        <v>153351</v>
      </c>
    </row>
    <row r="46" spans="1:5" x14ac:dyDescent="0.2">
      <c r="A46" s="779"/>
      <c r="B46" s="782"/>
      <c r="C46" s="401" t="s">
        <v>1895</v>
      </c>
      <c r="D46" s="779"/>
      <c r="E46" s="785"/>
    </row>
    <row r="47" spans="1:5" x14ac:dyDescent="0.2">
      <c r="A47" s="780"/>
      <c r="B47" s="783"/>
      <c r="C47" s="405" t="s">
        <v>1917</v>
      </c>
      <c r="D47" s="780"/>
      <c r="E47" s="786"/>
    </row>
    <row r="48" spans="1:5" ht="63.75" x14ac:dyDescent="0.2">
      <c r="A48" s="778">
        <v>2</v>
      </c>
      <c r="B48" s="781" t="s">
        <v>1939</v>
      </c>
      <c r="C48" s="401" t="s">
        <v>1915</v>
      </c>
      <c r="D48" s="778" t="s">
        <v>1940</v>
      </c>
      <c r="E48" s="784">
        <v>8828</v>
      </c>
    </row>
    <row r="49" spans="1:5" x14ac:dyDescent="0.2">
      <c r="A49" s="779"/>
      <c r="B49" s="782"/>
      <c r="C49" s="401" t="s">
        <v>1895</v>
      </c>
      <c r="D49" s="779"/>
      <c r="E49" s="785"/>
    </row>
    <row r="50" spans="1:5" x14ac:dyDescent="0.2">
      <c r="A50" s="779"/>
      <c r="B50" s="782"/>
      <c r="C50" s="401" t="s">
        <v>1917</v>
      </c>
      <c r="D50" s="779"/>
      <c r="E50" s="785"/>
    </row>
    <row r="51" spans="1:5" x14ac:dyDescent="0.2">
      <c r="A51" s="780"/>
      <c r="B51" s="783"/>
      <c r="C51" s="405" t="s">
        <v>1921</v>
      </c>
      <c r="D51" s="780"/>
      <c r="E51" s="786"/>
    </row>
    <row r="52" spans="1:5" ht="51" x14ac:dyDescent="0.2">
      <c r="A52" s="778">
        <v>3</v>
      </c>
      <c r="B52" s="781" t="s">
        <v>1941</v>
      </c>
      <c r="C52" s="401" t="s">
        <v>1923</v>
      </c>
      <c r="D52" s="778" t="s">
        <v>1942</v>
      </c>
      <c r="E52" s="784">
        <v>870531</v>
      </c>
    </row>
    <row r="53" spans="1:5" x14ac:dyDescent="0.2">
      <c r="A53" s="779"/>
      <c r="B53" s="782"/>
      <c r="C53" s="401" t="s">
        <v>1895</v>
      </c>
      <c r="D53" s="779"/>
      <c r="E53" s="785"/>
    </row>
    <row r="54" spans="1:5" x14ac:dyDescent="0.2">
      <c r="A54" s="779"/>
      <c r="B54" s="782"/>
      <c r="C54" s="401" t="s">
        <v>1917</v>
      </c>
      <c r="D54" s="779"/>
      <c r="E54" s="785"/>
    </row>
    <row r="55" spans="1:5" x14ac:dyDescent="0.2">
      <c r="A55" s="780"/>
      <c r="B55" s="783"/>
      <c r="C55" s="405" t="s">
        <v>1943</v>
      </c>
      <c r="D55" s="780"/>
      <c r="E55" s="786"/>
    </row>
    <row r="56" spans="1:5" ht="63.75" x14ac:dyDescent="0.2">
      <c r="A56" s="778">
        <v>4</v>
      </c>
      <c r="B56" s="781" t="s">
        <v>1944</v>
      </c>
      <c r="C56" s="401" t="s">
        <v>1945</v>
      </c>
      <c r="D56" s="778" t="s">
        <v>1946</v>
      </c>
      <c r="E56" s="784">
        <v>11883</v>
      </c>
    </row>
    <row r="57" spans="1:5" x14ac:dyDescent="0.2">
      <c r="A57" s="779"/>
      <c r="B57" s="782"/>
      <c r="C57" s="401" t="s">
        <v>1895</v>
      </c>
      <c r="D57" s="779"/>
      <c r="E57" s="785"/>
    </row>
    <row r="58" spans="1:5" x14ac:dyDescent="0.2">
      <c r="A58" s="779"/>
      <c r="B58" s="782"/>
      <c r="C58" s="401" t="s">
        <v>1917</v>
      </c>
      <c r="D58" s="779"/>
      <c r="E58" s="785"/>
    </row>
    <row r="59" spans="1:5" x14ac:dyDescent="0.2">
      <c r="A59" s="780"/>
      <c r="B59" s="783"/>
      <c r="C59" s="405" t="s">
        <v>1929</v>
      </c>
      <c r="D59" s="780"/>
      <c r="E59" s="786"/>
    </row>
    <row r="60" spans="1:5" ht="38.25" x14ac:dyDescent="0.2">
      <c r="A60" s="778">
        <v>5</v>
      </c>
      <c r="B60" s="781" t="s">
        <v>1947</v>
      </c>
      <c r="C60" s="401" t="s">
        <v>1931</v>
      </c>
      <c r="D60" s="778" t="s">
        <v>1948</v>
      </c>
      <c r="E60" s="784">
        <v>130580</v>
      </c>
    </row>
    <row r="61" spans="1:5" x14ac:dyDescent="0.2">
      <c r="A61" s="779"/>
      <c r="B61" s="782"/>
      <c r="C61" s="401" t="s">
        <v>1895</v>
      </c>
      <c r="D61" s="779"/>
      <c r="E61" s="785"/>
    </row>
    <row r="62" spans="1:5" x14ac:dyDescent="0.2">
      <c r="A62" s="779"/>
      <c r="B62" s="782"/>
      <c r="C62" s="401" t="s">
        <v>1917</v>
      </c>
      <c r="D62" s="779"/>
      <c r="E62" s="785"/>
    </row>
    <row r="63" spans="1:5" x14ac:dyDescent="0.2">
      <c r="A63" s="779"/>
      <c r="B63" s="782"/>
      <c r="C63" s="401" t="s">
        <v>1949</v>
      </c>
      <c r="D63" s="779"/>
      <c r="E63" s="785"/>
    </row>
    <row r="64" spans="1:5" x14ac:dyDescent="0.2">
      <c r="A64" s="780"/>
      <c r="B64" s="783"/>
      <c r="C64" s="405" t="s">
        <v>1934</v>
      </c>
      <c r="D64" s="780"/>
      <c r="E64" s="786"/>
    </row>
    <row r="65" spans="1:5" ht="51" x14ac:dyDescent="0.2">
      <c r="A65" s="778">
        <v>6</v>
      </c>
      <c r="B65" s="781" t="s">
        <v>1935</v>
      </c>
      <c r="C65" s="401" t="s">
        <v>1936</v>
      </c>
      <c r="D65" s="778" t="s">
        <v>1937</v>
      </c>
      <c r="E65" s="784">
        <v>324893</v>
      </c>
    </row>
    <row r="66" spans="1:5" x14ac:dyDescent="0.2">
      <c r="A66" s="779"/>
      <c r="B66" s="782"/>
      <c r="C66" s="401" t="s">
        <v>1895</v>
      </c>
      <c r="D66" s="779"/>
      <c r="E66" s="785"/>
    </row>
    <row r="67" spans="1:5" x14ac:dyDescent="0.2">
      <c r="A67" s="780"/>
      <c r="B67" s="783"/>
      <c r="C67" s="405" t="s">
        <v>1917</v>
      </c>
      <c r="D67" s="780"/>
      <c r="E67" s="786"/>
    </row>
    <row r="68" spans="1:5" x14ac:dyDescent="0.2">
      <c r="A68" s="790" t="s">
        <v>1950</v>
      </c>
      <c r="B68" s="791"/>
      <c r="C68" s="791"/>
      <c r="D68" s="791"/>
      <c r="E68" s="792"/>
    </row>
    <row r="69" spans="1:5" ht="63.75" x14ac:dyDescent="0.2">
      <c r="A69" s="778">
        <v>1</v>
      </c>
      <c r="B69" s="781" t="s">
        <v>1914</v>
      </c>
      <c r="C69" s="401" t="s">
        <v>1915</v>
      </c>
      <c r="D69" s="778" t="s">
        <v>1916</v>
      </c>
      <c r="E69" s="784">
        <v>153351</v>
      </c>
    </row>
    <row r="70" spans="1:5" x14ac:dyDescent="0.2">
      <c r="A70" s="779"/>
      <c r="B70" s="782"/>
      <c r="C70" s="401" t="s">
        <v>1895</v>
      </c>
      <c r="D70" s="779"/>
      <c r="E70" s="785"/>
    </row>
    <row r="71" spans="1:5" x14ac:dyDescent="0.2">
      <c r="A71" s="780"/>
      <c r="B71" s="783"/>
      <c r="C71" s="405" t="s">
        <v>1917</v>
      </c>
      <c r="D71" s="780"/>
      <c r="E71" s="786"/>
    </row>
    <row r="72" spans="1:5" ht="63.75" x14ac:dyDescent="0.2">
      <c r="A72" s="778">
        <v>2</v>
      </c>
      <c r="B72" s="781" t="s">
        <v>1939</v>
      </c>
      <c r="C72" s="401" t="s">
        <v>1915</v>
      </c>
      <c r="D72" s="778" t="s">
        <v>1940</v>
      </c>
      <c r="E72" s="784">
        <v>8828</v>
      </c>
    </row>
    <row r="73" spans="1:5" x14ac:dyDescent="0.2">
      <c r="A73" s="779"/>
      <c r="B73" s="782"/>
      <c r="C73" s="401" t="s">
        <v>1895</v>
      </c>
      <c r="D73" s="779"/>
      <c r="E73" s="785"/>
    </row>
    <row r="74" spans="1:5" x14ac:dyDescent="0.2">
      <c r="A74" s="779"/>
      <c r="B74" s="782"/>
      <c r="C74" s="401" t="s">
        <v>1917</v>
      </c>
      <c r="D74" s="779"/>
      <c r="E74" s="785"/>
    </row>
    <row r="75" spans="1:5" x14ac:dyDescent="0.2">
      <c r="A75" s="780"/>
      <c r="B75" s="783"/>
      <c r="C75" s="405" t="s">
        <v>1921</v>
      </c>
      <c r="D75" s="780"/>
      <c r="E75" s="786"/>
    </row>
    <row r="76" spans="1:5" ht="51" x14ac:dyDescent="0.2">
      <c r="A76" s="778">
        <v>3</v>
      </c>
      <c r="B76" s="781" t="s">
        <v>1951</v>
      </c>
      <c r="C76" s="401" t="s">
        <v>1923</v>
      </c>
      <c r="D76" s="778" t="s">
        <v>1952</v>
      </c>
      <c r="E76" s="784">
        <v>261159</v>
      </c>
    </row>
    <row r="77" spans="1:5" x14ac:dyDescent="0.2">
      <c r="A77" s="779"/>
      <c r="B77" s="782"/>
      <c r="C77" s="401" t="s">
        <v>1895</v>
      </c>
      <c r="D77" s="779"/>
      <c r="E77" s="785"/>
    </row>
    <row r="78" spans="1:5" x14ac:dyDescent="0.2">
      <c r="A78" s="779"/>
      <c r="B78" s="782"/>
      <c r="C78" s="401" t="s">
        <v>1917</v>
      </c>
      <c r="D78" s="779"/>
      <c r="E78" s="785"/>
    </row>
    <row r="79" spans="1:5" x14ac:dyDescent="0.2">
      <c r="A79" s="780"/>
      <c r="B79" s="783"/>
      <c r="C79" s="405" t="s">
        <v>1953</v>
      </c>
      <c r="D79" s="780"/>
      <c r="E79" s="786"/>
    </row>
    <row r="80" spans="1:5" ht="63.75" x14ac:dyDescent="0.2">
      <c r="A80" s="778">
        <v>4</v>
      </c>
      <c r="B80" s="781" t="s">
        <v>1954</v>
      </c>
      <c r="C80" s="401" t="s">
        <v>1955</v>
      </c>
      <c r="D80" s="778" t="s">
        <v>1956</v>
      </c>
      <c r="E80" s="784">
        <v>738765</v>
      </c>
    </row>
    <row r="81" spans="1:7" x14ac:dyDescent="0.2">
      <c r="A81" s="779"/>
      <c r="B81" s="782"/>
      <c r="C81" s="401" t="s">
        <v>1895</v>
      </c>
      <c r="D81" s="779"/>
      <c r="E81" s="785"/>
    </row>
    <row r="82" spans="1:7" x14ac:dyDescent="0.2">
      <c r="A82" s="779"/>
      <c r="B82" s="782"/>
      <c r="C82" s="401" t="s">
        <v>1917</v>
      </c>
      <c r="D82" s="779"/>
      <c r="E82" s="785"/>
    </row>
    <row r="83" spans="1:7" x14ac:dyDescent="0.2">
      <c r="A83" s="779"/>
      <c r="B83" s="782"/>
      <c r="C83" s="401" t="s">
        <v>1929</v>
      </c>
      <c r="D83" s="779"/>
      <c r="E83" s="785"/>
    </row>
    <row r="84" spans="1:7" x14ac:dyDescent="0.2">
      <c r="A84" s="780"/>
      <c r="B84" s="783"/>
      <c r="C84" s="405" t="s">
        <v>1957</v>
      </c>
      <c r="D84" s="780"/>
      <c r="E84" s="786"/>
    </row>
    <row r="85" spans="1:7" ht="38.25" x14ac:dyDescent="0.2">
      <c r="A85" s="778">
        <v>5</v>
      </c>
      <c r="B85" s="781" t="s">
        <v>1958</v>
      </c>
      <c r="C85" s="401" t="s">
        <v>1931</v>
      </c>
      <c r="D85" s="778" t="s">
        <v>1959</v>
      </c>
      <c r="E85" s="784">
        <v>261159</v>
      </c>
    </row>
    <row r="86" spans="1:7" x14ac:dyDescent="0.2">
      <c r="A86" s="779"/>
      <c r="B86" s="782"/>
      <c r="C86" s="401" t="s">
        <v>1895</v>
      </c>
      <c r="D86" s="779"/>
      <c r="E86" s="785"/>
    </row>
    <row r="87" spans="1:7" x14ac:dyDescent="0.2">
      <c r="A87" s="779"/>
      <c r="B87" s="782"/>
      <c r="C87" s="401" t="s">
        <v>1917</v>
      </c>
      <c r="D87" s="779"/>
      <c r="E87" s="785"/>
    </row>
    <row r="88" spans="1:7" x14ac:dyDescent="0.2">
      <c r="A88" s="779"/>
      <c r="B88" s="782"/>
      <c r="C88" s="401" t="s">
        <v>1960</v>
      </c>
      <c r="D88" s="779"/>
      <c r="E88" s="785"/>
    </row>
    <row r="89" spans="1:7" x14ac:dyDescent="0.2">
      <c r="A89" s="780"/>
      <c r="B89" s="783"/>
      <c r="C89" s="405" t="s">
        <v>1934</v>
      </c>
      <c r="D89" s="780"/>
      <c r="E89" s="786"/>
    </row>
    <row r="90" spans="1:7" ht="51" x14ac:dyDescent="0.2">
      <c r="A90" s="778">
        <v>6</v>
      </c>
      <c r="B90" s="781" t="s">
        <v>1961</v>
      </c>
      <c r="C90" s="401" t="s">
        <v>1936</v>
      </c>
      <c r="D90" s="778" t="s">
        <v>1962</v>
      </c>
      <c r="E90" s="784">
        <v>513100</v>
      </c>
    </row>
    <row r="91" spans="1:7" x14ac:dyDescent="0.2">
      <c r="A91" s="779"/>
      <c r="B91" s="782"/>
      <c r="C91" s="401" t="s">
        <v>1895</v>
      </c>
      <c r="D91" s="779"/>
      <c r="E91" s="785"/>
    </row>
    <row r="92" spans="1:7" ht="13.5" thickBot="1" x14ac:dyDescent="0.25">
      <c r="A92" s="780"/>
      <c r="B92" s="783"/>
      <c r="C92" s="405" t="s">
        <v>1917</v>
      </c>
      <c r="D92" s="780"/>
      <c r="E92" s="786"/>
    </row>
    <row r="93" spans="1:7" ht="27" customHeight="1" thickBot="1" x14ac:dyDescent="0.25">
      <c r="A93" s="510">
        <v>7</v>
      </c>
      <c r="B93" s="511" t="s">
        <v>2321</v>
      </c>
      <c r="C93" s="509" t="s">
        <v>2325</v>
      </c>
      <c r="D93" s="515" t="s">
        <v>2318</v>
      </c>
      <c r="E93" s="512">
        <f>SUM(E45:E90)*0.7</f>
        <v>2405499.5999999996</v>
      </c>
    </row>
    <row r="94" spans="1:7" s="521" customFormat="1" ht="17.25" customHeight="1" thickBot="1" x14ac:dyDescent="0.3">
      <c r="A94" s="835" t="s">
        <v>1467</v>
      </c>
      <c r="B94" s="836"/>
      <c r="C94" s="836"/>
      <c r="D94" s="836"/>
      <c r="E94" s="837"/>
      <c r="G94" s="522" t="s">
        <v>1963</v>
      </c>
    </row>
    <row r="95" spans="1:7" x14ac:dyDescent="0.2">
      <c r="A95" s="790" t="s">
        <v>1964</v>
      </c>
      <c r="B95" s="791"/>
      <c r="C95" s="791"/>
      <c r="D95" s="791"/>
      <c r="E95" s="792"/>
    </row>
    <row r="96" spans="1:7" x14ac:dyDescent="0.2">
      <c r="A96" s="790" t="s">
        <v>1965</v>
      </c>
      <c r="B96" s="791"/>
      <c r="C96" s="791"/>
      <c r="D96" s="791"/>
      <c r="E96" s="792"/>
    </row>
    <row r="97" spans="1:5" ht="63.75" x14ac:dyDescent="0.2">
      <c r="A97" s="778">
        <v>1</v>
      </c>
      <c r="B97" s="781" t="s">
        <v>1914</v>
      </c>
      <c r="C97" s="401" t="s">
        <v>1915</v>
      </c>
      <c r="D97" s="778" t="s">
        <v>1916</v>
      </c>
      <c r="E97" s="784">
        <v>155943</v>
      </c>
    </row>
    <row r="98" spans="1:5" x14ac:dyDescent="0.2">
      <c r="A98" s="779"/>
      <c r="B98" s="782"/>
      <c r="C98" s="401" t="s">
        <v>1895</v>
      </c>
      <c r="D98" s="779"/>
      <c r="E98" s="785"/>
    </row>
    <row r="99" spans="1:5" x14ac:dyDescent="0.2">
      <c r="A99" s="780"/>
      <c r="B99" s="783"/>
      <c r="C99" s="405" t="s">
        <v>1917</v>
      </c>
      <c r="D99" s="780"/>
      <c r="E99" s="786"/>
    </row>
    <row r="100" spans="1:5" ht="63.75" x14ac:dyDescent="0.2">
      <c r="A100" s="778">
        <v>2</v>
      </c>
      <c r="B100" s="781" t="s">
        <v>1966</v>
      </c>
      <c r="C100" s="401" t="s">
        <v>1915</v>
      </c>
      <c r="D100" s="778" t="s">
        <v>1967</v>
      </c>
      <c r="E100" s="784">
        <v>13120</v>
      </c>
    </row>
    <row r="101" spans="1:5" x14ac:dyDescent="0.2">
      <c r="A101" s="779"/>
      <c r="B101" s="782"/>
      <c r="C101" s="401" t="s">
        <v>1895</v>
      </c>
      <c r="D101" s="779"/>
      <c r="E101" s="785"/>
    </row>
    <row r="102" spans="1:5" x14ac:dyDescent="0.2">
      <c r="A102" s="779"/>
      <c r="B102" s="782"/>
      <c r="C102" s="401" t="s">
        <v>1917</v>
      </c>
      <c r="D102" s="779"/>
      <c r="E102" s="785"/>
    </row>
    <row r="103" spans="1:5" x14ac:dyDescent="0.2">
      <c r="A103" s="780"/>
      <c r="B103" s="783"/>
      <c r="C103" s="405" t="s">
        <v>1921</v>
      </c>
      <c r="D103" s="780"/>
      <c r="E103" s="786"/>
    </row>
    <row r="104" spans="1:5" ht="51" x14ac:dyDescent="0.2">
      <c r="A104" s="778">
        <v>3</v>
      </c>
      <c r="B104" s="781" t="s">
        <v>1968</v>
      </c>
      <c r="C104" s="401" t="s">
        <v>1923</v>
      </c>
      <c r="D104" s="778" t="s">
        <v>1969</v>
      </c>
      <c r="E104" s="784">
        <v>531147</v>
      </c>
    </row>
    <row r="105" spans="1:5" x14ac:dyDescent="0.2">
      <c r="A105" s="779"/>
      <c r="B105" s="782"/>
      <c r="C105" s="401" t="s">
        <v>1895</v>
      </c>
      <c r="D105" s="779"/>
      <c r="E105" s="785"/>
    </row>
    <row r="106" spans="1:5" x14ac:dyDescent="0.2">
      <c r="A106" s="779"/>
      <c r="B106" s="782"/>
      <c r="C106" s="401" t="s">
        <v>1917</v>
      </c>
      <c r="D106" s="779"/>
      <c r="E106" s="785"/>
    </row>
    <row r="107" spans="1:5" x14ac:dyDescent="0.2">
      <c r="A107" s="780"/>
      <c r="B107" s="783"/>
      <c r="C107" s="405" t="s">
        <v>1970</v>
      </c>
      <c r="D107" s="780"/>
      <c r="E107" s="786"/>
    </row>
    <row r="108" spans="1:5" ht="63.75" x14ac:dyDescent="0.2">
      <c r="A108" s="778">
        <v>4</v>
      </c>
      <c r="B108" s="781" t="s">
        <v>1971</v>
      </c>
      <c r="C108" s="401" t="s">
        <v>1955</v>
      </c>
      <c r="D108" s="778" t="s">
        <v>1972</v>
      </c>
      <c r="E108" s="784">
        <v>150250</v>
      </c>
    </row>
    <row r="109" spans="1:5" x14ac:dyDescent="0.2">
      <c r="A109" s="779"/>
      <c r="B109" s="782"/>
      <c r="C109" s="401" t="s">
        <v>1895</v>
      </c>
      <c r="D109" s="779"/>
      <c r="E109" s="785"/>
    </row>
    <row r="110" spans="1:5" x14ac:dyDescent="0.2">
      <c r="A110" s="779"/>
      <c r="B110" s="782"/>
      <c r="C110" s="401" t="s">
        <v>1917</v>
      </c>
      <c r="D110" s="779"/>
      <c r="E110" s="785"/>
    </row>
    <row r="111" spans="1:5" x14ac:dyDescent="0.2">
      <c r="A111" s="779"/>
      <c r="B111" s="782"/>
      <c r="C111" s="401" t="s">
        <v>1929</v>
      </c>
      <c r="D111" s="779"/>
      <c r="E111" s="785"/>
    </row>
    <row r="112" spans="1:5" x14ac:dyDescent="0.2">
      <c r="A112" s="780"/>
      <c r="B112" s="783"/>
      <c r="C112" s="405" t="s">
        <v>1973</v>
      </c>
      <c r="D112" s="780"/>
      <c r="E112" s="786"/>
    </row>
    <row r="113" spans="1:10" ht="38.25" x14ac:dyDescent="0.2">
      <c r="A113" s="778">
        <v>5</v>
      </c>
      <c r="B113" s="781" t="s">
        <v>1958</v>
      </c>
      <c r="C113" s="401" t="s">
        <v>1931</v>
      </c>
      <c r="D113" s="778" t="s">
        <v>1974</v>
      </c>
      <c r="E113" s="784">
        <v>88524</v>
      </c>
    </row>
    <row r="114" spans="1:10" x14ac:dyDescent="0.2">
      <c r="A114" s="779"/>
      <c r="B114" s="782"/>
      <c r="C114" s="401" t="s">
        <v>1895</v>
      </c>
      <c r="D114" s="779"/>
      <c r="E114" s="785"/>
    </row>
    <row r="115" spans="1:10" x14ac:dyDescent="0.2">
      <c r="A115" s="779"/>
      <c r="B115" s="782"/>
      <c r="C115" s="401" t="s">
        <v>1917</v>
      </c>
      <c r="D115" s="779"/>
      <c r="E115" s="785"/>
    </row>
    <row r="116" spans="1:10" x14ac:dyDescent="0.2">
      <c r="A116" s="779"/>
      <c r="B116" s="782"/>
      <c r="C116" s="401" t="s">
        <v>1975</v>
      </c>
      <c r="D116" s="779"/>
      <c r="E116" s="785"/>
    </row>
    <row r="117" spans="1:10" x14ac:dyDescent="0.2">
      <c r="A117" s="780"/>
      <c r="B117" s="783"/>
      <c r="C117" s="405" t="s">
        <v>1934</v>
      </c>
      <c r="D117" s="780"/>
      <c r="E117" s="786"/>
    </row>
    <row r="118" spans="1:10" ht="51" x14ac:dyDescent="0.2">
      <c r="A118" s="778">
        <v>6</v>
      </c>
      <c r="B118" s="781" t="s">
        <v>1961</v>
      </c>
      <c r="C118" s="401" t="s">
        <v>1976</v>
      </c>
      <c r="D118" s="778" t="s">
        <v>1962</v>
      </c>
      <c r="E118" s="784">
        <v>521772</v>
      </c>
    </row>
    <row r="119" spans="1:10" x14ac:dyDescent="0.2">
      <c r="A119" s="779"/>
      <c r="B119" s="782"/>
      <c r="C119" s="401" t="s">
        <v>1895</v>
      </c>
      <c r="D119" s="779"/>
      <c r="E119" s="785"/>
    </row>
    <row r="120" spans="1:10" ht="13.5" thickBot="1" x14ac:dyDescent="0.25">
      <c r="A120" s="780"/>
      <c r="B120" s="783"/>
      <c r="C120" s="405" t="s">
        <v>1917</v>
      </c>
      <c r="D120" s="780"/>
      <c r="E120" s="786"/>
    </row>
    <row r="121" spans="1:10" s="513" customFormat="1" ht="19.5" customHeight="1" thickBot="1" x14ac:dyDescent="0.3">
      <c r="A121" s="516">
        <v>7</v>
      </c>
      <c r="B121" s="517" t="s">
        <v>2326</v>
      </c>
      <c r="C121" s="518"/>
      <c r="D121" s="516"/>
      <c r="E121" s="519">
        <f>SUM(E97:E120)*1</f>
        <v>1460756</v>
      </c>
    </row>
    <row r="122" spans="1:10" s="431" customFormat="1" ht="19.5" customHeight="1" thickBot="1" x14ac:dyDescent="0.25">
      <c r="A122" s="826" t="s">
        <v>892</v>
      </c>
      <c r="B122" s="827"/>
      <c r="C122" s="827"/>
      <c r="D122" s="827"/>
      <c r="E122" s="828"/>
      <c r="F122" s="452"/>
      <c r="G122" s="453"/>
      <c r="H122" s="452"/>
      <c r="I122" s="452"/>
      <c r="J122" s="452"/>
    </row>
    <row r="123" spans="1:10" s="431" customFormat="1" x14ac:dyDescent="0.2">
      <c r="A123" s="790" t="s">
        <v>1977</v>
      </c>
      <c r="B123" s="791"/>
      <c r="C123" s="791"/>
      <c r="D123" s="791"/>
      <c r="E123" s="792"/>
      <c r="F123" s="452"/>
      <c r="G123" s="452"/>
      <c r="H123" s="452"/>
      <c r="I123" s="452"/>
      <c r="J123" s="452"/>
    </row>
    <row r="124" spans="1:10" s="431" customFormat="1" ht="63.75" x14ac:dyDescent="0.2">
      <c r="A124" s="778">
        <v>1</v>
      </c>
      <c r="B124" s="781" t="s">
        <v>1914</v>
      </c>
      <c r="C124" s="401" t="s">
        <v>1915</v>
      </c>
      <c r="D124" s="778" t="s">
        <v>1978</v>
      </c>
      <c r="E124" s="784">
        <f>(5148+30850*1)*7.22*0.6</f>
        <v>155943.33599999998</v>
      </c>
      <c r="F124" s="452"/>
      <c r="G124" s="452"/>
      <c r="H124" s="452"/>
      <c r="I124" s="452"/>
      <c r="J124" s="452"/>
    </row>
    <row r="125" spans="1:10" s="431" customFormat="1" x14ac:dyDescent="0.2">
      <c r="A125" s="779"/>
      <c r="B125" s="782"/>
      <c r="C125" s="401" t="s">
        <v>1895</v>
      </c>
      <c r="D125" s="779"/>
      <c r="E125" s="785"/>
      <c r="F125" s="452"/>
      <c r="G125" s="452"/>
      <c r="H125" s="452"/>
      <c r="I125" s="452"/>
      <c r="J125" s="452"/>
    </row>
    <row r="126" spans="1:10" s="431" customFormat="1" x14ac:dyDescent="0.2">
      <c r="A126" s="780"/>
      <c r="B126" s="783"/>
      <c r="C126" s="405" t="s">
        <v>1917</v>
      </c>
      <c r="D126" s="780"/>
      <c r="E126" s="786"/>
      <c r="F126" s="452"/>
      <c r="G126" s="452"/>
      <c r="H126" s="452"/>
      <c r="I126" s="452"/>
      <c r="J126" s="452"/>
    </row>
    <row r="127" spans="1:10" s="431" customFormat="1" ht="63.75" x14ac:dyDescent="0.2">
      <c r="A127" s="778">
        <v>2</v>
      </c>
      <c r="B127" s="781" t="s">
        <v>1979</v>
      </c>
      <c r="C127" s="401" t="s">
        <v>1915</v>
      </c>
      <c r="D127" s="778" t="s">
        <v>1980</v>
      </c>
      <c r="E127" s="784">
        <f>(5148+30850*4)*7.22*0.6*0.031</f>
        <v>17262.968015999999</v>
      </c>
      <c r="F127" s="452"/>
      <c r="G127" s="452"/>
      <c r="H127" s="452"/>
      <c r="I127" s="452"/>
      <c r="J127" s="452"/>
    </row>
    <row r="128" spans="1:10" s="431" customFormat="1" x14ac:dyDescent="0.2">
      <c r="A128" s="779"/>
      <c r="B128" s="782"/>
      <c r="C128" s="401" t="s">
        <v>1895</v>
      </c>
      <c r="D128" s="779"/>
      <c r="E128" s="785"/>
      <c r="F128" s="452"/>
      <c r="G128" s="452"/>
      <c r="H128" s="452"/>
      <c r="I128" s="452"/>
      <c r="J128" s="452"/>
    </row>
    <row r="129" spans="1:10" s="431" customFormat="1" x14ac:dyDescent="0.2">
      <c r="A129" s="779"/>
      <c r="B129" s="782"/>
      <c r="C129" s="401" t="s">
        <v>1917</v>
      </c>
      <c r="D129" s="779"/>
      <c r="E129" s="785"/>
      <c r="F129" s="452"/>
      <c r="G129" s="452"/>
      <c r="H129" s="452"/>
      <c r="I129" s="452"/>
      <c r="J129" s="452"/>
    </row>
    <row r="130" spans="1:10" s="431" customFormat="1" x14ac:dyDescent="0.2">
      <c r="A130" s="780"/>
      <c r="B130" s="783"/>
      <c r="C130" s="405" t="s">
        <v>1921</v>
      </c>
      <c r="D130" s="780"/>
      <c r="E130" s="786"/>
      <c r="F130" s="452"/>
      <c r="G130" s="452"/>
      <c r="H130" s="452"/>
      <c r="I130" s="452"/>
      <c r="J130" s="452"/>
    </row>
    <row r="131" spans="1:10" s="431" customFormat="1" ht="51" x14ac:dyDescent="0.2">
      <c r="A131" s="778">
        <v>3</v>
      </c>
      <c r="B131" s="781" t="s">
        <v>1981</v>
      </c>
      <c r="C131" s="401" t="s">
        <v>1923</v>
      </c>
      <c r="D131" s="778" t="s">
        <v>1982</v>
      </c>
      <c r="E131" s="784">
        <f>20435*7.22*0.6*8</f>
        <v>708195.35999999987</v>
      </c>
      <c r="F131" s="452"/>
      <c r="G131" s="452"/>
      <c r="H131" s="452"/>
      <c r="I131" s="452"/>
      <c r="J131" s="452"/>
    </row>
    <row r="132" spans="1:10" s="431" customFormat="1" x14ac:dyDescent="0.2">
      <c r="A132" s="779"/>
      <c r="B132" s="782"/>
      <c r="C132" s="401" t="s">
        <v>1895</v>
      </c>
      <c r="D132" s="779"/>
      <c r="E132" s="785"/>
      <c r="F132" s="452"/>
      <c r="G132" s="452"/>
      <c r="H132" s="452"/>
      <c r="I132" s="452"/>
      <c r="J132" s="452"/>
    </row>
    <row r="133" spans="1:10" s="431" customFormat="1" x14ac:dyDescent="0.2">
      <c r="A133" s="779"/>
      <c r="B133" s="782"/>
      <c r="C133" s="401" t="s">
        <v>1917</v>
      </c>
      <c r="D133" s="779"/>
      <c r="E133" s="785"/>
      <c r="F133" s="452"/>
      <c r="G133" s="452"/>
      <c r="H133" s="452"/>
      <c r="I133" s="452"/>
      <c r="J133" s="452"/>
    </row>
    <row r="134" spans="1:10" s="431" customFormat="1" x14ac:dyDescent="0.2">
      <c r="A134" s="780"/>
      <c r="B134" s="783"/>
      <c r="C134" s="405" t="s">
        <v>1983</v>
      </c>
      <c r="D134" s="780"/>
      <c r="E134" s="786"/>
      <c r="F134" s="452"/>
      <c r="G134" s="452"/>
      <c r="H134" s="452"/>
      <c r="I134" s="452"/>
      <c r="J134" s="452"/>
    </row>
    <row r="135" spans="1:10" s="431" customFormat="1" ht="63.75" x14ac:dyDescent="0.2">
      <c r="A135" s="778">
        <v>4</v>
      </c>
      <c r="B135" s="781" t="s">
        <v>1984</v>
      </c>
      <c r="C135" s="401" t="s">
        <v>1955</v>
      </c>
      <c r="D135" s="778" t="s">
        <v>1985</v>
      </c>
      <c r="E135" s="784">
        <f>495483*7.22*0.6*0.007*40</f>
        <v>601001.05967999995</v>
      </c>
      <c r="F135" s="452"/>
      <c r="G135" s="452"/>
      <c r="H135" s="452"/>
      <c r="I135" s="452"/>
      <c r="J135" s="452"/>
    </row>
    <row r="136" spans="1:10" s="431" customFormat="1" x14ac:dyDescent="0.2">
      <c r="A136" s="779"/>
      <c r="B136" s="782"/>
      <c r="C136" s="401" t="s">
        <v>1895</v>
      </c>
      <c r="D136" s="779"/>
      <c r="E136" s="785"/>
      <c r="F136" s="452"/>
      <c r="G136" s="452"/>
      <c r="H136" s="452"/>
      <c r="I136" s="452"/>
      <c r="J136" s="452"/>
    </row>
    <row r="137" spans="1:10" s="431" customFormat="1" x14ac:dyDescent="0.2">
      <c r="A137" s="779"/>
      <c r="B137" s="782"/>
      <c r="C137" s="401" t="s">
        <v>1917</v>
      </c>
      <c r="D137" s="779"/>
      <c r="E137" s="785"/>
      <c r="F137" s="452"/>
      <c r="G137" s="452"/>
      <c r="H137" s="452"/>
      <c r="I137" s="452"/>
      <c r="J137" s="452"/>
    </row>
    <row r="138" spans="1:10" s="431" customFormat="1" x14ac:dyDescent="0.2">
      <c r="A138" s="779"/>
      <c r="B138" s="782"/>
      <c r="C138" s="401" t="s">
        <v>1929</v>
      </c>
      <c r="D138" s="779"/>
      <c r="E138" s="785"/>
    </row>
    <row r="139" spans="1:10" s="431" customFormat="1" x14ac:dyDescent="0.2">
      <c r="A139" s="780"/>
      <c r="B139" s="783"/>
      <c r="C139" s="405" t="s">
        <v>1986</v>
      </c>
      <c r="D139" s="780"/>
      <c r="E139" s="786"/>
    </row>
    <row r="140" spans="1:10" s="431" customFormat="1" ht="38.25" x14ac:dyDescent="0.2">
      <c r="A140" s="778">
        <v>5</v>
      </c>
      <c r="B140" s="781" t="s">
        <v>1987</v>
      </c>
      <c r="C140" s="401" t="s">
        <v>1931</v>
      </c>
      <c r="D140" s="778" t="s">
        <v>1988</v>
      </c>
      <c r="E140" s="784">
        <f>20435*7.22*0.6*40*0.1</f>
        <v>354097.67999999993</v>
      </c>
    </row>
    <row r="141" spans="1:10" s="431" customFormat="1" x14ac:dyDescent="0.2">
      <c r="A141" s="779"/>
      <c r="B141" s="782"/>
      <c r="C141" s="401" t="s">
        <v>1895</v>
      </c>
      <c r="D141" s="779"/>
      <c r="E141" s="785"/>
    </row>
    <row r="142" spans="1:10" s="431" customFormat="1" x14ac:dyDescent="0.2">
      <c r="A142" s="779"/>
      <c r="B142" s="782"/>
      <c r="C142" s="401" t="s">
        <v>1917</v>
      </c>
      <c r="D142" s="779"/>
      <c r="E142" s="785"/>
    </row>
    <row r="143" spans="1:10" s="431" customFormat="1" x14ac:dyDescent="0.2">
      <c r="A143" s="779"/>
      <c r="B143" s="782"/>
      <c r="C143" s="401" t="s">
        <v>1989</v>
      </c>
      <c r="D143" s="779"/>
      <c r="E143" s="785"/>
    </row>
    <row r="144" spans="1:10" s="431" customFormat="1" x14ac:dyDescent="0.2">
      <c r="A144" s="780"/>
      <c r="B144" s="783"/>
      <c r="C144" s="405" t="s">
        <v>1934</v>
      </c>
      <c r="D144" s="780"/>
      <c r="E144" s="786"/>
    </row>
    <row r="145" spans="1:7" s="431" customFormat="1" ht="51" x14ac:dyDescent="0.2">
      <c r="A145" s="778">
        <v>6</v>
      </c>
      <c r="B145" s="781" t="s">
        <v>1990</v>
      </c>
      <c r="C145" s="401" t="s">
        <v>1936</v>
      </c>
      <c r="D145" s="778" t="s">
        <v>1991</v>
      </c>
      <c r="E145" s="784">
        <f>(9996+22090*4)*7.22*0.6</f>
        <v>426078.19199999998</v>
      </c>
    </row>
    <row r="146" spans="1:7" s="431" customFormat="1" x14ac:dyDescent="0.2">
      <c r="A146" s="779"/>
      <c r="B146" s="782"/>
      <c r="C146" s="401" t="s">
        <v>1895</v>
      </c>
      <c r="D146" s="779"/>
      <c r="E146" s="785"/>
    </row>
    <row r="147" spans="1:7" s="431" customFormat="1" x14ac:dyDescent="0.2">
      <c r="A147" s="780"/>
      <c r="B147" s="783"/>
      <c r="C147" s="405" t="s">
        <v>1917</v>
      </c>
      <c r="D147" s="780"/>
      <c r="E147" s="786"/>
    </row>
    <row r="148" spans="1:7" s="431" customFormat="1" x14ac:dyDescent="0.2">
      <c r="A148" s="811" t="s">
        <v>1992</v>
      </c>
      <c r="B148" s="812"/>
      <c r="C148" s="812"/>
      <c r="D148" s="812"/>
      <c r="E148" s="813"/>
      <c r="G148" s="459" t="s">
        <v>1963</v>
      </c>
    </row>
    <row r="149" spans="1:7" s="431" customFormat="1" x14ac:dyDescent="0.2">
      <c r="A149" s="811" t="s">
        <v>1993</v>
      </c>
      <c r="B149" s="812"/>
      <c r="C149" s="812"/>
      <c r="D149" s="812"/>
      <c r="E149" s="813"/>
    </row>
    <row r="150" spans="1:7" s="431" customFormat="1" ht="63.75" x14ac:dyDescent="0.2">
      <c r="A150" s="796">
        <v>1</v>
      </c>
      <c r="B150" s="799" t="s">
        <v>1994</v>
      </c>
      <c r="C150" s="420" t="s">
        <v>1955</v>
      </c>
      <c r="D150" s="796" t="s">
        <v>1995</v>
      </c>
      <c r="E150" s="802">
        <v>2042760</v>
      </c>
    </row>
    <row r="151" spans="1:7" s="431" customFormat="1" x14ac:dyDescent="0.2">
      <c r="A151" s="797"/>
      <c r="B151" s="800"/>
      <c r="C151" s="420" t="s">
        <v>1895</v>
      </c>
      <c r="D151" s="797"/>
      <c r="E151" s="803"/>
    </row>
    <row r="152" spans="1:7" s="431" customFormat="1" x14ac:dyDescent="0.2">
      <c r="A152" s="797"/>
      <c r="B152" s="800"/>
      <c r="C152" s="420" t="s">
        <v>1917</v>
      </c>
      <c r="D152" s="797"/>
      <c r="E152" s="803"/>
    </row>
    <row r="153" spans="1:7" s="431" customFormat="1" x14ac:dyDescent="0.2">
      <c r="A153" s="797"/>
      <c r="B153" s="800"/>
      <c r="C153" s="420" t="s">
        <v>1921</v>
      </c>
      <c r="D153" s="797"/>
      <c r="E153" s="803"/>
    </row>
    <row r="154" spans="1:7" s="431" customFormat="1" x14ac:dyDescent="0.2">
      <c r="A154" s="798"/>
      <c r="B154" s="801"/>
      <c r="C154" s="422" t="s">
        <v>1996</v>
      </c>
      <c r="D154" s="798"/>
      <c r="E154" s="804"/>
    </row>
    <row r="155" spans="1:7" s="431" customFormat="1" ht="63.75" x14ac:dyDescent="0.2">
      <c r="A155" s="796">
        <v>2</v>
      </c>
      <c r="B155" s="799" t="s">
        <v>1997</v>
      </c>
      <c r="C155" s="420" t="s">
        <v>1955</v>
      </c>
      <c r="D155" s="796" t="s">
        <v>1998</v>
      </c>
      <c r="E155" s="802">
        <v>596494</v>
      </c>
    </row>
    <row r="156" spans="1:7" s="431" customFormat="1" x14ac:dyDescent="0.2">
      <c r="A156" s="797"/>
      <c r="B156" s="800"/>
      <c r="C156" s="420" t="s">
        <v>1895</v>
      </c>
      <c r="D156" s="797"/>
      <c r="E156" s="803"/>
    </row>
    <row r="157" spans="1:7" s="431" customFormat="1" x14ac:dyDescent="0.2">
      <c r="A157" s="797"/>
      <c r="B157" s="800"/>
      <c r="C157" s="420" t="s">
        <v>1917</v>
      </c>
      <c r="D157" s="797"/>
      <c r="E157" s="803"/>
    </row>
    <row r="158" spans="1:7" s="431" customFormat="1" x14ac:dyDescent="0.2">
      <c r="A158" s="797"/>
      <c r="B158" s="800"/>
      <c r="C158" s="420" t="s">
        <v>1929</v>
      </c>
      <c r="D158" s="797"/>
      <c r="E158" s="803"/>
    </row>
    <row r="159" spans="1:7" s="431" customFormat="1" x14ac:dyDescent="0.2">
      <c r="A159" s="798"/>
      <c r="B159" s="801"/>
      <c r="C159" s="422" t="s">
        <v>1999</v>
      </c>
      <c r="D159" s="798"/>
      <c r="E159" s="804"/>
    </row>
    <row r="160" spans="1:7" s="431" customFormat="1" ht="38.25" x14ac:dyDescent="0.2">
      <c r="A160" s="796">
        <v>3</v>
      </c>
      <c r="B160" s="799" t="s">
        <v>2000</v>
      </c>
      <c r="C160" s="420" t="s">
        <v>1931</v>
      </c>
      <c r="D160" s="796" t="s">
        <v>2001</v>
      </c>
      <c r="E160" s="802">
        <v>298327</v>
      </c>
    </row>
    <row r="161" spans="1:5" s="431" customFormat="1" x14ac:dyDescent="0.2">
      <c r="A161" s="797"/>
      <c r="B161" s="800"/>
      <c r="C161" s="420" t="s">
        <v>1895</v>
      </c>
      <c r="D161" s="797"/>
      <c r="E161" s="803"/>
    </row>
    <row r="162" spans="1:5" s="431" customFormat="1" x14ac:dyDescent="0.2">
      <c r="A162" s="797"/>
      <c r="B162" s="800"/>
      <c r="C162" s="420" t="s">
        <v>1917</v>
      </c>
      <c r="D162" s="797"/>
      <c r="E162" s="803"/>
    </row>
    <row r="163" spans="1:5" s="431" customFormat="1" x14ac:dyDescent="0.2">
      <c r="A163" s="797"/>
      <c r="B163" s="800"/>
      <c r="C163" s="420" t="s">
        <v>2002</v>
      </c>
      <c r="D163" s="797"/>
      <c r="E163" s="803"/>
    </row>
    <row r="164" spans="1:5" s="431" customFormat="1" x14ac:dyDescent="0.2">
      <c r="A164" s="798"/>
      <c r="B164" s="801"/>
      <c r="C164" s="422" t="s">
        <v>1934</v>
      </c>
      <c r="D164" s="798"/>
      <c r="E164" s="804"/>
    </row>
    <row r="165" spans="1:5" s="431" customFormat="1" ht="51" x14ac:dyDescent="0.2">
      <c r="A165" s="796">
        <v>4</v>
      </c>
      <c r="B165" s="799" t="s">
        <v>1935</v>
      </c>
      <c r="C165" s="420" t="s">
        <v>1976</v>
      </c>
      <c r="D165" s="796" t="s">
        <v>2003</v>
      </c>
      <c r="E165" s="802">
        <v>330384</v>
      </c>
    </row>
    <row r="166" spans="1:5" s="431" customFormat="1" x14ac:dyDescent="0.2">
      <c r="A166" s="797"/>
      <c r="B166" s="800"/>
      <c r="C166" s="420" t="s">
        <v>1895</v>
      </c>
      <c r="D166" s="797"/>
      <c r="E166" s="803"/>
    </row>
    <row r="167" spans="1:5" s="431" customFormat="1" x14ac:dyDescent="0.2">
      <c r="A167" s="798"/>
      <c r="B167" s="801"/>
      <c r="C167" s="422" t="s">
        <v>1917</v>
      </c>
      <c r="D167" s="798"/>
      <c r="E167" s="804"/>
    </row>
    <row r="168" spans="1:5" s="431" customFormat="1" x14ac:dyDescent="0.2">
      <c r="A168" s="811" t="s">
        <v>2004</v>
      </c>
      <c r="B168" s="812"/>
      <c r="C168" s="812"/>
      <c r="D168" s="812"/>
      <c r="E168" s="813"/>
    </row>
    <row r="169" spans="1:5" s="431" customFormat="1" ht="63.75" x14ac:dyDescent="0.2">
      <c r="A169" s="796">
        <v>1</v>
      </c>
      <c r="B169" s="799" t="s">
        <v>1994</v>
      </c>
      <c r="C169" s="420" t="s">
        <v>1955</v>
      </c>
      <c r="D169" s="796" t="s">
        <v>1995</v>
      </c>
      <c r="E169" s="802">
        <v>2042760</v>
      </c>
    </row>
    <row r="170" spans="1:5" s="431" customFormat="1" x14ac:dyDescent="0.2">
      <c r="A170" s="797"/>
      <c r="B170" s="800"/>
      <c r="C170" s="420" t="s">
        <v>1895</v>
      </c>
      <c r="D170" s="797"/>
      <c r="E170" s="803"/>
    </row>
    <row r="171" spans="1:5" s="431" customFormat="1" x14ac:dyDescent="0.2">
      <c r="A171" s="797"/>
      <c r="B171" s="800"/>
      <c r="C171" s="420" t="s">
        <v>1917</v>
      </c>
      <c r="D171" s="797"/>
      <c r="E171" s="803"/>
    </row>
    <row r="172" spans="1:5" s="431" customFormat="1" x14ac:dyDescent="0.2">
      <c r="A172" s="797"/>
      <c r="B172" s="800"/>
      <c r="C172" s="420" t="s">
        <v>1921</v>
      </c>
      <c r="D172" s="797"/>
      <c r="E172" s="803"/>
    </row>
    <row r="173" spans="1:5" s="431" customFormat="1" x14ac:dyDescent="0.2">
      <c r="A173" s="798"/>
      <c r="B173" s="801"/>
      <c r="C173" s="422" t="s">
        <v>1996</v>
      </c>
      <c r="D173" s="798"/>
      <c r="E173" s="804"/>
    </row>
    <row r="174" spans="1:5" s="431" customFormat="1" ht="63.75" x14ac:dyDescent="0.2">
      <c r="A174" s="796">
        <v>2</v>
      </c>
      <c r="B174" s="799" t="s">
        <v>1997</v>
      </c>
      <c r="C174" s="420" t="s">
        <v>1955</v>
      </c>
      <c r="D174" s="796" t="s">
        <v>1998</v>
      </c>
      <c r="E174" s="802">
        <v>596494</v>
      </c>
    </row>
    <row r="175" spans="1:5" s="431" customFormat="1" x14ac:dyDescent="0.2">
      <c r="A175" s="797"/>
      <c r="B175" s="800"/>
      <c r="C175" s="420" t="s">
        <v>1895</v>
      </c>
      <c r="D175" s="797"/>
      <c r="E175" s="803"/>
    </row>
    <row r="176" spans="1:5" s="431" customFormat="1" x14ac:dyDescent="0.2">
      <c r="A176" s="797"/>
      <c r="B176" s="800"/>
      <c r="C176" s="420" t="s">
        <v>1917</v>
      </c>
      <c r="D176" s="797"/>
      <c r="E176" s="803"/>
    </row>
    <row r="177" spans="1:5" s="431" customFormat="1" x14ac:dyDescent="0.2">
      <c r="A177" s="797"/>
      <c r="B177" s="800"/>
      <c r="C177" s="420" t="s">
        <v>1929</v>
      </c>
      <c r="D177" s="797"/>
      <c r="E177" s="803"/>
    </row>
    <row r="178" spans="1:5" s="431" customFormat="1" x14ac:dyDescent="0.2">
      <c r="A178" s="798"/>
      <c r="B178" s="801"/>
      <c r="C178" s="422" t="s">
        <v>1999</v>
      </c>
      <c r="D178" s="798"/>
      <c r="E178" s="804"/>
    </row>
    <row r="179" spans="1:5" s="431" customFormat="1" ht="38.25" x14ac:dyDescent="0.2">
      <c r="A179" s="796">
        <v>3</v>
      </c>
      <c r="B179" s="799" t="s">
        <v>2000</v>
      </c>
      <c r="C179" s="420" t="s">
        <v>1931</v>
      </c>
      <c r="D179" s="796" t="s">
        <v>2001</v>
      </c>
      <c r="E179" s="802">
        <v>298327</v>
      </c>
    </row>
    <row r="180" spans="1:5" s="431" customFormat="1" x14ac:dyDescent="0.2">
      <c r="A180" s="797"/>
      <c r="B180" s="800"/>
      <c r="C180" s="420" t="s">
        <v>1895</v>
      </c>
      <c r="D180" s="797"/>
      <c r="E180" s="803"/>
    </row>
    <row r="181" spans="1:5" s="431" customFormat="1" x14ac:dyDescent="0.2">
      <c r="A181" s="797"/>
      <c r="B181" s="800"/>
      <c r="C181" s="420" t="s">
        <v>1917</v>
      </c>
      <c r="D181" s="797"/>
      <c r="E181" s="803"/>
    </row>
    <row r="182" spans="1:5" s="431" customFormat="1" x14ac:dyDescent="0.2">
      <c r="A182" s="797"/>
      <c r="B182" s="800"/>
      <c r="C182" s="420" t="s">
        <v>2002</v>
      </c>
      <c r="D182" s="797"/>
      <c r="E182" s="803"/>
    </row>
    <row r="183" spans="1:5" s="431" customFormat="1" x14ac:dyDescent="0.2">
      <c r="A183" s="798"/>
      <c r="B183" s="801"/>
      <c r="C183" s="422" t="s">
        <v>1934</v>
      </c>
      <c r="D183" s="798"/>
      <c r="E183" s="804"/>
    </row>
    <row r="184" spans="1:5" s="431" customFormat="1" ht="51" x14ac:dyDescent="0.2">
      <c r="A184" s="796">
        <v>4</v>
      </c>
      <c r="B184" s="799" t="s">
        <v>1935</v>
      </c>
      <c r="C184" s="420" t="s">
        <v>1976</v>
      </c>
      <c r="D184" s="796" t="s">
        <v>2003</v>
      </c>
      <c r="E184" s="802">
        <v>330384</v>
      </c>
    </row>
    <row r="185" spans="1:5" s="431" customFormat="1" x14ac:dyDescent="0.2">
      <c r="A185" s="797"/>
      <c r="B185" s="800"/>
      <c r="C185" s="420" t="s">
        <v>1895</v>
      </c>
      <c r="D185" s="797"/>
      <c r="E185" s="803"/>
    </row>
    <row r="186" spans="1:5" s="431" customFormat="1" x14ac:dyDescent="0.2">
      <c r="A186" s="798"/>
      <c r="B186" s="801"/>
      <c r="C186" s="422" t="s">
        <v>1917</v>
      </c>
      <c r="D186" s="798"/>
      <c r="E186" s="804"/>
    </row>
    <row r="187" spans="1:5" s="431" customFormat="1" x14ac:dyDescent="0.2">
      <c r="A187" s="811" t="s">
        <v>2005</v>
      </c>
      <c r="B187" s="812"/>
      <c r="C187" s="812"/>
      <c r="D187" s="812"/>
      <c r="E187" s="813"/>
    </row>
    <row r="188" spans="1:5" s="431" customFormat="1" x14ac:dyDescent="0.2">
      <c r="A188" s="811" t="s">
        <v>2006</v>
      </c>
      <c r="B188" s="812"/>
      <c r="C188" s="812"/>
      <c r="D188" s="812"/>
      <c r="E188" s="813"/>
    </row>
    <row r="189" spans="1:5" s="431" customFormat="1" ht="63.75" x14ac:dyDescent="0.2">
      <c r="A189" s="796">
        <v>1</v>
      </c>
      <c r="B189" s="799" t="s">
        <v>1914</v>
      </c>
      <c r="C189" s="420" t="s">
        <v>1915</v>
      </c>
      <c r="D189" s="796" t="s">
        <v>1978</v>
      </c>
      <c r="E189" s="802">
        <v>155943</v>
      </c>
    </row>
    <row r="190" spans="1:5" s="431" customFormat="1" x14ac:dyDescent="0.2">
      <c r="A190" s="797"/>
      <c r="B190" s="800"/>
      <c r="C190" s="420" t="s">
        <v>1895</v>
      </c>
      <c r="D190" s="797"/>
      <c r="E190" s="803"/>
    </row>
    <row r="191" spans="1:5" s="431" customFormat="1" x14ac:dyDescent="0.2">
      <c r="A191" s="798"/>
      <c r="B191" s="801"/>
      <c r="C191" s="422" t="s">
        <v>1917</v>
      </c>
      <c r="D191" s="798"/>
      <c r="E191" s="804"/>
    </row>
    <row r="192" spans="1:5" s="431" customFormat="1" ht="63.75" x14ac:dyDescent="0.2">
      <c r="A192" s="796">
        <v>2</v>
      </c>
      <c r="B192" s="799" t="s">
        <v>2007</v>
      </c>
      <c r="C192" s="420" t="s">
        <v>1927</v>
      </c>
      <c r="D192" s="796" t="s">
        <v>2008</v>
      </c>
      <c r="E192" s="802">
        <v>31889</v>
      </c>
    </row>
    <row r="193" spans="1:5" s="431" customFormat="1" x14ac:dyDescent="0.2">
      <c r="A193" s="797"/>
      <c r="B193" s="800"/>
      <c r="C193" s="420" t="s">
        <v>1895</v>
      </c>
      <c r="D193" s="797"/>
      <c r="E193" s="803"/>
    </row>
    <row r="194" spans="1:5" s="431" customFormat="1" x14ac:dyDescent="0.2">
      <c r="A194" s="797"/>
      <c r="B194" s="800"/>
      <c r="C194" s="420" t="s">
        <v>1917</v>
      </c>
      <c r="D194" s="797"/>
      <c r="E194" s="803"/>
    </row>
    <row r="195" spans="1:5" s="431" customFormat="1" x14ac:dyDescent="0.2">
      <c r="A195" s="798"/>
      <c r="B195" s="801"/>
      <c r="C195" s="422" t="s">
        <v>1921</v>
      </c>
      <c r="D195" s="798"/>
      <c r="E195" s="804"/>
    </row>
    <row r="196" spans="1:5" s="431" customFormat="1" ht="51" x14ac:dyDescent="0.2">
      <c r="A196" s="796">
        <v>3</v>
      </c>
      <c r="B196" s="799" t="s">
        <v>2009</v>
      </c>
      <c r="C196" s="420" t="s">
        <v>1923</v>
      </c>
      <c r="D196" s="796" t="s">
        <v>2010</v>
      </c>
      <c r="E196" s="802">
        <v>88524</v>
      </c>
    </row>
    <row r="197" spans="1:5" s="431" customFormat="1" x14ac:dyDescent="0.2">
      <c r="A197" s="797"/>
      <c r="B197" s="800"/>
      <c r="C197" s="420" t="s">
        <v>1895</v>
      </c>
      <c r="D197" s="797"/>
      <c r="E197" s="803"/>
    </row>
    <row r="198" spans="1:5" s="431" customFormat="1" x14ac:dyDescent="0.2">
      <c r="A198" s="797"/>
      <c r="B198" s="800"/>
      <c r="C198" s="420" t="s">
        <v>1917</v>
      </c>
      <c r="D198" s="797"/>
      <c r="E198" s="803"/>
    </row>
    <row r="199" spans="1:5" s="431" customFormat="1" x14ac:dyDescent="0.2">
      <c r="A199" s="798"/>
      <c r="B199" s="801"/>
      <c r="C199" s="422" t="s">
        <v>2011</v>
      </c>
      <c r="D199" s="798"/>
      <c r="E199" s="804"/>
    </row>
    <row r="200" spans="1:5" s="431" customFormat="1" ht="63.75" x14ac:dyDescent="0.2">
      <c r="A200" s="796">
        <v>4</v>
      </c>
      <c r="B200" s="799" t="s">
        <v>2012</v>
      </c>
      <c r="C200" s="420" t="s">
        <v>1955</v>
      </c>
      <c r="D200" s="796" t="s">
        <v>2013</v>
      </c>
      <c r="E200" s="802">
        <v>1858596</v>
      </c>
    </row>
    <row r="201" spans="1:5" s="431" customFormat="1" x14ac:dyDescent="0.2">
      <c r="A201" s="797"/>
      <c r="B201" s="800"/>
      <c r="C201" s="420" t="s">
        <v>1895</v>
      </c>
      <c r="D201" s="797"/>
      <c r="E201" s="803"/>
    </row>
    <row r="202" spans="1:5" s="431" customFormat="1" x14ac:dyDescent="0.2">
      <c r="A202" s="797"/>
      <c r="B202" s="800"/>
      <c r="C202" s="420" t="s">
        <v>1917</v>
      </c>
      <c r="D202" s="797"/>
      <c r="E202" s="803"/>
    </row>
    <row r="203" spans="1:5" s="431" customFormat="1" x14ac:dyDescent="0.2">
      <c r="A203" s="797"/>
      <c r="B203" s="800"/>
      <c r="C203" s="420" t="s">
        <v>1929</v>
      </c>
      <c r="D203" s="797"/>
      <c r="E203" s="803"/>
    </row>
    <row r="204" spans="1:5" s="431" customFormat="1" x14ac:dyDescent="0.2">
      <c r="A204" s="798"/>
      <c r="B204" s="801"/>
      <c r="C204" s="422" t="s">
        <v>2014</v>
      </c>
      <c r="D204" s="798"/>
      <c r="E204" s="804"/>
    </row>
    <row r="205" spans="1:5" s="431" customFormat="1" ht="38.25" x14ac:dyDescent="0.2">
      <c r="A205" s="796">
        <v>5</v>
      </c>
      <c r="B205" s="799" t="s">
        <v>2015</v>
      </c>
      <c r="C205" s="420" t="s">
        <v>1931</v>
      </c>
      <c r="D205" s="796" t="s">
        <v>2016</v>
      </c>
      <c r="E205" s="802">
        <v>590458</v>
      </c>
    </row>
    <row r="206" spans="1:5" s="431" customFormat="1" x14ac:dyDescent="0.2">
      <c r="A206" s="797"/>
      <c r="B206" s="800"/>
      <c r="C206" s="420" t="s">
        <v>1895</v>
      </c>
      <c r="D206" s="797"/>
      <c r="E206" s="803"/>
    </row>
    <row r="207" spans="1:5" s="431" customFormat="1" x14ac:dyDescent="0.2">
      <c r="A207" s="797"/>
      <c r="B207" s="800"/>
      <c r="C207" s="420" t="s">
        <v>1917</v>
      </c>
      <c r="D207" s="797"/>
      <c r="E207" s="803"/>
    </row>
    <row r="208" spans="1:5" s="431" customFormat="1" x14ac:dyDescent="0.2">
      <c r="A208" s="797"/>
      <c r="B208" s="800"/>
      <c r="C208" s="420" t="s">
        <v>2017</v>
      </c>
      <c r="D208" s="797"/>
      <c r="E208" s="803"/>
    </row>
    <row r="209" spans="1:5" s="431" customFormat="1" x14ac:dyDescent="0.2">
      <c r="A209" s="798"/>
      <c r="B209" s="801"/>
      <c r="C209" s="422" t="s">
        <v>1934</v>
      </c>
      <c r="D209" s="798"/>
      <c r="E209" s="804"/>
    </row>
    <row r="210" spans="1:5" s="431" customFormat="1" ht="51" x14ac:dyDescent="0.2">
      <c r="A210" s="796">
        <v>6</v>
      </c>
      <c r="B210" s="799" t="s">
        <v>2018</v>
      </c>
      <c r="C210" s="420" t="s">
        <v>1976</v>
      </c>
      <c r="D210" s="796" t="s">
        <v>2019</v>
      </c>
      <c r="E210" s="802">
        <v>1574405</v>
      </c>
    </row>
    <row r="211" spans="1:5" s="431" customFormat="1" x14ac:dyDescent="0.2">
      <c r="A211" s="797"/>
      <c r="B211" s="800"/>
      <c r="C211" s="420" t="s">
        <v>1895</v>
      </c>
      <c r="D211" s="797"/>
      <c r="E211" s="803"/>
    </row>
    <row r="212" spans="1:5" s="431" customFormat="1" x14ac:dyDescent="0.2">
      <c r="A212" s="798"/>
      <c r="B212" s="801"/>
      <c r="C212" s="422" t="s">
        <v>1917</v>
      </c>
      <c r="D212" s="798"/>
      <c r="E212" s="804"/>
    </row>
    <row r="213" spans="1:5" s="431" customFormat="1" x14ac:dyDescent="0.2">
      <c r="A213" s="811" t="s">
        <v>2020</v>
      </c>
      <c r="B213" s="812"/>
      <c r="C213" s="812"/>
      <c r="D213" s="812"/>
      <c r="E213" s="813"/>
    </row>
    <row r="214" spans="1:5" s="431" customFormat="1" ht="63.75" x14ac:dyDescent="0.2">
      <c r="A214" s="796">
        <v>1</v>
      </c>
      <c r="B214" s="799" t="s">
        <v>2021</v>
      </c>
      <c r="C214" s="420" t="s">
        <v>1919</v>
      </c>
      <c r="D214" s="796" t="s">
        <v>2022</v>
      </c>
      <c r="E214" s="802">
        <v>8616</v>
      </c>
    </row>
    <row r="215" spans="1:5" s="431" customFormat="1" x14ac:dyDescent="0.2">
      <c r="A215" s="797"/>
      <c r="B215" s="800"/>
      <c r="C215" s="420" t="s">
        <v>1895</v>
      </c>
      <c r="D215" s="797"/>
      <c r="E215" s="803"/>
    </row>
    <row r="216" spans="1:5" s="431" customFormat="1" x14ac:dyDescent="0.2">
      <c r="A216" s="797"/>
      <c r="B216" s="800"/>
      <c r="C216" s="420" t="s">
        <v>1917</v>
      </c>
      <c r="D216" s="797"/>
      <c r="E216" s="803"/>
    </row>
    <row r="217" spans="1:5" s="431" customFormat="1" x14ac:dyDescent="0.2">
      <c r="A217" s="798"/>
      <c r="B217" s="801"/>
      <c r="C217" s="422" t="s">
        <v>1929</v>
      </c>
      <c r="D217" s="798"/>
      <c r="E217" s="804"/>
    </row>
    <row r="218" spans="1:5" s="431" customFormat="1" ht="38.25" x14ac:dyDescent="0.2">
      <c r="A218" s="796">
        <v>2</v>
      </c>
      <c r="B218" s="799" t="s">
        <v>1947</v>
      </c>
      <c r="C218" s="420" t="s">
        <v>1931</v>
      </c>
      <c r="D218" s="796" t="s">
        <v>2023</v>
      </c>
      <c r="E218" s="802">
        <v>132787</v>
      </c>
    </row>
    <row r="219" spans="1:5" s="431" customFormat="1" x14ac:dyDescent="0.2">
      <c r="A219" s="797"/>
      <c r="B219" s="800"/>
      <c r="C219" s="420" t="s">
        <v>1895</v>
      </c>
      <c r="D219" s="797"/>
      <c r="E219" s="803"/>
    </row>
    <row r="220" spans="1:5" s="431" customFormat="1" x14ac:dyDescent="0.2">
      <c r="A220" s="797"/>
      <c r="B220" s="800"/>
      <c r="C220" s="420" t="s">
        <v>1917</v>
      </c>
      <c r="D220" s="797"/>
      <c r="E220" s="803"/>
    </row>
    <row r="221" spans="1:5" s="431" customFormat="1" x14ac:dyDescent="0.2">
      <c r="A221" s="797"/>
      <c r="B221" s="800"/>
      <c r="C221" s="420" t="s">
        <v>1949</v>
      </c>
      <c r="D221" s="797"/>
      <c r="E221" s="803"/>
    </row>
    <row r="222" spans="1:5" s="431" customFormat="1" x14ac:dyDescent="0.2">
      <c r="A222" s="798"/>
      <c r="B222" s="801"/>
      <c r="C222" s="422" t="s">
        <v>1934</v>
      </c>
      <c r="D222" s="798"/>
      <c r="E222" s="804"/>
    </row>
    <row r="223" spans="1:5" s="431" customFormat="1" ht="51" x14ac:dyDescent="0.2">
      <c r="A223" s="796">
        <v>3</v>
      </c>
      <c r="B223" s="799" t="s">
        <v>2024</v>
      </c>
      <c r="C223" s="420" t="s">
        <v>1936</v>
      </c>
      <c r="D223" s="796" t="s">
        <v>2025</v>
      </c>
      <c r="E223" s="802">
        <v>36167</v>
      </c>
    </row>
    <row r="224" spans="1:5" s="431" customFormat="1" x14ac:dyDescent="0.2">
      <c r="A224" s="797"/>
      <c r="B224" s="800"/>
      <c r="C224" s="420" t="s">
        <v>1895</v>
      </c>
      <c r="D224" s="797"/>
      <c r="E224" s="803"/>
    </row>
    <row r="225" spans="1:5" s="431" customFormat="1" x14ac:dyDescent="0.2">
      <c r="A225" s="798"/>
      <c r="B225" s="801"/>
      <c r="C225" s="422" t="s">
        <v>1917</v>
      </c>
      <c r="D225" s="798"/>
      <c r="E225" s="804"/>
    </row>
    <row r="226" spans="1:5" s="431" customFormat="1" x14ac:dyDescent="0.2">
      <c r="A226" s="811" t="s">
        <v>2026</v>
      </c>
      <c r="B226" s="812"/>
      <c r="C226" s="812"/>
      <c r="D226" s="812"/>
      <c r="E226" s="813"/>
    </row>
    <row r="227" spans="1:5" s="431" customFormat="1" ht="63.75" x14ac:dyDescent="0.2">
      <c r="A227" s="796">
        <v>1</v>
      </c>
      <c r="B227" s="799" t="s">
        <v>2021</v>
      </c>
      <c r="C227" s="420" t="s">
        <v>1919</v>
      </c>
      <c r="D227" s="796" t="s">
        <v>2022</v>
      </c>
      <c r="E227" s="802">
        <v>8616</v>
      </c>
    </row>
    <row r="228" spans="1:5" s="431" customFormat="1" x14ac:dyDescent="0.2">
      <c r="A228" s="797"/>
      <c r="B228" s="800"/>
      <c r="C228" s="420" t="s">
        <v>1895</v>
      </c>
      <c r="D228" s="797"/>
      <c r="E228" s="803"/>
    </row>
    <row r="229" spans="1:5" s="431" customFormat="1" x14ac:dyDescent="0.2">
      <c r="A229" s="797"/>
      <c r="B229" s="800"/>
      <c r="C229" s="420" t="s">
        <v>1917</v>
      </c>
      <c r="D229" s="797"/>
      <c r="E229" s="803"/>
    </row>
    <row r="230" spans="1:5" s="431" customFormat="1" x14ac:dyDescent="0.2">
      <c r="A230" s="798"/>
      <c r="B230" s="801"/>
      <c r="C230" s="422" t="s">
        <v>1929</v>
      </c>
      <c r="D230" s="798"/>
      <c r="E230" s="804"/>
    </row>
    <row r="231" spans="1:5" s="431" customFormat="1" ht="38.25" x14ac:dyDescent="0.2">
      <c r="A231" s="796">
        <v>2</v>
      </c>
      <c r="B231" s="799" t="s">
        <v>1947</v>
      </c>
      <c r="C231" s="420" t="s">
        <v>1931</v>
      </c>
      <c r="D231" s="796" t="s">
        <v>2023</v>
      </c>
      <c r="E231" s="802">
        <v>132787</v>
      </c>
    </row>
    <row r="232" spans="1:5" s="431" customFormat="1" x14ac:dyDescent="0.2">
      <c r="A232" s="797"/>
      <c r="B232" s="800"/>
      <c r="C232" s="420" t="s">
        <v>1895</v>
      </c>
      <c r="D232" s="797"/>
      <c r="E232" s="803"/>
    </row>
    <row r="233" spans="1:5" s="431" customFormat="1" x14ac:dyDescent="0.2">
      <c r="A233" s="797"/>
      <c r="B233" s="800"/>
      <c r="C233" s="420" t="s">
        <v>1917</v>
      </c>
      <c r="D233" s="797"/>
      <c r="E233" s="803"/>
    </row>
    <row r="234" spans="1:5" s="431" customFormat="1" x14ac:dyDescent="0.2">
      <c r="A234" s="797"/>
      <c r="B234" s="800"/>
      <c r="C234" s="420" t="s">
        <v>1949</v>
      </c>
      <c r="D234" s="797"/>
      <c r="E234" s="803"/>
    </row>
    <row r="235" spans="1:5" s="431" customFormat="1" x14ac:dyDescent="0.2">
      <c r="A235" s="798"/>
      <c r="B235" s="801"/>
      <c r="C235" s="422" t="s">
        <v>1934</v>
      </c>
      <c r="D235" s="798"/>
      <c r="E235" s="804"/>
    </row>
    <row r="236" spans="1:5" s="431" customFormat="1" ht="51" x14ac:dyDescent="0.2">
      <c r="A236" s="796">
        <v>3</v>
      </c>
      <c r="B236" s="799" t="s">
        <v>2027</v>
      </c>
      <c r="C236" s="420" t="s">
        <v>1936</v>
      </c>
      <c r="D236" s="796" t="s">
        <v>2028</v>
      </c>
      <c r="E236" s="802">
        <v>39673</v>
      </c>
    </row>
    <row r="237" spans="1:5" s="431" customFormat="1" x14ac:dyDescent="0.2">
      <c r="A237" s="797"/>
      <c r="B237" s="800"/>
      <c r="C237" s="420" t="s">
        <v>1895</v>
      </c>
      <c r="D237" s="797"/>
      <c r="E237" s="803"/>
    </row>
    <row r="238" spans="1:5" s="431" customFormat="1" x14ac:dyDescent="0.2">
      <c r="A238" s="798"/>
      <c r="B238" s="801"/>
      <c r="C238" s="422" t="s">
        <v>1917</v>
      </c>
      <c r="D238" s="798"/>
      <c r="E238" s="804"/>
    </row>
    <row r="239" spans="1:5" s="431" customFormat="1" x14ac:dyDescent="0.2">
      <c r="A239" s="811" t="s">
        <v>2029</v>
      </c>
      <c r="B239" s="812"/>
      <c r="C239" s="812"/>
      <c r="D239" s="812"/>
      <c r="E239" s="813"/>
    </row>
    <row r="240" spans="1:5" s="431" customFormat="1" ht="63.75" x14ac:dyDescent="0.2">
      <c r="A240" s="796">
        <v>1</v>
      </c>
      <c r="B240" s="799" t="s">
        <v>1914</v>
      </c>
      <c r="C240" s="420" t="s">
        <v>1915</v>
      </c>
      <c r="D240" s="796" t="s">
        <v>1978</v>
      </c>
      <c r="E240" s="802">
        <v>155943</v>
      </c>
    </row>
    <row r="241" spans="1:5" s="431" customFormat="1" x14ac:dyDescent="0.2">
      <c r="A241" s="797"/>
      <c r="B241" s="800"/>
      <c r="C241" s="420" t="s">
        <v>1895</v>
      </c>
      <c r="D241" s="797"/>
      <c r="E241" s="803"/>
    </row>
    <row r="242" spans="1:5" s="431" customFormat="1" x14ac:dyDescent="0.2">
      <c r="A242" s="798"/>
      <c r="B242" s="801"/>
      <c r="C242" s="422" t="s">
        <v>1917</v>
      </c>
      <c r="D242" s="798"/>
      <c r="E242" s="804"/>
    </row>
    <row r="243" spans="1:5" s="431" customFormat="1" ht="63.75" x14ac:dyDescent="0.2">
      <c r="A243" s="796">
        <v>2</v>
      </c>
      <c r="B243" s="799" t="s">
        <v>2007</v>
      </c>
      <c r="C243" s="420" t="s">
        <v>1927</v>
      </c>
      <c r="D243" s="796" t="s">
        <v>2008</v>
      </c>
      <c r="E243" s="802">
        <v>31889</v>
      </c>
    </row>
    <row r="244" spans="1:5" s="431" customFormat="1" x14ac:dyDescent="0.2">
      <c r="A244" s="797"/>
      <c r="B244" s="800"/>
      <c r="C244" s="420" t="s">
        <v>1895</v>
      </c>
      <c r="D244" s="797"/>
      <c r="E244" s="803"/>
    </row>
    <row r="245" spans="1:5" s="431" customFormat="1" x14ac:dyDescent="0.2">
      <c r="A245" s="797"/>
      <c r="B245" s="800"/>
      <c r="C245" s="420" t="s">
        <v>1917</v>
      </c>
      <c r="D245" s="797"/>
      <c r="E245" s="803"/>
    </row>
    <row r="246" spans="1:5" s="431" customFormat="1" x14ac:dyDescent="0.2">
      <c r="A246" s="798"/>
      <c r="B246" s="801"/>
      <c r="C246" s="422" t="s">
        <v>1921</v>
      </c>
      <c r="D246" s="798"/>
      <c r="E246" s="804"/>
    </row>
    <row r="247" spans="1:5" s="431" customFormat="1" ht="51" x14ac:dyDescent="0.2">
      <c r="A247" s="796">
        <v>3</v>
      </c>
      <c r="B247" s="799" t="s">
        <v>2030</v>
      </c>
      <c r="C247" s="420" t="s">
        <v>1923</v>
      </c>
      <c r="D247" s="796" t="s">
        <v>2010</v>
      </c>
      <c r="E247" s="802">
        <v>88524</v>
      </c>
    </row>
    <row r="248" spans="1:5" s="431" customFormat="1" x14ac:dyDescent="0.2">
      <c r="A248" s="797"/>
      <c r="B248" s="800"/>
      <c r="C248" s="420" t="s">
        <v>1895</v>
      </c>
      <c r="D248" s="797"/>
      <c r="E248" s="803"/>
    </row>
    <row r="249" spans="1:5" s="431" customFormat="1" x14ac:dyDescent="0.2">
      <c r="A249" s="797"/>
      <c r="B249" s="800"/>
      <c r="C249" s="420" t="s">
        <v>1917</v>
      </c>
      <c r="D249" s="797"/>
      <c r="E249" s="803"/>
    </row>
    <row r="250" spans="1:5" s="431" customFormat="1" x14ac:dyDescent="0.2">
      <c r="A250" s="798"/>
      <c r="B250" s="801"/>
      <c r="C250" s="422" t="s">
        <v>2011</v>
      </c>
      <c r="D250" s="798"/>
      <c r="E250" s="804"/>
    </row>
    <row r="251" spans="1:5" s="431" customFormat="1" ht="63.75" x14ac:dyDescent="0.2">
      <c r="A251" s="796">
        <v>4</v>
      </c>
      <c r="B251" s="799" t="s">
        <v>2031</v>
      </c>
      <c r="C251" s="420" t="s">
        <v>1955</v>
      </c>
      <c r="D251" s="796" t="s">
        <v>2032</v>
      </c>
      <c r="E251" s="802">
        <v>3391148</v>
      </c>
    </row>
    <row r="252" spans="1:5" s="431" customFormat="1" x14ac:dyDescent="0.2">
      <c r="A252" s="797"/>
      <c r="B252" s="800"/>
      <c r="C252" s="420" t="s">
        <v>1895</v>
      </c>
      <c r="D252" s="797"/>
      <c r="E252" s="803"/>
    </row>
    <row r="253" spans="1:5" s="431" customFormat="1" x14ac:dyDescent="0.2">
      <c r="A253" s="797"/>
      <c r="B253" s="800"/>
      <c r="C253" s="420" t="s">
        <v>1917</v>
      </c>
      <c r="D253" s="797"/>
      <c r="E253" s="803"/>
    </row>
    <row r="254" spans="1:5" s="431" customFormat="1" x14ac:dyDescent="0.2">
      <c r="A254" s="797"/>
      <c r="B254" s="800"/>
      <c r="C254" s="420" t="s">
        <v>1929</v>
      </c>
      <c r="D254" s="797"/>
      <c r="E254" s="803"/>
    </row>
    <row r="255" spans="1:5" s="431" customFormat="1" x14ac:dyDescent="0.2">
      <c r="A255" s="798"/>
      <c r="B255" s="801"/>
      <c r="C255" s="422" t="s">
        <v>2033</v>
      </c>
      <c r="D255" s="798"/>
      <c r="E255" s="804"/>
    </row>
    <row r="256" spans="1:5" s="431" customFormat="1" ht="38.25" x14ac:dyDescent="0.2">
      <c r="A256" s="796">
        <v>5</v>
      </c>
      <c r="B256" s="799" t="s">
        <v>2034</v>
      </c>
      <c r="C256" s="420" t="s">
        <v>1931</v>
      </c>
      <c r="D256" s="796" t="s">
        <v>2035</v>
      </c>
      <c r="E256" s="802">
        <v>1785538</v>
      </c>
    </row>
    <row r="257" spans="1:5" s="431" customFormat="1" x14ac:dyDescent="0.2">
      <c r="A257" s="797"/>
      <c r="B257" s="800"/>
      <c r="C257" s="420" t="s">
        <v>1895</v>
      </c>
      <c r="D257" s="797"/>
      <c r="E257" s="803"/>
    </row>
    <row r="258" spans="1:5" s="431" customFormat="1" x14ac:dyDescent="0.2">
      <c r="A258" s="797"/>
      <c r="B258" s="800"/>
      <c r="C258" s="420" t="s">
        <v>1917</v>
      </c>
      <c r="D258" s="797"/>
      <c r="E258" s="803"/>
    </row>
    <row r="259" spans="1:5" s="431" customFormat="1" x14ac:dyDescent="0.2">
      <c r="A259" s="797"/>
      <c r="B259" s="800"/>
      <c r="C259" s="420" t="s">
        <v>2036</v>
      </c>
      <c r="D259" s="797"/>
      <c r="E259" s="803"/>
    </row>
    <row r="260" spans="1:5" s="431" customFormat="1" x14ac:dyDescent="0.2">
      <c r="A260" s="798"/>
      <c r="B260" s="801"/>
      <c r="C260" s="422" t="s">
        <v>1934</v>
      </c>
      <c r="D260" s="798"/>
      <c r="E260" s="804"/>
    </row>
    <row r="261" spans="1:5" s="431" customFormat="1" ht="51" x14ac:dyDescent="0.2">
      <c r="A261" s="796">
        <v>6</v>
      </c>
      <c r="B261" s="799" t="s">
        <v>2037</v>
      </c>
      <c r="C261" s="420" t="s">
        <v>1976</v>
      </c>
      <c r="D261" s="796" t="s">
        <v>2038</v>
      </c>
      <c r="E261" s="802">
        <v>2148568</v>
      </c>
    </row>
    <row r="262" spans="1:5" s="431" customFormat="1" x14ac:dyDescent="0.2">
      <c r="A262" s="797"/>
      <c r="B262" s="800"/>
      <c r="C262" s="420" t="s">
        <v>1895</v>
      </c>
      <c r="D262" s="797"/>
      <c r="E262" s="803"/>
    </row>
    <row r="263" spans="1:5" s="431" customFormat="1" x14ac:dyDescent="0.2">
      <c r="A263" s="798"/>
      <c r="B263" s="801"/>
      <c r="C263" s="422" t="s">
        <v>1917</v>
      </c>
      <c r="D263" s="798"/>
      <c r="E263" s="804"/>
    </row>
    <row r="264" spans="1:5" s="431" customFormat="1" x14ac:dyDescent="0.2">
      <c r="A264" s="811" t="s">
        <v>2039</v>
      </c>
      <c r="B264" s="812"/>
      <c r="C264" s="812"/>
      <c r="D264" s="812"/>
      <c r="E264" s="813"/>
    </row>
    <row r="265" spans="1:5" s="431" customFormat="1" ht="63.75" x14ac:dyDescent="0.2">
      <c r="A265" s="796">
        <v>1</v>
      </c>
      <c r="B265" s="799" t="s">
        <v>2040</v>
      </c>
      <c r="C265" s="420" t="s">
        <v>1915</v>
      </c>
      <c r="D265" s="796" t="s">
        <v>2041</v>
      </c>
      <c r="E265" s="802">
        <v>4834</v>
      </c>
    </row>
    <row r="266" spans="1:5" s="431" customFormat="1" x14ac:dyDescent="0.2">
      <c r="A266" s="797"/>
      <c r="B266" s="800"/>
      <c r="C266" s="420" t="s">
        <v>1895</v>
      </c>
      <c r="D266" s="797"/>
      <c r="E266" s="803"/>
    </row>
    <row r="267" spans="1:5" s="431" customFormat="1" x14ac:dyDescent="0.2">
      <c r="A267" s="797"/>
      <c r="B267" s="800"/>
      <c r="C267" s="420" t="s">
        <v>1917</v>
      </c>
      <c r="D267" s="797"/>
      <c r="E267" s="803"/>
    </row>
    <row r="268" spans="1:5" s="431" customFormat="1" x14ac:dyDescent="0.2">
      <c r="A268" s="798"/>
      <c r="B268" s="801"/>
      <c r="C268" s="422" t="s">
        <v>1929</v>
      </c>
      <c r="D268" s="798"/>
      <c r="E268" s="804"/>
    </row>
    <row r="269" spans="1:5" s="431" customFormat="1" ht="38.25" x14ac:dyDescent="0.2">
      <c r="A269" s="796">
        <v>2</v>
      </c>
      <c r="B269" s="799" t="s">
        <v>2042</v>
      </c>
      <c r="C269" s="420" t="s">
        <v>1931</v>
      </c>
      <c r="D269" s="796" t="s">
        <v>2043</v>
      </c>
      <c r="E269" s="802">
        <v>88524</v>
      </c>
    </row>
    <row r="270" spans="1:5" s="431" customFormat="1" x14ac:dyDescent="0.2">
      <c r="A270" s="797"/>
      <c r="B270" s="800"/>
      <c r="C270" s="420" t="s">
        <v>1895</v>
      </c>
      <c r="D270" s="797"/>
      <c r="E270" s="803"/>
    </row>
    <row r="271" spans="1:5" s="431" customFormat="1" x14ac:dyDescent="0.2">
      <c r="A271" s="797"/>
      <c r="B271" s="800"/>
      <c r="C271" s="420" t="s">
        <v>1917</v>
      </c>
      <c r="D271" s="797"/>
      <c r="E271" s="803"/>
    </row>
    <row r="272" spans="1:5" s="431" customFormat="1" x14ac:dyDescent="0.2">
      <c r="A272" s="797"/>
      <c r="B272" s="800"/>
      <c r="C272" s="420" t="s">
        <v>1943</v>
      </c>
      <c r="D272" s="797"/>
      <c r="E272" s="803"/>
    </row>
    <row r="273" spans="1:5" s="431" customFormat="1" x14ac:dyDescent="0.2">
      <c r="A273" s="798"/>
      <c r="B273" s="801"/>
      <c r="C273" s="422" t="s">
        <v>1934</v>
      </c>
      <c r="D273" s="798"/>
      <c r="E273" s="804"/>
    </row>
    <row r="274" spans="1:5" s="431" customFormat="1" ht="51" x14ac:dyDescent="0.2">
      <c r="A274" s="796">
        <v>3</v>
      </c>
      <c r="B274" s="799" t="s">
        <v>2044</v>
      </c>
      <c r="C274" s="420" t="s">
        <v>1936</v>
      </c>
      <c r="D274" s="796" t="s">
        <v>2045</v>
      </c>
      <c r="E274" s="802">
        <v>33830</v>
      </c>
    </row>
    <row r="275" spans="1:5" s="431" customFormat="1" x14ac:dyDescent="0.2">
      <c r="A275" s="797"/>
      <c r="B275" s="800"/>
      <c r="C275" s="420" t="s">
        <v>1895</v>
      </c>
      <c r="D275" s="797"/>
      <c r="E275" s="803"/>
    </row>
    <row r="276" spans="1:5" s="431" customFormat="1" x14ac:dyDescent="0.2">
      <c r="A276" s="798"/>
      <c r="B276" s="801"/>
      <c r="C276" s="422" t="s">
        <v>1917</v>
      </c>
      <c r="D276" s="798"/>
      <c r="E276" s="804"/>
    </row>
    <row r="277" spans="1:5" s="431" customFormat="1" x14ac:dyDescent="0.2">
      <c r="A277" s="811" t="s">
        <v>2046</v>
      </c>
      <c r="B277" s="812"/>
      <c r="C277" s="812"/>
      <c r="D277" s="812"/>
      <c r="E277" s="813"/>
    </row>
    <row r="278" spans="1:5" s="431" customFormat="1" ht="63.75" x14ac:dyDescent="0.2">
      <c r="A278" s="796">
        <v>1</v>
      </c>
      <c r="B278" s="799" t="s">
        <v>2021</v>
      </c>
      <c r="C278" s="420" t="s">
        <v>1919</v>
      </c>
      <c r="D278" s="796" t="s">
        <v>2022</v>
      </c>
      <c r="E278" s="802">
        <v>8616</v>
      </c>
    </row>
    <row r="279" spans="1:5" s="431" customFormat="1" x14ac:dyDescent="0.2">
      <c r="A279" s="797"/>
      <c r="B279" s="800"/>
      <c r="C279" s="420" t="s">
        <v>1895</v>
      </c>
      <c r="D279" s="797"/>
      <c r="E279" s="803"/>
    </row>
    <row r="280" spans="1:5" s="431" customFormat="1" x14ac:dyDescent="0.2">
      <c r="A280" s="797"/>
      <c r="B280" s="800"/>
      <c r="C280" s="420" t="s">
        <v>1917</v>
      </c>
      <c r="D280" s="797"/>
      <c r="E280" s="803"/>
    </row>
    <row r="281" spans="1:5" s="431" customFormat="1" x14ac:dyDescent="0.2">
      <c r="A281" s="798"/>
      <c r="B281" s="801"/>
      <c r="C281" s="422" t="s">
        <v>1929</v>
      </c>
      <c r="D281" s="798"/>
      <c r="E281" s="804"/>
    </row>
    <row r="282" spans="1:5" s="431" customFormat="1" ht="38.25" x14ac:dyDescent="0.2">
      <c r="A282" s="796">
        <v>2</v>
      </c>
      <c r="B282" s="799" t="s">
        <v>1958</v>
      </c>
      <c r="C282" s="420" t="s">
        <v>1931</v>
      </c>
      <c r="D282" s="796" t="s">
        <v>2047</v>
      </c>
      <c r="E282" s="802">
        <v>265573</v>
      </c>
    </row>
    <row r="283" spans="1:5" s="431" customFormat="1" x14ac:dyDescent="0.2">
      <c r="A283" s="797"/>
      <c r="B283" s="800"/>
      <c r="C283" s="420" t="s">
        <v>1895</v>
      </c>
      <c r="D283" s="797"/>
      <c r="E283" s="803"/>
    </row>
    <row r="284" spans="1:5" s="431" customFormat="1" x14ac:dyDescent="0.2">
      <c r="A284" s="797"/>
      <c r="B284" s="800"/>
      <c r="C284" s="420" t="s">
        <v>1917</v>
      </c>
      <c r="D284" s="797"/>
      <c r="E284" s="803"/>
    </row>
    <row r="285" spans="1:5" s="431" customFormat="1" x14ac:dyDescent="0.2">
      <c r="A285" s="797"/>
      <c r="B285" s="800"/>
      <c r="C285" s="420" t="s">
        <v>1960</v>
      </c>
      <c r="D285" s="797"/>
      <c r="E285" s="803"/>
    </row>
    <row r="286" spans="1:5" s="431" customFormat="1" x14ac:dyDescent="0.2">
      <c r="A286" s="798"/>
      <c r="B286" s="801"/>
      <c r="C286" s="422" t="s">
        <v>1934</v>
      </c>
      <c r="D286" s="798"/>
      <c r="E286" s="804"/>
    </row>
    <row r="287" spans="1:5" s="431" customFormat="1" ht="51" x14ac:dyDescent="0.2">
      <c r="A287" s="796">
        <v>3</v>
      </c>
      <c r="B287" s="799" t="s">
        <v>2048</v>
      </c>
      <c r="C287" s="420" t="s">
        <v>1936</v>
      </c>
      <c r="D287" s="796" t="s">
        <v>2049</v>
      </c>
      <c r="E287" s="802">
        <v>57201</v>
      </c>
    </row>
    <row r="288" spans="1:5" s="431" customFormat="1" x14ac:dyDescent="0.2">
      <c r="A288" s="797"/>
      <c r="B288" s="800"/>
      <c r="C288" s="420" t="s">
        <v>1895</v>
      </c>
      <c r="D288" s="797"/>
      <c r="E288" s="803"/>
    </row>
    <row r="289" spans="1:5" s="431" customFormat="1" x14ac:dyDescent="0.2">
      <c r="A289" s="798"/>
      <c r="B289" s="801"/>
      <c r="C289" s="422" t="s">
        <v>1917</v>
      </c>
      <c r="D289" s="798"/>
      <c r="E289" s="804"/>
    </row>
    <row r="290" spans="1:5" s="431" customFormat="1" x14ac:dyDescent="0.2">
      <c r="A290" s="811" t="s">
        <v>2050</v>
      </c>
      <c r="B290" s="812"/>
      <c r="C290" s="812"/>
      <c r="D290" s="812"/>
      <c r="E290" s="813"/>
    </row>
    <row r="291" spans="1:5" s="431" customFormat="1" ht="63.75" x14ac:dyDescent="0.2">
      <c r="A291" s="796">
        <v>1</v>
      </c>
      <c r="B291" s="799" t="s">
        <v>2040</v>
      </c>
      <c r="C291" s="420" t="s">
        <v>1915</v>
      </c>
      <c r="D291" s="796" t="s">
        <v>2041</v>
      </c>
      <c r="E291" s="802">
        <v>4834</v>
      </c>
    </row>
    <row r="292" spans="1:5" s="431" customFormat="1" x14ac:dyDescent="0.2">
      <c r="A292" s="797"/>
      <c r="B292" s="800"/>
      <c r="C292" s="420" t="s">
        <v>1895</v>
      </c>
      <c r="D292" s="797"/>
      <c r="E292" s="803"/>
    </row>
    <row r="293" spans="1:5" s="431" customFormat="1" x14ac:dyDescent="0.2">
      <c r="A293" s="797"/>
      <c r="B293" s="800"/>
      <c r="C293" s="420" t="s">
        <v>1917</v>
      </c>
      <c r="D293" s="797"/>
      <c r="E293" s="803"/>
    </row>
    <row r="294" spans="1:5" s="431" customFormat="1" x14ac:dyDescent="0.2">
      <c r="A294" s="798"/>
      <c r="B294" s="801"/>
      <c r="C294" s="422" t="s">
        <v>1929</v>
      </c>
      <c r="D294" s="798"/>
      <c r="E294" s="804"/>
    </row>
    <row r="295" spans="1:5" s="431" customFormat="1" ht="38.25" x14ac:dyDescent="0.2">
      <c r="A295" s="796">
        <v>2</v>
      </c>
      <c r="B295" s="799" t="s">
        <v>2042</v>
      </c>
      <c r="C295" s="420" t="s">
        <v>1931</v>
      </c>
      <c r="D295" s="796" t="s">
        <v>2043</v>
      </c>
      <c r="E295" s="802">
        <v>88524</v>
      </c>
    </row>
    <row r="296" spans="1:5" s="431" customFormat="1" x14ac:dyDescent="0.2">
      <c r="A296" s="797"/>
      <c r="B296" s="800"/>
      <c r="C296" s="420" t="s">
        <v>1895</v>
      </c>
      <c r="D296" s="797"/>
      <c r="E296" s="803"/>
    </row>
    <row r="297" spans="1:5" s="431" customFormat="1" x14ac:dyDescent="0.2">
      <c r="A297" s="797"/>
      <c r="B297" s="800"/>
      <c r="C297" s="420" t="s">
        <v>1917</v>
      </c>
      <c r="D297" s="797"/>
      <c r="E297" s="803"/>
    </row>
    <row r="298" spans="1:5" s="431" customFormat="1" x14ac:dyDescent="0.2">
      <c r="A298" s="797"/>
      <c r="B298" s="800"/>
      <c r="C298" s="420" t="s">
        <v>1943</v>
      </c>
      <c r="D298" s="797"/>
      <c r="E298" s="803"/>
    </row>
    <row r="299" spans="1:5" s="431" customFormat="1" x14ac:dyDescent="0.2">
      <c r="A299" s="798"/>
      <c r="B299" s="801"/>
      <c r="C299" s="422" t="s">
        <v>1934</v>
      </c>
      <c r="D299" s="798"/>
      <c r="E299" s="804"/>
    </row>
    <row r="300" spans="1:5" s="431" customFormat="1" ht="51" x14ac:dyDescent="0.2">
      <c r="A300" s="796">
        <v>3</v>
      </c>
      <c r="B300" s="799" t="s">
        <v>2044</v>
      </c>
      <c r="C300" s="420" t="s">
        <v>1936</v>
      </c>
      <c r="D300" s="796" t="s">
        <v>2045</v>
      </c>
      <c r="E300" s="802">
        <v>33830</v>
      </c>
    </row>
    <row r="301" spans="1:5" s="431" customFormat="1" x14ac:dyDescent="0.2">
      <c r="A301" s="797"/>
      <c r="B301" s="800"/>
      <c r="C301" s="420" t="s">
        <v>1895</v>
      </c>
      <c r="D301" s="797"/>
      <c r="E301" s="803"/>
    </row>
    <row r="302" spans="1:5" s="431" customFormat="1" x14ac:dyDescent="0.2">
      <c r="A302" s="798"/>
      <c r="B302" s="801"/>
      <c r="C302" s="422" t="s">
        <v>1917</v>
      </c>
      <c r="D302" s="798"/>
      <c r="E302" s="804"/>
    </row>
    <row r="303" spans="1:5" s="431" customFormat="1" x14ac:dyDescent="0.2">
      <c r="A303" s="811" t="s">
        <v>2051</v>
      </c>
      <c r="B303" s="812"/>
      <c r="C303" s="812"/>
      <c r="D303" s="812"/>
      <c r="E303" s="813"/>
    </row>
    <row r="304" spans="1:5" s="431" customFormat="1" ht="63.75" x14ac:dyDescent="0.2">
      <c r="A304" s="796">
        <v>1</v>
      </c>
      <c r="B304" s="799" t="s">
        <v>2021</v>
      </c>
      <c r="C304" s="420" t="s">
        <v>1919</v>
      </c>
      <c r="D304" s="796" t="s">
        <v>2022</v>
      </c>
      <c r="E304" s="802">
        <v>8616</v>
      </c>
    </row>
    <row r="305" spans="1:5" s="431" customFormat="1" x14ac:dyDescent="0.2">
      <c r="A305" s="797"/>
      <c r="B305" s="800"/>
      <c r="C305" s="420" t="s">
        <v>1895</v>
      </c>
      <c r="D305" s="797"/>
      <c r="E305" s="803"/>
    </row>
    <row r="306" spans="1:5" s="431" customFormat="1" x14ac:dyDescent="0.2">
      <c r="A306" s="797"/>
      <c r="B306" s="800"/>
      <c r="C306" s="420" t="s">
        <v>1917</v>
      </c>
      <c r="D306" s="797"/>
      <c r="E306" s="803"/>
    </row>
    <row r="307" spans="1:5" s="431" customFormat="1" x14ac:dyDescent="0.2">
      <c r="A307" s="798"/>
      <c r="B307" s="801"/>
      <c r="C307" s="422" t="s">
        <v>1929</v>
      </c>
      <c r="D307" s="798"/>
      <c r="E307" s="804"/>
    </row>
    <row r="308" spans="1:5" s="431" customFormat="1" ht="38.25" x14ac:dyDescent="0.2">
      <c r="A308" s="796">
        <v>2</v>
      </c>
      <c r="B308" s="799" t="s">
        <v>1947</v>
      </c>
      <c r="C308" s="420" t="s">
        <v>1931</v>
      </c>
      <c r="D308" s="796" t="s">
        <v>2023</v>
      </c>
      <c r="E308" s="802">
        <v>132787</v>
      </c>
    </row>
    <row r="309" spans="1:5" s="431" customFormat="1" x14ac:dyDescent="0.2">
      <c r="A309" s="797"/>
      <c r="B309" s="800"/>
      <c r="C309" s="420" t="s">
        <v>1895</v>
      </c>
      <c r="D309" s="797"/>
      <c r="E309" s="803"/>
    </row>
    <row r="310" spans="1:5" s="431" customFormat="1" x14ac:dyDescent="0.2">
      <c r="A310" s="797"/>
      <c r="B310" s="800"/>
      <c r="C310" s="420" t="s">
        <v>1917</v>
      </c>
      <c r="D310" s="797"/>
      <c r="E310" s="803"/>
    </row>
    <row r="311" spans="1:5" s="431" customFormat="1" x14ac:dyDescent="0.2">
      <c r="A311" s="797"/>
      <c r="B311" s="800"/>
      <c r="C311" s="420" t="s">
        <v>1949</v>
      </c>
      <c r="D311" s="797"/>
      <c r="E311" s="803"/>
    </row>
    <row r="312" spans="1:5" s="431" customFormat="1" x14ac:dyDescent="0.2">
      <c r="A312" s="798"/>
      <c r="B312" s="801"/>
      <c r="C312" s="422" t="s">
        <v>1934</v>
      </c>
      <c r="D312" s="798"/>
      <c r="E312" s="804"/>
    </row>
    <row r="313" spans="1:5" s="431" customFormat="1" ht="51" x14ac:dyDescent="0.2">
      <c r="A313" s="796">
        <v>3</v>
      </c>
      <c r="B313" s="799" t="s">
        <v>2027</v>
      </c>
      <c r="C313" s="420" t="s">
        <v>1936</v>
      </c>
      <c r="D313" s="796" t="s">
        <v>2028</v>
      </c>
      <c r="E313" s="802">
        <v>39673</v>
      </c>
    </row>
    <row r="314" spans="1:5" s="431" customFormat="1" x14ac:dyDescent="0.2">
      <c r="A314" s="797"/>
      <c r="B314" s="800"/>
      <c r="C314" s="420" t="s">
        <v>1895</v>
      </c>
      <c r="D314" s="797"/>
      <c r="E314" s="803"/>
    </row>
    <row r="315" spans="1:5" s="431" customFormat="1" x14ac:dyDescent="0.2">
      <c r="A315" s="798"/>
      <c r="B315" s="801"/>
      <c r="C315" s="422" t="s">
        <v>1917</v>
      </c>
      <c r="D315" s="798"/>
      <c r="E315" s="804"/>
    </row>
    <row r="316" spans="1:5" s="431" customFormat="1" x14ac:dyDescent="0.2">
      <c r="A316" s="811" t="s">
        <v>2052</v>
      </c>
      <c r="B316" s="812"/>
      <c r="C316" s="812"/>
      <c r="D316" s="812"/>
      <c r="E316" s="813"/>
    </row>
    <row r="317" spans="1:5" s="431" customFormat="1" ht="63.75" x14ac:dyDescent="0.2">
      <c r="A317" s="796">
        <v>1</v>
      </c>
      <c r="B317" s="799" t="s">
        <v>2021</v>
      </c>
      <c r="C317" s="420" t="s">
        <v>1919</v>
      </c>
      <c r="D317" s="796" t="s">
        <v>2022</v>
      </c>
      <c r="E317" s="802">
        <v>8616</v>
      </c>
    </row>
    <row r="318" spans="1:5" s="431" customFormat="1" x14ac:dyDescent="0.2">
      <c r="A318" s="797"/>
      <c r="B318" s="800"/>
      <c r="C318" s="420" t="s">
        <v>1895</v>
      </c>
      <c r="D318" s="797"/>
      <c r="E318" s="803"/>
    </row>
    <row r="319" spans="1:5" s="431" customFormat="1" x14ac:dyDescent="0.2">
      <c r="A319" s="797"/>
      <c r="B319" s="800"/>
      <c r="C319" s="420" t="s">
        <v>1917</v>
      </c>
      <c r="D319" s="797"/>
      <c r="E319" s="803"/>
    </row>
    <row r="320" spans="1:5" s="431" customFormat="1" x14ac:dyDescent="0.2">
      <c r="A320" s="798"/>
      <c r="B320" s="801"/>
      <c r="C320" s="422" t="s">
        <v>1929</v>
      </c>
      <c r="D320" s="798"/>
      <c r="E320" s="804"/>
    </row>
    <row r="321" spans="1:5" s="431" customFormat="1" ht="38.25" x14ac:dyDescent="0.2">
      <c r="A321" s="796">
        <v>2</v>
      </c>
      <c r="B321" s="799" t="s">
        <v>1947</v>
      </c>
      <c r="C321" s="420" t="s">
        <v>1931</v>
      </c>
      <c r="D321" s="796" t="s">
        <v>2023</v>
      </c>
      <c r="E321" s="802">
        <v>132787</v>
      </c>
    </row>
    <row r="322" spans="1:5" s="431" customFormat="1" x14ac:dyDescent="0.2">
      <c r="A322" s="797"/>
      <c r="B322" s="800"/>
      <c r="C322" s="420" t="s">
        <v>1895</v>
      </c>
      <c r="D322" s="797"/>
      <c r="E322" s="803"/>
    </row>
    <row r="323" spans="1:5" s="431" customFormat="1" x14ac:dyDescent="0.2">
      <c r="A323" s="797"/>
      <c r="B323" s="800"/>
      <c r="C323" s="420" t="s">
        <v>1917</v>
      </c>
      <c r="D323" s="797"/>
      <c r="E323" s="803"/>
    </row>
    <row r="324" spans="1:5" s="431" customFormat="1" x14ac:dyDescent="0.2">
      <c r="A324" s="797"/>
      <c r="B324" s="800"/>
      <c r="C324" s="420" t="s">
        <v>1949</v>
      </c>
      <c r="D324" s="797"/>
      <c r="E324" s="803"/>
    </row>
    <row r="325" spans="1:5" s="431" customFormat="1" x14ac:dyDescent="0.2">
      <c r="A325" s="798"/>
      <c r="B325" s="801"/>
      <c r="C325" s="422" t="s">
        <v>1934</v>
      </c>
      <c r="D325" s="798"/>
      <c r="E325" s="804"/>
    </row>
    <row r="326" spans="1:5" s="431" customFormat="1" ht="51" x14ac:dyDescent="0.2">
      <c r="A326" s="796">
        <v>3</v>
      </c>
      <c r="B326" s="799" t="s">
        <v>2053</v>
      </c>
      <c r="C326" s="420" t="s">
        <v>1936</v>
      </c>
      <c r="D326" s="796" t="s">
        <v>2054</v>
      </c>
      <c r="E326" s="802">
        <v>45515</v>
      </c>
    </row>
    <row r="327" spans="1:5" s="431" customFormat="1" x14ac:dyDescent="0.2">
      <c r="A327" s="797"/>
      <c r="B327" s="800"/>
      <c r="C327" s="420" t="s">
        <v>1895</v>
      </c>
      <c r="D327" s="797"/>
      <c r="E327" s="803"/>
    </row>
    <row r="328" spans="1:5" s="431" customFormat="1" x14ac:dyDescent="0.2">
      <c r="A328" s="798"/>
      <c r="B328" s="801"/>
      <c r="C328" s="422" t="s">
        <v>1917</v>
      </c>
      <c r="D328" s="798"/>
      <c r="E328" s="804"/>
    </row>
    <row r="329" spans="1:5" s="431" customFormat="1" x14ac:dyDescent="0.2">
      <c r="A329" s="811" t="s">
        <v>2055</v>
      </c>
      <c r="B329" s="812"/>
      <c r="C329" s="812"/>
      <c r="D329" s="812"/>
      <c r="E329" s="813"/>
    </row>
    <row r="330" spans="1:5" s="431" customFormat="1" ht="63.75" x14ac:dyDescent="0.2">
      <c r="A330" s="796">
        <v>1</v>
      </c>
      <c r="B330" s="799" t="s">
        <v>2040</v>
      </c>
      <c r="C330" s="420" t="s">
        <v>1915</v>
      </c>
      <c r="D330" s="796" t="s">
        <v>2041</v>
      </c>
      <c r="E330" s="802">
        <v>4834</v>
      </c>
    </row>
    <row r="331" spans="1:5" s="431" customFormat="1" x14ac:dyDescent="0.2">
      <c r="A331" s="797"/>
      <c r="B331" s="800"/>
      <c r="C331" s="420" t="s">
        <v>1895</v>
      </c>
      <c r="D331" s="797"/>
      <c r="E331" s="803"/>
    </row>
    <row r="332" spans="1:5" s="431" customFormat="1" x14ac:dyDescent="0.2">
      <c r="A332" s="797"/>
      <c r="B332" s="800"/>
      <c r="C332" s="420" t="s">
        <v>1917</v>
      </c>
      <c r="D332" s="797"/>
      <c r="E332" s="803"/>
    </row>
    <row r="333" spans="1:5" s="431" customFormat="1" x14ac:dyDescent="0.2">
      <c r="A333" s="798"/>
      <c r="B333" s="801"/>
      <c r="C333" s="422" t="s">
        <v>1929</v>
      </c>
      <c r="D333" s="798"/>
      <c r="E333" s="804"/>
    </row>
    <row r="334" spans="1:5" s="431" customFormat="1" ht="38.25" x14ac:dyDescent="0.2">
      <c r="A334" s="796">
        <v>2</v>
      </c>
      <c r="B334" s="799" t="s">
        <v>2042</v>
      </c>
      <c r="C334" s="420" t="s">
        <v>1931</v>
      </c>
      <c r="D334" s="796" t="s">
        <v>2043</v>
      </c>
      <c r="E334" s="802">
        <v>88524</v>
      </c>
    </row>
    <row r="335" spans="1:5" s="431" customFormat="1" x14ac:dyDescent="0.2">
      <c r="A335" s="797"/>
      <c r="B335" s="800"/>
      <c r="C335" s="420" t="s">
        <v>1895</v>
      </c>
      <c r="D335" s="797"/>
      <c r="E335" s="803"/>
    </row>
    <row r="336" spans="1:5" s="431" customFormat="1" x14ac:dyDescent="0.2">
      <c r="A336" s="797"/>
      <c r="B336" s="800"/>
      <c r="C336" s="420" t="s">
        <v>1917</v>
      </c>
      <c r="D336" s="797"/>
      <c r="E336" s="803"/>
    </row>
    <row r="337" spans="1:5" s="431" customFormat="1" x14ac:dyDescent="0.2">
      <c r="A337" s="797"/>
      <c r="B337" s="800"/>
      <c r="C337" s="420" t="s">
        <v>1943</v>
      </c>
      <c r="D337" s="797"/>
      <c r="E337" s="803"/>
    </row>
    <row r="338" spans="1:5" s="431" customFormat="1" x14ac:dyDescent="0.2">
      <c r="A338" s="798"/>
      <c r="B338" s="801"/>
      <c r="C338" s="422" t="s">
        <v>1934</v>
      </c>
      <c r="D338" s="798"/>
      <c r="E338" s="804"/>
    </row>
    <row r="339" spans="1:5" s="431" customFormat="1" ht="51" x14ac:dyDescent="0.2">
      <c r="A339" s="796">
        <v>3</v>
      </c>
      <c r="B339" s="799" t="s">
        <v>2044</v>
      </c>
      <c r="C339" s="420" t="s">
        <v>1936</v>
      </c>
      <c r="D339" s="796" t="s">
        <v>2045</v>
      </c>
      <c r="E339" s="802">
        <v>33830</v>
      </c>
    </row>
    <row r="340" spans="1:5" s="431" customFormat="1" x14ac:dyDescent="0.2">
      <c r="A340" s="797"/>
      <c r="B340" s="800"/>
      <c r="C340" s="420" t="s">
        <v>1895</v>
      </c>
      <c r="D340" s="797"/>
      <c r="E340" s="803"/>
    </row>
    <row r="341" spans="1:5" s="431" customFormat="1" x14ac:dyDescent="0.2">
      <c r="A341" s="798"/>
      <c r="B341" s="801"/>
      <c r="C341" s="422" t="s">
        <v>1917</v>
      </c>
      <c r="D341" s="798"/>
      <c r="E341" s="804"/>
    </row>
    <row r="342" spans="1:5" s="431" customFormat="1" x14ac:dyDescent="0.2">
      <c r="A342" s="811" t="s">
        <v>2056</v>
      </c>
      <c r="B342" s="812"/>
      <c r="C342" s="812"/>
      <c r="D342" s="812"/>
      <c r="E342" s="813"/>
    </row>
    <row r="343" spans="1:5" s="431" customFormat="1" ht="63.75" x14ac:dyDescent="0.2">
      <c r="A343" s="796">
        <v>1</v>
      </c>
      <c r="B343" s="799" t="s">
        <v>2057</v>
      </c>
      <c r="C343" s="420" t="s">
        <v>1955</v>
      </c>
      <c r="D343" s="796" t="s">
        <v>2058</v>
      </c>
      <c r="E343" s="802">
        <v>190818</v>
      </c>
    </row>
    <row r="344" spans="1:5" s="431" customFormat="1" x14ac:dyDescent="0.2">
      <c r="A344" s="797"/>
      <c r="B344" s="800"/>
      <c r="C344" s="420" t="s">
        <v>1895</v>
      </c>
      <c r="D344" s="797"/>
      <c r="E344" s="803"/>
    </row>
    <row r="345" spans="1:5" s="431" customFormat="1" x14ac:dyDescent="0.2">
      <c r="A345" s="797"/>
      <c r="B345" s="800"/>
      <c r="C345" s="420" t="s">
        <v>1917</v>
      </c>
      <c r="D345" s="797"/>
      <c r="E345" s="803"/>
    </row>
    <row r="346" spans="1:5" s="431" customFormat="1" x14ac:dyDescent="0.2">
      <c r="A346" s="797"/>
      <c r="B346" s="800"/>
      <c r="C346" s="420" t="s">
        <v>1929</v>
      </c>
      <c r="D346" s="797"/>
      <c r="E346" s="803"/>
    </row>
    <row r="347" spans="1:5" s="431" customFormat="1" x14ac:dyDescent="0.2">
      <c r="A347" s="798"/>
      <c r="B347" s="801"/>
      <c r="C347" s="422" t="s">
        <v>2059</v>
      </c>
      <c r="D347" s="798"/>
      <c r="E347" s="804"/>
    </row>
    <row r="348" spans="1:5" s="431" customFormat="1" ht="38.25" x14ac:dyDescent="0.2">
      <c r="A348" s="796">
        <v>2</v>
      </c>
      <c r="B348" s="799" t="s">
        <v>2060</v>
      </c>
      <c r="C348" s="420" t="s">
        <v>1931</v>
      </c>
      <c r="D348" s="796" t="s">
        <v>2061</v>
      </c>
      <c r="E348" s="802">
        <v>324885</v>
      </c>
    </row>
    <row r="349" spans="1:5" s="431" customFormat="1" x14ac:dyDescent="0.2">
      <c r="A349" s="797"/>
      <c r="B349" s="800"/>
      <c r="C349" s="420" t="s">
        <v>1895</v>
      </c>
      <c r="D349" s="797"/>
      <c r="E349" s="803"/>
    </row>
    <row r="350" spans="1:5" s="431" customFormat="1" x14ac:dyDescent="0.2">
      <c r="A350" s="797"/>
      <c r="B350" s="800"/>
      <c r="C350" s="420" t="s">
        <v>1917</v>
      </c>
      <c r="D350" s="797"/>
      <c r="E350" s="803"/>
    </row>
    <row r="351" spans="1:5" s="431" customFormat="1" x14ac:dyDescent="0.2">
      <c r="A351" s="797"/>
      <c r="B351" s="800"/>
      <c r="C351" s="420" t="s">
        <v>2062</v>
      </c>
      <c r="D351" s="797"/>
      <c r="E351" s="803"/>
    </row>
    <row r="352" spans="1:5" s="431" customFormat="1" x14ac:dyDescent="0.2">
      <c r="A352" s="798"/>
      <c r="B352" s="801"/>
      <c r="C352" s="422" t="s">
        <v>1934</v>
      </c>
      <c r="D352" s="798"/>
      <c r="E352" s="804"/>
    </row>
    <row r="353" spans="1:5" s="431" customFormat="1" ht="51" x14ac:dyDescent="0.2">
      <c r="A353" s="796">
        <v>3</v>
      </c>
      <c r="B353" s="799" t="s">
        <v>2063</v>
      </c>
      <c r="C353" s="420" t="s">
        <v>1936</v>
      </c>
      <c r="D353" s="796" t="s">
        <v>2064</v>
      </c>
      <c r="E353" s="802">
        <v>186843</v>
      </c>
    </row>
    <row r="354" spans="1:5" s="431" customFormat="1" x14ac:dyDescent="0.2">
      <c r="A354" s="797"/>
      <c r="B354" s="800"/>
      <c r="C354" s="420" t="s">
        <v>1895</v>
      </c>
      <c r="D354" s="797"/>
      <c r="E354" s="803"/>
    </row>
    <row r="355" spans="1:5" s="431" customFormat="1" x14ac:dyDescent="0.2">
      <c r="A355" s="798"/>
      <c r="B355" s="801"/>
      <c r="C355" s="422" t="s">
        <v>1917</v>
      </c>
      <c r="D355" s="798"/>
      <c r="E355" s="804"/>
    </row>
    <row r="356" spans="1:5" s="431" customFormat="1" x14ac:dyDescent="0.2">
      <c r="A356" s="811" t="s">
        <v>2065</v>
      </c>
      <c r="B356" s="812"/>
      <c r="C356" s="812"/>
      <c r="D356" s="812"/>
      <c r="E356" s="813"/>
    </row>
    <row r="357" spans="1:5" s="431" customFormat="1" ht="63.75" x14ac:dyDescent="0.2">
      <c r="A357" s="796">
        <v>1</v>
      </c>
      <c r="B357" s="799" t="s">
        <v>2057</v>
      </c>
      <c r="C357" s="420" t="s">
        <v>1955</v>
      </c>
      <c r="D357" s="796" t="s">
        <v>2058</v>
      </c>
      <c r="E357" s="802">
        <v>190818</v>
      </c>
    </row>
    <row r="358" spans="1:5" s="431" customFormat="1" x14ac:dyDescent="0.2">
      <c r="A358" s="797"/>
      <c r="B358" s="800"/>
      <c r="C358" s="420" t="s">
        <v>1895</v>
      </c>
      <c r="D358" s="797"/>
      <c r="E358" s="803"/>
    </row>
    <row r="359" spans="1:5" s="431" customFormat="1" x14ac:dyDescent="0.2">
      <c r="A359" s="797"/>
      <c r="B359" s="800"/>
      <c r="C359" s="420" t="s">
        <v>1917</v>
      </c>
      <c r="D359" s="797"/>
      <c r="E359" s="803"/>
    </row>
    <row r="360" spans="1:5" s="431" customFormat="1" x14ac:dyDescent="0.2">
      <c r="A360" s="797"/>
      <c r="B360" s="800"/>
      <c r="C360" s="420" t="s">
        <v>1929</v>
      </c>
      <c r="D360" s="797"/>
      <c r="E360" s="803"/>
    </row>
    <row r="361" spans="1:5" s="431" customFormat="1" x14ac:dyDescent="0.2">
      <c r="A361" s="798"/>
      <c r="B361" s="801"/>
      <c r="C361" s="422" t="s">
        <v>2059</v>
      </c>
      <c r="D361" s="798"/>
      <c r="E361" s="804"/>
    </row>
    <row r="362" spans="1:5" s="431" customFormat="1" ht="51" x14ac:dyDescent="0.2">
      <c r="A362" s="796">
        <v>2</v>
      </c>
      <c r="B362" s="799" t="s">
        <v>2066</v>
      </c>
      <c r="C362" s="420" t="s">
        <v>1923</v>
      </c>
      <c r="D362" s="796" t="s">
        <v>2067</v>
      </c>
      <c r="E362" s="802">
        <v>593114</v>
      </c>
    </row>
    <row r="363" spans="1:5" s="431" customFormat="1" x14ac:dyDescent="0.2">
      <c r="A363" s="797"/>
      <c r="B363" s="800"/>
      <c r="C363" s="420" t="s">
        <v>1895</v>
      </c>
      <c r="D363" s="797"/>
      <c r="E363" s="803"/>
    </row>
    <row r="364" spans="1:5" s="431" customFormat="1" x14ac:dyDescent="0.2">
      <c r="A364" s="797"/>
      <c r="B364" s="800"/>
      <c r="C364" s="420" t="s">
        <v>1917</v>
      </c>
      <c r="D364" s="797"/>
      <c r="E364" s="803"/>
    </row>
    <row r="365" spans="1:5" s="431" customFormat="1" x14ac:dyDescent="0.2">
      <c r="A365" s="798"/>
      <c r="B365" s="801"/>
      <c r="C365" s="422" t="s">
        <v>2068</v>
      </c>
      <c r="D365" s="798"/>
      <c r="E365" s="804"/>
    </row>
    <row r="366" spans="1:5" s="431" customFormat="1" ht="51" x14ac:dyDescent="0.2">
      <c r="A366" s="796">
        <v>3</v>
      </c>
      <c r="B366" s="799" t="s">
        <v>2069</v>
      </c>
      <c r="C366" s="420" t="s">
        <v>1936</v>
      </c>
      <c r="D366" s="796" t="s">
        <v>2070</v>
      </c>
      <c r="E366" s="802">
        <v>1957180</v>
      </c>
    </row>
    <row r="367" spans="1:5" s="431" customFormat="1" x14ac:dyDescent="0.2">
      <c r="A367" s="797"/>
      <c r="B367" s="800"/>
      <c r="C367" s="420" t="s">
        <v>1895</v>
      </c>
      <c r="D367" s="797"/>
      <c r="E367" s="803"/>
    </row>
    <row r="368" spans="1:5" s="431" customFormat="1" x14ac:dyDescent="0.2">
      <c r="A368" s="798"/>
      <c r="B368" s="801"/>
      <c r="C368" s="422" t="s">
        <v>1917</v>
      </c>
      <c r="D368" s="798"/>
      <c r="E368" s="804"/>
    </row>
    <row r="369" spans="1:7" s="431" customFormat="1" x14ac:dyDescent="0.2">
      <c r="A369" s="811" t="s">
        <v>2071</v>
      </c>
      <c r="B369" s="812"/>
      <c r="C369" s="812"/>
      <c r="D369" s="812"/>
      <c r="E369" s="813"/>
    </row>
    <row r="370" spans="1:7" s="431" customFormat="1" ht="63.75" x14ac:dyDescent="0.2">
      <c r="A370" s="796">
        <v>1</v>
      </c>
      <c r="B370" s="799" t="s">
        <v>2021</v>
      </c>
      <c r="C370" s="420" t="s">
        <v>1919</v>
      </c>
      <c r="D370" s="796" t="s">
        <v>2022</v>
      </c>
      <c r="E370" s="802">
        <v>8616</v>
      </c>
    </row>
    <row r="371" spans="1:7" s="431" customFormat="1" x14ac:dyDescent="0.2">
      <c r="A371" s="797"/>
      <c r="B371" s="800"/>
      <c r="C371" s="420" t="s">
        <v>1895</v>
      </c>
      <c r="D371" s="797"/>
      <c r="E371" s="803"/>
    </row>
    <row r="372" spans="1:7" s="431" customFormat="1" x14ac:dyDescent="0.2">
      <c r="A372" s="797"/>
      <c r="B372" s="800"/>
      <c r="C372" s="420" t="s">
        <v>1917</v>
      </c>
      <c r="D372" s="797"/>
      <c r="E372" s="803"/>
    </row>
    <row r="373" spans="1:7" s="431" customFormat="1" x14ac:dyDescent="0.2">
      <c r="A373" s="798"/>
      <c r="B373" s="801"/>
      <c r="C373" s="422" t="s">
        <v>1929</v>
      </c>
      <c r="D373" s="798"/>
      <c r="E373" s="804"/>
    </row>
    <row r="374" spans="1:7" s="431" customFormat="1" ht="51" x14ac:dyDescent="0.2">
      <c r="A374" s="796">
        <v>2</v>
      </c>
      <c r="B374" s="799" t="s">
        <v>1941</v>
      </c>
      <c r="C374" s="420" t="s">
        <v>1923</v>
      </c>
      <c r="D374" s="796" t="s">
        <v>2072</v>
      </c>
      <c r="E374" s="802">
        <v>327540</v>
      </c>
    </row>
    <row r="375" spans="1:7" s="431" customFormat="1" x14ac:dyDescent="0.2">
      <c r="A375" s="797"/>
      <c r="B375" s="800"/>
      <c r="C375" s="420" t="s">
        <v>1895</v>
      </c>
      <c r="D375" s="797"/>
      <c r="E375" s="803"/>
    </row>
    <row r="376" spans="1:7" s="431" customFormat="1" x14ac:dyDescent="0.2">
      <c r="A376" s="797"/>
      <c r="B376" s="800"/>
      <c r="C376" s="420" t="s">
        <v>1917</v>
      </c>
      <c r="D376" s="797"/>
      <c r="E376" s="803"/>
    </row>
    <row r="377" spans="1:7" s="431" customFormat="1" x14ac:dyDescent="0.2">
      <c r="A377" s="798"/>
      <c r="B377" s="801"/>
      <c r="C377" s="422" t="s">
        <v>2073</v>
      </c>
      <c r="D377" s="798"/>
      <c r="E377" s="804"/>
    </row>
    <row r="378" spans="1:7" s="431" customFormat="1" ht="51" x14ac:dyDescent="0.2">
      <c r="A378" s="796">
        <v>3</v>
      </c>
      <c r="B378" s="799" t="s">
        <v>2074</v>
      </c>
      <c r="C378" s="420" t="s">
        <v>1936</v>
      </c>
      <c r="D378" s="796" t="s">
        <v>2075</v>
      </c>
      <c r="E378" s="802">
        <v>80571</v>
      </c>
    </row>
    <row r="379" spans="1:7" s="431" customFormat="1" x14ac:dyDescent="0.2">
      <c r="A379" s="797"/>
      <c r="B379" s="800"/>
      <c r="C379" s="420" t="s">
        <v>1895</v>
      </c>
      <c r="D379" s="797"/>
      <c r="E379" s="803"/>
    </row>
    <row r="380" spans="1:7" s="431" customFormat="1" ht="13.5" thickBot="1" x14ac:dyDescent="0.25">
      <c r="A380" s="798"/>
      <c r="B380" s="801"/>
      <c r="C380" s="422" t="s">
        <v>1917</v>
      </c>
      <c r="D380" s="798"/>
      <c r="E380" s="804"/>
    </row>
    <row r="381" spans="1:7" ht="27" customHeight="1" thickBot="1" x14ac:dyDescent="0.25">
      <c r="A381" s="510">
        <v>4</v>
      </c>
      <c r="B381" s="511" t="s">
        <v>2324</v>
      </c>
      <c r="C381" s="509" t="s">
        <v>2325</v>
      </c>
      <c r="D381" s="515" t="s">
        <v>2318</v>
      </c>
      <c r="E381" s="512">
        <f>SUM(E124:E380)*0.7</f>
        <v>18199938.816987202</v>
      </c>
    </row>
    <row r="382" spans="1:7" ht="25.5" customHeight="1" thickBot="1" x14ac:dyDescent="0.25">
      <c r="A382" s="403">
        <v>1</v>
      </c>
      <c r="B382" s="460" t="s">
        <v>1912</v>
      </c>
      <c r="C382" s="405"/>
      <c r="D382" s="406"/>
      <c r="E382" s="407">
        <f>E381+E121+E93+E42</f>
        <v>22927802.016987205</v>
      </c>
      <c r="G382" s="458"/>
    </row>
    <row r="383" spans="1:7" ht="51.75" thickBot="1" x14ac:dyDescent="0.25">
      <c r="A383" s="461">
        <v>2</v>
      </c>
      <c r="B383" s="462" t="s">
        <v>1401</v>
      </c>
      <c r="C383" s="462" t="s">
        <v>1402</v>
      </c>
      <c r="D383" s="462" t="s">
        <v>1403</v>
      </c>
      <c r="E383" s="463">
        <f>E382*0.8</f>
        <v>18342241.613589764</v>
      </c>
    </row>
    <row r="384" spans="1:7" ht="13.5" thickBot="1" x14ac:dyDescent="0.25">
      <c r="A384" s="787" t="s">
        <v>252</v>
      </c>
      <c r="B384" s="788"/>
      <c r="C384" s="788"/>
      <c r="D384" s="789"/>
      <c r="E384" s="410">
        <f>E383</f>
        <v>18342241.613589764</v>
      </c>
    </row>
  </sheetData>
  <mergeCells count="363">
    <mergeCell ref="A3:E3"/>
    <mergeCell ref="A4:E4"/>
    <mergeCell ref="C6:E6"/>
    <mergeCell ref="A17:E17"/>
    <mergeCell ref="A18:E18"/>
    <mergeCell ref="A19:A21"/>
    <mergeCell ref="B19:B21"/>
    <mergeCell ref="D19:D21"/>
    <mergeCell ref="E19:E21"/>
    <mergeCell ref="A22:A25"/>
    <mergeCell ref="B22:B25"/>
    <mergeCell ref="D22:D25"/>
    <mergeCell ref="E22:E25"/>
    <mergeCell ref="A26:A29"/>
    <mergeCell ref="B26:B29"/>
    <mergeCell ref="D26:D29"/>
    <mergeCell ref="E26:E29"/>
    <mergeCell ref="A30:A33"/>
    <mergeCell ref="B30:B33"/>
    <mergeCell ref="D30:D33"/>
    <mergeCell ref="E30:E33"/>
    <mergeCell ref="A34:A38"/>
    <mergeCell ref="B34:B38"/>
    <mergeCell ref="D34:D38"/>
    <mergeCell ref="E34:E38"/>
    <mergeCell ref="A39:A41"/>
    <mergeCell ref="B39:B41"/>
    <mergeCell ref="D39:D41"/>
    <mergeCell ref="E39:E41"/>
    <mergeCell ref="A43:E43"/>
    <mergeCell ref="A44:E44"/>
    <mergeCell ref="A45:A47"/>
    <mergeCell ref="B45:B47"/>
    <mergeCell ref="D45:D47"/>
    <mergeCell ref="E45:E47"/>
    <mergeCell ref="A48:A51"/>
    <mergeCell ref="B48:B51"/>
    <mergeCell ref="D48:D51"/>
    <mergeCell ref="E48:E51"/>
    <mergeCell ref="A52:A55"/>
    <mergeCell ref="B52:B55"/>
    <mergeCell ref="D52:D55"/>
    <mergeCell ref="E52:E55"/>
    <mergeCell ref="A56:A59"/>
    <mergeCell ref="B56:B59"/>
    <mergeCell ref="D56:D59"/>
    <mergeCell ref="E56:E59"/>
    <mergeCell ref="A60:A64"/>
    <mergeCell ref="B60:B64"/>
    <mergeCell ref="D60:D64"/>
    <mergeCell ref="E60:E64"/>
    <mergeCell ref="A65:A67"/>
    <mergeCell ref="B65:B67"/>
    <mergeCell ref="D65:D67"/>
    <mergeCell ref="E65:E67"/>
    <mergeCell ref="A68:E68"/>
    <mergeCell ref="A69:A71"/>
    <mergeCell ref="B69:B71"/>
    <mergeCell ref="D69:D71"/>
    <mergeCell ref="E69:E71"/>
    <mergeCell ref="A72:A75"/>
    <mergeCell ref="B72:B75"/>
    <mergeCell ref="D72:D75"/>
    <mergeCell ref="E72:E75"/>
    <mergeCell ref="A76:A79"/>
    <mergeCell ref="B76:B79"/>
    <mergeCell ref="D76:D79"/>
    <mergeCell ref="E76:E79"/>
    <mergeCell ref="A80:A84"/>
    <mergeCell ref="B80:B84"/>
    <mergeCell ref="D80:D84"/>
    <mergeCell ref="E80:E84"/>
    <mergeCell ref="A85:A89"/>
    <mergeCell ref="B85:B89"/>
    <mergeCell ref="D85:D89"/>
    <mergeCell ref="E85:E89"/>
    <mergeCell ref="A90:A92"/>
    <mergeCell ref="B90:B92"/>
    <mergeCell ref="D90:D92"/>
    <mergeCell ref="E90:E92"/>
    <mergeCell ref="A94:E94"/>
    <mergeCell ref="A95:E95"/>
    <mergeCell ref="A96:E96"/>
    <mergeCell ref="A97:A99"/>
    <mergeCell ref="B97:B99"/>
    <mergeCell ref="D97:D99"/>
    <mergeCell ref="E97:E99"/>
    <mergeCell ref="A100:A103"/>
    <mergeCell ref="B100:B103"/>
    <mergeCell ref="D100:D103"/>
    <mergeCell ref="E100:E103"/>
    <mergeCell ref="A104:A107"/>
    <mergeCell ref="B104:B107"/>
    <mergeCell ref="D104:D107"/>
    <mergeCell ref="E104:E107"/>
    <mergeCell ref="A108:A112"/>
    <mergeCell ref="B108:B112"/>
    <mergeCell ref="D108:D112"/>
    <mergeCell ref="E108:E112"/>
    <mergeCell ref="A113:A117"/>
    <mergeCell ref="B113:B117"/>
    <mergeCell ref="D113:D117"/>
    <mergeCell ref="E113:E117"/>
    <mergeCell ref="A118:A120"/>
    <mergeCell ref="B118:B120"/>
    <mergeCell ref="D118:D120"/>
    <mergeCell ref="E118:E120"/>
    <mergeCell ref="A122:E122"/>
    <mergeCell ref="A123:E123"/>
    <mergeCell ref="A124:A126"/>
    <mergeCell ref="B124:B126"/>
    <mergeCell ref="D124:D126"/>
    <mergeCell ref="E124:E126"/>
    <mergeCell ref="A127:A130"/>
    <mergeCell ref="B127:B130"/>
    <mergeCell ref="D127:D130"/>
    <mergeCell ref="E127:E130"/>
    <mergeCell ref="A131:A134"/>
    <mergeCell ref="B131:B134"/>
    <mergeCell ref="D131:D134"/>
    <mergeCell ref="E131:E134"/>
    <mergeCell ref="A135:A139"/>
    <mergeCell ref="B135:B139"/>
    <mergeCell ref="D135:D139"/>
    <mergeCell ref="E135:E139"/>
    <mergeCell ref="A140:A144"/>
    <mergeCell ref="B140:B144"/>
    <mergeCell ref="D140:D144"/>
    <mergeCell ref="E140:E144"/>
    <mergeCell ref="A145:A147"/>
    <mergeCell ref="B145:B147"/>
    <mergeCell ref="D145:D147"/>
    <mergeCell ref="E145:E147"/>
    <mergeCell ref="A148:E148"/>
    <mergeCell ref="A149:E149"/>
    <mergeCell ref="A150:A154"/>
    <mergeCell ref="B150:B154"/>
    <mergeCell ref="D150:D154"/>
    <mergeCell ref="E150:E154"/>
    <mergeCell ref="A155:A159"/>
    <mergeCell ref="B155:B159"/>
    <mergeCell ref="D155:D159"/>
    <mergeCell ref="E155:E159"/>
    <mergeCell ref="A160:A164"/>
    <mergeCell ref="B160:B164"/>
    <mergeCell ref="D160:D164"/>
    <mergeCell ref="E160:E164"/>
    <mergeCell ref="A165:A167"/>
    <mergeCell ref="B165:B167"/>
    <mergeCell ref="D165:D167"/>
    <mergeCell ref="E165:E167"/>
    <mergeCell ref="A168:E168"/>
    <mergeCell ref="A169:A173"/>
    <mergeCell ref="B169:B173"/>
    <mergeCell ref="D169:D173"/>
    <mergeCell ref="E169:E173"/>
    <mergeCell ref="A174:A178"/>
    <mergeCell ref="B174:B178"/>
    <mergeCell ref="D174:D178"/>
    <mergeCell ref="E174:E178"/>
    <mergeCell ref="A179:A183"/>
    <mergeCell ref="B179:B183"/>
    <mergeCell ref="D179:D183"/>
    <mergeCell ref="E179:E183"/>
    <mergeCell ref="A184:A186"/>
    <mergeCell ref="B184:B186"/>
    <mergeCell ref="D184:D186"/>
    <mergeCell ref="E184:E186"/>
    <mergeCell ref="A187:E187"/>
    <mergeCell ref="A188:E188"/>
    <mergeCell ref="A189:A191"/>
    <mergeCell ref="B189:B191"/>
    <mergeCell ref="D189:D191"/>
    <mergeCell ref="E189:E191"/>
    <mergeCell ref="A192:A195"/>
    <mergeCell ref="B192:B195"/>
    <mergeCell ref="D192:D195"/>
    <mergeCell ref="E192:E195"/>
    <mergeCell ref="A196:A199"/>
    <mergeCell ref="B196:B199"/>
    <mergeCell ref="D196:D199"/>
    <mergeCell ref="E196:E199"/>
    <mergeCell ref="A200:A204"/>
    <mergeCell ref="B200:B204"/>
    <mergeCell ref="D200:D204"/>
    <mergeCell ref="E200:E204"/>
    <mergeCell ref="A205:A209"/>
    <mergeCell ref="B205:B209"/>
    <mergeCell ref="D205:D209"/>
    <mergeCell ref="E205:E209"/>
    <mergeCell ref="A210:A212"/>
    <mergeCell ref="B210:B212"/>
    <mergeCell ref="D210:D212"/>
    <mergeCell ref="E210:E212"/>
    <mergeCell ref="A213:E213"/>
    <mergeCell ref="A214:A217"/>
    <mergeCell ref="B214:B217"/>
    <mergeCell ref="D214:D217"/>
    <mergeCell ref="E214:E217"/>
    <mergeCell ref="A218:A222"/>
    <mergeCell ref="B218:B222"/>
    <mergeCell ref="D218:D222"/>
    <mergeCell ref="E218:E222"/>
    <mergeCell ref="A223:A225"/>
    <mergeCell ref="B223:B225"/>
    <mergeCell ref="D223:D225"/>
    <mergeCell ref="E223:E225"/>
    <mergeCell ref="A226:E226"/>
    <mergeCell ref="A227:A230"/>
    <mergeCell ref="B227:B230"/>
    <mergeCell ref="D227:D230"/>
    <mergeCell ref="E227:E230"/>
    <mergeCell ref="A231:A235"/>
    <mergeCell ref="B231:B235"/>
    <mergeCell ref="D231:D235"/>
    <mergeCell ref="E231:E235"/>
    <mergeCell ref="A236:A238"/>
    <mergeCell ref="B236:B238"/>
    <mergeCell ref="D236:D238"/>
    <mergeCell ref="E236:E238"/>
    <mergeCell ref="A239:E239"/>
    <mergeCell ref="A240:A242"/>
    <mergeCell ref="B240:B242"/>
    <mergeCell ref="D240:D242"/>
    <mergeCell ref="E240:E242"/>
    <mergeCell ref="A243:A246"/>
    <mergeCell ref="B243:B246"/>
    <mergeCell ref="D243:D246"/>
    <mergeCell ref="E243:E246"/>
    <mergeCell ref="A247:A250"/>
    <mergeCell ref="B247:B250"/>
    <mergeCell ref="D247:D250"/>
    <mergeCell ref="E247:E250"/>
    <mergeCell ref="A251:A255"/>
    <mergeCell ref="B251:B255"/>
    <mergeCell ref="D251:D255"/>
    <mergeCell ref="E251:E255"/>
    <mergeCell ref="A256:A260"/>
    <mergeCell ref="B256:B260"/>
    <mergeCell ref="D256:D260"/>
    <mergeCell ref="E256:E260"/>
    <mergeCell ref="A261:A263"/>
    <mergeCell ref="B261:B263"/>
    <mergeCell ref="D261:D263"/>
    <mergeCell ref="E261:E263"/>
    <mergeCell ref="A264:E264"/>
    <mergeCell ref="A265:A268"/>
    <mergeCell ref="B265:B268"/>
    <mergeCell ref="D265:D268"/>
    <mergeCell ref="E265:E268"/>
    <mergeCell ref="A269:A273"/>
    <mergeCell ref="B269:B273"/>
    <mergeCell ref="D269:D273"/>
    <mergeCell ref="E269:E273"/>
    <mergeCell ref="A274:A276"/>
    <mergeCell ref="B274:B276"/>
    <mergeCell ref="D274:D276"/>
    <mergeCell ref="E274:E276"/>
    <mergeCell ref="A277:E277"/>
    <mergeCell ref="A278:A281"/>
    <mergeCell ref="B278:B281"/>
    <mergeCell ref="D278:D281"/>
    <mergeCell ref="E278:E281"/>
    <mergeCell ref="A282:A286"/>
    <mergeCell ref="B282:B286"/>
    <mergeCell ref="D282:D286"/>
    <mergeCell ref="E282:E286"/>
    <mergeCell ref="A287:A289"/>
    <mergeCell ref="B287:B289"/>
    <mergeCell ref="D287:D289"/>
    <mergeCell ref="E287:E289"/>
    <mergeCell ref="A290:E290"/>
    <mergeCell ref="A291:A294"/>
    <mergeCell ref="B291:B294"/>
    <mergeCell ref="D291:D294"/>
    <mergeCell ref="E291:E294"/>
    <mergeCell ref="A295:A299"/>
    <mergeCell ref="B295:B299"/>
    <mergeCell ref="D295:D299"/>
    <mergeCell ref="E295:E299"/>
    <mergeCell ref="A300:A302"/>
    <mergeCell ref="B300:B302"/>
    <mergeCell ref="D300:D302"/>
    <mergeCell ref="E300:E302"/>
    <mergeCell ref="A303:E303"/>
    <mergeCell ref="A304:A307"/>
    <mergeCell ref="B304:B307"/>
    <mergeCell ref="D304:D307"/>
    <mergeCell ref="E304:E307"/>
    <mergeCell ref="A308:A312"/>
    <mergeCell ref="B308:B312"/>
    <mergeCell ref="D308:D312"/>
    <mergeCell ref="E308:E312"/>
    <mergeCell ref="A313:A315"/>
    <mergeCell ref="B313:B315"/>
    <mergeCell ref="D313:D315"/>
    <mergeCell ref="E313:E315"/>
    <mergeCell ref="A316:E316"/>
    <mergeCell ref="A317:A320"/>
    <mergeCell ref="B317:B320"/>
    <mergeCell ref="D317:D320"/>
    <mergeCell ref="E317:E320"/>
    <mergeCell ref="A321:A325"/>
    <mergeCell ref="B321:B325"/>
    <mergeCell ref="D321:D325"/>
    <mergeCell ref="E321:E325"/>
    <mergeCell ref="A326:A328"/>
    <mergeCell ref="B326:B328"/>
    <mergeCell ref="D326:D328"/>
    <mergeCell ref="E326:E328"/>
    <mergeCell ref="A329:E329"/>
    <mergeCell ref="A330:A333"/>
    <mergeCell ref="B330:B333"/>
    <mergeCell ref="D330:D333"/>
    <mergeCell ref="E330:E333"/>
    <mergeCell ref="A334:A338"/>
    <mergeCell ref="B334:B338"/>
    <mergeCell ref="D334:D338"/>
    <mergeCell ref="E334:E338"/>
    <mergeCell ref="A339:A341"/>
    <mergeCell ref="B339:B341"/>
    <mergeCell ref="D339:D341"/>
    <mergeCell ref="E339:E341"/>
    <mergeCell ref="A342:E342"/>
    <mergeCell ref="A343:A347"/>
    <mergeCell ref="B343:B347"/>
    <mergeCell ref="D343:D347"/>
    <mergeCell ref="E343:E347"/>
    <mergeCell ref="A348:A352"/>
    <mergeCell ref="B348:B352"/>
    <mergeCell ref="D348:D352"/>
    <mergeCell ref="E348:E352"/>
    <mergeCell ref="A353:A355"/>
    <mergeCell ref="B353:B355"/>
    <mergeCell ref="D353:D355"/>
    <mergeCell ref="E353:E355"/>
    <mergeCell ref="A356:E356"/>
    <mergeCell ref="A357:A361"/>
    <mergeCell ref="B357:B361"/>
    <mergeCell ref="D357:D361"/>
    <mergeCell ref="E357:E361"/>
    <mergeCell ref="A362:A365"/>
    <mergeCell ref="B362:B365"/>
    <mergeCell ref="D362:D365"/>
    <mergeCell ref="E362:E365"/>
    <mergeCell ref="A366:A368"/>
    <mergeCell ref="B366:B368"/>
    <mergeCell ref="D366:D368"/>
    <mergeCell ref="E366:E368"/>
    <mergeCell ref="A369:E369"/>
    <mergeCell ref="A370:A373"/>
    <mergeCell ref="B370:B373"/>
    <mergeCell ref="D370:D373"/>
    <mergeCell ref="E370:E373"/>
    <mergeCell ref="A374:A377"/>
    <mergeCell ref="B374:B377"/>
    <mergeCell ref="D374:D377"/>
    <mergeCell ref="E374:E377"/>
    <mergeCell ref="A378:A380"/>
    <mergeCell ref="B378:B380"/>
    <mergeCell ref="D378:D380"/>
    <mergeCell ref="E378:E380"/>
    <mergeCell ref="A384:D384"/>
  </mergeCells>
  <conditionalFormatting sqref="A1:E41 A382:E1048576 A94:E380 A43:E92">
    <cfRule type="containsText" dxfId="18" priority="7" operator="containsText" text="Этап ">
      <formula>NOT(ISERROR(SEARCH("Этап ",A1)))</formula>
    </cfRule>
  </conditionalFormatting>
  <conditionalFormatting sqref="A381:B381 E381">
    <cfRule type="containsText" dxfId="17" priority="6" operator="containsText" text="Этап ">
      <formula>NOT(ISERROR(SEARCH("Этап ",A381)))</formula>
    </cfRule>
  </conditionalFormatting>
  <conditionalFormatting sqref="C381:D381">
    <cfRule type="containsText" dxfId="16" priority="5" operator="containsText" text="Этап ">
      <formula>NOT(ISERROR(SEARCH("Этап ",C381)))</formula>
    </cfRule>
  </conditionalFormatting>
  <conditionalFormatting sqref="C93:D93">
    <cfRule type="containsText" dxfId="15" priority="3" operator="containsText" text="Этап ">
      <formula>NOT(ISERROR(SEARCH("Этап ",C93)))</formula>
    </cfRule>
  </conditionalFormatting>
  <conditionalFormatting sqref="C42:D42">
    <cfRule type="containsText" dxfId="14" priority="1" operator="containsText" text="Этап ">
      <formula>NOT(ISERROR(SEARCH("Этап ",C42)))</formula>
    </cfRule>
  </conditionalFormatting>
  <conditionalFormatting sqref="A93:B93 E93">
    <cfRule type="containsText" dxfId="13" priority="4" operator="containsText" text="Этап ">
      <formula>NOT(ISERROR(SEARCH("Этап ",A93)))</formula>
    </cfRule>
  </conditionalFormatting>
  <conditionalFormatting sqref="A42:B42 E42">
    <cfRule type="containsText" dxfId="12" priority="2" operator="containsText" text="Этап ">
      <formula>NOT(ISERROR(SEARCH("Этап ",A42)))</formula>
    </cfRule>
  </conditionalFormatting>
  <pageMargins left="0.23622047244094491" right="0.23622047244094491" top="0.74803149606299213" bottom="0.74803149606299213" header="0.31496062992125984" footer="0.31496062992125984"/>
  <pageSetup paperSize="9" scale="66" fitToHeight="0" orientation="portrait" verticalDpi="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IV214"/>
  <sheetViews>
    <sheetView zoomScale="85" workbookViewId="0">
      <selection activeCell="D198" sqref="D198:D202"/>
    </sheetView>
  </sheetViews>
  <sheetFormatPr defaultColWidth="9.140625" defaultRowHeight="12.75" x14ac:dyDescent="0.2"/>
  <cols>
    <col min="1" max="1" width="9.140625" style="362"/>
    <col min="2" max="2" width="34.85546875" style="362" customWidth="1"/>
    <col min="3" max="3" width="42.85546875" style="363" customWidth="1"/>
    <col min="4" max="4" width="26.5703125" style="364" customWidth="1"/>
    <col min="5" max="5" width="17.42578125" style="364" customWidth="1"/>
    <col min="6" max="7" width="9.140625" style="362"/>
    <col min="8" max="8" width="35.85546875" style="362" customWidth="1"/>
    <col min="9" max="9" width="9.140625" style="362" customWidth="1"/>
    <col min="10" max="219" width="9.140625" style="362"/>
    <col min="220" max="220" width="28" style="362" customWidth="1"/>
    <col min="221" max="221" width="52" style="362" customWidth="1"/>
    <col min="222" max="222" width="27.28515625" style="362" customWidth="1"/>
    <col min="223" max="223" width="20.5703125" style="362" customWidth="1"/>
    <col min="224" max="225" width="9.140625" style="362"/>
    <col min="226" max="226" width="11.5703125" style="362" bestFit="1" customWidth="1"/>
    <col min="227" max="257" width="9.140625" style="362"/>
    <col min="258" max="258" width="28.7109375" style="362" customWidth="1"/>
    <col min="259" max="259" width="42.85546875" style="362" customWidth="1"/>
    <col min="260" max="260" width="26.28515625" style="362" customWidth="1"/>
    <col min="261" max="261" width="17.42578125" style="362" customWidth="1"/>
    <col min="262" max="475" width="9.140625" style="362"/>
    <col min="476" max="476" width="28" style="362" customWidth="1"/>
    <col min="477" max="477" width="52" style="362" customWidth="1"/>
    <col min="478" max="478" width="27.28515625" style="362" customWidth="1"/>
    <col min="479" max="479" width="20.5703125" style="362" customWidth="1"/>
    <col min="480" max="481" width="9.140625" style="362"/>
    <col min="482" max="482" width="11.5703125" style="362" bestFit="1" customWidth="1"/>
    <col min="483" max="513" width="9.140625" style="362"/>
    <col min="514" max="514" width="28.7109375" style="362" customWidth="1"/>
    <col min="515" max="515" width="42.85546875" style="362" customWidth="1"/>
    <col min="516" max="516" width="26.28515625" style="362" customWidth="1"/>
    <col min="517" max="517" width="17.42578125" style="362" customWidth="1"/>
    <col min="518" max="731" width="9.140625" style="362"/>
    <col min="732" max="732" width="28" style="362" customWidth="1"/>
    <col min="733" max="733" width="52" style="362" customWidth="1"/>
    <col min="734" max="734" width="27.28515625" style="362" customWidth="1"/>
    <col min="735" max="735" width="20.5703125" style="362" customWidth="1"/>
    <col min="736" max="737" width="9.140625" style="362"/>
    <col min="738" max="738" width="11.5703125" style="362" bestFit="1" customWidth="1"/>
    <col min="739" max="769" width="9.140625" style="362"/>
    <col min="770" max="770" width="28.7109375" style="362" customWidth="1"/>
    <col min="771" max="771" width="42.85546875" style="362" customWidth="1"/>
    <col min="772" max="772" width="26.28515625" style="362" customWidth="1"/>
    <col min="773" max="773" width="17.42578125" style="362" customWidth="1"/>
    <col min="774" max="987" width="9.140625" style="362"/>
    <col min="988" max="988" width="28" style="362" customWidth="1"/>
    <col min="989" max="989" width="52" style="362" customWidth="1"/>
    <col min="990" max="990" width="27.28515625" style="362" customWidth="1"/>
    <col min="991" max="991" width="20.5703125" style="362" customWidth="1"/>
    <col min="992" max="993" width="9.140625" style="362"/>
    <col min="994" max="994" width="11.5703125" style="362" bestFit="1" customWidth="1"/>
    <col min="995" max="1025" width="9.140625" style="362"/>
    <col min="1026" max="1026" width="28.7109375" style="362" customWidth="1"/>
    <col min="1027" max="1027" width="42.85546875" style="362" customWidth="1"/>
    <col min="1028" max="1028" width="26.28515625" style="362" customWidth="1"/>
    <col min="1029" max="1029" width="17.42578125" style="362" customWidth="1"/>
    <col min="1030" max="1243" width="9.140625" style="362"/>
    <col min="1244" max="1244" width="28" style="362" customWidth="1"/>
    <col min="1245" max="1245" width="52" style="362" customWidth="1"/>
    <col min="1246" max="1246" width="27.28515625" style="362" customWidth="1"/>
    <col min="1247" max="1247" width="20.5703125" style="362" customWidth="1"/>
    <col min="1248" max="1249" width="9.140625" style="362"/>
    <col min="1250" max="1250" width="11.5703125" style="362" bestFit="1" customWidth="1"/>
    <col min="1251" max="1281" width="9.140625" style="362"/>
    <col min="1282" max="1282" width="28.7109375" style="362" customWidth="1"/>
    <col min="1283" max="1283" width="42.85546875" style="362" customWidth="1"/>
    <col min="1284" max="1284" width="26.28515625" style="362" customWidth="1"/>
    <col min="1285" max="1285" width="17.42578125" style="362" customWidth="1"/>
    <col min="1286" max="1499" width="9.140625" style="362"/>
    <col min="1500" max="1500" width="28" style="362" customWidth="1"/>
    <col min="1501" max="1501" width="52" style="362" customWidth="1"/>
    <col min="1502" max="1502" width="27.28515625" style="362" customWidth="1"/>
    <col min="1503" max="1503" width="20.5703125" style="362" customWidth="1"/>
    <col min="1504" max="1505" width="9.140625" style="362"/>
    <col min="1506" max="1506" width="11.5703125" style="362" bestFit="1" customWidth="1"/>
    <col min="1507" max="1537" width="9.140625" style="362"/>
    <col min="1538" max="1538" width="28.7109375" style="362" customWidth="1"/>
    <col min="1539" max="1539" width="42.85546875" style="362" customWidth="1"/>
    <col min="1540" max="1540" width="26.28515625" style="362" customWidth="1"/>
    <col min="1541" max="1541" width="17.42578125" style="362" customWidth="1"/>
    <col min="1542" max="1755" width="9.140625" style="362"/>
    <col min="1756" max="1756" width="28" style="362" customWidth="1"/>
    <col min="1757" max="1757" width="52" style="362" customWidth="1"/>
    <col min="1758" max="1758" width="27.28515625" style="362" customWidth="1"/>
    <col min="1759" max="1759" width="20.5703125" style="362" customWidth="1"/>
    <col min="1760" max="1761" width="9.140625" style="362"/>
    <col min="1762" max="1762" width="11.5703125" style="362" bestFit="1" customWidth="1"/>
    <col min="1763" max="1793" width="9.140625" style="362"/>
    <col min="1794" max="1794" width="28.7109375" style="362" customWidth="1"/>
    <col min="1795" max="1795" width="42.85546875" style="362" customWidth="1"/>
    <col min="1796" max="1796" width="26.28515625" style="362" customWidth="1"/>
    <col min="1797" max="1797" width="17.42578125" style="362" customWidth="1"/>
    <col min="1798" max="2011" width="9.140625" style="362"/>
    <col min="2012" max="2012" width="28" style="362" customWidth="1"/>
    <col min="2013" max="2013" width="52" style="362" customWidth="1"/>
    <col min="2014" max="2014" width="27.28515625" style="362" customWidth="1"/>
    <col min="2015" max="2015" width="20.5703125" style="362" customWidth="1"/>
    <col min="2016" max="2017" width="9.140625" style="362"/>
    <col min="2018" max="2018" width="11.5703125" style="362" bestFit="1" customWidth="1"/>
    <col min="2019" max="2049" width="9.140625" style="362"/>
    <col min="2050" max="2050" width="28.7109375" style="362" customWidth="1"/>
    <col min="2051" max="2051" width="42.85546875" style="362" customWidth="1"/>
    <col min="2052" max="2052" width="26.28515625" style="362" customWidth="1"/>
    <col min="2053" max="2053" width="17.42578125" style="362" customWidth="1"/>
    <col min="2054" max="2267" width="9.140625" style="362"/>
    <col min="2268" max="2268" width="28" style="362" customWidth="1"/>
    <col min="2269" max="2269" width="52" style="362" customWidth="1"/>
    <col min="2270" max="2270" width="27.28515625" style="362" customWidth="1"/>
    <col min="2271" max="2271" width="20.5703125" style="362" customWidth="1"/>
    <col min="2272" max="2273" width="9.140625" style="362"/>
    <col min="2274" max="2274" width="11.5703125" style="362" bestFit="1" customWidth="1"/>
    <col min="2275" max="2305" width="9.140625" style="362"/>
    <col min="2306" max="2306" width="28.7109375" style="362" customWidth="1"/>
    <col min="2307" max="2307" width="42.85546875" style="362" customWidth="1"/>
    <col min="2308" max="2308" width="26.28515625" style="362" customWidth="1"/>
    <col min="2309" max="2309" width="17.42578125" style="362" customWidth="1"/>
    <col min="2310" max="2523" width="9.140625" style="362"/>
    <col min="2524" max="2524" width="28" style="362" customWidth="1"/>
    <col min="2525" max="2525" width="52" style="362" customWidth="1"/>
    <col min="2526" max="2526" width="27.28515625" style="362" customWidth="1"/>
    <col min="2527" max="2527" width="20.5703125" style="362" customWidth="1"/>
    <col min="2528" max="2529" width="9.140625" style="362"/>
    <col min="2530" max="2530" width="11.5703125" style="362" bestFit="1" customWidth="1"/>
    <col min="2531" max="2561" width="9.140625" style="362"/>
    <col min="2562" max="2562" width="28.7109375" style="362" customWidth="1"/>
    <col min="2563" max="2563" width="42.85546875" style="362" customWidth="1"/>
    <col min="2564" max="2564" width="26.28515625" style="362" customWidth="1"/>
    <col min="2565" max="2565" width="17.42578125" style="362" customWidth="1"/>
    <col min="2566" max="2779" width="9.140625" style="362"/>
    <col min="2780" max="2780" width="28" style="362" customWidth="1"/>
    <col min="2781" max="2781" width="52" style="362" customWidth="1"/>
    <col min="2782" max="2782" width="27.28515625" style="362" customWidth="1"/>
    <col min="2783" max="2783" width="20.5703125" style="362" customWidth="1"/>
    <col min="2784" max="2785" width="9.140625" style="362"/>
    <col min="2786" max="2786" width="11.5703125" style="362" bestFit="1" customWidth="1"/>
    <col min="2787" max="2817" width="9.140625" style="362"/>
    <col min="2818" max="2818" width="28.7109375" style="362" customWidth="1"/>
    <col min="2819" max="2819" width="42.85546875" style="362" customWidth="1"/>
    <col min="2820" max="2820" width="26.28515625" style="362" customWidth="1"/>
    <col min="2821" max="2821" width="17.42578125" style="362" customWidth="1"/>
    <col min="2822" max="3035" width="9.140625" style="362"/>
    <col min="3036" max="3036" width="28" style="362" customWidth="1"/>
    <col min="3037" max="3037" width="52" style="362" customWidth="1"/>
    <col min="3038" max="3038" width="27.28515625" style="362" customWidth="1"/>
    <col min="3039" max="3039" width="20.5703125" style="362" customWidth="1"/>
    <col min="3040" max="3041" width="9.140625" style="362"/>
    <col min="3042" max="3042" width="11.5703125" style="362" bestFit="1" customWidth="1"/>
    <col min="3043" max="3073" width="9.140625" style="362"/>
    <col min="3074" max="3074" width="28.7109375" style="362" customWidth="1"/>
    <col min="3075" max="3075" width="42.85546875" style="362" customWidth="1"/>
    <col min="3076" max="3076" width="26.28515625" style="362" customWidth="1"/>
    <col min="3077" max="3077" width="17.42578125" style="362" customWidth="1"/>
    <col min="3078" max="3291" width="9.140625" style="362"/>
    <col min="3292" max="3292" width="28" style="362" customWidth="1"/>
    <col min="3293" max="3293" width="52" style="362" customWidth="1"/>
    <col min="3294" max="3294" width="27.28515625" style="362" customWidth="1"/>
    <col min="3295" max="3295" width="20.5703125" style="362" customWidth="1"/>
    <col min="3296" max="3297" width="9.140625" style="362"/>
    <col min="3298" max="3298" width="11.5703125" style="362" bestFit="1" customWidth="1"/>
    <col min="3299" max="3329" width="9.140625" style="362"/>
    <col min="3330" max="3330" width="28.7109375" style="362" customWidth="1"/>
    <col min="3331" max="3331" width="42.85546875" style="362" customWidth="1"/>
    <col min="3332" max="3332" width="26.28515625" style="362" customWidth="1"/>
    <col min="3333" max="3333" width="17.42578125" style="362" customWidth="1"/>
    <col min="3334" max="3547" width="9.140625" style="362"/>
    <col min="3548" max="3548" width="28" style="362" customWidth="1"/>
    <col min="3549" max="3549" width="52" style="362" customWidth="1"/>
    <col min="3550" max="3550" width="27.28515625" style="362" customWidth="1"/>
    <col min="3551" max="3551" width="20.5703125" style="362" customWidth="1"/>
    <col min="3552" max="3553" width="9.140625" style="362"/>
    <col min="3554" max="3554" width="11.5703125" style="362" bestFit="1" customWidth="1"/>
    <col min="3555" max="3585" width="9.140625" style="362"/>
    <col min="3586" max="3586" width="28.7109375" style="362" customWidth="1"/>
    <col min="3587" max="3587" width="42.85546875" style="362" customWidth="1"/>
    <col min="3588" max="3588" width="26.28515625" style="362" customWidth="1"/>
    <col min="3589" max="3589" width="17.42578125" style="362" customWidth="1"/>
    <col min="3590" max="3803" width="9.140625" style="362"/>
    <col min="3804" max="3804" width="28" style="362" customWidth="1"/>
    <col min="3805" max="3805" width="52" style="362" customWidth="1"/>
    <col min="3806" max="3806" width="27.28515625" style="362" customWidth="1"/>
    <col min="3807" max="3807" width="20.5703125" style="362" customWidth="1"/>
    <col min="3808" max="3809" width="9.140625" style="362"/>
    <col min="3810" max="3810" width="11.5703125" style="362" bestFit="1" customWidth="1"/>
    <col min="3811" max="3841" width="9.140625" style="362"/>
    <col min="3842" max="3842" width="28.7109375" style="362" customWidth="1"/>
    <col min="3843" max="3843" width="42.85546875" style="362" customWidth="1"/>
    <col min="3844" max="3844" width="26.28515625" style="362" customWidth="1"/>
    <col min="3845" max="3845" width="17.42578125" style="362" customWidth="1"/>
    <col min="3846" max="4059" width="9.140625" style="362"/>
    <col min="4060" max="4060" width="28" style="362" customWidth="1"/>
    <col min="4061" max="4061" width="52" style="362" customWidth="1"/>
    <col min="4062" max="4062" width="27.28515625" style="362" customWidth="1"/>
    <col min="4063" max="4063" width="20.5703125" style="362" customWidth="1"/>
    <col min="4064" max="4065" width="9.140625" style="362"/>
    <col min="4066" max="4066" width="11.5703125" style="362" bestFit="1" customWidth="1"/>
    <col min="4067" max="4097" width="9.140625" style="362"/>
    <col min="4098" max="4098" width="28.7109375" style="362" customWidth="1"/>
    <col min="4099" max="4099" width="42.85546875" style="362" customWidth="1"/>
    <col min="4100" max="4100" width="26.28515625" style="362" customWidth="1"/>
    <col min="4101" max="4101" width="17.42578125" style="362" customWidth="1"/>
    <col min="4102" max="4315" width="9.140625" style="362"/>
    <col min="4316" max="4316" width="28" style="362" customWidth="1"/>
    <col min="4317" max="4317" width="52" style="362" customWidth="1"/>
    <col min="4318" max="4318" width="27.28515625" style="362" customWidth="1"/>
    <col min="4319" max="4319" width="20.5703125" style="362" customWidth="1"/>
    <col min="4320" max="4321" width="9.140625" style="362"/>
    <col min="4322" max="4322" width="11.5703125" style="362" bestFit="1" customWidth="1"/>
    <col min="4323" max="4353" width="9.140625" style="362"/>
    <col min="4354" max="4354" width="28.7109375" style="362" customWidth="1"/>
    <col min="4355" max="4355" width="42.85546875" style="362" customWidth="1"/>
    <col min="4356" max="4356" width="26.28515625" style="362" customWidth="1"/>
    <col min="4357" max="4357" width="17.42578125" style="362" customWidth="1"/>
    <col min="4358" max="4571" width="9.140625" style="362"/>
    <col min="4572" max="4572" width="28" style="362" customWidth="1"/>
    <col min="4573" max="4573" width="52" style="362" customWidth="1"/>
    <col min="4574" max="4574" width="27.28515625" style="362" customWidth="1"/>
    <col min="4575" max="4575" width="20.5703125" style="362" customWidth="1"/>
    <col min="4576" max="4577" width="9.140625" style="362"/>
    <col min="4578" max="4578" width="11.5703125" style="362" bestFit="1" customWidth="1"/>
    <col min="4579" max="4609" width="9.140625" style="362"/>
    <col min="4610" max="4610" width="28.7109375" style="362" customWidth="1"/>
    <col min="4611" max="4611" width="42.85546875" style="362" customWidth="1"/>
    <col min="4612" max="4612" width="26.28515625" style="362" customWidth="1"/>
    <col min="4613" max="4613" width="17.42578125" style="362" customWidth="1"/>
    <col min="4614" max="4827" width="9.140625" style="362"/>
    <col min="4828" max="4828" width="28" style="362" customWidth="1"/>
    <col min="4829" max="4829" width="52" style="362" customWidth="1"/>
    <col min="4830" max="4830" width="27.28515625" style="362" customWidth="1"/>
    <col min="4831" max="4831" width="20.5703125" style="362" customWidth="1"/>
    <col min="4832" max="4833" width="9.140625" style="362"/>
    <col min="4834" max="4834" width="11.5703125" style="362" bestFit="1" customWidth="1"/>
    <col min="4835" max="4865" width="9.140625" style="362"/>
    <col min="4866" max="4866" width="28.7109375" style="362" customWidth="1"/>
    <col min="4867" max="4867" width="42.85546875" style="362" customWidth="1"/>
    <col min="4868" max="4868" width="26.28515625" style="362" customWidth="1"/>
    <col min="4869" max="4869" width="17.42578125" style="362" customWidth="1"/>
    <col min="4870" max="5083" width="9.140625" style="362"/>
    <col min="5084" max="5084" width="28" style="362" customWidth="1"/>
    <col min="5085" max="5085" width="52" style="362" customWidth="1"/>
    <col min="5086" max="5086" width="27.28515625" style="362" customWidth="1"/>
    <col min="5087" max="5087" width="20.5703125" style="362" customWidth="1"/>
    <col min="5088" max="5089" width="9.140625" style="362"/>
    <col min="5090" max="5090" width="11.5703125" style="362" bestFit="1" customWidth="1"/>
    <col min="5091" max="5121" width="9.140625" style="362"/>
    <col min="5122" max="5122" width="28.7109375" style="362" customWidth="1"/>
    <col min="5123" max="5123" width="42.85546875" style="362" customWidth="1"/>
    <col min="5124" max="5124" width="26.28515625" style="362" customWidth="1"/>
    <col min="5125" max="5125" width="17.42578125" style="362" customWidth="1"/>
    <col min="5126" max="5339" width="9.140625" style="362"/>
    <col min="5340" max="5340" width="28" style="362" customWidth="1"/>
    <col min="5341" max="5341" width="52" style="362" customWidth="1"/>
    <col min="5342" max="5342" width="27.28515625" style="362" customWidth="1"/>
    <col min="5343" max="5343" width="20.5703125" style="362" customWidth="1"/>
    <col min="5344" max="5345" width="9.140625" style="362"/>
    <col min="5346" max="5346" width="11.5703125" style="362" bestFit="1" customWidth="1"/>
    <col min="5347" max="5377" width="9.140625" style="362"/>
    <col min="5378" max="5378" width="28.7109375" style="362" customWidth="1"/>
    <col min="5379" max="5379" width="42.85546875" style="362" customWidth="1"/>
    <col min="5380" max="5380" width="26.28515625" style="362" customWidth="1"/>
    <col min="5381" max="5381" width="17.42578125" style="362" customWidth="1"/>
    <col min="5382" max="5595" width="9.140625" style="362"/>
    <col min="5596" max="5596" width="28" style="362" customWidth="1"/>
    <col min="5597" max="5597" width="52" style="362" customWidth="1"/>
    <col min="5598" max="5598" width="27.28515625" style="362" customWidth="1"/>
    <col min="5599" max="5599" width="20.5703125" style="362" customWidth="1"/>
    <col min="5600" max="5601" width="9.140625" style="362"/>
    <col min="5602" max="5602" width="11.5703125" style="362" bestFit="1" customWidth="1"/>
    <col min="5603" max="5633" width="9.140625" style="362"/>
    <col min="5634" max="5634" width="28.7109375" style="362" customWidth="1"/>
    <col min="5635" max="5635" width="42.85546875" style="362" customWidth="1"/>
    <col min="5636" max="5636" width="26.28515625" style="362" customWidth="1"/>
    <col min="5637" max="5637" width="17.42578125" style="362" customWidth="1"/>
    <col min="5638" max="5851" width="9.140625" style="362"/>
    <col min="5852" max="5852" width="28" style="362" customWidth="1"/>
    <col min="5853" max="5853" width="52" style="362" customWidth="1"/>
    <col min="5854" max="5854" width="27.28515625" style="362" customWidth="1"/>
    <col min="5855" max="5855" width="20.5703125" style="362" customWidth="1"/>
    <col min="5856" max="5857" width="9.140625" style="362"/>
    <col min="5858" max="5858" width="11.5703125" style="362" bestFit="1" customWidth="1"/>
    <col min="5859" max="5889" width="9.140625" style="362"/>
    <col min="5890" max="5890" width="28.7109375" style="362" customWidth="1"/>
    <col min="5891" max="5891" width="42.85546875" style="362" customWidth="1"/>
    <col min="5892" max="5892" width="26.28515625" style="362" customWidth="1"/>
    <col min="5893" max="5893" width="17.42578125" style="362" customWidth="1"/>
    <col min="5894" max="6107" width="9.140625" style="362"/>
    <col min="6108" max="6108" width="28" style="362" customWidth="1"/>
    <col min="6109" max="6109" width="52" style="362" customWidth="1"/>
    <col min="6110" max="6110" width="27.28515625" style="362" customWidth="1"/>
    <col min="6111" max="6111" width="20.5703125" style="362" customWidth="1"/>
    <col min="6112" max="6113" width="9.140625" style="362"/>
    <col min="6114" max="6114" width="11.5703125" style="362" bestFit="1" customWidth="1"/>
    <col min="6115" max="6145" width="9.140625" style="362"/>
    <col min="6146" max="6146" width="28.7109375" style="362" customWidth="1"/>
    <col min="6147" max="6147" width="42.85546875" style="362" customWidth="1"/>
    <col min="6148" max="6148" width="26.28515625" style="362" customWidth="1"/>
    <col min="6149" max="6149" width="17.42578125" style="362" customWidth="1"/>
    <col min="6150" max="6363" width="9.140625" style="362"/>
    <col min="6364" max="6364" width="28" style="362" customWidth="1"/>
    <col min="6365" max="6365" width="52" style="362" customWidth="1"/>
    <col min="6366" max="6366" width="27.28515625" style="362" customWidth="1"/>
    <col min="6367" max="6367" width="20.5703125" style="362" customWidth="1"/>
    <col min="6368" max="6369" width="9.140625" style="362"/>
    <col min="6370" max="6370" width="11.5703125" style="362" bestFit="1" customWidth="1"/>
    <col min="6371" max="6401" width="9.140625" style="362"/>
    <col min="6402" max="6402" width="28.7109375" style="362" customWidth="1"/>
    <col min="6403" max="6403" width="42.85546875" style="362" customWidth="1"/>
    <col min="6404" max="6404" width="26.28515625" style="362" customWidth="1"/>
    <col min="6405" max="6405" width="17.42578125" style="362" customWidth="1"/>
    <col min="6406" max="6619" width="9.140625" style="362"/>
    <col min="6620" max="6620" width="28" style="362" customWidth="1"/>
    <col min="6621" max="6621" width="52" style="362" customWidth="1"/>
    <col min="6622" max="6622" width="27.28515625" style="362" customWidth="1"/>
    <col min="6623" max="6623" width="20.5703125" style="362" customWidth="1"/>
    <col min="6624" max="6625" width="9.140625" style="362"/>
    <col min="6626" max="6626" width="11.5703125" style="362" bestFit="1" customWidth="1"/>
    <col min="6627" max="6657" width="9.140625" style="362"/>
    <col min="6658" max="6658" width="28.7109375" style="362" customWidth="1"/>
    <col min="6659" max="6659" width="42.85546875" style="362" customWidth="1"/>
    <col min="6660" max="6660" width="26.28515625" style="362" customWidth="1"/>
    <col min="6661" max="6661" width="17.42578125" style="362" customWidth="1"/>
    <col min="6662" max="6875" width="9.140625" style="362"/>
    <col min="6876" max="6876" width="28" style="362" customWidth="1"/>
    <col min="6877" max="6877" width="52" style="362" customWidth="1"/>
    <col min="6878" max="6878" width="27.28515625" style="362" customWidth="1"/>
    <col min="6879" max="6879" width="20.5703125" style="362" customWidth="1"/>
    <col min="6880" max="6881" width="9.140625" style="362"/>
    <col min="6882" max="6882" width="11.5703125" style="362" bestFit="1" customWidth="1"/>
    <col min="6883" max="6913" width="9.140625" style="362"/>
    <col min="6914" max="6914" width="28.7109375" style="362" customWidth="1"/>
    <col min="6915" max="6915" width="42.85546875" style="362" customWidth="1"/>
    <col min="6916" max="6916" width="26.28515625" style="362" customWidth="1"/>
    <col min="6917" max="6917" width="17.42578125" style="362" customWidth="1"/>
    <col min="6918" max="7131" width="9.140625" style="362"/>
    <col min="7132" max="7132" width="28" style="362" customWidth="1"/>
    <col min="7133" max="7133" width="52" style="362" customWidth="1"/>
    <col min="7134" max="7134" width="27.28515625" style="362" customWidth="1"/>
    <col min="7135" max="7135" width="20.5703125" style="362" customWidth="1"/>
    <col min="7136" max="7137" width="9.140625" style="362"/>
    <col min="7138" max="7138" width="11.5703125" style="362" bestFit="1" customWidth="1"/>
    <col min="7139" max="7169" width="9.140625" style="362"/>
    <col min="7170" max="7170" width="28.7109375" style="362" customWidth="1"/>
    <col min="7171" max="7171" width="42.85546875" style="362" customWidth="1"/>
    <col min="7172" max="7172" width="26.28515625" style="362" customWidth="1"/>
    <col min="7173" max="7173" width="17.42578125" style="362" customWidth="1"/>
    <col min="7174" max="7387" width="9.140625" style="362"/>
    <col min="7388" max="7388" width="28" style="362" customWidth="1"/>
    <col min="7389" max="7389" width="52" style="362" customWidth="1"/>
    <col min="7390" max="7390" width="27.28515625" style="362" customWidth="1"/>
    <col min="7391" max="7391" width="20.5703125" style="362" customWidth="1"/>
    <col min="7392" max="7393" width="9.140625" style="362"/>
    <col min="7394" max="7394" width="11.5703125" style="362" bestFit="1" customWidth="1"/>
    <col min="7395" max="7425" width="9.140625" style="362"/>
    <col min="7426" max="7426" width="28.7109375" style="362" customWidth="1"/>
    <col min="7427" max="7427" width="42.85546875" style="362" customWidth="1"/>
    <col min="7428" max="7428" width="26.28515625" style="362" customWidth="1"/>
    <col min="7429" max="7429" width="17.42578125" style="362" customWidth="1"/>
    <col min="7430" max="7643" width="9.140625" style="362"/>
    <col min="7644" max="7644" width="28" style="362" customWidth="1"/>
    <col min="7645" max="7645" width="52" style="362" customWidth="1"/>
    <col min="7646" max="7646" width="27.28515625" style="362" customWidth="1"/>
    <col min="7647" max="7647" width="20.5703125" style="362" customWidth="1"/>
    <col min="7648" max="7649" width="9.140625" style="362"/>
    <col min="7650" max="7650" width="11.5703125" style="362" bestFit="1" customWidth="1"/>
    <col min="7651" max="7681" width="9.140625" style="362"/>
    <col min="7682" max="7682" width="28.7109375" style="362" customWidth="1"/>
    <col min="7683" max="7683" width="42.85546875" style="362" customWidth="1"/>
    <col min="7684" max="7684" width="26.28515625" style="362" customWidth="1"/>
    <col min="7685" max="7685" width="17.42578125" style="362" customWidth="1"/>
    <col min="7686" max="7899" width="9.140625" style="362"/>
    <col min="7900" max="7900" width="28" style="362" customWidth="1"/>
    <col min="7901" max="7901" width="52" style="362" customWidth="1"/>
    <col min="7902" max="7902" width="27.28515625" style="362" customWidth="1"/>
    <col min="7903" max="7903" width="20.5703125" style="362" customWidth="1"/>
    <col min="7904" max="7905" width="9.140625" style="362"/>
    <col min="7906" max="7906" width="11.5703125" style="362" bestFit="1" customWidth="1"/>
    <col min="7907" max="7937" width="9.140625" style="362"/>
    <col min="7938" max="7938" width="28.7109375" style="362" customWidth="1"/>
    <col min="7939" max="7939" width="42.85546875" style="362" customWidth="1"/>
    <col min="7940" max="7940" width="26.28515625" style="362" customWidth="1"/>
    <col min="7941" max="7941" width="17.42578125" style="362" customWidth="1"/>
    <col min="7942" max="8155" width="9.140625" style="362"/>
    <col min="8156" max="8156" width="28" style="362" customWidth="1"/>
    <col min="8157" max="8157" width="52" style="362" customWidth="1"/>
    <col min="8158" max="8158" width="27.28515625" style="362" customWidth="1"/>
    <col min="8159" max="8159" width="20.5703125" style="362" customWidth="1"/>
    <col min="8160" max="8161" width="9.140625" style="362"/>
    <col min="8162" max="8162" width="11.5703125" style="362" bestFit="1" customWidth="1"/>
    <col min="8163" max="8193" width="9.140625" style="362"/>
    <col min="8194" max="8194" width="28.7109375" style="362" customWidth="1"/>
    <col min="8195" max="8195" width="42.85546875" style="362" customWidth="1"/>
    <col min="8196" max="8196" width="26.28515625" style="362" customWidth="1"/>
    <col min="8197" max="8197" width="17.42578125" style="362" customWidth="1"/>
    <col min="8198" max="8411" width="9.140625" style="362"/>
    <col min="8412" max="8412" width="28" style="362" customWidth="1"/>
    <col min="8413" max="8413" width="52" style="362" customWidth="1"/>
    <col min="8414" max="8414" width="27.28515625" style="362" customWidth="1"/>
    <col min="8415" max="8415" width="20.5703125" style="362" customWidth="1"/>
    <col min="8416" max="8417" width="9.140625" style="362"/>
    <col min="8418" max="8418" width="11.5703125" style="362" bestFit="1" customWidth="1"/>
    <col min="8419" max="8449" width="9.140625" style="362"/>
    <col min="8450" max="8450" width="28.7109375" style="362" customWidth="1"/>
    <col min="8451" max="8451" width="42.85546875" style="362" customWidth="1"/>
    <col min="8452" max="8452" width="26.28515625" style="362" customWidth="1"/>
    <col min="8453" max="8453" width="17.42578125" style="362" customWidth="1"/>
    <col min="8454" max="8667" width="9.140625" style="362"/>
    <col min="8668" max="8668" width="28" style="362" customWidth="1"/>
    <col min="8669" max="8669" width="52" style="362" customWidth="1"/>
    <col min="8670" max="8670" width="27.28515625" style="362" customWidth="1"/>
    <col min="8671" max="8671" width="20.5703125" style="362" customWidth="1"/>
    <col min="8672" max="8673" width="9.140625" style="362"/>
    <col min="8674" max="8674" width="11.5703125" style="362" bestFit="1" customWidth="1"/>
    <col min="8675" max="8705" width="9.140625" style="362"/>
    <col min="8706" max="8706" width="28.7109375" style="362" customWidth="1"/>
    <col min="8707" max="8707" width="42.85546875" style="362" customWidth="1"/>
    <col min="8708" max="8708" width="26.28515625" style="362" customWidth="1"/>
    <col min="8709" max="8709" width="17.42578125" style="362" customWidth="1"/>
    <col min="8710" max="8923" width="9.140625" style="362"/>
    <col min="8924" max="8924" width="28" style="362" customWidth="1"/>
    <col min="8925" max="8925" width="52" style="362" customWidth="1"/>
    <col min="8926" max="8926" width="27.28515625" style="362" customWidth="1"/>
    <col min="8927" max="8927" width="20.5703125" style="362" customWidth="1"/>
    <col min="8928" max="8929" width="9.140625" style="362"/>
    <col min="8930" max="8930" width="11.5703125" style="362" bestFit="1" customWidth="1"/>
    <col min="8931" max="8961" width="9.140625" style="362"/>
    <col min="8962" max="8962" width="28.7109375" style="362" customWidth="1"/>
    <col min="8963" max="8963" width="42.85546875" style="362" customWidth="1"/>
    <col min="8964" max="8964" width="26.28515625" style="362" customWidth="1"/>
    <col min="8965" max="8965" width="17.42578125" style="362" customWidth="1"/>
    <col min="8966" max="9179" width="9.140625" style="362"/>
    <col min="9180" max="9180" width="28" style="362" customWidth="1"/>
    <col min="9181" max="9181" width="52" style="362" customWidth="1"/>
    <col min="9182" max="9182" width="27.28515625" style="362" customWidth="1"/>
    <col min="9183" max="9183" width="20.5703125" style="362" customWidth="1"/>
    <col min="9184" max="9185" width="9.140625" style="362"/>
    <col min="9186" max="9186" width="11.5703125" style="362" bestFit="1" customWidth="1"/>
    <col min="9187" max="9217" width="9.140625" style="362"/>
    <col min="9218" max="9218" width="28.7109375" style="362" customWidth="1"/>
    <col min="9219" max="9219" width="42.85546875" style="362" customWidth="1"/>
    <col min="9220" max="9220" width="26.28515625" style="362" customWidth="1"/>
    <col min="9221" max="9221" width="17.42578125" style="362" customWidth="1"/>
    <col min="9222" max="9435" width="9.140625" style="362"/>
    <col min="9436" max="9436" width="28" style="362" customWidth="1"/>
    <col min="9437" max="9437" width="52" style="362" customWidth="1"/>
    <col min="9438" max="9438" width="27.28515625" style="362" customWidth="1"/>
    <col min="9439" max="9439" width="20.5703125" style="362" customWidth="1"/>
    <col min="9440" max="9441" width="9.140625" style="362"/>
    <col min="9442" max="9442" width="11.5703125" style="362" bestFit="1" customWidth="1"/>
    <col min="9443" max="9473" width="9.140625" style="362"/>
    <col min="9474" max="9474" width="28.7109375" style="362" customWidth="1"/>
    <col min="9475" max="9475" width="42.85546875" style="362" customWidth="1"/>
    <col min="9476" max="9476" width="26.28515625" style="362" customWidth="1"/>
    <col min="9477" max="9477" width="17.42578125" style="362" customWidth="1"/>
    <col min="9478" max="9691" width="9.140625" style="362"/>
    <col min="9692" max="9692" width="28" style="362" customWidth="1"/>
    <col min="9693" max="9693" width="52" style="362" customWidth="1"/>
    <col min="9694" max="9694" width="27.28515625" style="362" customWidth="1"/>
    <col min="9695" max="9695" width="20.5703125" style="362" customWidth="1"/>
    <col min="9696" max="9697" width="9.140625" style="362"/>
    <col min="9698" max="9698" width="11.5703125" style="362" bestFit="1" customWidth="1"/>
    <col min="9699" max="9729" width="9.140625" style="362"/>
    <col min="9730" max="9730" width="28.7109375" style="362" customWidth="1"/>
    <col min="9731" max="9731" width="42.85546875" style="362" customWidth="1"/>
    <col min="9732" max="9732" width="26.28515625" style="362" customWidth="1"/>
    <col min="9733" max="9733" width="17.42578125" style="362" customWidth="1"/>
    <col min="9734" max="9947" width="9.140625" style="362"/>
    <col min="9948" max="9948" width="28" style="362" customWidth="1"/>
    <col min="9949" max="9949" width="52" style="362" customWidth="1"/>
    <col min="9950" max="9950" width="27.28515625" style="362" customWidth="1"/>
    <col min="9951" max="9951" width="20.5703125" style="362" customWidth="1"/>
    <col min="9952" max="9953" width="9.140625" style="362"/>
    <col min="9954" max="9954" width="11.5703125" style="362" bestFit="1" customWidth="1"/>
    <col min="9955" max="9985" width="9.140625" style="362"/>
    <col min="9986" max="9986" width="28.7109375" style="362" customWidth="1"/>
    <col min="9987" max="9987" width="42.85546875" style="362" customWidth="1"/>
    <col min="9988" max="9988" width="26.28515625" style="362" customWidth="1"/>
    <col min="9989" max="9989" width="17.42578125" style="362" customWidth="1"/>
    <col min="9990" max="10203" width="9.140625" style="362"/>
    <col min="10204" max="10204" width="28" style="362" customWidth="1"/>
    <col min="10205" max="10205" width="52" style="362" customWidth="1"/>
    <col min="10206" max="10206" width="27.28515625" style="362" customWidth="1"/>
    <col min="10207" max="10207" width="20.5703125" style="362" customWidth="1"/>
    <col min="10208" max="10209" width="9.140625" style="362"/>
    <col min="10210" max="10210" width="11.5703125" style="362" bestFit="1" customWidth="1"/>
    <col min="10211" max="10241" width="9.140625" style="362"/>
    <col min="10242" max="10242" width="28.7109375" style="362" customWidth="1"/>
    <col min="10243" max="10243" width="42.85546875" style="362" customWidth="1"/>
    <col min="10244" max="10244" width="26.28515625" style="362" customWidth="1"/>
    <col min="10245" max="10245" width="17.42578125" style="362" customWidth="1"/>
    <col min="10246" max="10459" width="9.140625" style="362"/>
    <col min="10460" max="10460" width="28" style="362" customWidth="1"/>
    <col min="10461" max="10461" width="52" style="362" customWidth="1"/>
    <col min="10462" max="10462" width="27.28515625" style="362" customWidth="1"/>
    <col min="10463" max="10463" width="20.5703125" style="362" customWidth="1"/>
    <col min="10464" max="10465" width="9.140625" style="362"/>
    <col min="10466" max="10466" width="11.5703125" style="362" bestFit="1" customWidth="1"/>
    <col min="10467" max="10497" width="9.140625" style="362"/>
    <col min="10498" max="10498" width="28.7109375" style="362" customWidth="1"/>
    <col min="10499" max="10499" width="42.85546875" style="362" customWidth="1"/>
    <col min="10500" max="10500" width="26.28515625" style="362" customWidth="1"/>
    <col min="10501" max="10501" width="17.42578125" style="362" customWidth="1"/>
    <col min="10502" max="10715" width="9.140625" style="362"/>
    <col min="10716" max="10716" width="28" style="362" customWidth="1"/>
    <col min="10717" max="10717" width="52" style="362" customWidth="1"/>
    <col min="10718" max="10718" width="27.28515625" style="362" customWidth="1"/>
    <col min="10719" max="10719" width="20.5703125" style="362" customWidth="1"/>
    <col min="10720" max="10721" width="9.140625" style="362"/>
    <col min="10722" max="10722" width="11.5703125" style="362" bestFit="1" customWidth="1"/>
    <col min="10723" max="10753" width="9.140625" style="362"/>
    <col min="10754" max="10754" width="28.7109375" style="362" customWidth="1"/>
    <col min="10755" max="10755" width="42.85546875" style="362" customWidth="1"/>
    <col min="10756" max="10756" width="26.28515625" style="362" customWidth="1"/>
    <col min="10757" max="10757" width="17.42578125" style="362" customWidth="1"/>
    <col min="10758" max="10971" width="9.140625" style="362"/>
    <col min="10972" max="10972" width="28" style="362" customWidth="1"/>
    <col min="10973" max="10973" width="52" style="362" customWidth="1"/>
    <col min="10974" max="10974" width="27.28515625" style="362" customWidth="1"/>
    <col min="10975" max="10975" width="20.5703125" style="362" customWidth="1"/>
    <col min="10976" max="10977" width="9.140625" style="362"/>
    <col min="10978" max="10978" width="11.5703125" style="362" bestFit="1" customWidth="1"/>
    <col min="10979" max="11009" width="9.140625" style="362"/>
    <col min="11010" max="11010" width="28.7109375" style="362" customWidth="1"/>
    <col min="11011" max="11011" width="42.85546875" style="362" customWidth="1"/>
    <col min="11012" max="11012" width="26.28515625" style="362" customWidth="1"/>
    <col min="11013" max="11013" width="17.42578125" style="362" customWidth="1"/>
    <col min="11014" max="11227" width="9.140625" style="362"/>
    <col min="11228" max="11228" width="28" style="362" customWidth="1"/>
    <col min="11229" max="11229" width="52" style="362" customWidth="1"/>
    <col min="11230" max="11230" width="27.28515625" style="362" customWidth="1"/>
    <col min="11231" max="11231" width="20.5703125" style="362" customWidth="1"/>
    <col min="11232" max="11233" width="9.140625" style="362"/>
    <col min="11234" max="11234" width="11.5703125" style="362" bestFit="1" customWidth="1"/>
    <col min="11235" max="11265" width="9.140625" style="362"/>
    <col min="11266" max="11266" width="28.7109375" style="362" customWidth="1"/>
    <col min="11267" max="11267" width="42.85546875" style="362" customWidth="1"/>
    <col min="11268" max="11268" width="26.28515625" style="362" customWidth="1"/>
    <col min="11269" max="11269" width="17.42578125" style="362" customWidth="1"/>
    <col min="11270" max="11483" width="9.140625" style="362"/>
    <col min="11484" max="11484" width="28" style="362" customWidth="1"/>
    <col min="11485" max="11485" width="52" style="362" customWidth="1"/>
    <col min="11486" max="11486" width="27.28515625" style="362" customWidth="1"/>
    <col min="11487" max="11487" width="20.5703125" style="362" customWidth="1"/>
    <col min="11488" max="11489" width="9.140625" style="362"/>
    <col min="11490" max="11490" width="11.5703125" style="362" bestFit="1" customWidth="1"/>
    <col min="11491" max="11521" width="9.140625" style="362"/>
    <col min="11522" max="11522" width="28.7109375" style="362" customWidth="1"/>
    <col min="11523" max="11523" width="42.85546875" style="362" customWidth="1"/>
    <col min="11524" max="11524" width="26.28515625" style="362" customWidth="1"/>
    <col min="11525" max="11525" width="17.42578125" style="362" customWidth="1"/>
    <col min="11526" max="11739" width="9.140625" style="362"/>
    <col min="11740" max="11740" width="28" style="362" customWidth="1"/>
    <col min="11741" max="11741" width="52" style="362" customWidth="1"/>
    <col min="11742" max="11742" width="27.28515625" style="362" customWidth="1"/>
    <col min="11743" max="11743" width="20.5703125" style="362" customWidth="1"/>
    <col min="11744" max="11745" width="9.140625" style="362"/>
    <col min="11746" max="11746" width="11.5703125" style="362" bestFit="1" customWidth="1"/>
    <col min="11747" max="11777" width="9.140625" style="362"/>
    <col min="11778" max="11778" width="28.7109375" style="362" customWidth="1"/>
    <col min="11779" max="11779" width="42.85546875" style="362" customWidth="1"/>
    <col min="11780" max="11780" width="26.28515625" style="362" customWidth="1"/>
    <col min="11781" max="11781" width="17.42578125" style="362" customWidth="1"/>
    <col min="11782" max="11995" width="9.140625" style="362"/>
    <col min="11996" max="11996" width="28" style="362" customWidth="1"/>
    <col min="11997" max="11997" width="52" style="362" customWidth="1"/>
    <col min="11998" max="11998" width="27.28515625" style="362" customWidth="1"/>
    <col min="11999" max="11999" width="20.5703125" style="362" customWidth="1"/>
    <col min="12000" max="12001" width="9.140625" style="362"/>
    <col min="12002" max="12002" width="11.5703125" style="362" bestFit="1" customWidth="1"/>
    <col min="12003" max="12033" width="9.140625" style="362"/>
    <col min="12034" max="12034" width="28.7109375" style="362" customWidth="1"/>
    <col min="12035" max="12035" width="42.85546875" style="362" customWidth="1"/>
    <col min="12036" max="12036" width="26.28515625" style="362" customWidth="1"/>
    <col min="12037" max="12037" width="17.42578125" style="362" customWidth="1"/>
    <col min="12038" max="12251" width="9.140625" style="362"/>
    <col min="12252" max="12252" width="28" style="362" customWidth="1"/>
    <col min="12253" max="12253" width="52" style="362" customWidth="1"/>
    <col min="12254" max="12254" width="27.28515625" style="362" customWidth="1"/>
    <col min="12255" max="12255" width="20.5703125" style="362" customWidth="1"/>
    <col min="12256" max="12257" width="9.140625" style="362"/>
    <col min="12258" max="12258" width="11.5703125" style="362" bestFit="1" customWidth="1"/>
    <col min="12259" max="12289" width="9.140625" style="362"/>
    <col min="12290" max="12290" width="28.7109375" style="362" customWidth="1"/>
    <col min="12291" max="12291" width="42.85546875" style="362" customWidth="1"/>
    <col min="12292" max="12292" width="26.28515625" style="362" customWidth="1"/>
    <col min="12293" max="12293" width="17.42578125" style="362" customWidth="1"/>
    <col min="12294" max="12507" width="9.140625" style="362"/>
    <col min="12508" max="12508" width="28" style="362" customWidth="1"/>
    <col min="12509" max="12509" width="52" style="362" customWidth="1"/>
    <col min="12510" max="12510" width="27.28515625" style="362" customWidth="1"/>
    <col min="12511" max="12511" width="20.5703125" style="362" customWidth="1"/>
    <col min="12512" max="12513" width="9.140625" style="362"/>
    <col min="12514" max="12514" width="11.5703125" style="362" bestFit="1" customWidth="1"/>
    <col min="12515" max="12545" width="9.140625" style="362"/>
    <col min="12546" max="12546" width="28.7109375" style="362" customWidth="1"/>
    <col min="12547" max="12547" width="42.85546875" style="362" customWidth="1"/>
    <col min="12548" max="12548" width="26.28515625" style="362" customWidth="1"/>
    <col min="12549" max="12549" width="17.42578125" style="362" customWidth="1"/>
    <col min="12550" max="12763" width="9.140625" style="362"/>
    <col min="12764" max="12764" width="28" style="362" customWidth="1"/>
    <col min="12765" max="12765" width="52" style="362" customWidth="1"/>
    <col min="12766" max="12766" width="27.28515625" style="362" customWidth="1"/>
    <col min="12767" max="12767" width="20.5703125" style="362" customWidth="1"/>
    <col min="12768" max="12769" width="9.140625" style="362"/>
    <col min="12770" max="12770" width="11.5703125" style="362" bestFit="1" customWidth="1"/>
    <col min="12771" max="12801" width="9.140625" style="362"/>
    <col min="12802" max="12802" width="28.7109375" style="362" customWidth="1"/>
    <col min="12803" max="12803" width="42.85546875" style="362" customWidth="1"/>
    <col min="12804" max="12804" width="26.28515625" style="362" customWidth="1"/>
    <col min="12805" max="12805" width="17.42578125" style="362" customWidth="1"/>
    <col min="12806" max="13019" width="9.140625" style="362"/>
    <col min="13020" max="13020" width="28" style="362" customWidth="1"/>
    <col min="13021" max="13021" width="52" style="362" customWidth="1"/>
    <col min="13022" max="13022" width="27.28515625" style="362" customWidth="1"/>
    <col min="13023" max="13023" width="20.5703125" style="362" customWidth="1"/>
    <col min="13024" max="13025" width="9.140625" style="362"/>
    <col min="13026" max="13026" width="11.5703125" style="362" bestFit="1" customWidth="1"/>
    <col min="13027" max="13057" width="9.140625" style="362"/>
    <col min="13058" max="13058" width="28.7109375" style="362" customWidth="1"/>
    <col min="13059" max="13059" width="42.85546875" style="362" customWidth="1"/>
    <col min="13060" max="13060" width="26.28515625" style="362" customWidth="1"/>
    <col min="13061" max="13061" width="17.42578125" style="362" customWidth="1"/>
    <col min="13062" max="13275" width="9.140625" style="362"/>
    <col min="13276" max="13276" width="28" style="362" customWidth="1"/>
    <col min="13277" max="13277" width="52" style="362" customWidth="1"/>
    <col min="13278" max="13278" width="27.28515625" style="362" customWidth="1"/>
    <col min="13279" max="13279" width="20.5703125" style="362" customWidth="1"/>
    <col min="13280" max="13281" width="9.140625" style="362"/>
    <col min="13282" max="13282" width="11.5703125" style="362" bestFit="1" customWidth="1"/>
    <col min="13283" max="13313" width="9.140625" style="362"/>
    <col min="13314" max="13314" width="28.7109375" style="362" customWidth="1"/>
    <col min="13315" max="13315" width="42.85546875" style="362" customWidth="1"/>
    <col min="13316" max="13316" width="26.28515625" style="362" customWidth="1"/>
    <col min="13317" max="13317" width="17.42578125" style="362" customWidth="1"/>
    <col min="13318" max="13531" width="9.140625" style="362"/>
    <col min="13532" max="13532" width="28" style="362" customWidth="1"/>
    <col min="13533" max="13533" width="52" style="362" customWidth="1"/>
    <col min="13534" max="13534" width="27.28515625" style="362" customWidth="1"/>
    <col min="13535" max="13535" width="20.5703125" style="362" customWidth="1"/>
    <col min="13536" max="13537" width="9.140625" style="362"/>
    <col min="13538" max="13538" width="11.5703125" style="362" bestFit="1" customWidth="1"/>
    <col min="13539" max="13569" width="9.140625" style="362"/>
    <col min="13570" max="13570" width="28.7109375" style="362" customWidth="1"/>
    <col min="13571" max="13571" width="42.85546875" style="362" customWidth="1"/>
    <col min="13572" max="13572" width="26.28515625" style="362" customWidth="1"/>
    <col min="13573" max="13573" width="17.42578125" style="362" customWidth="1"/>
    <col min="13574" max="13787" width="9.140625" style="362"/>
    <col min="13788" max="13788" width="28" style="362" customWidth="1"/>
    <col min="13789" max="13789" width="52" style="362" customWidth="1"/>
    <col min="13790" max="13790" width="27.28515625" style="362" customWidth="1"/>
    <col min="13791" max="13791" width="20.5703125" style="362" customWidth="1"/>
    <col min="13792" max="13793" width="9.140625" style="362"/>
    <col min="13794" max="13794" width="11.5703125" style="362" bestFit="1" customWidth="1"/>
    <col min="13795" max="13825" width="9.140625" style="362"/>
    <col min="13826" max="13826" width="28.7109375" style="362" customWidth="1"/>
    <col min="13827" max="13827" width="42.85546875" style="362" customWidth="1"/>
    <col min="13828" max="13828" width="26.28515625" style="362" customWidth="1"/>
    <col min="13829" max="13829" width="17.42578125" style="362" customWidth="1"/>
    <col min="13830" max="14043" width="9.140625" style="362"/>
    <col min="14044" max="14044" width="28" style="362" customWidth="1"/>
    <col min="14045" max="14045" width="52" style="362" customWidth="1"/>
    <col min="14046" max="14046" width="27.28515625" style="362" customWidth="1"/>
    <col min="14047" max="14047" width="20.5703125" style="362" customWidth="1"/>
    <col min="14048" max="14049" width="9.140625" style="362"/>
    <col min="14050" max="14050" width="11.5703125" style="362" bestFit="1" customWidth="1"/>
    <col min="14051" max="14081" width="9.140625" style="362"/>
    <col min="14082" max="14082" width="28.7109375" style="362" customWidth="1"/>
    <col min="14083" max="14083" width="42.85546875" style="362" customWidth="1"/>
    <col min="14084" max="14084" width="26.28515625" style="362" customWidth="1"/>
    <col min="14085" max="14085" width="17.42578125" style="362" customWidth="1"/>
    <col min="14086" max="14299" width="9.140625" style="362"/>
    <col min="14300" max="14300" width="28" style="362" customWidth="1"/>
    <col min="14301" max="14301" width="52" style="362" customWidth="1"/>
    <col min="14302" max="14302" width="27.28515625" style="362" customWidth="1"/>
    <col min="14303" max="14303" width="20.5703125" style="362" customWidth="1"/>
    <col min="14304" max="14305" width="9.140625" style="362"/>
    <col min="14306" max="14306" width="11.5703125" style="362" bestFit="1" customWidth="1"/>
    <col min="14307" max="14337" width="9.140625" style="362"/>
    <col min="14338" max="14338" width="28.7109375" style="362" customWidth="1"/>
    <col min="14339" max="14339" width="42.85546875" style="362" customWidth="1"/>
    <col min="14340" max="14340" width="26.28515625" style="362" customWidth="1"/>
    <col min="14341" max="14341" width="17.42578125" style="362" customWidth="1"/>
    <col min="14342" max="14555" width="9.140625" style="362"/>
    <col min="14556" max="14556" width="28" style="362" customWidth="1"/>
    <col min="14557" max="14557" width="52" style="362" customWidth="1"/>
    <col min="14558" max="14558" width="27.28515625" style="362" customWidth="1"/>
    <col min="14559" max="14559" width="20.5703125" style="362" customWidth="1"/>
    <col min="14560" max="14561" width="9.140625" style="362"/>
    <col min="14562" max="14562" width="11.5703125" style="362" bestFit="1" customWidth="1"/>
    <col min="14563" max="14593" width="9.140625" style="362"/>
    <col min="14594" max="14594" width="28.7109375" style="362" customWidth="1"/>
    <col min="14595" max="14595" width="42.85546875" style="362" customWidth="1"/>
    <col min="14596" max="14596" width="26.28515625" style="362" customWidth="1"/>
    <col min="14597" max="14597" width="17.42578125" style="362" customWidth="1"/>
    <col min="14598" max="14811" width="9.140625" style="362"/>
    <col min="14812" max="14812" width="28" style="362" customWidth="1"/>
    <col min="14813" max="14813" width="52" style="362" customWidth="1"/>
    <col min="14814" max="14814" width="27.28515625" style="362" customWidth="1"/>
    <col min="14815" max="14815" width="20.5703125" style="362" customWidth="1"/>
    <col min="14816" max="14817" width="9.140625" style="362"/>
    <col min="14818" max="14818" width="11.5703125" style="362" bestFit="1" customWidth="1"/>
    <col min="14819" max="14849" width="9.140625" style="362"/>
    <col min="14850" max="14850" width="28.7109375" style="362" customWidth="1"/>
    <col min="14851" max="14851" width="42.85546875" style="362" customWidth="1"/>
    <col min="14852" max="14852" width="26.28515625" style="362" customWidth="1"/>
    <col min="14853" max="14853" width="17.42578125" style="362" customWidth="1"/>
    <col min="14854" max="15067" width="9.140625" style="362"/>
    <col min="15068" max="15068" width="28" style="362" customWidth="1"/>
    <col min="15069" max="15069" width="52" style="362" customWidth="1"/>
    <col min="15070" max="15070" width="27.28515625" style="362" customWidth="1"/>
    <col min="15071" max="15071" width="20.5703125" style="362" customWidth="1"/>
    <col min="15072" max="15073" width="9.140625" style="362"/>
    <col min="15074" max="15074" width="11.5703125" style="362" bestFit="1" customWidth="1"/>
    <col min="15075" max="15105" width="9.140625" style="362"/>
    <col min="15106" max="15106" width="28.7109375" style="362" customWidth="1"/>
    <col min="15107" max="15107" width="42.85546875" style="362" customWidth="1"/>
    <col min="15108" max="15108" width="26.28515625" style="362" customWidth="1"/>
    <col min="15109" max="15109" width="17.42578125" style="362" customWidth="1"/>
    <col min="15110" max="15323" width="9.140625" style="362"/>
    <col min="15324" max="15324" width="28" style="362" customWidth="1"/>
    <col min="15325" max="15325" width="52" style="362" customWidth="1"/>
    <col min="15326" max="15326" width="27.28515625" style="362" customWidth="1"/>
    <col min="15327" max="15327" width="20.5703125" style="362" customWidth="1"/>
    <col min="15328" max="15329" width="9.140625" style="362"/>
    <col min="15330" max="15330" width="11.5703125" style="362" bestFit="1" customWidth="1"/>
    <col min="15331" max="15361" width="9.140625" style="362"/>
    <col min="15362" max="15362" width="28.7109375" style="362" customWidth="1"/>
    <col min="15363" max="15363" width="42.85546875" style="362" customWidth="1"/>
    <col min="15364" max="15364" width="26.28515625" style="362" customWidth="1"/>
    <col min="15365" max="15365" width="17.42578125" style="362" customWidth="1"/>
    <col min="15366" max="15579" width="9.140625" style="362"/>
    <col min="15580" max="15580" width="28" style="362" customWidth="1"/>
    <col min="15581" max="15581" width="52" style="362" customWidth="1"/>
    <col min="15582" max="15582" width="27.28515625" style="362" customWidth="1"/>
    <col min="15583" max="15583" width="20.5703125" style="362" customWidth="1"/>
    <col min="15584" max="15585" width="9.140625" style="362"/>
    <col min="15586" max="15586" width="11.5703125" style="362" bestFit="1" customWidth="1"/>
    <col min="15587" max="15617" width="9.140625" style="362"/>
    <col min="15618" max="15618" width="28.7109375" style="362" customWidth="1"/>
    <col min="15619" max="15619" width="42.85546875" style="362" customWidth="1"/>
    <col min="15620" max="15620" width="26.28515625" style="362" customWidth="1"/>
    <col min="15621" max="15621" width="17.42578125" style="362" customWidth="1"/>
    <col min="15622" max="15835" width="9.140625" style="362"/>
    <col min="15836" max="15836" width="28" style="362" customWidth="1"/>
    <col min="15837" max="15837" width="52" style="362" customWidth="1"/>
    <col min="15838" max="15838" width="27.28515625" style="362" customWidth="1"/>
    <col min="15839" max="15839" width="20.5703125" style="362" customWidth="1"/>
    <col min="15840" max="15841" width="9.140625" style="362"/>
    <col min="15842" max="15842" width="11.5703125" style="362" bestFit="1" customWidth="1"/>
    <col min="15843" max="15873" width="9.140625" style="362"/>
    <col min="15874" max="15874" width="28.7109375" style="362" customWidth="1"/>
    <col min="15875" max="15875" width="42.85546875" style="362" customWidth="1"/>
    <col min="15876" max="15876" width="26.28515625" style="362" customWidth="1"/>
    <col min="15877" max="15877" width="17.42578125" style="362" customWidth="1"/>
    <col min="15878" max="16091" width="9.140625" style="362"/>
    <col min="16092" max="16092" width="28" style="362" customWidth="1"/>
    <col min="16093" max="16093" width="52" style="362" customWidth="1"/>
    <col min="16094" max="16094" width="27.28515625" style="362" customWidth="1"/>
    <col min="16095" max="16095" width="20.5703125" style="362" customWidth="1"/>
    <col min="16096" max="16097" width="9.140625" style="362"/>
    <col min="16098" max="16098" width="11.5703125" style="362" bestFit="1" customWidth="1"/>
    <col min="16099" max="16129" width="9.140625" style="362"/>
    <col min="16130" max="16130" width="28.7109375" style="362" customWidth="1"/>
    <col min="16131" max="16131" width="42.85546875" style="362" customWidth="1"/>
    <col min="16132" max="16132" width="26.28515625" style="362" customWidth="1"/>
    <col min="16133" max="16133" width="17.42578125" style="362" customWidth="1"/>
    <col min="16134" max="16347" width="9.140625" style="362"/>
    <col min="16348" max="16348" width="28" style="362" customWidth="1"/>
    <col min="16349" max="16349" width="52" style="362" customWidth="1"/>
    <col min="16350" max="16350" width="27.28515625" style="362" customWidth="1"/>
    <col min="16351" max="16351" width="20.5703125" style="362" customWidth="1"/>
    <col min="16352" max="16353" width="9.140625" style="362"/>
    <col min="16354" max="16354" width="11.5703125" style="362" bestFit="1" customWidth="1"/>
    <col min="16355" max="16384" width="9.140625" style="362"/>
  </cols>
  <sheetData>
    <row r="1" spans="1:256" x14ac:dyDescent="0.2">
      <c r="A1" s="365"/>
      <c r="B1" s="366"/>
      <c r="C1" s="367"/>
      <c r="D1" s="368"/>
      <c r="E1" s="369" t="s">
        <v>1310</v>
      </c>
      <c r="F1" s="368"/>
      <c r="G1" s="370"/>
      <c r="H1" s="368"/>
      <c r="I1" s="371"/>
      <c r="J1" s="371"/>
      <c r="K1" s="371"/>
      <c r="L1" s="371"/>
      <c r="M1" s="371"/>
      <c r="N1" s="371"/>
      <c r="O1" s="371"/>
      <c r="P1" s="371"/>
      <c r="Q1" s="371"/>
      <c r="R1" s="371"/>
      <c r="S1" s="371"/>
      <c r="T1" s="371"/>
      <c r="U1" s="371"/>
      <c r="V1" s="371"/>
      <c r="W1" s="371"/>
      <c r="X1" s="371"/>
      <c r="Y1" s="371"/>
      <c r="Z1" s="371"/>
      <c r="AA1" s="371"/>
      <c r="AB1" s="371"/>
      <c r="AC1" s="371"/>
      <c r="AD1" s="371"/>
      <c r="AE1" s="371"/>
      <c r="AF1" s="371"/>
      <c r="AG1" s="371"/>
      <c r="AH1" s="371"/>
      <c r="AI1" s="371"/>
      <c r="AJ1" s="371"/>
      <c r="AK1" s="371"/>
      <c r="AL1" s="371"/>
      <c r="AM1" s="371"/>
      <c r="AN1" s="371"/>
      <c r="AO1" s="371"/>
      <c r="AP1" s="371"/>
      <c r="AQ1" s="371"/>
      <c r="AR1" s="371"/>
      <c r="AS1" s="371"/>
      <c r="AT1" s="371"/>
      <c r="AU1" s="371"/>
      <c r="AV1" s="371"/>
      <c r="AW1" s="371"/>
      <c r="AX1" s="371"/>
      <c r="AY1" s="371"/>
      <c r="AZ1" s="371"/>
      <c r="BA1" s="371"/>
      <c r="BB1" s="371"/>
      <c r="BC1" s="371"/>
      <c r="BD1" s="371"/>
      <c r="BE1" s="371"/>
      <c r="BF1" s="371"/>
      <c r="BG1" s="371"/>
      <c r="BH1" s="371"/>
      <c r="BI1" s="371"/>
      <c r="BJ1" s="371"/>
      <c r="BK1" s="371"/>
      <c r="BL1" s="371"/>
      <c r="BM1" s="371"/>
      <c r="BN1" s="371"/>
      <c r="BO1" s="371"/>
      <c r="BP1" s="371"/>
      <c r="BQ1" s="371"/>
      <c r="BR1" s="371"/>
      <c r="BS1" s="371"/>
      <c r="BT1" s="371"/>
      <c r="BU1" s="371"/>
      <c r="BV1" s="371"/>
      <c r="BW1" s="371"/>
      <c r="BX1" s="371"/>
      <c r="BY1" s="371"/>
      <c r="BZ1" s="371"/>
      <c r="CA1" s="371"/>
      <c r="CB1" s="371"/>
      <c r="CC1" s="371"/>
      <c r="CD1" s="371"/>
      <c r="CE1" s="371"/>
      <c r="CF1" s="371"/>
      <c r="CG1" s="371"/>
      <c r="CH1" s="371"/>
      <c r="CI1" s="371"/>
      <c r="CJ1" s="371"/>
      <c r="CK1" s="371"/>
      <c r="CL1" s="371"/>
      <c r="CM1" s="371"/>
      <c r="CN1" s="371"/>
      <c r="CO1" s="371"/>
      <c r="CP1" s="371"/>
      <c r="CQ1" s="371"/>
      <c r="CR1" s="371"/>
      <c r="CS1" s="371"/>
      <c r="CT1" s="371"/>
      <c r="CU1" s="371"/>
      <c r="CV1" s="371"/>
      <c r="CW1" s="371"/>
      <c r="CX1" s="371"/>
      <c r="CY1" s="371"/>
      <c r="CZ1" s="371"/>
      <c r="DA1" s="371"/>
      <c r="DB1" s="371"/>
      <c r="DC1" s="371"/>
      <c r="DD1" s="371"/>
      <c r="DE1" s="371"/>
      <c r="DF1" s="371"/>
      <c r="DG1" s="371"/>
      <c r="DH1" s="371"/>
      <c r="DI1" s="371"/>
      <c r="DJ1" s="371"/>
      <c r="DK1" s="371"/>
      <c r="DL1" s="371"/>
      <c r="DM1" s="371"/>
      <c r="DN1" s="371"/>
      <c r="DO1" s="371"/>
      <c r="DP1" s="371"/>
      <c r="DQ1" s="371"/>
      <c r="DR1" s="371"/>
      <c r="DS1" s="371"/>
      <c r="DT1" s="371"/>
      <c r="DU1" s="371"/>
      <c r="DV1" s="371"/>
      <c r="DW1" s="371"/>
      <c r="DX1" s="371"/>
      <c r="DY1" s="371"/>
      <c r="DZ1" s="371"/>
      <c r="EA1" s="371"/>
      <c r="EB1" s="371"/>
      <c r="EC1" s="371"/>
      <c r="ED1" s="371"/>
      <c r="EE1" s="371"/>
      <c r="EF1" s="371"/>
      <c r="EG1" s="371"/>
      <c r="EH1" s="371"/>
      <c r="EI1" s="371"/>
      <c r="EJ1" s="371"/>
      <c r="EK1" s="371"/>
      <c r="EL1" s="371"/>
      <c r="EM1" s="371"/>
      <c r="EN1" s="371"/>
      <c r="EO1" s="371"/>
      <c r="EP1" s="371"/>
      <c r="EQ1" s="371"/>
      <c r="ER1" s="371"/>
      <c r="ES1" s="371"/>
      <c r="ET1" s="371"/>
      <c r="EU1" s="371"/>
      <c r="EV1" s="371"/>
      <c r="EW1" s="371"/>
      <c r="EX1" s="371"/>
      <c r="EY1" s="371"/>
      <c r="EZ1" s="371"/>
      <c r="FA1" s="371"/>
      <c r="FB1" s="371"/>
      <c r="FC1" s="371"/>
      <c r="FD1" s="371"/>
      <c r="FE1" s="371"/>
      <c r="FF1" s="371"/>
      <c r="FG1" s="371"/>
      <c r="FH1" s="371"/>
      <c r="FI1" s="371"/>
      <c r="FJ1" s="371"/>
      <c r="FK1" s="371"/>
      <c r="FL1" s="371"/>
      <c r="FM1" s="371"/>
      <c r="FN1" s="371"/>
      <c r="FO1" s="371"/>
      <c r="FP1" s="371"/>
      <c r="FQ1" s="371"/>
      <c r="FR1" s="371"/>
      <c r="FS1" s="371"/>
      <c r="FT1" s="371"/>
      <c r="FU1" s="371"/>
      <c r="FV1" s="371"/>
      <c r="FW1" s="371"/>
      <c r="FX1" s="371"/>
      <c r="FY1" s="371"/>
      <c r="FZ1" s="371"/>
      <c r="GA1" s="371"/>
      <c r="GB1" s="371"/>
      <c r="GC1" s="371"/>
      <c r="GD1" s="371"/>
      <c r="GE1" s="371"/>
      <c r="GF1" s="371"/>
      <c r="GG1" s="371"/>
      <c r="GH1" s="371"/>
      <c r="GI1" s="371"/>
      <c r="GJ1" s="371"/>
      <c r="GK1" s="371"/>
      <c r="GL1" s="371"/>
      <c r="GM1" s="371"/>
      <c r="GN1" s="371"/>
      <c r="GO1" s="371"/>
      <c r="GP1" s="371"/>
      <c r="GQ1" s="371"/>
      <c r="GR1" s="371"/>
      <c r="GS1" s="371"/>
      <c r="GT1" s="371"/>
      <c r="GU1" s="371"/>
      <c r="GV1" s="371"/>
      <c r="GW1" s="371"/>
      <c r="GX1" s="371"/>
      <c r="GY1" s="371"/>
      <c r="GZ1" s="371"/>
      <c r="HA1" s="371"/>
      <c r="HB1" s="371"/>
      <c r="HC1" s="371"/>
      <c r="HD1" s="371"/>
      <c r="HE1" s="371"/>
      <c r="HF1" s="371"/>
      <c r="HG1" s="371"/>
      <c r="HH1" s="371"/>
      <c r="HI1" s="371"/>
      <c r="HJ1" s="371"/>
      <c r="HK1" s="371"/>
      <c r="HL1" s="371"/>
      <c r="HM1" s="371"/>
      <c r="HN1" s="371"/>
      <c r="HO1" s="371"/>
      <c r="HP1" s="371"/>
      <c r="HQ1" s="371"/>
      <c r="HR1" s="371"/>
      <c r="HS1" s="371"/>
      <c r="HT1" s="371"/>
      <c r="HU1" s="371"/>
      <c r="HV1" s="371"/>
      <c r="HW1" s="371"/>
      <c r="HX1" s="371"/>
      <c r="HY1" s="371"/>
      <c r="HZ1" s="371"/>
      <c r="IA1" s="371"/>
      <c r="IB1" s="371"/>
      <c r="IC1" s="371"/>
      <c r="ID1" s="371"/>
      <c r="IE1" s="371"/>
      <c r="IF1" s="371"/>
      <c r="IG1" s="371"/>
      <c r="IH1" s="371"/>
      <c r="II1" s="371"/>
      <c r="IJ1" s="371"/>
      <c r="IK1" s="371"/>
      <c r="IL1" s="371"/>
      <c r="IM1" s="371"/>
      <c r="IN1" s="371"/>
      <c r="IO1" s="371"/>
      <c r="IP1" s="371"/>
      <c r="IQ1" s="371"/>
      <c r="IR1" s="371"/>
      <c r="IS1" s="371"/>
      <c r="IT1" s="371"/>
      <c r="IU1" s="371"/>
      <c r="IV1" s="371"/>
    </row>
    <row r="2" spans="1:256" x14ac:dyDescent="0.2">
      <c r="A2" s="365"/>
      <c r="B2" s="368"/>
      <c r="D2" s="368"/>
      <c r="E2" s="372"/>
      <c r="F2" s="368"/>
      <c r="G2" s="370"/>
      <c r="H2" s="368"/>
      <c r="I2" s="370"/>
      <c r="J2" s="371"/>
      <c r="K2" s="371"/>
      <c r="L2" s="371"/>
      <c r="M2" s="371"/>
      <c r="N2" s="371"/>
      <c r="O2" s="371"/>
      <c r="P2" s="371"/>
      <c r="Q2" s="371"/>
      <c r="R2" s="371"/>
      <c r="S2" s="371"/>
      <c r="T2" s="371"/>
      <c r="U2" s="371"/>
      <c r="V2" s="371"/>
      <c r="W2" s="371"/>
      <c r="X2" s="371"/>
      <c r="Y2" s="371"/>
      <c r="Z2" s="371"/>
      <c r="AA2" s="371"/>
      <c r="AB2" s="371"/>
      <c r="AC2" s="371"/>
      <c r="AD2" s="371"/>
      <c r="AE2" s="371"/>
      <c r="AF2" s="371"/>
      <c r="AG2" s="371"/>
      <c r="AH2" s="371"/>
      <c r="AI2" s="371"/>
      <c r="AJ2" s="371"/>
      <c r="AK2" s="371"/>
      <c r="AL2" s="371"/>
      <c r="AM2" s="371"/>
      <c r="AN2" s="371"/>
      <c r="AO2" s="371"/>
      <c r="AP2" s="371"/>
      <c r="AQ2" s="371"/>
      <c r="AR2" s="371"/>
      <c r="AS2" s="371"/>
      <c r="AT2" s="371"/>
      <c r="AU2" s="371"/>
      <c r="AV2" s="371"/>
      <c r="AW2" s="371"/>
      <c r="AX2" s="371"/>
      <c r="AY2" s="371"/>
      <c r="AZ2" s="371"/>
      <c r="BA2" s="371"/>
      <c r="BB2" s="371"/>
      <c r="BC2" s="371"/>
      <c r="BD2" s="371"/>
      <c r="BE2" s="371"/>
      <c r="BF2" s="371"/>
      <c r="BG2" s="371"/>
      <c r="BH2" s="371"/>
      <c r="BI2" s="371"/>
      <c r="BJ2" s="371"/>
      <c r="BK2" s="371"/>
      <c r="BL2" s="371"/>
      <c r="BM2" s="371"/>
      <c r="BN2" s="371"/>
      <c r="BO2" s="371"/>
      <c r="BP2" s="371"/>
      <c r="BQ2" s="371"/>
      <c r="BR2" s="371"/>
      <c r="BS2" s="371"/>
      <c r="BT2" s="371"/>
      <c r="BU2" s="371"/>
      <c r="BV2" s="371"/>
      <c r="BW2" s="371"/>
      <c r="BX2" s="371"/>
      <c r="BY2" s="371"/>
      <c r="BZ2" s="371"/>
      <c r="CA2" s="371"/>
      <c r="CB2" s="371"/>
      <c r="CC2" s="371"/>
      <c r="CD2" s="371"/>
      <c r="CE2" s="371"/>
      <c r="CF2" s="371"/>
      <c r="CG2" s="371"/>
      <c r="CH2" s="371"/>
      <c r="CI2" s="371"/>
      <c r="CJ2" s="371"/>
      <c r="CK2" s="371"/>
      <c r="CL2" s="371"/>
      <c r="CM2" s="371"/>
      <c r="CN2" s="371"/>
      <c r="CO2" s="371"/>
      <c r="CP2" s="371"/>
      <c r="CQ2" s="371"/>
      <c r="CR2" s="371"/>
      <c r="CS2" s="371"/>
      <c r="CT2" s="371"/>
      <c r="CU2" s="371"/>
      <c r="CV2" s="371"/>
      <c r="CW2" s="371"/>
      <c r="CX2" s="371"/>
      <c r="CY2" s="371"/>
      <c r="CZ2" s="371"/>
      <c r="DA2" s="371"/>
      <c r="DB2" s="371"/>
      <c r="DC2" s="371"/>
      <c r="DD2" s="371"/>
      <c r="DE2" s="371"/>
      <c r="DF2" s="371"/>
      <c r="DG2" s="371"/>
      <c r="DH2" s="371"/>
      <c r="DI2" s="371"/>
      <c r="DJ2" s="371"/>
      <c r="DK2" s="371"/>
      <c r="DL2" s="371"/>
      <c r="DM2" s="371"/>
      <c r="DN2" s="371"/>
      <c r="DO2" s="371"/>
      <c r="DP2" s="371"/>
      <c r="DQ2" s="371"/>
      <c r="DR2" s="371"/>
      <c r="DS2" s="371"/>
      <c r="DT2" s="371"/>
      <c r="DU2" s="371"/>
      <c r="DV2" s="371"/>
      <c r="DW2" s="371"/>
      <c r="DX2" s="371"/>
      <c r="DY2" s="371"/>
      <c r="DZ2" s="371"/>
      <c r="EA2" s="371"/>
      <c r="EB2" s="371"/>
      <c r="EC2" s="371"/>
      <c r="ED2" s="371"/>
      <c r="EE2" s="371"/>
      <c r="EF2" s="371"/>
      <c r="EG2" s="371"/>
      <c r="EH2" s="371"/>
      <c r="EI2" s="371"/>
      <c r="EJ2" s="371"/>
      <c r="EK2" s="371"/>
      <c r="EL2" s="371"/>
      <c r="EM2" s="371"/>
      <c r="EN2" s="371"/>
      <c r="EO2" s="371"/>
      <c r="EP2" s="371"/>
      <c r="EQ2" s="371"/>
      <c r="ER2" s="371"/>
      <c r="ES2" s="371"/>
      <c r="ET2" s="371"/>
      <c r="EU2" s="371"/>
      <c r="EV2" s="371"/>
      <c r="EW2" s="371"/>
      <c r="EX2" s="371"/>
      <c r="EY2" s="371"/>
      <c r="EZ2" s="371"/>
      <c r="FA2" s="371"/>
      <c r="FB2" s="371"/>
      <c r="FC2" s="371"/>
      <c r="FD2" s="371"/>
      <c r="FE2" s="371"/>
      <c r="FF2" s="371"/>
      <c r="FG2" s="371"/>
      <c r="FH2" s="371"/>
      <c r="FI2" s="371"/>
      <c r="FJ2" s="371"/>
      <c r="FK2" s="371"/>
      <c r="FL2" s="371"/>
      <c r="FM2" s="371"/>
      <c r="FN2" s="371"/>
      <c r="FO2" s="371"/>
      <c r="FP2" s="371"/>
      <c r="FQ2" s="371"/>
      <c r="FR2" s="371"/>
      <c r="FS2" s="371"/>
      <c r="FT2" s="371"/>
      <c r="FU2" s="371"/>
      <c r="FV2" s="371"/>
      <c r="FW2" s="371"/>
      <c r="FX2" s="371"/>
      <c r="FY2" s="371"/>
      <c r="FZ2" s="371"/>
      <c r="GA2" s="371"/>
      <c r="GB2" s="371"/>
      <c r="GC2" s="371"/>
      <c r="GD2" s="371"/>
      <c r="GE2" s="371"/>
      <c r="GF2" s="371"/>
      <c r="GG2" s="371"/>
      <c r="GH2" s="371"/>
      <c r="GI2" s="371"/>
      <c r="GJ2" s="371"/>
      <c r="GK2" s="371"/>
      <c r="GL2" s="371"/>
      <c r="GM2" s="371"/>
      <c r="GN2" s="371"/>
      <c r="GO2" s="371"/>
      <c r="GP2" s="371"/>
      <c r="GQ2" s="371"/>
      <c r="GR2" s="371"/>
      <c r="GS2" s="371"/>
      <c r="GT2" s="371"/>
      <c r="GU2" s="371"/>
      <c r="GV2" s="371"/>
      <c r="GW2" s="371"/>
      <c r="GX2" s="371"/>
      <c r="GY2" s="371"/>
      <c r="GZ2" s="371"/>
      <c r="HA2" s="371"/>
      <c r="HB2" s="371"/>
      <c r="HC2" s="371"/>
      <c r="HD2" s="371"/>
      <c r="HE2" s="371"/>
      <c r="HF2" s="371"/>
      <c r="HG2" s="371"/>
      <c r="HH2" s="371"/>
      <c r="HI2" s="371"/>
      <c r="HJ2" s="371"/>
      <c r="HK2" s="371"/>
      <c r="HL2" s="371"/>
      <c r="HM2" s="371"/>
      <c r="HN2" s="371"/>
      <c r="HO2" s="371"/>
      <c r="HP2" s="371"/>
      <c r="HQ2" s="371"/>
      <c r="HR2" s="371"/>
      <c r="HS2" s="371"/>
      <c r="HT2" s="371"/>
      <c r="HU2" s="371"/>
      <c r="HV2" s="371"/>
      <c r="HW2" s="371"/>
      <c r="HX2" s="371"/>
      <c r="HY2" s="371"/>
      <c r="HZ2" s="371"/>
      <c r="IA2" s="371"/>
      <c r="IB2" s="371"/>
      <c r="IC2" s="371"/>
      <c r="ID2" s="371"/>
      <c r="IE2" s="371"/>
      <c r="IF2" s="371"/>
      <c r="IG2" s="371"/>
      <c r="IH2" s="371"/>
      <c r="II2" s="371"/>
      <c r="IJ2" s="371"/>
      <c r="IK2" s="371"/>
      <c r="IL2" s="371"/>
      <c r="IM2" s="371"/>
      <c r="IN2" s="371"/>
      <c r="IO2" s="371"/>
      <c r="IP2" s="371"/>
      <c r="IQ2" s="371"/>
      <c r="IR2" s="371"/>
      <c r="IS2" s="371"/>
      <c r="IT2" s="371"/>
      <c r="IU2" s="371"/>
      <c r="IV2" s="371"/>
    </row>
    <row r="3" spans="1:256" x14ac:dyDescent="0.2">
      <c r="A3" s="793" t="str">
        <f>СВОД!E45</f>
        <v>Смета №3.12</v>
      </c>
      <c r="B3" s="793"/>
      <c r="C3" s="793"/>
      <c r="D3" s="793"/>
      <c r="E3" s="793"/>
      <c r="F3" s="373"/>
      <c r="G3" s="373"/>
      <c r="H3" s="373"/>
      <c r="I3" s="373"/>
      <c r="J3" s="371"/>
      <c r="K3" s="371"/>
      <c r="L3" s="371"/>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O3" s="371"/>
      <c r="AP3" s="371"/>
      <c r="AQ3" s="371"/>
      <c r="AR3" s="371"/>
      <c r="AS3" s="371"/>
      <c r="AT3" s="371"/>
      <c r="AU3" s="371"/>
      <c r="AV3" s="371"/>
      <c r="AW3" s="371"/>
      <c r="AX3" s="371"/>
      <c r="AY3" s="371"/>
      <c r="AZ3" s="371"/>
      <c r="BA3" s="371"/>
      <c r="BB3" s="371"/>
      <c r="BC3" s="371"/>
      <c r="BD3" s="371"/>
      <c r="BE3" s="371"/>
      <c r="BF3" s="371"/>
      <c r="BG3" s="371"/>
      <c r="BH3" s="371"/>
      <c r="BI3" s="371"/>
      <c r="BJ3" s="371"/>
      <c r="BK3" s="371"/>
      <c r="BL3" s="371"/>
      <c r="BM3" s="371"/>
      <c r="BN3" s="371"/>
      <c r="BO3" s="371"/>
      <c r="BP3" s="371"/>
      <c r="BQ3" s="371"/>
      <c r="BR3" s="371"/>
      <c r="BS3" s="371"/>
      <c r="BT3" s="371"/>
      <c r="BU3" s="371"/>
      <c r="BV3" s="371"/>
      <c r="BW3" s="371"/>
      <c r="BX3" s="371"/>
      <c r="BY3" s="371"/>
      <c r="BZ3" s="371"/>
      <c r="CA3" s="371"/>
      <c r="CB3" s="371"/>
      <c r="CC3" s="371"/>
      <c r="CD3" s="371"/>
      <c r="CE3" s="371"/>
      <c r="CF3" s="371"/>
      <c r="CG3" s="371"/>
      <c r="CH3" s="371"/>
      <c r="CI3" s="371"/>
      <c r="CJ3" s="371"/>
      <c r="CK3" s="371"/>
      <c r="CL3" s="371"/>
      <c r="CM3" s="371"/>
      <c r="CN3" s="371"/>
      <c r="CO3" s="371"/>
      <c r="CP3" s="371"/>
      <c r="CQ3" s="371"/>
      <c r="CR3" s="371"/>
      <c r="CS3" s="371"/>
      <c r="CT3" s="371"/>
      <c r="CU3" s="371"/>
      <c r="CV3" s="371"/>
      <c r="CW3" s="371"/>
      <c r="CX3" s="371"/>
      <c r="CY3" s="371"/>
      <c r="CZ3" s="371"/>
      <c r="DA3" s="371"/>
      <c r="DB3" s="371"/>
      <c r="DC3" s="371"/>
      <c r="DD3" s="371"/>
      <c r="DE3" s="371"/>
      <c r="DF3" s="371"/>
      <c r="DG3" s="371"/>
      <c r="DH3" s="371"/>
      <c r="DI3" s="371"/>
      <c r="DJ3" s="371"/>
      <c r="DK3" s="371"/>
      <c r="DL3" s="371"/>
      <c r="DM3" s="371"/>
      <c r="DN3" s="371"/>
      <c r="DO3" s="371"/>
      <c r="DP3" s="371"/>
      <c r="DQ3" s="371"/>
      <c r="DR3" s="371"/>
      <c r="DS3" s="371"/>
      <c r="DT3" s="371"/>
      <c r="DU3" s="371"/>
      <c r="DV3" s="371"/>
      <c r="DW3" s="371"/>
      <c r="DX3" s="371"/>
      <c r="DY3" s="371"/>
      <c r="DZ3" s="371"/>
      <c r="EA3" s="371"/>
      <c r="EB3" s="371"/>
      <c r="EC3" s="371"/>
      <c r="ED3" s="371"/>
      <c r="EE3" s="371"/>
      <c r="EF3" s="371"/>
      <c r="EG3" s="371"/>
      <c r="EH3" s="371"/>
      <c r="EI3" s="371"/>
      <c r="EJ3" s="371"/>
      <c r="EK3" s="371"/>
      <c r="EL3" s="371"/>
      <c r="EM3" s="371"/>
      <c r="EN3" s="371"/>
      <c r="EO3" s="371"/>
      <c r="EP3" s="371"/>
      <c r="EQ3" s="371"/>
      <c r="ER3" s="371"/>
      <c r="ES3" s="371"/>
      <c r="ET3" s="371"/>
      <c r="EU3" s="371"/>
      <c r="EV3" s="371"/>
      <c r="EW3" s="371"/>
      <c r="EX3" s="371"/>
      <c r="EY3" s="371"/>
      <c r="EZ3" s="371"/>
      <c r="FA3" s="371"/>
      <c r="FB3" s="371"/>
      <c r="FC3" s="371"/>
      <c r="FD3" s="371"/>
      <c r="FE3" s="371"/>
      <c r="FF3" s="371"/>
      <c r="FG3" s="371"/>
      <c r="FH3" s="371"/>
      <c r="FI3" s="371"/>
      <c r="FJ3" s="371"/>
      <c r="FK3" s="371"/>
      <c r="FL3" s="371"/>
      <c r="FM3" s="371"/>
      <c r="FN3" s="371"/>
      <c r="FO3" s="371"/>
      <c r="FP3" s="371"/>
      <c r="FQ3" s="371"/>
      <c r="FR3" s="371"/>
      <c r="FS3" s="371"/>
      <c r="FT3" s="371"/>
      <c r="FU3" s="371"/>
      <c r="FV3" s="371"/>
      <c r="FW3" s="371"/>
      <c r="FX3" s="371"/>
      <c r="FY3" s="371"/>
      <c r="FZ3" s="371"/>
      <c r="GA3" s="371"/>
      <c r="GB3" s="371"/>
      <c r="GC3" s="371"/>
      <c r="GD3" s="371"/>
      <c r="GE3" s="371"/>
      <c r="GF3" s="371"/>
      <c r="GG3" s="371"/>
      <c r="GH3" s="371"/>
      <c r="GI3" s="371"/>
      <c r="GJ3" s="371"/>
      <c r="GK3" s="371"/>
      <c r="GL3" s="371"/>
      <c r="GM3" s="371"/>
      <c r="GN3" s="371"/>
      <c r="GO3" s="371"/>
      <c r="GP3" s="371"/>
      <c r="GQ3" s="371"/>
      <c r="GR3" s="371"/>
      <c r="GS3" s="371"/>
      <c r="GT3" s="371"/>
      <c r="GU3" s="371"/>
      <c r="GV3" s="371"/>
      <c r="GW3" s="371"/>
      <c r="GX3" s="371"/>
      <c r="GY3" s="371"/>
      <c r="GZ3" s="371"/>
      <c r="HA3" s="371"/>
      <c r="HB3" s="371"/>
      <c r="HC3" s="371"/>
      <c r="HD3" s="371"/>
      <c r="HE3" s="371"/>
      <c r="HF3" s="371"/>
      <c r="HG3" s="371"/>
      <c r="HH3" s="371"/>
      <c r="HI3" s="371"/>
      <c r="HJ3" s="371"/>
      <c r="HK3" s="371"/>
      <c r="HL3" s="371"/>
      <c r="HM3" s="371"/>
      <c r="HN3" s="371"/>
      <c r="HO3" s="371"/>
      <c r="HP3" s="371"/>
      <c r="HQ3" s="371"/>
      <c r="HR3" s="371"/>
      <c r="HS3" s="371"/>
      <c r="HT3" s="371"/>
      <c r="HU3" s="371"/>
      <c r="HV3" s="371"/>
      <c r="HW3" s="371"/>
      <c r="HX3" s="371"/>
      <c r="HY3" s="371"/>
      <c r="HZ3" s="371"/>
      <c r="IA3" s="371"/>
      <c r="IB3" s="371"/>
      <c r="IC3" s="371"/>
      <c r="ID3" s="371"/>
      <c r="IE3" s="371"/>
      <c r="IF3" s="371"/>
      <c r="IG3" s="371"/>
      <c r="IH3" s="371"/>
      <c r="II3" s="371"/>
      <c r="IJ3" s="371"/>
      <c r="IK3" s="371"/>
      <c r="IL3" s="371"/>
      <c r="IM3" s="371"/>
      <c r="IN3" s="371"/>
      <c r="IO3" s="371"/>
      <c r="IP3" s="371"/>
      <c r="IQ3" s="371"/>
      <c r="IR3" s="371"/>
      <c r="IS3" s="371"/>
      <c r="IT3" s="371"/>
      <c r="IU3" s="371"/>
      <c r="IV3" s="371"/>
    </row>
    <row r="4" spans="1:256" x14ac:dyDescent="0.2">
      <c r="A4" s="794" t="s">
        <v>1312</v>
      </c>
      <c r="B4" s="794"/>
      <c r="C4" s="794"/>
      <c r="D4" s="794"/>
      <c r="E4" s="794"/>
      <c r="F4" s="374"/>
      <c r="G4" s="374"/>
      <c r="H4" s="374"/>
      <c r="I4" s="374"/>
      <c r="J4" s="371"/>
      <c r="K4" s="371"/>
      <c r="L4" s="371"/>
      <c r="M4" s="371"/>
      <c r="N4" s="371"/>
      <c r="O4" s="371"/>
      <c r="P4" s="371"/>
      <c r="Q4" s="371"/>
      <c r="R4" s="371"/>
      <c r="S4" s="371"/>
      <c r="T4" s="371"/>
      <c r="U4" s="371"/>
      <c r="V4" s="371"/>
      <c r="W4" s="371"/>
      <c r="X4" s="371"/>
      <c r="Y4" s="371"/>
      <c r="Z4" s="371"/>
      <c r="AA4" s="371"/>
      <c r="AB4" s="371"/>
      <c r="AC4" s="371"/>
      <c r="AD4" s="371"/>
      <c r="AE4" s="371"/>
      <c r="AF4" s="371"/>
      <c r="AG4" s="371"/>
      <c r="AH4" s="371"/>
      <c r="AI4" s="371"/>
      <c r="AJ4" s="371"/>
      <c r="AK4" s="371"/>
      <c r="AL4" s="371"/>
      <c r="AM4" s="371"/>
      <c r="AN4" s="371"/>
      <c r="AO4" s="371"/>
      <c r="AP4" s="371"/>
      <c r="AQ4" s="371"/>
      <c r="AR4" s="371"/>
      <c r="AS4" s="371"/>
      <c r="AT4" s="371"/>
      <c r="AU4" s="371"/>
      <c r="AV4" s="371"/>
      <c r="AW4" s="371"/>
      <c r="AX4" s="371"/>
      <c r="AY4" s="371"/>
      <c r="AZ4" s="371"/>
      <c r="BA4" s="371"/>
      <c r="BB4" s="371"/>
      <c r="BC4" s="371"/>
      <c r="BD4" s="371"/>
      <c r="BE4" s="371"/>
      <c r="BF4" s="371"/>
      <c r="BG4" s="371"/>
      <c r="BH4" s="371"/>
      <c r="BI4" s="371"/>
      <c r="BJ4" s="371"/>
      <c r="BK4" s="371"/>
      <c r="BL4" s="371"/>
      <c r="BM4" s="371"/>
      <c r="BN4" s="371"/>
      <c r="BO4" s="371"/>
      <c r="BP4" s="371"/>
      <c r="BQ4" s="371"/>
      <c r="BR4" s="371"/>
      <c r="BS4" s="371"/>
      <c r="BT4" s="371"/>
      <c r="BU4" s="371"/>
      <c r="BV4" s="371"/>
      <c r="BW4" s="371"/>
      <c r="BX4" s="371"/>
      <c r="BY4" s="371"/>
      <c r="BZ4" s="371"/>
      <c r="CA4" s="371"/>
      <c r="CB4" s="371"/>
      <c r="CC4" s="371"/>
      <c r="CD4" s="371"/>
      <c r="CE4" s="371"/>
      <c r="CF4" s="371"/>
      <c r="CG4" s="371"/>
      <c r="CH4" s="371"/>
      <c r="CI4" s="371"/>
      <c r="CJ4" s="371"/>
      <c r="CK4" s="371"/>
      <c r="CL4" s="371"/>
      <c r="CM4" s="371"/>
      <c r="CN4" s="371"/>
      <c r="CO4" s="371"/>
      <c r="CP4" s="371"/>
      <c r="CQ4" s="371"/>
      <c r="CR4" s="371"/>
      <c r="CS4" s="371"/>
      <c r="CT4" s="371"/>
      <c r="CU4" s="371"/>
      <c r="CV4" s="371"/>
      <c r="CW4" s="371"/>
      <c r="CX4" s="371"/>
      <c r="CY4" s="371"/>
      <c r="CZ4" s="371"/>
      <c r="DA4" s="371"/>
      <c r="DB4" s="371"/>
      <c r="DC4" s="371"/>
      <c r="DD4" s="371"/>
      <c r="DE4" s="371"/>
      <c r="DF4" s="371"/>
      <c r="DG4" s="371"/>
      <c r="DH4" s="371"/>
      <c r="DI4" s="371"/>
      <c r="DJ4" s="371"/>
      <c r="DK4" s="371"/>
      <c r="DL4" s="371"/>
      <c r="DM4" s="371"/>
      <c r="DN4" s="371"/>
      <c r="DO4" s="371"/>
      <c r="DP4" s="371"/>
      <c r="DQ4" s="371"/>
      <c r="DR4" s="371"/>
      <c r="DS4" s="371"/>
      <c r="DT4" s="371"/>
      <c r="DU4" s="371"/>
      <c r="DV4" s="371"/>
      <c r="DW4" s="371"/>
      <c r="DX4" s="371"/>
      <c r="DY4" s="371"/>
      <c r="DZ4" s="371"/>
      <c r="EA4" s="371"/>
      <c r="EB4" s="371"/>
      <c r="EC4" s="371"/>
      <c r="ED4" s="371"/>
      <c r="EE4" s="371"/>
      <c r="EF4" s="371"/>
      <c r="EG4" s="371"/>
      <c r="EH4" s="371"/>
      <c r="EI4" s="371"/>
      <c r="EJ4" s="371"/>
      <c r="EK4" s="371"/>
      <c r="EL4" s="371"/>
      <c r="EM4" s="371"/>
      <c r="EN4" s="371"/>
      <c r="EO4" s="371"/>
      <c r="EP4" s="371"/>
      <c r="EQ4" s="371"/>
      <c r="ER4" s="371"/>
      <c r="ES4" s="371"/>
      <c r="ET4" s="371"/>
      <c r="EU4" s="371"/>
      <c r="EV4" s="371"/>
      <c r="EW4" s="371"/>
      <c r="EX4" s="371"/>
      <c r="EY4" s="371"/>
      <c r="EZ4" s="371"/>
      <c r="FA4" s="371"/>
      <c r="FB4" s="371"/>
      <c r="FC4" s="371"/>
      <c r="FD4" s="371"/>
      <c r="FE4" s="371"/>
      <c r="FF4" s="371"/>
      <c r="FG4" s="371"/>
      <c r="FH4" s="371"/>
      <c r="FI4" s="371"/>
      <c r="FJ4" s="371"/>
      <c r="FK4" s="371"/>
      <c r="FL4" s="371"/>
      <c r="FM4" s="371"/>
      <c r="FN4" s="371"/>
      <c r="FO4" s="371"/>
      <c r="FP4" s="371"/>
      <c r="FQ4" s="371"/>
      <c r="FR4" s="371"/>
      <c r="FS4" s="371"/>
      <c r="FT4" s="371"/>
      <c r="FU4" s="371"/>
      <c r="FV4" s="371"/>
      <c r="FW4" s="371"/>
      <c r="FX4" s="371"/>
      <c r="FY4" s="371"/>
      <c r="FZ4" s="371"/>
      <c r="GA4" s="371"/>
      <c r="GB4" s="371"/>
      <c r="GC4" s="371"/>
      <c r="GD4" s="371"/>
      <c r="GE4" s="371"/>
      <c r="GF4" s="371"/>
      <c r="GG4" s="371"/>
      <c r="GH4" s="371"/>
      <c r="GI4" s="371"/>
      <c r="GJ4" s="371"/>
      <c r="GK4" s="371"/>
      <c r="GL4" s="371"/>
      <c r="GM4" s="371"/>
      <c r="GN4" s="371"/>
      <c r="GO4" s="371"/>
      <c r="GP4" s="371"/>
      <c r="GQ4" s="371"/>
      <c r="GR4" s="371"/>
      <c r="GS4" s="371"/>
      <c r="GT4" s="371"/>
      <c r="GU4" s="371"/>
      <c r="GV4" s="371"/>
      <c r="GW4" s="371"/>
      <c r="GX4" s="371"/>
      <c r="GY4" s="371"/>
      <c r="GZ4" s="371"/>
      <c r="HA4" s="371"/>
      <c r="HB4" s="371"/>
      <c r="HC4" s="371"/>
      <c r="HD4" s="371"/>
      <c r="HE4" s="371"/>
      <c r="HF4" s="371"/>
      <c r="HG4" s="371"/>
      <c r="HH4" s="371"/>
      <c r="HI4" s="371"/>
      <c r="HJ4" s="371"/>
      <c r="HK4" s="371"/>
      <c r="HL4" s="371"/>
      <c r="HM4" s="371"/>
      <c r="HN4" s="371"/>
      <c r="HO4" s="371"/>
      <c r="HP4" s="371"/>
      <c r="HQ4" s="371"/>
      <c r="HR4" s="371"/>
      <c r="HS4" s="371"/>
      <c r="HT4" s="371"/>
      <c r="HU4" s="371"/>
      <c r="HV4" s="371"/>
      <c r="HW4" s="371"/>
      <c r="HX4" s="371"/>
      <c r="HY4" s="371"/>
      <c r="HZ4" s="371"/>
      <c r="IA4" s="371"/>
      <c r="IB4" s="371"/>
      <c r="IC4" s="371"/>
      <c r="ID4" s="371"/>
      <c r="IE4" s="371"/>
      <c r="IF4" s="371"/>
      <c r="IG4" s="371"/>
      <c r="IH4" s="371"/>
      <c r="II4" s="371"/>
      <c r="IJ4" s="371"/>
      <c r="IK4" s="371"/>
      <c r="IL4" s="371"/>
      <c r="IM4" s="371"/>
      <c r="IN4" s="371"/>
      <c r="IO4" s="371"/>
      <c r="IP4" s="371"/>
      <c r="IQ4" s="371"/>
      <c r="IR4" s="371"/>
      <c r="IS4" s="371"/>
      <c r="IT4" s="371"/>
      <c r="IU4" s="371"/>
      <c r="IV4" s="371"/>
    </row>
    <row r="5" spans="1:256" x14ac:dyDescent="0.2">
      <c r="A5" s="365"/>
      <c r="B5" s="368"/>
      <c r="C5" s="368"/>
      <c r="D5" s="368"/>
      <c r="E5" s="372"/>
      <c r="F5" s="368"/>
      <c r="G5" s="370"/>
      <c r="H5" s="368"/>
      <c r="I5" s="370"/>
      <c r="J5" s="371"/>
      <c r="K5" s="371"/>
      <c r="L5" s="371"/>
      <c r="M5" s="371"/>
      <c r="N5" s="371"/>
      <c r="O5" s="371"/>
      <c r="P5" s="371"/>
      <c r="Q5" s="371"/>
      <c r="R5" s="371"/>
      <c r="S5" s="371"/>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row>
    <row r="6" spans="1:256" ht="25.5" x14ac:dyDescent="0.2">
      <c r="A6" s="365"/>
      <c r="B6" s="375" t="s">
        <v>1313</v>
      </c>
      <c r="C6" s="795" t="str">
        <f>СВОД!B45</f>
        <v>Сети водоснабжения и канализации</v>
      </c>
      <c r="D6" s="795"/>
      <c r="E6" s="795"/>
      <c r="F6" s="376"/>
      <c r="G6" s="376"/>
      <c r="H6" s="376"/>
      <c r="I6" s="376"/>
      <c r="J6" s="371"/>
      <c r="K6" s="371"/>
      <c r="L6" s="371"/>
      <c r="M6" s="371"/>
      <c r="N6" s="371"/>
      <c r="O6" s="371"/>
      <c r="P6" s="371"/>
      <c r="Q6" s="371"/>
      <c r="R6" s="371"/>
      <c r="S6" s="371"/>
      <c r="T6" s="371"/>
      <c r="U6" s="371"/>
      <c r="V6" s="371"/>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71"/>
      <c r="BF6" s="371"/>
      <c r="BG6" s="371"/>
      <c r="BH6" s="371"/>
      <c r="BI6" s="371"/>
      <c r="BJ6" s="371"/>
      <c r="BK6" s="371"/>
      <c r="BL6" s="371"/>
      <c r="BM6" s="371"/>
      <c r="BN6" s="371"/>
      <c r="BO6" s="371"/>
      <c r="BP6" s="371"/>
      <c r="BQ6" s="371"/>
      <c r="BR6" s="371"/>
      <c r="BS6" s="371"/>
      <c r="BT6" s="371"/>
      <c r="BU6" s="371"/>
      <c r="BV6" s="371"/>
      <c r="BW6" s="371"/>
      <c r="BX6" s="371"/>
      <c r="BY6" s="371"/>
      <c r="BZ6" s="371"/>
      <c r="CA6" s="371"/>
      <c r="CB6" s="371"/>
      <c r="CC6" s="371"/>
      <c r="CD6" s="371"/>
      <c r="CE6" s="371"/>
      <c r="CF6" s="371"/>
      <c r="CG6" s="371"/>
      <c r="CH6" s="371"/>
      <c r="CI6" s="371"/>
      <c r="CJ6" s="371"/>
      <c r="CK6" s="371"/>
      <c r="CL6" s="371"/>
      <c r="CM6" s="371"/>
      <c r="CN6" s="371"/>
      <c r="CO6" s="371"/>
      <c r="CP6" s="371"/>
      <c r="CQ6" s="371"/>
      <c r="CR6" s="371"/>
      <c r="CS6" s="371"/>
      <c r="CT6" s="371"/>
      <c r="CU6" s="371"/>
      <c r="CV6" s="371"/>
      <c r="CW6" s="371"/>
      <c r="CX6" s="371"/>
      <c r="CY6" s="371"/>
      <c r="CZ6" s="371"/>
      <c r="DA6" s="371"/>
      <c r="DB6" s="371"/>
      <c r="DC6" s="371"/>
      <c r="DD6" s="371"/>
      <c r="DE6" s="371"/>
      <c r="DF6" s="371"/>
      <c r="DG6" s="371"/>
      <c r="DH6" s="371"/>
      <c r="DI6" s="371"/>
      <c r="DJ6" s="371"/>
      <c r="DK6" s="371"/>
      <c r="DL6" s="371"/>
      <c r="DM6" s="371"/>
      <c r="DN6" s="371"/>
      <c r="DO6" s="371"/>
      <c r="DP6" s="371"/>
      <c r="DQ6" s="371"/>
      <c r="DR6" s="371"/>
      <c r="DS6" s="371"/>
      <c r="DT6" s="371"/>
      <c r="DU6" s="371"/>
      <c r="DV6" s="371"/>
      <c r="DW6" s="371"/>
      <c r="DX6" s="371"/>
      <c r="DY6" s="371"/>
      <c r="DZ6" s="371"/>
      <c r="EA6" s="371"/>
      <c r="EB6" s="371"/>
      <c r="EC6" s="371"/>
      <c r="ED6" s="371"/>
      <c r="EE6" s="371"/>
      <c r="EF6" s="371"/>
      <c r="EG6" s="371"/>
      <c r="EH6" s="371"/>
      <c r="EI6" s="371"/>
      <c r="EJ6" s="371"/>
      <c r="EK6" s="371"/>
      <c r="EL6" s="371"/>
      <c r="EM6" s="371"/>
      <c r="EN6" s="371"/>
      <c r="EO6" s="371"/>
      <c r="EP6" s="371"/>
      <c r="EQ6" s="371"/>
      <c r="ER6" s="371"/>
      <c r="ES6" s="371"/>
      <c r="ET6" s="371"/>
      <c r="EU6" s="371"/>
      <c r="EV6" s="371"/>
      <c r="EW6" s="371"/>
      <c r="EX6" s="371"/>
      <c r="EY6" s="371"/>
      <c r="EZ6" s="371"/>
      <c r="FA6" s="371"/>
      <c r="FB6" s="371"/>
      <c r="FC6" s="371"/>
      <c r="FD6" s="371"/>
      <c r="FE6" s="371"/>
      <c r="FF6" s="371"/>
      <c r="FG6" s="371"/>
      <c r="FH6" s="371"/>
      <c r="FI6" s="371"/>
      <c r="FJ6" s="371"/>
      <c r="FK6" s="371"/>
      <c r="FL6" s="371"/>
      <c r="FM6" s="371"/>
      <c r="FN6" s="371"/>
      <c r="FO6" s="371"/>
      <c r="FP6" s="371"/>
      <c r="FQ6" s="371"/>
      <c r="FR6" s="371"/>
      <c r="FS6" s="371"/>
      <c r="FT6" s="371"/>
      <c r="FU6" s="371"/>
      <c r="FV6" s="371"/>
      <c r="FW6" s="371"/>
      <c r="FX6" s="371"/>
      <c r="FY6" s="371"/>
      <c r="FZ6" s="371"/>
      <c r="GA6" s="371"/>
      <c r="GB6" s="371"/>
      <c r="GC6" s="371"/>
      <c r="GD6" s="371"/>
      <c r="GE6" s="371"/>
      <c r="GF6" s="371"/>
      <c r="GG6" s="371"/>
      <c r="GH6" s="371"/>
      <c r="GI6" s="371"/>
      <c r="GJ6" s="371"/>
      <c r="GK6" s="371"/>
      <c r="GL6" s="371"/>
      <c r="GM6" s="371"/>
      <c r="GN6" s="371"/>
      <c r="GO6" s="371"/>
      <c r="GP6" s="371"/>
      <c r="GQ6" s="371"/>
      <c r="GR6" s="371"/>
      <c r="GS6" s="371"/>
      <c r="GT6" s="371"/>
      <c r="GU6" s="371"/>
      <c r="GV6" s="371"/>
      <c r="GW6" s="371"/>
      <c r="GX6" s="371"/>
      <c r="GY6" s="371"/>
      <c r="GZ6" s="371"/>
      <c r="HA6" s="371"/>
      <c r="HB6" s="371"/>
      <c r="HC6" s="371"/>
      <c r="HD6" s="371"/>
      <c r="HE6" s="371"/>
      <c r="HF6" s="371"/>
      <c r="HG6" s="371"/>
      <c r="HH6" s="371"/>
      <c r="HI6" s="371"/>
      <c r="HJ6" s="371"/>
      <c r="HK6" s="371"/>
      <c r="HL6" s="371"/>
      <c r="HM6" s="371"/>
      <c r="HN6" s="371"/>
      <c r="HO6" s="371"/>
      <c r="HP6" s="371"/>
      <c r="HQ6" s="371"/>
      <c r="HR6" s="371"/>
      <c r="HS6" s="371"/>
      <c r="HT6" s="371"/>
      <c r="HU6" s="371"/>
      <c r="HV6" s="371"/>
      <c r="HW6" s="371"/>
      <c r="HX6" s="371"/>
      <c r="HY6" s="371"/>
      <c r="HZ6" s="371"/>
      <c r="IA6" s="371"/>
      <c r="IB6" s="371"/>
      <c r="IC6" s="371"/>
      <c r="ID6" s="371"/>
      <c r="IE6" s="371"/>
      <c r="IF6" s="371"/>
      <c r="IG6" s="371"/>
      <c r="IH6" s="371"/>
      <c r="II6" s="371"/>
      <c r="IJ6" s="371"/>
      <c r="IK6" s="371"/>
      <c r="IL6" s="371"/>
      <c r="IM6" s="371"/>
      <c r="IN6" s="371"/>
      <c r="IO6" s="371"/>
      <c r="IP6" s="371"/>
      <c r="IQ6" s="371"/>
      <c r="IR6" s="371"/>
      <c r="IS6" s="371"/>
      <c r="IT6" s="371"/>
      <c r="IU6" s="371"/>
      <c r="IV6" s="371"/>
    </row>
    <row r="7" spans="1:256" x14ac:dyDescent="0.2">
      <c r="A7" s="365"/>
      <c r="B7" s="377"/>
      <c r="C7" s="378"/>
      <c r="D7" s="377"/>
      <c r="E7" s="379"/>
      <c r="F7" s="378"/>
      <c r="G7" s="378"/>
      <c r="H7" s="378"/>
      <c r="I7" s="378"/>
      <c r="J7" s="380"/>
      <c r="K7" s="380"/>
      <c r="L7" s="380"/>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0"/>
      <c r="CH7" s="380"/>
      <c r="CI7" s="380"/>
      <c r="CJ7" s="380"/>
      <c r="CK7" s="380"/>
      <c r="CL7" s="380"/>
      <c r="CM7" s="380"/>
      <c r="CN7" s="380"/>
      <c r="CO7" s="380"/>
      <c r="CP7" s="380"/>
      <c r="CQ7" s="380"/>
      <c r="CR7" s="380"/>
      <c r="CS7" s="380"/>
      <c r="CT7" s="380"/>
      <c r="CU7" s="380"/>
      <c r="CV7" s="380"/>
      <c r="CW7" s="380"/>
      <c r="CX7" s="380"/>
      <c r="CY7" s="380"/>
      <c r="CZ7" s="380"/>
      <c r="DA7" s="380"/>
      <c r="DB7" s="380"/>
      <c r="DC7" s="380"/>
      <c r="DD7" s="380"/>
      <c r="DE7" s="380"/>
      <c r="DF7" s="380"/>
      <c r="DG7" s="380"/>
      <c r="DH7" s="380"/>
      <c r="DI7" s="380"/>
      <c r="DJ7" s="380"/>
      <c r="DK7" s="380"/>
      <c r="DL7" s="380"/>
      <c r="DM7" s="380"/>
      <c r="DN7" s="380"/>
      <c r="DO7" s="380"/>
      <c r="DP7" s="380"/>
      <c r="DQ7" s="380"/>
      <c r="DR7" s="380"/>
      <c r="DS7" s="380"/>
      <c r="DT7" s="380"/>
      <c r="DU7" s="380"/>
      <c r="DV7" s="380"/>
      <c r="DW7" s="380"/>
      <c r="DX7" s="380"/>
      <c r="DY7" s="380"/>
      <c r="DZ7" s="380"/>
      <c r="EA7" s="380"/>
      <c r="EB7" s="380"/>
      <c r="EC7" s="380"/>
      <c r="ED7" s="380"/>
      <c r="EE7" s="380"/>
      <c r="EF7" s="380"/>
      <c r="EG7" s="380"/>
      <c r="EH7" s="380"/>
      <c r="EI7" s="380"/>
      <c r="EJ7" s="380"/>
      <c r="EK7" s="380"/>
      <c r="EL7" s="380"/>
      <c r="EM7" s="380"/>
      <c r="EN7" s="380"/>
      <c r="EO7" s="380"/>
      <c r="EP7" s="380"/>
      <c r="EQ7" s="380"/>
      <c r="ER7" s="380"/>
      <c r="ES7" s="380"/>
      <c r="ET7" s="380"/>
      <c r="EU7" s="380"/>
      <c r="EV7" s="380"/>
      <c r="EW7" s="380"/>
      <c r="EX7" s="380"/>
      <c r="EY7" s="380"/>
      <c r="EZ7" s="380"/>
      <c r="FA7" s="380"/>
      <c r="FB7" s="380"/>
      <c r="FC7" s="380"/>
      <c r="FD7" s="380"/>
      <c r="FE7" s="380"/>
      <c r="FF7" s="380"/>
      <c r="FG7" s="380"/>
      <c r="FH7" s="380"/>
      <c r="FI7" s="380"/>
      <c r="FJ7" s="380"/>
      <c r="FK7" s="380"/>
      <c r="FL7" s="380"/>
      <c r="FM7" s="380"/>
      <c r="FN7" s="380"/>
      <c r="FO7" s="380"/>
      <c r="FP7" s="380"/>
      <c r="FQ7" s="380"/>
      <c r="FR7" s="380"/>
      <c r="FS7" s="380"/>
      <c r="FT7" s="380"/>
      <c r="FU7" s="380"/>
      <c r="FV7" s="380"/>
      <c r="FW7" s="380"/>
      <c r="FX7" s="380"/>
      <c r="FY7" s="380"/>
      <c r="FZ7" s="380"/>
      <c r="GA7" s="380"/>
      <c r="GB7" s="380"/>
      <c r="GC7" s="380"/>
      <c r="GD7" s="380"/>
      <c r="GE7" s="380"/>
      <c r="GF7" s="380"/>
      <c r="GG7" s="380"/>
      <c r="GH7" s="380"/>
      <c r="GI7" s="380"/>
      <c r="GJ7" s="380"/>
      <c r="GK7" s="380"/>
      <c r="GL7" s="380"/>
      <c r="GM7" s="380"/>
      <c r="GN7" s="380"/>
      <c r="GO7" s="380"/>
      <c r="GP7" s="380"/>
      <c r="GQ7" s="380"/>
      <c r="GR7" s="380"/>
      <c r="GS7" s="380"/>
      <c r="GT7" s="380"/>
      <c r="GU7" s="380"/>
      <c r="GV7" s="380"/>
      <c r="GW7" s="380"/>
      <c r="GX7" s="380"/>
      <c r="GY7" s="380"/>
      <c r="GZ7" s="380"/>
      <c r="HA7" s="380"/>
      <c r="HB7" s="380"/>
      <c r="HC7" s="380"/>
      <c r="HD7" s="380"/>
      <c r="HE7" s="380"/>
      <c r="HF7" s="380"/>
      <c r="HG7" s="380"/>
      <c r="HH7" s="380"/>
      <c r="HI7" s="380"/>
      <c r="HJ7" s="380"/>
      <c r="HK7" s="380"/>
      <c r="HL7" s="380"/>
      <c r="HM7" s="380"/>
      <c r="HN7" s="380"/>
      <c r="HO7" s="380"/>
      <c r="HP7" s="380"/>
      <c r="HQ7" s="380"/>
      <c r="HR7" s="380"/>
      <c r="HS7" s="380"/>
      <c r="HT7" s="380"/>
      <c r="HU7" s="380"/>
      <c r="HV7" s="380"/>
      <c r="HW7" s="380"/>
      <c r="HX7" s="380"/>
      <c r="HY7" s="380"/>
      <c r="HZ7" s="380"/>
      <c r="IA7" s="380"/>
      <c r="IB7" s="380"/>
      <c r="IC7" s="380"/>
      <c r="ID7" s="380"/>
      <c r="IE7" s="380"/>
      <c r="IF7" s="380"/>
      <c r="IG7" s="380"/>
      <c r="IH7" s="380"/>
      <c r="II7" s="380"/>
      <c r="IJ7" s="380"/>
      <c r="IK7" s="380"/>
      <c r="IL7" s="380"/>
      <c r="IM7" s="380"/>
      <c r="IN7" s="380"/>
      <c r="IO7" s="380"/>
      <c r="IP7" s="380"/>
      <c r="IQ7" s="380"/>
      <c r="IR7" s="380"/>
      <c r="IS7" s="380"/>
      <c r="IT7" s="380"/>
      <c r="IU7" s="380"/>
      <c r="IV7" s="380"/>
    </row>
    <row r="8" spans="1:256" x14ac:dyDescent="0.2">
      <c r="A8" s="365"/>
      <c r="B8" s="381" t="s">
        <v>1314</v>
      </c>
      <c r="C8" s="377" t="str">
        <f>СВОД!D14</f>
        <v>Определяется по итогам конкурентных процедур</v>
      </c>
      <c r="D8" s="377"/>
      <c r="E8" s="382"/>
      <c r="F8" s="383"/>
      <c r="G8" s="384"/>
      <c r="H8" s="377"/>
      <c r="I8" s="385"/>
      <c r="J8" s="371"/>
      <c r="K8" s="371"/>
      <c r="L8" s="371"/>
      <c r="M8" s="371"/>
      <c r="N8" s="371"/>
      <c r="O8" s="371"/>
      <c r="P8" s="371"/>
      <c r="Q8" s="371"/>
      <c r="R8" s="371"/>
      <c r="S8" s="371"/>
      <c r="T8" s="371"/>
      <c r="U8" s="371"/>
      <c r="V8" s="371"/>
      <c r="W8" s="371"/>
      <c r="X8" s="371"/>
      <c r="Y8" s="371"/>
      <c r="Z8" s="371"/>
      <c r="AA8" s="371"/>
      <c r="AB8" s="371"/>
      <c r="AC8" s="371"/>
      <c r="AD8" s="371"/>
      <c r="AE8" s="371"/>
      <c r="AF8" s="371"/>
      <c r="AG8" s="371"/>
      <c r="AH8" s="371"/>
      <c r="AI8" s="371"/>
      <c r="AJ8" s="371"/>
      <c r="AK8" s="371"/>
      <c r="AL8" s="371"/>
      <c r="AM8" s="371"/>
      <c r="AN8" s="371"/>
      <c r="AO8" s="371"/>
      <c r="AP8" s="371"/>
      <c r="AQ8" s="371"/>
      <c r="AR8" s="371"/>
      <c r="AS8" s="371"/>
      <c r="AT8" s="371"/>
      <c r="AU8" s="371"/>
      <c r="AV8" s="371"/>
      <c r="AW8" s="371"/>
      <c r="AX8" s="371"/>
      <c r="AY8" s="371"/>
      <c r="AZ8" s="371"/>
      <c r="BA8" s="371"/>
      <c r="BB8" s="371"/>
      <c r="BC8" s="371"/>
      <c r="BD8" s="371"/>
      <c r="BE8" s="371"/>
      <c r="BF8" s="371"/>
      <c r="BG8" s="371"/>
      <c r="BH8" s="371"/>
      <c r="BI8" s="371"/>
      <c r="BJ8" s="371"/>
      <c r="BK8" s="371"/>
      <c r="BL8" s="371"/>
      <c r="BM8" s="371"/>
      <c r="BN8" s="371"/>
      <c r="BO8" s="371"/>
      <c r="BP8" s="371"/>
      <c r="BQ8" s="371"/>
      <c r="BR8" s="371"/>
      <c r="BS8" s="371"/>
      <c r="BT8" s="371"/>
      <c r="BU8" s="371"/>
      <c r="BV8" s="371"/>
      <c r="BW8" s="371"/>
      <c r="BX8" s="371"/>
      <c r="BY8" s="371"/>
      <c r="BZ8" s="371"/>
      <c r="CA8" s="371"/>
      <c r="CB8" s="371"/>
      <c r="CC8" s="371"/>
      <c r="CD8" s="371"/>
      <c r="CE8" s="371"/>
      <c r="CF8" s="371"/>
      <c r="CG8" s="371"/>
      <c r="CH8" s="371"/>
      <c r="CI8" s="371"/>
      <c r="CJ8" s="371"/>
      <c r="CK8" s="371"/>
      <c r="CL8" s="371"/>
      <c r="CM8" s="371"/>
      <c r="CN8" s="371"/>
      <c r="CO8" s="371"/>
      <c r="CP8" s="371"/>
      <c r="CQ8" s="371"/>
      <c r="CR8" s="371"/>
      <c r="CS8" s="371"/>
      <c r="CT8" s="371"/>
      <c r="CU8" s="371"/>
      <c r="CV8" s="371"/>
      <c r="CW8" s="371"/>
      <c r="CX8" s="371"/>
      <c r="CY8" s="371"/>
      <c r="CZ8" s="371"/>
      <c r="DA8" s="371"/>
      <c r="DB8" s="371"/>
      <c r="DC8" s="371"/>
      <c r="DD8" s="371"/>
      <c r="DE8" s="371"/>
      <c r="DF8" s="371"/>
      <c r="DG8" s="371"/>
      <c r="DH8" s="371"/>
      <c r="DI8" s="371"/>
      <c r="DJ8" s="371"/>
      <c r="DK8" s="371"/>
      <c r="DL8" s="371"/>
      <c r="DM8" s="371"/>
      <c r="DN8" s="371"/>
      <c r="DO8" s="371"/>
      <c r="DP8" s="371"/>
      <c r="DQ8" s="371"/>
      <c r="DR8" s="371"/>
      <c r="DS8" s="371"/>
      <c r="DT8" s="371"/>
      <c r="DU8" s="371"/>
      <c r="DV8" s="371"/>
      <c r="DW8" s="371"/>
      <c r="DX8" s="371"/>
      <c r="DY8" s="371"/>
      <c r="DZ8" s="371"/>
      <c r="EA8" s="371"/>
      <c r="EB8" s="371"/>
      <c r="EC8" s="371"/>
      <c r="ED8" s="371"/>
      <c r="EE8" s="371"/>
      <c r="EF8" s="371"/>
      <c r="EG8" s="371"/>
      <c r="EH8" s="371"/>
      <c r="EI8" s="371"/>
      <c r="EJ8" s="371"/>
      <c r="EK8" s="371"/>
      <c r="EL8" s="371"/>
      <c r="EM8" s="371"/>
      <c r="EN8" s="371"/>
      <c r="EO8" s="371"/>
      <c r="EP8" s="371"/>
      <c r="EQ8" s="371"/>
      <c r="ER8" s="371"/>
      <c r="ES8" s="371"/>
      <c r="ET8" s="371"/>
      <c r="EU8" s="371"/>
      <c r="EV8" s="371"/>
      <c r="EW8" s="371"/>
      <c r="EX8" s="371"/>
      <c r="EY8" s="371"/>
      <c r="EZ8" s="371"/>
      <c r="FA8" s="371"/>
      <c r="FB8" s="371"/>
      <c r="FC8" s="371"/>
      <c r="FD8" s="371"/>
      <c r="FE8" s="371"/>
      <c r="FF8" s="371"/>
      <c r="FG8" s="371"/>
      <c r="FH8" s="371"/>
      <c r="FI8" s="371"/>
      <c r="FJ8" s="371"/>
      <c r="FK8" s="371"/>
      <c r="FL8" s="371"/>
      <c r="FM8" s="371"/>
      <c r="FN8" s="371"/>
      <c r="FO8" s="371"/>
      <c r="FP8" s="371"/>
      <c r="FQ8" s="371"/>
      <c r="FR8" s="371"/>
      <c r="FS8" s="371"/>
      <c r="FT8" s="371"/>
      <c r="FU8" s="371"/>
      <c r="FV8" s="371"/>
      <c r="FW8" s="371"/>
      <c r="FX8" s="371"/>
      <c r="FY8" s="371"/>
      <c r="FZ8" s="371"/>
      <c r="GA8" s="371"/>
      <c r="GB8" s="371"/>
      <c r="GC8" s="371"/>
      <c r="GD8" s="371"/>
      <c r="GE8" s="371"/>
      <c r="GF8" s="371"/>
      <c r="GG8" s="371"/>
      <c r="GH8" s="371"/>
      <c r="GI8" s="371"/>
      <c r="GJ8" s="371"/>
      <c r="GK8" s="371"/>
      <c r="GL8" s="371"/>
      <c r="GM8" s="371"/>
      <c r="GN8" s="371"/>
      <c r="GO8" s="371"/>
      <c r="GP8" s="371"/>
      <c r="GQ8" s="371"/>
      <c r="GR8" s="371"/>
      <c r="GS8" s="371"/>
      <c r="GT8" s="371"/>
      <c r="GU8" s="371"/>
      <c r="GV8" s="371"/>
      <c r="GW8" s="371"/>
      <c r="GX8" s="371"/>
      <c r="GY8" s="371"/>
      <c r="GZ8" s="371"/>
      <c r="HA8" s="371"/>
      <c r="HB8" s="371"/>
      <c r="HC8" s="371"/>
      <c r="HD8" s="371"/>
      <c r="HE8" s="371"/>
      <c r="HF8" s="371"/>
      <c r="HG8" s="371"/>
      <c r="HH8" s="371"/>
      <c r="HI8" s="371"/>
      <c r="HJ8" s="371"/>
      <c r="HK8" s="371"/>
      <c r="HL8" s="371"/>
      <c r="HM8" s="371"/>
      <c r="HN8" s="371"/>
      <c r="HO8" s="371"/>
      <c r="HP8" s="371"/>
      <c r="HQ8" s="371"/>
      <c r="HR8" s="371"/>
      <c r="HS8" s="371"/>
      <c r="HT8" s="371"/>
      <c r="HU8" s="371"/>
      <c r="HV8" s="371"/>
      <c r="HW8" s="371"/>
      <c r="HX8" s="371"/>
      <c r="HY8" s="371"/>
      <c r="HZ8" s="371"/>
      <c r="IA8" s="371"/>
      <c r="IB8" s="371"/>
      <c r="IC8" s="371"/>
      <c r="ID8" s="371"/>
      <c r="IE8" s="371"/>
      <c r="IF8" s="371"/>
      <c r="IG8" s="371"/>
      <c r="IH8" s="371"/>
      <c r="II8" s="371"/>
      <c r="IJ8" s="371"/>
      <c r="IK8" s="371"/>
      <c r="IL8" s="371"/>
      <c r="IM8" s="371"/>
      <c r="IN8" s="371"/>
      <c r="IO8" s="371"/>
      <c r="IP8" s="371"/>
      <c r="IQ8" s="371"/>
      <c r="IR8" s="371"/>
      <c r="IS8" s="371"/>
      <c r="IT8" s="371"/>
      <c r="IU8" s="371"/>
      <c r="IV8" s="371"/>
    </row>
    <row r="9" spans="1:256" x14ac:dyDescent="0.2">
      <c r="A9" s="365"/>
      <c r="B9" s="381" t="s">
        <v>1315</v>
      </c>
      <c r="C9" s="368"/>
      <c r="D9" s="377"/>
      <c r="E9" s="382"/>
      <c r="F9" s="383"/>
      <c r="G9" s="386"/>
      <c r="H9" s="387"/>
      <c r="I9" s="386"/>
      <c r="J9" s="371"/>
      <c r="K9" s="371"/>
      <c r="L9" s="371"/>
      <c r="M9" s="371"/>
      <c r="N9" s="371"/>
      <c r="O9" s="371"/>
      <c r="P9" s="371"/>
      <c r="Q9" s="371"/>
      <c r="R9" s="371"/>
      <c r="S9" s="371"/>
      <c r="T9" s="371"/>
      <c r="U9" s="371"/>
      <c r="V9" s="371"/>
      <c r="W9" s="371"/>
      <c r="X9" s="371"/>
      <c r="Y9" s="371"/>
      <c r="Z9" s="371"/>
      <c r="AA9" s="371"/>
      <c r="AB9" s="371"/>
      <c r="AC9" s="371"/>
      <c r="AD9" s="371"/>
      <c r="AE9" s="371"/>
      <c r="AF9" s="371"/>
      <c r="AG9" s="371"/>
      <c r="AH9" s="371"/>
      <c r="AI9" s="371"/>
      <c r="AJ9" s="371"/>
      <c r="AK9" s="371"/>
      <c r="AL9" s="371"/>
      <c r="AM9" s="371"/>
      <c r="AN9" s="371"/>
      <c r="AO9" s="371"/>
      <c r="AP9" s="371"/>
      <c r="AQ9" s="371"/>
      <c r="AR9" s="371"/>
      <c r="AS9" s="371"/>
      <c r="AT9" s="371"/>
      <c r="AU9" s="371"/>
      <c r="AV9" s="371"/>
      <c r="AW9" s="371"/>
      <c r="AX9" s="371"/>
      <c r="AY9" s="371"/>
      <c r="AZ9" s="371"/>
      <c r="BA9" s="371"/>
      <c r="BB9" s="371"/>
      <c r="BC9" s="371"/>
      <c r="BD9" s="371"/>
      <c r="BE9" s="371"/>
      <c r="BF9" s="371"/>
      <c r="BG9" s="371"/>
      <c r="BH9" s="371"/>
      <c r="BI9" s="371"/>
      <c r="BJ9" s="371"/>
      <c r="BK9" s="371"/>
      <c r="BL9" s="371"/>
      <c r="BM9" s="371"/>
      <c r="BN9" s="371"/>
      <c r="BO9" s="371"/>
      <c r="BP9" s="371"/>
      <c r="BQ9" s="371"/>
      <c r="BR9" s="371"/>
      <c r="BS9" s="371"/>
      <c r="BT9" s="371"/>
      <c r="BU9" s="371"/>
      <c r="BV9" s="371"/>
      <c r="BW9" s="371"/>
      <c r="BX9" s="371"/>
      <c r="BY9" s="371"/>
      <c r="BZ9" s="371"/>
      <c r="CA9" s="371"/>
      <c r="CB9" s="371"/>
      <c r="CC9" s="371"/>
      <c r="CD9" s="371"/>
      <c r="CE9" s="371"/>
      <c r="CF9" s="371"/>
      <c r="CG9" s="371"/>
      <c r="CH9" s="371"/>
      <c r="CI9" s="371"/>
      <c r="CJ9" s="371"/>
      <c r="CK9" s="371"/>
      <c r="CL9" s="371"/>
      <c r="CM9" s="371"/>
      <c r="CN9" s="371"/>
      <c r="CO9" s="371"/>
      <c r="CP9" s="371"/>
      <c r="CQ9" s="371"/>
      <c r="CR9" s="371"/>
      <c r="CS9" s="371"/>
      <c r="CT9" s="371"/>
      <c r="CU9" s="371"/>
      <c r="CV9" s="371"/>
      <c r="CW9" s="371"/>
      <c r="CX9" s="371"/>
      <c r="CY9" s="371"/>
      <c r="CZ9" s="371"/>
      <c r="DA9" s="371"/>
      <c r="DB9" s="371"/>
      <c r="DC9" s="371"/>
      <c r="DD9" s="371"/>
      <c r="DE9" s="371"/>
      <c r="DF9" s="371"/>
      <c r="DG9" s="371"/>
      <c r="DH9" s="371"/>
      <c r="DI9" s="371"/>
      <c r="DJ9" s="371"/>
      <c r="DK9" s="371"/>
      <c r="DL9" s="371"/>
      <c r="DM9" s="371"/>
      <c r="DN9" s="371"/>
      <c r="DO9" s="371"/>
      <c r="DP9" s="371"/>
      <c r="DQ9" s="371"/>
      <c r="DR9" s="371"/>
      <c r="DS9" s="371"/>
      <c r="DT9" s="371"/>
      <c r="DU9" s="371"/>
      <c r="DV9" s="371"/>
      <c r="DW9" s="371"/>
      <c r="DX9" s="371"/>
      <c r="DY9" s="371"/>
      <c r="DZ9" s="371"/>
      <c r="EA9" s="371"/>
      <c r="EB9" s="371"/>
      <c r="EC9" s="371"/>
      <c r="ED9" s="371"/>
      <c r="EE9" s="371"/>
      <c r="EF9" s="371"/>
      <c r="EG9" s="371"/>
      <c r="EH9" s="371"/>
      <c r="EI9" s="371"/>
      <c r="EJ9" s="371"/>
      <c r="EK9" s="371"/>
      <c r="EL9" s="371"/>
      <c r="EM9" s="371"/>
      <c r="EN9" s="371"/>
      <c r="EO9" s="371"/>
      <c r="EP9" s="371"/>
      <c r="EQ9" s="371"/>
      <c r="ER9" s="371"/>
      <c r="ES9" s="371"/>
      <c r="ET9" s="371"/>
      <c r="EU9" s="371"/>
      <c r="EV9" s="371"/>
      <c r="EW9" s="371"/>
      <c r="EX9" s="371"/>
      <c r="EY9" s="371"/>
      <c r="EZ9" s="371"/>
      <c r="FA9" s="371"/>
      <c r="FB9" s="371"/>
      <c r="FC9" s="371"/>
      <c r="FD9" s="371"/>
      <c r="FE9" s="371"/>
      <c r="FF9" s="371"/>
      <c r="FG9" s="371"/>
      <c r="FH9" s="371"/>
      <c r="FI9" s="371"/>
      <c r="FJ9" s="371"/>
      <c r="FK9" s="371"/>
      <c r="FL9" s="371"/>
      <c r="FM9" s="371"/>
      <c r="FN9" s="371"/>
      <c r="FO9" s="371"/>
      <c r="FP9" s="371"/>
      <c r="FQ9" s="371"/>
      <c r="FR9" s="371"/>
      <c r="FS9" s="371"/>
      <c r="FT9" s="371"/>
      <c r="FU9" s="371"/>
      <c r="FV9" s="371"/>
      <c r="FW9" s="371"/>
      <c r="FX9" s="371"/>
      <c r="FY9" s="371"/>
      <c r="FZ9" s="371"/>
      <c r="GA9" s="371"/>
      <c r="GB9" s="371"/>
      <c r="GC9" s="371"/>
      <c r="GD9" s="371"/>
      <c r="GE9" s="371"/>
      <c r="GF9" s="371"/>
      <c r="GG9" s="371"/>
      <c r="GH9" s="371"/>
      <c r="GI9" s="371"/>
      <c r="GJ9" s="371"/>
      <c r="GK9" s="371"/>
      <c r="GL9" s="371"/>
      <c r="GM9" s="371"/>
      <c r="GN9" s="371"/>
      <c r="GO9" s="371"/>
      <c r="GP9" s="371"/>
      <c r="GQ9" s="371"/>
      <c r="GR9" s="371"/>
      <c r="GS9" s="371"/>
      <c r="GT9" s="371"/>
      <c r="GU9" s="371"/>
      <c r="GV9" s="371"/>
      <c r="GW9" s="371"/>
      <c r="GX9" s="371"/>
      <c r="GY9" s="371"/>
      <c r="GZ9" s="371"/>
      <c r="HA9" s="371"/>
      <c r="HB9" s="371"/>
      <c r="HC9" s="371"/>
      <c r="HD9" s="371"/>
      <c r="HE9" s="371"/>
      <c r="HF9" s="371"/>
      <c r="HG9" s="371"/>
      <c r="HH9" s="371"/>
      <c r="HI9" s="371"/>
      <c r="HJ9" s="371"/>
      <c r="HK9" s="371"/>
      <c r="HL9" s="371"/>
      <c r="HM9" s="371"/>
      <c r="HN9" s="371"/>
      <c r="HO9" s="371"/>
      <c r="HP9" s="371"/>
      <c r="HQ9" s="371"/>
      <c r="HR9" s="371"/>
      <c r="HS9" s="371"/>
      <c r="HT9" s="371"/>
      <c r="HU9" s="371"/>
      <c r="HV9" s="371"/>
      <c r="HW9" s="371"/>
      <c r="HX9" s="371"/>
      <c r="HY9" s="371"/>
      <c r="HZ9" s="371"/>
      <c r="IA9" s="371"/>
      <c r="IB9" s="371"/>
      <c r="IC9" s="371"/>
      <c r="ID9" s="371"/>
      <c r="IE9" s="371"/>
      <c r="IF9" s="371"/>
      <c r="IG9" s="371"/>
      <c r="IH9" s="371"/>
      <c r="II9" s="371"/>
      <c r="IJ9" s="371"/>
      <c r="IK9" s="371"/>
      <c r="IL9" s="371"/>
      <c r="IM9" s="371"/>
      <c r="IN9" s="371"/>
      <c r="IO9" s="371"/>
      <c r="IP9" s="371"/>
      <c r="IQ9" s="371"/>
      <c r="IR9" s="371"/>
      <c r="IS9" s="371"/>
      <c r="IT9" s="371"/>
      <c r="IU9" s="371"/>
      <c r="IV9" s="371"/>
    </row>
    <row r="10" spans="1:256" x14ac:dyDescent="0.2">
      <c r="A10" s="365"/>
      <c r="B10" s="381"/>
      <c r="C10" s="377"/>
      <c r="D10" s="377"/>
      <c r="E10" s="382"/>
      <c r="F10" s="383"/>
      <c r="G10" s="386"/>
      <c r="H10" s="387"/>
      <c r="I10" s="386"/>
      <c r="J10" s="371"/>
      <c r="K10" s="371"/>
      <c r="L10" s="371"/>
      <c r="M10" s="371"/>
      <c r="N10" s="371"/>
      <c r="O10" s="371"/>
      <c r="P10" s="371"/>
      <c r="Q10" s="371"/>
      <c r="R10" s="371"/>
      <c r="S10" s="371"/>
      <c r="T10" s="371"/>
      <c r="U10" s="371"/>
      <c r="V10" s="371"/>
      <c r="W10" s="371"/>
      <c r="X10" s="371"/>
      <c r="Y10" s="371"/>
      <c r="Z10" s="371"/>
      <c r="AA10" s="371"/>
      <c r="AB10" s="371"/>
      <c r="AC10" s="371"/>
      <c r="AD10" s="371"/>
      <c r="AE10" s="371"/>
      <c r="AF10" s="371"/>
      <c r="AG10" s="371"/>
      <c r="AH10" s="371"/>
      <c r="AI10" s="371"/>
      <c r="AJ10" s="371"/>
      <c r="AK10" s="371"/>
      <c r="AL10" s="371"/>
      <c r="AM10" s="371"/>
      <c r="AN10" s="371"/>
      <c r="AO10" s="371"/>
      <c r="AP10" s="371"/>
      <c r="AQ10" s="371"/>
      <c r="AR10" s="371"/>
      <c r="AS10" s="371"/>
      <c r="AT10" s="371"/>
      <c r="AU10" s="371"/>
      <c r="AV10" s="371"/>
      <c r="AW10" s="371"/>
      <c r="AX10" s="371"/>
      <c r="AY10" s="371"/>
      <c r="AZ10" s="371"/>
      <c r="BA10" s="371"/>
      <c r="BB10" s="371"/>
      <c r="BC10" s="371"/>
      <c r="BD10" s="371"/>
      <c r="BE10" s="371"/>
      <c r="BF10" s="371"/>
      <c r="BG10" s="371"/>
      <c r="BH10" s="371"/>
      <c r="BI10" s="371"/>
      <c r="BJ10" s="371"/>
      <c r="BK10" s="371"/>
      <c r="BL10" s="371"/>
      <c r="BM10" s="371"/>
      <c r="BN10" s="371"/>
      <c r="BO10" s="371"/>
      <c r="BP10" s="371"/>
      <c r="BQ10" s="371"/>
      <c r="BR10" s="371"/>
      <c r="BS10" s="371"/>
      <c r="BT10" s="371"/>
      <c r="BU10" s="371"/>
      <c r="BV10" s="371"/>
      <c r="BW10" s="371"/>
      <c r="BX10" s="371"/>
      <c r="BY10" s="371"/>
      <c r="BZ10" s="371"/>
      <c r="CA10" s="371"/>
      <c r="CB10" s="371"/>
      <c r="CC10" s="371"/>
      <c r="CD10" s="371"/>
      <c r="CE10" s="371"/>
      <c r="CF10" s="371"/>
      <c r="CG10" s="371"/>
      <c r="CH10" s="371"/>
      <c r="CI10" s="371"/>
      <c r="CJ10" s="371"/>
      <c r="CK10" s="371"/>
      <c r="CL10" s="371"/>
      <c r="CM10" s="371"/>
      <c r="CN10" s="371"/>
      <c r="CO10" s="371"/>
      <c r="CP10" s="371"/>
      <c r="CQ10" s="371"/>
      <c r="CR10" s="371"/>
      <c r="CS10" s="371"/>
      <c r="CT10" s="371"/>
      <c r="CU10" s="371"/>
      <c r="CV10" s="371"/>
      <c r="CW10" s="371"/>
      <c r="CX10" s="371"/>
      <c r="CY10" s="371"/>
      <c r="CZ10" s="371"/>
      <c r="DA10" s="371"/>
      <c r="DB10" s="371"/>
      <c r="DC10" s="371"/>
      <c r="DD10" s="371"/>
      <c r="DE10" s="371"/>
      <c r="DF10" s="371"/>
      <c r="DG10" s="371"/>
      <c r="DH10" s="371"/>
      <c r="DI10" s="371"/>
      <c r="DJ10" s="371"/>
      <c r="DK10" s="371"/>
      <c r="DL10" s="371"/>
      <c r="DM10" s="371"/>
      <c r="DN10" s="371"/>
      <c r="DO10" s="371"/>
      <c r="DP10" s="371"/>
      <c r="DQ10" s="371"/>
      <c r="DR10" s="371"/>
      <c r="DS10" s="371"/>
      <c r="DT10" s="371"/>
      <c r="DU10" s="371"/>
      <c r="DV10" s="371"/>
      <c r="DW10" s="371"/>
      <c r="DX10" s="371"/>
      <c r="DY10" s="371"/>
      <c r="DZ10" s="371"/>
      <c r="EA10" s="371"/>
      <c r="EB10" s="371"/>
      <c r="EC10" s="371"/>
      <c r="ED10" s="371"/>
      <c r="EE10" s="371"/>
      <c r="EF10" s="371"/>
      <c r="EG10" s="371"/>
      <c r="EH10" s="371"/>
      <c r="EI10" s="371"/>
      <c r="EJ10" s="371"/>
      <c r="EK10" s="371"/>
      <c r="EL10" s="371"/>
      <c r="EM10" s="371"/>
      <c r="EN10" s="371"/>
      <c r="EO10" s="371"/>
      <c r="EP10" s="371"/>
      <c r="EQ10" s="371"/>
      <c r="ER10" s="371"/>
      <c r="ES10" s="371"/>
      <c r="ET10" s="371"/>
      <c r="EU10" s="371"/>
      <c r="EV10" s="371"/>
      <c r="EW10" s="371"/>
      <c r="EX10" s="371"/>
      <c r="EY10" s="371"/>
      <c r="EZ10" s="371"/>
      <c r="FA10" s="371"/>
      <c r="FB10" s="371"/>
      <c r="FC10" s="371"/>
      <c r="FD10" s="371"/>
      <c r="FE10" s="371"/>
      <c r="FF10" s="371"/>
      <c r="FG10" s="371"/>
      <c r="FH10" s="371"/>
      <c r="FI10" s="371"/>
      <c r="FJ10" s="371"/>
      <c r="FK10" s="371"/>
      <c r="FL10" s="371"/>
      <c r="FM10" s="371"/>
      <c r="FN10" s="371"/>
      <c r="FO10" s="371"/>
      <c r="FP10" s="371"/>
      <c r="FQ10" s="371"/>
      <c r="FR10" s="371"/>
      <c r="FS10" s="371"/>
      <c r="FT10" s="371"/>
      <c r="FU10" s="371"/>
      <c r="FV10" s="371"/>
      <c r="FW10" s="371"/>
      <c r="FX10" s="371"/>
      <c r="FY10" s="371"/>
      <c r="FZ10" s="371"/>
      <c r="GA10" s="371"/>
      <c r="GB10" s="371"/>
      <c r="GC10" s="371"/>
      <c r="GD10" s="371"/>
      <c r="GE10" s="371"/>
      <c r="GF10" s="371"/>
      <c r="GG10" s="371"/>
      <c r="GH10" s="371"/>
      <c r="GI10" s="371"/>
      <c r="GJ10" s="371"/>
      <c r="GK10" s="371"/>
      <c r="GL10" s="371"/>
      <c r="GM10" s="371"/>
      <c r="GN10" s="371"/>
      <c r="GO10" s="371"/>
      <c r="GP10" s="371"/>
      <c r="GQ10" s="371"/>
      <c r="GR10" s="371"/>
      <c r="GS10" s="371"/>
      <c r="GT10" s="371"/>
      <c r="GU10" s="371"/>
      <c r="GV10" s="371"/>
      <c r="GW10" s="371"/>
      <c r="GX10" s="371"/>
      <c r="GY10" s="371"/>
      <c r="GZ10" s="371"/>
      <c r="HA10" s="371"/>
      <c r="HB10" s="371"/>
      <c r="HC10" s="371"/>
      <c r="HD10" s="371"/>
      <c r="HE10" s="371"/>
      <c r="HF10" s="371"/>
      <c r="HG10" s="371"/>
      <c r="HH10" s="371"/>
      <c r="HI10" s="371"/>
      <c r="HJ10" s="371"/>
      <c r="HK10" s="371"/>
      <c r="HL10" s="371"/>
      <c r="HM10" s="371"/>
      <c r="HN10" s="371"/>
      <c r="HO10" s="371"/>
      <c r="HP10" s="371"/>
      <c r="HQ10" s="371"/>
      <c r="HR10" s="371"/>
      <c r="HS10" s="371"/>
      <c r="HT10" s="371"/>
      <c r="HU10" s="371"/>
      <c r="HV10" s="371"/>
      <c r="HW10" s="371"/>
      <c r="HX10" s="371"/>
      <c r="HY10" s="371"/>
      <c r="HZ10" s="371"/>
      <c r="IA10" s="371"/>
      <c r="IB10" s="371"/>
      <c r="IC10" s="371"/>
      <c r="ID10" s="371"/>
      <c r="IE10" s="371"/>
      <c r="IF10" s="371"/>
      <c r="IG10" s="371"/>
      <c r="IH10" s="371"/>
      <c r="II10" s="371"/>
      <c r="IJ10" s="371"/>
      <c r="IK10" s="371"/>
      <c r="IL10" s="371"/>
      <c r="IM10" s="371"/>
      <c r="IN10" s="371"/>
      <c r="IO10" s="371"/>
      <c r="IP10" s="371"/>
      <c r="IQ10" s="371"/>
      <c r="IR10" s="371"/>
      <c r="IS10" s="371"/>
      <c r="IT10" s="371"/>
      <c r="IU10" s="371"/>
      <c r="IV10" s="371"/>
    </row>
    <row r="11" spans="1:256" x14ac:dyDescent="0.2">
      <c r="A11" s="365"/>
      <c r="B11" s="388" t="s">
        <v>1316</v>
      </c>
      <c r="C11" s="377" t="str">
        <f>СВОД!D16</f>
        <v>ООО «Газпром проектирование»</v>
      </c>
      <c r="D11" s="377"/>
      <c r="E11" s="382"/>
      <c r="F11" s="387"/>
      <c r="G11" s="386"/>
      <c r="H11" s="387"/>
      <c r="I11" s="386"/>
      <c r="J11" s="371"/>
      <c r="K11" s="371"/>
      <c r="L11" s="371"/>
      <c r="M11" s="371"/>
      <c r="N11" s="371"/>
      <c r="O11" s="371"/>
      <c r="P11" s="371"/>
      <c r="Q11" s="371"/>
      <c r="R11" s="371"/>
      <c r="S11" s="371"/>
      <c r="T11" s="371"/>
      <c r="U11" s="371"/>
      <c r="V11" s="371"/>
      <c r="W11" s="371"/>
      <c r="X11" s="371"/>
      <c r="Y11" s="371"/>
      <c r="Z11" s="371"/>
      <c r="AA11" s="371"/>
      <c r="AB11" s="371"/>
      <c r="AC11" s="371"/>
      <c r="AD11" s="371"/>
      <c r="AE11" s="371"/>
      <c r="AF11" s="371"/>
      <c r="AG11" s="371"/>
      <c r="AH11" s="371"/>
      <c r="AI11" s="371"/>
      <c r="AJ11" s="371"/>
      <c r="AK11" s="371"/>
      <c r="AL11" s="371"/>
      <c r="AM11" s="371"/>
      <c r="AN11" s="371"/>
      <c r="AO11" s="371"/>
      <c r="AP11" s="371"/>
      <c r="AQ11" s="371"/>
      <c r="AR11" s="371"/>
      <c r="AS11" s="371"/>
      <c r="AT11" s="371"/>
      <c r="AU11" s="371"/>
      <c r="AV11" s="371"/>
      <c r="AW11" s="371"/>
      <c r="AX11" s="371"/>
      <c r="AY11" s="371"/>
      <c r="AZ11" s="371"/>
      <c r="BA11" s="371"/>
      <c r="BB11" s="371"/>
      <c r="BC11" s="371"/>
      <c r="BD11" s="371"/>
      <c r="BE11" s="371"/>
      <c r="BF11" s="371"/>
      <c r="BG11" s="371"/>
      <c r="BH11" s="371"/>
      <c r="BI11" s="371"/>
      <c r="BJ11" s="371"/>
      <c r="BK11" s="371"/>
      <c r="BL11" s="371"/>
      <c r="BM11" s="371"/>
      <c r="BN11" s="371"/>
      <c r="BO11" s="371"/>
      <c r="BP11" s="371"/>
      <c r="BQ11" s="371"/>
      <c r="BR11" s="371"/>
      <c r="BS11" s="371"/>
      <c r="BT11" s="371"/>
      <c r="BU11" s="371"/>
      <c r="BV11" s="371"/>
      <c r="BW11" s="371"/>
      <c r="BX11" s="371"/>
      <c r="BY11" s="371"/>
      <c r="BZ11" s="371"/>
      <c r="CA11" s="371"/>
      <c r="CB11" s="371"/>
      <c r="CC11" s="371"/>
      <c r="CD11" s="371"/>
      <c r="CE11" s="371"/>
      <c r="CF11" s="371"/>
      <c r="CG11" s="371"/>
      <c r="CH11" s="371"/>
      <c r="CI11" s="371"/>
      <c r="CJ11" s="371"/>
      <c r="CK11" s="371"/>
      <c r="CL11" s="371"/>
      <c r="CM11" s="371"/>
      <c r="CN11" s="371"/>
      <c r="CO11" s="371"/>
      <c r="CP11" s="371"/>
      <c r="CQ11" s="371"/>
      <c r="CR11" s="371"/>
      <c r="CS11" s="371"/>
      <c r="CT11" s="371"/>
      <c r="CU11" s="371"/>
      <c r="CV11" s="371"/>
      <c r="CW11" s="371"/>
      <c r="CX11" s="371"/>
      <c r="CY11" s="371"/>
      <c r="CZ11" s="371"/>
      <c r="DA11" s="371"/>
      <c r="DB11" s="371"/>
      <c r="DC11" s="371"/>
      <c r="DD11" s="371"/>
      <c r="DE11" s="371"/>
      <c r="DF11" s="371"/>
      <c r="DG11" s="371"/>
      <c r="DH11" s="371"/>
      <c r="DI11" s="371"/>
      <c r="DJ11" s="371"/>
      <c r="DK11" s="371"/>
      <c r="DL11" s="371"/>
      <c r="DM11" s="371"/>
      <c r="DN11" s="371"/>
      <c r="DO11" s="371"/>
      <c r="DP11" s="371"/>
      <c r="DQ11" s="371"/>
      <c r="DR11" s="371"/>
      <c r="DS11" s="371"/>
      <c r="DT11" s="371"/>
      <c r="DU11" s="371"/>
      <c r="DV11" s="371"/>
      <c r="DW11" s="371"/>
      <c r="DX11" s="371"/>
      <c r="DY11" s="371"/>
      <c r="DZ11" s="371"/>
      <c r="EA11" s="371"/>
      <c r="EB11" s="371"/>
      <c r="EC11" s="371"/>
      <c r="ED11" s="371"/>
      <c r="EE11" s="371"/>
      <c r="EF11" s="371"/>
      <c r="EG11" s="371"/>
      <c r="EH11" s="371"/>
      <c r="EI11" s="371"/>
      <c r="EJ11" s="371"/>
      <c r="EK11" s="371"/>
      <c r="EL11" s="371"/>
      <c r="EM11" s="371"/>
      <c r="EN11" s="371"/>
      <c r="EO11" s="371"/>
      <c r="EP11" s="371"/>
      <c r="EQ11" s="371"/>
      <c r="ER11" s="371"/>
      <c r="ES11" s="371"/>
      <c r="ET11" s="371"/>
      <c r="EU11" s="371"/>
      <c r="EV11" s="371"/>
      <c r="EW11" s="371"/>
      <c r="EX11" s="371"/>
      <c r="EY11" s="371"/>
      <c r="EZ11" s="371"/>
      <c r="FA11" s="371"/>
      <c r="FB11" s="371"/>
      <c r="FC11" s="371"/>
      <c r="FD11" s="371"/>
      <c r="FE11" s="371"/>
      <c r="FF11" s="371"/>
      <c r="FG11" s="371"/>
      <c r="FH11" s="371"/>
      <c r="FI11" s="371"/>
      <c r="FJ11" s="371"/>
      <c r="FK11" s="371"/>
      <c r="FL11" s="371"/>
      <c r="FM11" s="371"/>
      <c r="FN11" s="371"/>
      <c r="FO11" s="371"/>
      <c r="FP11" s="371"/>
      <c r="FQ11" s="371"/>
      <c r="FR11" s="371"/>
      <c r="FS11" s="371"/>
      <c r="FT11" s="371"/>
      <c r="FU11" s="371"/>
      <c r="FV11" s="371"/>
      <c r="FW11" s="371"/>
      <c r="FX11" s="371"/>
      <c r="FY11" s="371"/>
      <c r="FZ11" s="371"/>
      <c r="GA11" s="371"/>
      <c r="GB11" s="371"/>
      <c r="GC11" s="371"/>
      <c r="GD11" s="371"/>
      <c r="GE11" s="371"/>
      <c r="GF11" s="371"/>
      <c r="GG11" s="371"/>
      <c r="GH11" s="371"/>
      <c r="GI11" s="371"/>
      <c r="GJ11" s="371"/>
      <c r="GK11" s="371"/>
      <c r="GL11" s="371"/>
      <c r="GM11" s="371"/>
      <c r="GN11" s="371"/>
      <c r="GO11" s="371"/>
      <c r="GP11" s="371"/>
      <c r="GQ11" s="371"/>
      <c r="GR11" s="371"/>
      <c r="GS11" s="371"/>
      <c r="GT11" s="371"/>
      <c r="GU11" s="371"/>
      <c r="GV11" s="371"/>
      <c r="GW11" s="371"/>
      <c r="GX11" s="371"/>
      <c r="GY11" s="371"/>
      <c r="GZ11" s="371"/>
      <c r="HA11" s="371"/>
      <c r="HB11" s="371"/>
      <c r="HC11" s="371"/>
      <c r="HD11" s="371"/>
      <c r="HE11" s="371"/>
      <c r="HF11" s="371"/>
      <c r="HG11" s="371"/>
      <c r="HH11" s="371"/>
      <c r="HI11" s="371"/>
      <c r="HJ11" s="371"/>
      <c r="HK11" s="371"/>
      <c r="HL11" s="371"/>
      <c r="HM11" s="371"/>
      <c r="HN11" s="371"/>
      <c r="HO11" s="371"/>
      <c r="HP11" s="371"/>
      <c r="HQ11" s="371"/>
      <c r="HR11" s="371"/>
      <c r="HS11" s="371"/>
      <c r="HT11" s="371"/>
      <c r="HU11" s="371"/>
      <c r="HV11" s="371"/>
      <c r="HW11" s="371"/>
      <c r="HX11" s="371"/>
      <c r="HY11" s="371"/>
      <c r="HZ11" s="371"/>
      <c r="IA11" s="371"/>
      <c r="IB11" s="371"/>
      <c r="IC11" s="371"/>
      <c r="ID11" s="371"/>
      <c r="IE11" s="371"/>
      <c r="IF11" s="371"/>
      <c r="IG11" s="371"/>
      <c r="IH11" s="371"/>
      <c r="II11" s="371"/>
      <c r="IJ11" s="371"/>
      <c r="IK11" s="371"/>
      <c r="IL11" s="371"/>
      <c r="IM11" s="371"/>
      <c r="IN11" s="371"/>
      <c r="IO11" s="371"/>
      <c r="IP11" s="371"/>
      <c r="IQ11" s="371"/>
      <c r="IR11" s="371"/>
      <c r="IS11" s="371"/>
      <c r="IT11" s="371"/>
      <c r="IU11" s="371"/>
      <c r="IV11" s="371"/>
    </row>
    <row r="12" spans="1:256" x14ac:dyDescent="0.2">
      <c r="A12" s="365"/>
      <c r="B12" s="388" t="s">
        <v>1317</v>
      </c>
      <c r="C12" s="377"/>
      <c r="D12" s="377"/>
      <c r="E12" s="389"/>
      <c r="F12" s="387"/>
      <c r="G12" s="386"/>
      <c r="H12" s="387"/>
      <c r="I12" s="386"/>
      <c r="J12" s="371"/>
      <c r="K12" s="371"/>
      <c r="L12" s="371"/>
      <c r="M12" s="371"/>
      <c r="N12" s="371"/>
      <c r="O12" s="371"/>
      <c r="P12" s="371"/>
      <c r="Q12" s="371"/>
      <c r="R12" s="371"/>
      <c r="S12" s="371"/>
      <c r="T12" s="371"/>
      <c r="U12" s="371"/>
      <c r="V12" s="371"/>
      <c r="W12" s="371"/>
      <c r="X12" s="371"/>
      <c r="Y12" s="371"/>
      <c r="Z12" s="371"/>
      <c r="AA12" s="371"/>
      <c r="AB12" s="371"/>
      <c r="AC12" s="371"/>
      <c r="AD12" s="371"/>
      <c r="AE12" s="371"/>
      <c r="AF12" s="371"/>
      <c r="AG12" s="371"/>
      <c r="AH12" s="371"/>
      <c r="AI12" s="371"/>
      <c r="AJ12" s="371"/>
      <c r="AK12" s="371"/>
      <c r="AL12" s="371"/>
      <c r="AM12" s="371"/>
      <c r="AN12" s="371"/>
      <c r="AO12" s="371"/>
      <c r="AP12" s="371"/>
      <c r="AQ12" s="371"/>
      <c r="AR12" s="371"/>
      <c r="AS12" s="371"/>
      <c r="AT12" s="371"/>
      <c r="AU12" s="371"/>
      <c r="AV12" s="371"/>
      <c r="AW12" s="371"/>
      <c r="AX12" s="371"/>
      <c r="AY12" s="371"/>
      <c r="AZ12" s="371"/>
      <c r="BA12" s="371"/>
      <c r="BB12" s="371"/>
      <c r="BC12" s="371"/>
      <c r="BD12" s="371"/>
      <c r="BE12" s="371"/>
      <c r="BF12" s="371"/>
      <c r="BG12" s="371"/>
      <c r="BH12" s="371"/>
      <c r="BI12" s="371"/>
      <c r="BJ12" s="371"/>
      <c r="BK12" s="371"/>
      <c r="BL12" s="371"/>
      <c r="BM12" s="371"/>
      <c r="BN12" s="371"/>
      <c r="BO12" s="371"/>
      <c r="BP12" s="371"/>
      <c r="BQ12" s="371"/>
      <c r="BR12" s="371"/>
      <c r="BS12" s="371"/>
      <c r="BT12" s="371"/>
      <c r="BU12" s="371"/>
      <c r="BV12" s="371"/>
      <c r="BW12" s="371"/>
      <c r="BX12" s="371"/>
      <c r="BY12" s="371"/>
      <c r="BZ12" s="371"/>
      <c r="CA12" s="371"/>
      <c r="CB12" s="371"/>
      <c r="CC12" s="371"/>
      <c r="CD12" s="371"/>
      <c r="CE12" s="371"/>
      <c r="CF12" s="371"/>
      <c r="CG12" s="371"/>
      <c r="CH12" s="371"/>
      <c r="CI12" s="371"/>
      <c r="CJ12" s="371"/>
      <c r="CK12" s="371"/>
      <c r="CL12" s="371"/>
      <c r="CM12" s="371"/>
      <c r="CN12" s="371"/>
      <c r="CO12" s="371"/>
      <c r="CP12" s="371"/>
      <c r="CQ12" s="371"/>
      <c r="CR12" s="371"/>
      <c r="CS12" s="371"/>
      <c r="CT12" s="371"/>
      <c r="CU12" s="371"/>
      <c r="CV12" s="371"/>
      <c r="CW12" s="371"/>
      <c r="CX12" s="371"/>
      <c r="CY12" s="371"/>
      <c r="CZ12" s="371"/>
      <c r="DA12" s="371"/>
      <c r="DB12" s="371"/>
      <c r="DC12" s="371"/>
      <c r="DD12" s="371"/>
      <c r="DE12" s="371"/>
      <c r="DF12" s="371"/>
      <c r="DG12" s="371"/>
      <c r="DH12" s="371"/>
      <c r="DI12" s="371"/>
      <c r="DJ12" s="371"/>
      <c r="DK12" s="371"/>
      <c r="DL12" s="371"/>
      <c r="DM12" s="371"/>
      <c r="DN12" s="371"/>
      <c r="DO12" s="371"/>
      <c r="DP12" s="371"/>
      <c r="DQ12" s="371"/>
      <c r="DR12" s="371"/>
      <c r="DS12" s="371"/>
      <c r="DT12" s="371"/>
      <c r="DU12" s="371"/>
      <c r="DV12" s="371"/>
      <c r="DW12" s="371"/>
      <c r="DX12" s="371"/>
      <c r="DY12" s="371"/>
      <c r="DZ12" s="371"/>
      <c r="EA12" s="371"/>
      <c r="EB12" s="371"/>
      <c r="EC12" s="371"/>
      <c r="ED12" s="371"/>
      <c r="EE12" s="371"/>
      <c r="EF12" s="371"/>
      <c r="EG12" s="371"/>
      <c r="EH12" s="371"/>
      <c r="EI12" s="371"/>
      <c r="EJ12" s="371"/>
      <c r="EK12" s="371"/>
      <c r="EL12" s="371"/>
      <c r="EM12" s="371"/>
      <c r="EN12" s="371"/>
      <c r="EO12" s="371"/>
      <c r="EP12" s="371"/>
      <c r="EQ12" s="371"/>
      <c r="ER12" s="371"/>
      <c r="ES12" s="371"/>
      <c r="ET12" s="371"/>
      <c r="EU12" s="371"/>
      <c r="EV12" s="371"/>
      <c r="EW12" s="371"/>
      <c r="EX12" s="371"/>
      <c r="EY12" s="371"/>
      <c r="EZ12" s="371"/>
      <c r="FA12" s="371"/>
      <c r="FB12" s="371"/>
      <c r="FC12" s="371"/>
      <c r="FD12" s="371"/>
      <c r="FE12" s="371"/>
      <c r="FF12" s="371"/>
      <c r="FG12" s="371"/>
      <c r="FH12" s="371"/>
      <c r="FI12" s="371"/>
      <c r="FJ12" s="371"/>
      <c r="FK12" s="371"/>
      <c r="FL12" s="371"/>
      <c r="FM12" s="371"/>
      <c r="FN12" s="371"/>
      <c r="FO12" s="371"/>
      <c r="FP12" s="371"/>
      <c r="FQ12" s="371"/>
      <c r="FR12" s="371"/>
      <c r="FS12" s="371"/>
      <c r="FT12" s="371"/>
      <c r="FU12" s="371"/>
      <c r="FV12" s="371"/>
      <c r="FW12" s="371"/>
      <c r="FX12" s="371"/>
      <c r="FY12" s="371"/>
      <c r="FZ12" s="371"/>
      <c r="GA12" s="371"/>
      <c r="GB12" s="371"/>
      <c r="GC12" s="371"/>
      <c r="GD12" s="371"/>
      <c r="GE12" s="371"/>
      <c r="GF12" s="371"/>
      <c r="GG12" s="371"/>
      <c r="GH12" s="371"/>
      <c r="GI12" s="371"/>
      <c r="GJ12" s="371"/>
      <c r="GK12" s="371"/>
      <c r="GL12" s="371"/>
      <c r="GM12" s="371"/>
      <c r="GN12" s="371"/>
      <c r="GO12" s="371"/>
      <c r="GP12" s="371"/>
      <c r="GQ12" s="371"/>
      <c r="GR12" s="371"/>
      <c r="GS12" s="371"/>
      <c r="GT12" s="371"/>
      <c r="GU12" s="371"/>
      <c r="GV12" s="371"/>
      <c r="GW12" s="371"/>
      <c r="GX12" s="371"/>
      <c r="GY12" s="371"/>
      <c r="GZ12" s="371"/>
      <c r="HA12" s="371"/>
      <c r="HB12" s="371"/>
      <c r="HC12" s="371"/>
      <c r="HD12" s="371"/>
      <c r="HE12" s="371"/>
      <c r="HF12" s="371"/>
      <c r="HG12" s="371"/>
      <c r="HH12" s="371"/>
      <c r="HI12" s="371"/>
      <c r="HJ12" s="371"/>
      <c r="HK12" s="371"/>
      <c r="HL12" s="371"/>
      <c r="HM12" s="371"/>
      <c r="HN12" s="371"/>
      <c r="HO12" s="371"/>
      <c r="HP12" s="371"/>
      <c r="HQ12" s="371"/>
      <c r="HR12" s="371"/>
      <c r="HS12" s="371"/>
      <c r="HT12" s="371"/>
      <c r="HU12" s="371"/>
      <c r="HV12" s="371"/>
      <c r="HW12" s="371"/>
      <c r="HX12" s="371"/>
      <c r="HY12" s="371"/>
      <c r="HZ12" s="371"/>
      <c r="IA12" s="371"/>
      <c r="IB12" s="371"/>
      <c r="IC12" s="371"/>
      <c r="ID12" s="371"/>
      <c r="IE12" s="371"/>
      <c r="IF12" s="371"/>
      <c r="IG12" s="371"/>
      <c r="IH12" s="371"/>
      <c r="II12" s="371"/>
      <c r="IJ12" s="371"/>
      <c r="IK12" s="371"/>
      <c r="IL12" s="371"/>
      <c r="IM12" s="371"/>
      <c r="IN12" s="371"/>
      <c r="IO12" s="371"/>
      <c r="IP12" s="371"/>
      <c r="IQ12" s="371"/>
      <c r="IR12" s="371"/>
      <c r="IS12" s="371"/>
      <c r="IT12" s="371"/>
      <c r="IU12" s="371"/>
      <c r="IV12" s="371"/>
    </row>
    <row r="13" spans="1:256" x14ac:dyDescent="0.2">
      <c r="A13" s="365"/>
      <c r="B13" s="390" t="s">
        <v>15</v>
      </c>
      <c r="C13" s="368"/>
      <c r="D13" s="368"/>
      <c r="E13" s="372"/>
      <c r="F13" s="368"/>
      <c r="G13" s="390"/>
      <c r="H13" s="370"/>
      <c r="I13" s="370"/>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371"/>
      <c r="AN13" s="371"/>
      <c r="AO13" s="371"/>
      <c r="AP13" s="371"/>
      <c r="AQ13" s="371"/>
      <c r="AR13" s="371"/>
      <c r="AS13" s="371"/>
      <c r="AT13" s="371"/>
      <c r="AU13" s="371"/>
      <c r="AV13" s="371"/>
      <c r="AW13" s="371"/>
      <c r="AX13" s="371"/>
      <c r="AY13" s="371"/>
      <c r="AZ13" s="371"/>
      <c r="BA13" s="371"/>
      <c r="BB13" s="371"/>
      <c r="BC13" s="371"/>
      <c r="BD13" s="371"/>
      <c r="BE13" s="371"/>
      <c r="BF13" s="371"/>
      <c r="BG13" s="371"/>
      <c r="BH13" s="371"/>
      <c r="BI13" s="371"/>
      <c r="BJ13" s="371"/>
      <c r="BK13" s="371"/>
      <c r="BL13" s="371"/>
      <c r="BM13" s="371"/>
      <c r="BN13" s="371"/>
      <c r="BO13" s="371"/>
      <c r="BP13" s="371"/>
      <c r="BQ13" s="371"/>
      <c r="BR13" s="371"/>
      <c r="BS13" s="371"/>
      <c r="BT13" s="371"/>
      <c r="BU13" s="371"/>
      <c r="BV13" s="371"/>
      <c r="BW13" s="371"/>
      <c r="BX13" s="371"/>
      <c r="BY13" s="371"/>
      <c r="BZ13" s="371"/>
      <c r="CA13" s="371"/>
      <c r="CB13" s="371"/>
      <c r="CC13" s="371"/>
      <c r="CD13" s="371"/>
      <c r="CE13" s="371"/>
      <c r="CF13" s="371"/>
      <c r="CG13" s="371"/>
      <c r="CH13" s="371"/>
      <c r="CI13" s="371"/>
      <c r="CJ13" s="371"/>
      <c r="CK13" s="371"/>
      <c r="CL13" s="371"/>
      <c r="CM13" s="371"/>
      <c r="CN13" s="371"/>
      <c r="CO13" s="371"/>
      <c r="CP13" s="371"/>
      <c r="CQ13" s="371"/>
      <c r="CR13" s="371"/>
      <c r="CS13" s="371"/>
      <c r="CT13" s="371"/>
      <c r="CU13" s="371"/>
      <c r="CV13" s="371"/>
      <c r="CW13" s="371"/>
      <c r="CX13" s="371"/>
      <c r="CY13" s="371"/>
      <c r="CZ13" s="371"/>
      <c r="DA13" s="371"/>
      <c r="DB13" s="371"/>
      <c r="DC13" s="371"/>
      <c r="DD13" s="371"/>
      <c r="DE13" s="371"/>
      <c r="DF13" s="371"/>
      <c r="DG13" s="371"/>
      <c r="DH13" s="371"/>
      <c r="DI13" s="371"/>
      <c r="DJ13" s="371"/>
      <c r="DK13" s="371"/>
      <c r="DL13" s="371"/>
      <c r="DM13" s="371"/>
      <c r="DN13" s="371"/>
      <c r="DO13" s="371"/>
      <c r="DP13" s="371"/>
      <c r="DQ13" s="371"/>
      <c r="DR13" s="371"/>
      <c r="DS13" s="371"/>
      <c r="DT13" s="371"/>
      <c r="DU13" s="371"/>
      <c r="DV13" s="371"/>
      <c r="DW13" s="371"/>
      <c r="DX13" s="371"/>
      <c r="DY13" s="371"/>
      <c r="DZ13" s="371"/>
      <c r="EA13" s="371"/>
      <c r="EB13" s="371"/>
      <c r="EC13" s="371"/>
      <c r="ED13" s="371"/>
      <c r="EE13" s="371"/>
      <c r="EF13" s="371"/>
      <c r="EG13" s="371"/>
      <c r="EH13" s="371"/>
      <c r="EI13" s="371"/>
      <c r="EJ13" s="371"/>
      <c r="EK13" s="371"/>
      <c r="EL13" s="371"/>
      <c r="EM13" s="371"/>
      <c r="EN13" s="371"/>
      <c r="EO13" s="371"/>
      <c r="EP13" s="371"/>
      <c r="EQ13" s="371"/>
      <c r="ER13" s="371"/>
      <c r="ES13" s="371"/>
      <c r="ET13" s="371"/>
      <c r="EU13" s="371"/>
      <c r="EV13" s="371"/>
      <c r="EW13" s="371"/>
      <c r="EX13" s="371"/>
      <c r="EY13" s="371"/>
      <c r="EZ13" s="371"/>
      <c r="FA13" s="371"/>
      <c r="FB13" s="371"/>
      <c r="FC13" s="371"/>
      <c r="FD13" s="371"/>
      <c r="FE13" s="371"/>
      <c r="FF13" s="371"/>
      <c r="FG13" s="371"/>
      <c r="FH13" s="371"/>
      <c r="FI13" s="371"/>
      <c r="FJ13" s="371"/>
      <c r="FK13" s="371"/>
      <c r="FL13" s="371"/>
      <c r="FM13" s="371"/>
      <c r="FN13" s="371"/>
      <c r="FO13" s="371"/>
      <c r="FP13" s="371"/>
      <c r="FQ13" s="371"/>
      <c r="FR13" s="371"/>
      <c r="FS13" s="371"/>
      <c r="FT13" s="371"/>
      <c r="FU13" s="371"/>
      <c r="FV13" s="371"/>
      <c r="FW13" s="371"/>
      <c r="FX13" s="371"/>
      <c r="FY13" s="371"/>
      <c r="FZ13" s="371"/>
      <c r="GA13" s="371"/>
      <c r="GB13" s="371"/>
      <c r="GC13" s="371"/>
      <c r="GD13" s="371"/>
      <c r="GE13" s="371"/>
      <c r="GF13" s="371"/>
      <c r="GG13" s="371"/>
      <c r="GH13" s="371"/>
      <c r="GI13" s="371"/>
      <c r="GJ13" s="371"/>
      <c r="GK13" s="371"/>
      <c r="GL13" s="371"/>
      <c r="GM13" s="371"/>
      <c r="GN13" s="371"/>
      <c r="GO13" s="371"/>
      <c r="GP13" s="371"/>
      <c r="GQ13" s="371"/>
      <c r="GR13" s="371"/>
      <c r="GS13" s="371"/>
      <c r="GT13" s="371"/>
      <c r="GU13" s="371"/>
      <c r="GV13" s="371"/>
      <c r="GW13" s="371"/>
      <c r="GX13" s="371"/>
      <c r="GY13" s="371"/>
      <c r="GZ13" s="371"/>
      <c r="HA13" s="371"/>
      <c r="HB13" s="371"/>
      <c r="HC13" s="371"/>
      <c r="HD13" s="371"/>
      <c r="HE13" s="371"/>
      <c r="HF13" s="371"/>
      <c r="HG13" s="371"/>
      <c r="HH13" s="371"/>
      <c r="HI13" s="371"/>
      <c r="HJ13" s="371"/>
      <c r="HK13" s="371"/>
      <c r="HL13" s="371"/>
      <c r="HM13" s="371"/>
      <c r="HN13" s="371"/>
      <c r="HO13" s="371"/>
      <c r="HP13" s="371"/>
      <c r="HQ13" s="371"/>
      <c r="HR13" s="371"/>
      <c r="HS13" s="371"/>
      <c r="HT13" s="371"/>
      <c r="HU13" s="371"/>
      <c r="HV13" s="371"/>
      <c r="HW13" s="371"/>
      <c r="HX13" s="371"/>
      <c r="HY13" s="371"/>
      <c r="HZ13" s="371"/>
      <c r="IA13" s="371"/>
      <c r="IB13" s="371"/>
      <c r="IC13" s="371"/>
      <c r="ID13" s="371"/>
      <c r="IE13" s="371"/>
      <c r="IF13" s="371"/>
      <c r="IG13" s="371"/>
      <c r="IH13" s="371"/>
      <c r="II13" s="371"/>
      <c r="IJ13" s="371"/>
      <c r="IK13" s="371"/>
      <c r="IL13" s="371"/>
      <c r="IM13" s="371"/>
      <c r="IN13" s="371"/>
      <c r="IO13" s="371"/>
      <c r="IP13" s="371"/>
      <c r="IQ13" s="371"/>
      <c r="IR13" s="371"/>
      <c r="IS13" s="371"/>
      <c r="IT13" s="371"/>
      <c r="IU13" s="371"/>
      <c r="IV13" s="371"/>
    </row>
    <row r="14" spans="1:256" ht="70.5" customHeight="1" x14ac:dyDescent="0.2">
      <c r="A14" s="391" t="s">
        <v>1318</v>
      </c>
      <c r="B14" s="392" t="s">
        <v>1319</v>
      </c>
      <c r="C14" s="392" t="s">
        <v>1320</v>
      </c>
      <c r="D14" s="392" t="s">
        <v>1321</v>
      </c>
      <c r="E14" s="393" t="s">
        <v>13</v>
      </c>
      <c r="F14" s="394"/>
      <c r="G14" s="394"/>
      <c r="H14" s="394"/>
      <c r="I14" s="394"/>
      <c r="J14" s="394"/>
      <c r="K14" s="394"/>
      <c r="L14" s="394"/>
      <c r="M14" s="394"/>
      <c r="N14" s="394"/>
      <c r="O14" s="394"/>
      <c r="P14" s="394"/>
      <c r="Q14" s="394"/>
      <c r="R14" s="394"/>
      <c r="S14" s="394"/>
      <c r="T14" s="394"/>
      <c r="U14" s="394"/>
      <c r="V14" s="394"/>
      <c r="W14" s="394"/>
      <c r="X14" s="394"/>
      <c r="Y14" s="394"/>
      <c r="Z14" s="394"/>
      <c r="AA14" s="394"/>
      <c r="AB14" s="394"/>
      <c r="AC14" s="394"/>
      <c r="AD14" s="394"/>
      <c r="AE14" s="394"/>
      <c r="AF14" s="394"/>
      <c r="AG14" s="394"/>
      <c r="AH14" s="394"/>
      <c r="AI14" s="394"/>
      <c r="AJ14" s="394"/>
      <c r="AK14" s="394"/>
      <c r="AL14" s="394"/>
      <c r="AM14" s="394"/>
      <c r="AN14" s="394"/>
      <c r="AO14" s="394"/>
      <c r="AP14" s="394"/>
      <c r="AQ14" s="394"/>
      <c r="AR14" s="394"/>
      <c r="AS14" s="394"/>
      <c r="AT14" s="394"/>
      <c r="AU14" s="394"/>
      <c r="AV14" s="394"/>
      <c r="AW14" s="394"/>
      <c r="AX14" s="394"/>
      <c r="AY14" s="394"/>
      <c r="AZ14" s="394"/>
      <c r="BA14" s="394"/>
      <c r="BB14" s="394"/>
      <c r="BC14" s="394"/>
      <c r="BD14" s="394"/>
      <c r="BE14" s="394"/>
      <c r="BF14" s="394"/>
      <c r="BG14" s="394"/>
      <c r="BH14" s="394"/>
      <c r="BI14" s="394"/>
      <c r="BJ14" s="394"/>
      <c r="BK14" s="394"/>
      <c r="BL14" s="394"/>
      <c r="BM14" s="394"/>
      <c r="BN14" s="394"/>
      <c r="BO14" s="394"/>
      <c r="BP14" s="394"/>
      <c r="BQ14" s="394"/>
      <c r="BR14" s="394"/>
      <c r="BS14" s="394"/>
      <c r="BT14" s="394"/>
      <c r="BU14" s="394"/>
      <c r="BV14" s="394"/>
      <c r="BW14" s="394"/>
      <c r="BX14" s="394"/>
      <c r="BY14" s="394"/>
      <c r="BZ14" s="394"/>
      <c r="CA14" s="394"/>
      <c r="CB14" s="394"/>
      <c r="CC14" s="394"/>
      <c r="CD14" s="394"/>
      <c r="CE14" s="394"/>
      <c r="CF14" s="394"/>
      <c r="CG14" s="394"/>
      <c r="CH14" s="394"/>
      <c r="CI14" s="394"/>
      <c r="CJ14" s="394"/>
      <c r="CK14" s="394"/>
      <c r="CL14" s="394"/>
      <c r="CM14" s="394"/>
      <c r="CN14" s="394"/>
      <c r="CO14" s="394"/>
      <c r="CP14" s="394"/>
      <c r="CQ14" s="394"/>
      <c r="CR14" s="394"/>
      <c r="CS14" s="394"/>
      <c r="CT14" s="394"/>
      <c r="CU14" s="394"/>
      <c r="CV14" s="394"/>
      <c r="CW14" s="394"/>
      <c r="CX14" s="394"/>
      <c r="CY14" s="394"/>
      <c r="CZ14" s="394"/>
      <c r="DA14" s="394"/>
      <c r="DB14" s="394"/>
      <c r="DC14" s="394"/>
      <c r="DD14" s="394"/>
      <c r="DE14" s="394"/>
      <c r="DF14" s="394"/>
      <c r="DG14" s="394"/>
      <c r="DH14" s="394"/>
      <c r="DI14" s="394"/>
      <c r="DJ14" s="394"/>
      <c r="DK14" s="394"/>
      <c r="DL14" s="394"/>
      <c r="DM14" s="394"/>
      <c r="DN14" s="394"/>
      <c r="DO14" s="394"/>
      <c r="DP14" s="394"/>
      <c r="DQ14" s="394"/>
      <c r="DR14" s="394"/>
      <c r="DS14" s="394"/>
      <c r="DT14" s="394"/>
      <c r="DU14" s="394"/>
      <c r="DV14" s="394"/>
      <c r="DW14" s="394"/>
      <c r="DX14" s="394"/>
      <c r="DY14" s="394"/>
      <c r="DZ14" s="394"/>
      <c r="EA14" s="394"/>
      <c r="EB14" s="394"/>
      <c r="EC14" s="394"/>
      <c r="ED14" s="394"/>
      <c r="EE14" s="394"/>
      <c r="EF14" s="394"/>
      <c r="EG14" s="394"/>
      <c r="EH14" s="394"/>
      <c r="EI14" s="394"/>
      <c r="EJ14" s="394"/>
      <c r="EK14" s="394"/>
      <c r="EL14" s="394"/>
      <c r="EM14" s="394"/>
      <c r="EN14" s="394"/>
      <c r="EO14" s="394"/>
      <c r="EP14" s="394"/>
      <c r="EQ14" s="394"/>
      <c r="ER14" s="394"/>
      <c r="ES14" s="394"/>
      <c r="ET14" s="394"/>
      <c r="EU14" s="394"/>
      <c r="EV14" s="394"/>
      <c r="EW14" s="394"/>
      <c r="EX14" s="394"/>
      <c r="EY14" s="394"/>
      <c r="EZ14" s="394"/>
      <c r="FA14" s="394"/>
      <c r="FB14" s="394"/>
      <c r="FC14" s="394"/>
      <c r="FD14" s="394"/>
      <c r="FE14" s="394"/>
      <c r="FF14" s="394"/>
      <c r="FG14" s="394"/>
      <c r="FH14" s="394"/>
      <c r="FI14" s="394"/>
      <c r="FJ14" s="394"/>
      <c r="FK14" s="394"/>
      <c r="FL14" s="394"/>
      <c r="FM14" s="394"/>
      <c r="FN14" s="394"/>
      <c r="FO14" s="394"/>
      <c r="FP14" s="394"/>
      <c r="FQ14" s="394"/>
      <c r="FR14" s="394"/>
      <c r="FS14" s="394"/>
      <c r="FT14" s="394"/>
      <c r="FU14" s="394"/>
      <c r="FV14" s="394"/>
      <c r="FW14" s="394"/>
      <c r="FX14" s="394"/>
      <c r="FY14" s="394"/>
      <c r="FZ14" s="394"/>
      <c r="GA14" s="394"/>
      <c r="GB14" s="394"/>
      <c r="GC14" s="394"/>
      <c r="GD14" s="394"/>
      <c r="GE14" s="394"/>
      <c r="GF14" s="394"/>
      <c r="GG14" s="394"/>
      <c r="GH14" s="394"/>
      <c r="GI14" s="394"/>
      <c r="GJ14" s="394"/>
      <c r="GK14" s="394"/>
      <c r="GL14" s="394"/>
      <c r="GM14" s="394"/>
      <c r="GN14" s="394"/>
      <c r="GO14" s="394"/>
      <c r="GP14" s="394"/>
      <c r="GQ14" s="394"/>
      <c r="GR14" s="394"/>
      <c r="GS14" s="394"/>
      <c r="GT14" s="394"/>
      <c r="GU14" s="394"/>
      <c r="GV14" s="394"/>
      <c r="GW14" s="394"/>
      <c r="GX14" s="394"/>
      <c r="GY14" s="394"/>
      <c r="GZ14" s="394"/>
      <c r="HA14" s="394"/>
      <c r="HB14" s="394"/>
      <c r="HC14" s="394"/>
      <c r="HD14" s="394"/>
      <c r="HE14" s="394"/>
      <c r="HF14" s="394"/>
      <c r="HG14" s="394"/>
      <c r="HH14" s="394"/>
      <c r="HI14" s="394"/>
      <c r="HJ14" s="394"/>
      <c r="HK14" s="394"/>
      <c r="HL14" s="394"/>
      <c r="HM14" s="394"/>
      <c r="HN14" s="394"/>
      <c r="HO14" s="394"/>
      <c r="HP14" s="394"/>
      <c r="HQ14" s="394"/>
      <c r="HR14" s="394"/>
      <c r="HS14" s="394"/>
      <c r="HT14" s="394"/>
      <c r="HU14" s="394"/>
      <c r="HV14" s="394"/>
      <c r="HW14" s="394"/>
      <c r="HX14" s="394"/>
      <c r="HY14" s="394"/>
      <c r="HZ14" s="394"/>
      <c r="IA14" s="394"/>
      <c r="IB14" s="394"/>
      <c r="IC14" s="394"/>
      <c r="ID14" s="394"/>
      <c r="IE14" s="394"/>
      <c r="IF14" s="394"/>
      <c r="IG14" s="394"/>
      <c r="IH14" s="394"/>
      <c r="II14" s="394"/>
      <c r="IJ14" s="394"/>
      <c r="IK14" s="394"/>
      <c r="IL14" s="394"/>
      <c r="IM14" s="394"/>
      <c r="IN14" s="394"/>
      <c r="IO14" s="394"/>
      <c r="IP14" s="394"/>
      <c r="IQ14" s="394"/>
      <c r="IR14" s="394"/>
      <c r="IS14" s="394"/>
      <c r="IT14" s="394"/>
      <c r="IU14" s="394"/>
      <c r="IV14" s="394"/>
    </row>
    <row r="15" spans="1:256" x14ac:dyDescent="0.2">
      <c r="A15" s="395">
        <v>1</v>
      </c>
      <c r="B15" s="395">
        <v>2</v>
      </c>
      <c r="C15" s="395">
        <v>3</v>
      </c>
      <c r="D15" s="395">
        <v>4</v>
      </c>
      <c r="E15" s="395">
        <v>5</v>
      </c>
      <c r="F15" s="394"/>
      <c r="G15" s="394"/>
      <c r="H15" s="394"/>
      <c r="I15" s="394"/>
      <c r="J15" s="394"/>
      <c r="K15" s="394"/>
      <c r="L15" s="394"/>
      <c r="M15" s="394"/>
      <c r="N15" s="394"/>
      <c r="O15" s="394"/>
      <c r="P15" s="394"/>
      <c r="Q15" s="394"/>
      <c r="R15" s="394"/>
      <c r="S15" s="394"/>
      <c r="T15" s="394"/>
      <c r="U15" s="394"/>
      <c r="V15" s="394"/>
      <c r="W15" s="394"/>
      <c r="X15" s="394"/>
      <c r="Y15" s="394"/>
      <c r="Z15" s="394"/>
      <c r="AA15" s="394"/>
      <c r="AB15" s="394"/>
      <c r="AC15" s="394"/>
      <c r="AD15" s="394"/>
      <c r="AE15" s="394"/>
      <c r="AF15" s="394"/>
      <c r="AG15" s="394"/>
      <c r="AH15" s="394"/>
      <c r="AI15" s="394"/>
      <c r="AJ15" s="394"/>
      <c r="AK15" s="394"/>
      <c r="AL15" s="394"/>
      <c r="AM15" s="394"/>
      <c r="AN15" s="394"/>
      <c r="AO15" s="394"/>
      <c r="AP15" s="394"/>
      <c r="AQ15" s="394"/>
      <c r="AR15" s="394"/>
      <c r="AS15" s="394"/>
      <c r="AT15" s="394"/>
      <c r="AU15" s="394"/>
      <c r="AV15" s="394"/>
      <c r="AW15" s="394"/>
      <c r="AX15" s="394"/>
      <c r="AY15" s="394"/>
      <c r="AZ15" s="394"/>
      <c r="BA15" s="394"/>
      <c r="BB15" s="394"/>
      <c r="BC15" s="394"/>
      <c r="BD15" s="394"/>
      <c r="BE15" s="394"/>
      <c r="BF15" s="394"/>
      <c r="BG15" s="394"/>
      <c r="BH15" s="394"/>
      <c r="BI15" s="394"/>
      <c r="BJ15" s="394"/>
      <c r="BK15" s="394"/>
      <c r="BL15" s="394"/>
      <c r="BM15" s="394"/>
      <c r="BN15" s="394"/>
      <c r="BO15" s="394"/>
      <c r="BP15" s="394"/>
      <c r="BQ15" s="394"/>
      <c r="BR15" s="394"/>
      <c r="BS15" s="394"/>
      <c r="BT15" s="394"/>
      <c r="BU15" s="394"/>
      <c r="BV15" s="394"/>
      <c r="BW15" s="394"/>
      <c r="BX15" s="394"/>
      <c r="BY15" s="394"/>
      <c r="BZ15" s="394"/>
      <c r="CA15" s="394"/>
      <c r="CB15" s="394"/>
      <c r="CC15" s="394"/>
      <c r="CD15" s="394"/>
      <c r="CE15" s="394"/>
      <c r="CF15" s="394"/>
      <c r="CG15" s="394"/>
      <c r="CH15" s="394"/>
      <c r="CI15" s="394"/>
      <c r="CJ15" s="394"/>
      <c r="CK15" s="394"/>
      <c r="CL15" s="394"/>
      <c r="CM15" s="394"/>
      <c r="CN15" s="394"/>
      <c r="CO15" s="394"/>
      <c r="CP15" s="394"/>
      <c r="CQ15" s="394"/>
      <c r="CR15" s="394"/>
      <c r="CS15" s="394"/>
      <c r="CT15" s="394"/>
      <c r="CU15" s="394"/>
      <c r="CV15" s="394"/>
      <c r="CW15" s="394"/>
      <c r="CX15" s="394"/>
      <c r="CY15" s="394"/>
      <c r="CZ15" s="394"/>
      <c r="DA15" s="394"/>
      <c r="DB15" s="394"/>
      <c r="DC15" s="394"/>
      <c r="DD15" s="394"/>
      <c r="DE15" s="394"/>
      <c r="DF15" s="394"/>
      <c r="DG15" s="394"/>
      <c r="DH15" s="394"/>
      <c r="DI15" s="394"/>
      <c r="DJ15" s="394"/>
      <c r="DK15" s="394"/>
      <c r="DL15" s="394"/>
      <c r="DM15" s="394"/>
      <c r="DN15" s="394"/>
      <c r="DO15" s="394"/>
      <c r="DP15" s="394"/>
      <c r="DQ15" s="394"/>
      <c r="DR15" s="394"/>
      <c r="DS15" s="394"/>
      <c r="DT15" s="394"/>
      <c r="DU15" s="394"/>
      <c r="DV15" s="394"/>
      <c r="DW15" s="394"/>
      <c r="DX15" s="394"/>
      <c r="DY15" s="394"/>
      <c r="DZ15" s="394"/>
      <c r="EA15" s="394"/>
      <c r="EB15" s="394"/>
      <c r="EC15" s="394"/>
      <c r="ED15" s="394"/>
      <c r="EE15" s="394"/>
      <c r="EF15" s="394"/>
      <c r="EG15" s="394"/>
      <c r="EH15" s="394"/>
      <c r="EI15" s="394"/>
      <c r="EJ15" s="394"/>
      <c r="EK15" s="394"/>
      <c r="EL15" s="394"/>
      <c r="EM15" s="394"/>
      <c r="EN15" s="394"/>
      <c r="EO15" s="394"/>
      <c r="EP15" s="394"/>
      <c r="EQ15" s="394"/>
      <c r="ER15" s="394"/>
      <c r="ES15" s="394"/>
      <c r="ET15" s="394"/>
      <c r="EU15" s="394"/>
      <c r="EV15" s="394"/>
      <c r="EW15" s="394"/>
      <c r="EX15" s="394"/>
      <c r="EY15" s="394"/>
      <c r="EZ15" s="394"/>
      <c r="FA15" s="394"/>
      <c r="FB15" s="394"/>
      <c r="FC15" s="394"/>
      <c r="FD15" s="394"/>
      <c r="FE15" s="394"/>
      <c r="FF15" s="394"/>
      <c r="FG15" s="394"/>
      <c r="FH15" s="394"/>
      <c r="FI15" s="394"/>
      <c r="FJ15" s="394"/>
      <c r="FK15" s="394"/>
      <c r="FL15" s="394"/>
      <c r="FM15" s="394"/>
      <c r="FN15" s="394"/>
      <c r="FO15" s="394"/>
      <c r="FP15" s="394"/>
      <c r="FQ15" s="394"/>
      <c r="FR15" s="394"/>
      <c r="FS15" s="394"/>
      <c r="FT15" s="394"/>
      <c r="FU15" s="394"/>
      <c r="FV15" s="394"/>
      <c r="FW15" s="394"/>
      <c r="FX15" s="394"/>
      <c r="FY15" s="394"/>
      <c r="FZ15" s="394"/>
      <c r="GA15" s="394"/>
      <c r="GB15" s="394"/>
      <c r="GC15" s="394"/>
      <c r="GD15" s="394"/>
      <c r="GE15" s="394"/>
      <c r="GF15" s="394"/>
      <c r="GG15" s="394"/>
      <c r="GH15" s="394"/>
      <c r="GI15" s="394"/>
      <c r="GJ15" s="394"/>
      <c r="GK15" s="394"/>
      <c r="GL15" s="394"/>
      <c r="GM15" s="394"/>
      <c r="GN15" s="394"/>
      <c r="GO15" s="394"/>
      <c r="GP15" s="394"/>
      <c r="GQ15" s="394"/>
      <c r="GR15" s="394"/>
      <c r="GS15" s="394"/>
      <c r="GT15" s="394"/>
      <c r="GU15" s="394"/>
      <c r="GV15" s="394"/>
      <c r="GW15" s="394"/>
      <c r="GX15" s="394"/>
      <c r="GY15" s="394"/>
      <c r="GZ15" s="394"/>
      <c r="HA15" s="394"/>
      <c r="HB15" s="394"/>
      <c r="HC15" s="394"/>
      <c r="HD15" s="394"/>
      <c r="HE15" s="394"/>
      <c r="HF15" s="394"/>
      <c r="HG15" s="394"/>
      <c r="HH15" s="394"/>
      <c r="HI15" s="394"/>
      <c r="HJ15" s="394"/>
      <c r="HK15" s="394"/>
      <c r="HL15" s="394"/>
      <c r="HM15" s="394"/>
      <c r="HN15" s="394"/>
      <c r="HO15" s="394"/>
      <c r="HP15" s="394"/>
      <c r="HQ15" s="394"/>
      <c r="HR15" s="394"/>
      <c r="HS15" s="394"/>
      <c r="HT15" s="394"/>
      <c r="HU15" s="394"/>
      <c r="HV15" s="394"/>
      <c r="HW15" s="394"/>
      <c r="HX15" s="394"/>
      <c r="HY15" s="394"/>
      <c r="HZ15" s="394"/>
      <c r="IA15" s="394"/>
      <c r="IB15" s="394"/>
      <c r="IC15" s="394"/>
      <c r="ID15" s="394"/>
      <c r="IE15" s="394"/>
      <c r="IF15" s="394"/>
      <c r="IG15" s="394"/>
      <c r="IH15" s="394"/>
      <c r="II15" s="394"/>
      <c r="IJ15" s="394"/>
      <c r="IK15" s="394"/>
      <c r="IL15" s="394"/>
      <c r="IM15" s="394"/>
      <c r="IN15" s="394"/>
      <c r="IO15" s="394"/>
      <c r="IP15" s="394"/>
      <c r="IQ15" s="394"/>
      <c r="IR15" s="394"/>
      <c r="IS15" s="394"/>
      <c r="IT15" s="394"/>
      <c r="IU15" s="394"/>
      <c r="IV15" s="394"/>
    </row>
    <row r="16" spans="1:256" ht="3.75" customHeight="1" x14ac:dyDescent="0.2">
      <c r="A16" s="396"/>
      <c r="B16" s="396"/>
      <c r="C16" s="397"/>
      <c r="D16" s="397"/>
      <c r="E16" s="398"/>
      <c r="F16" s="394"/>
      <c r="G16" s="394"/>
      <c r="H16" s="394"/>
      <c r="I16" s="394"/>
      <c r="J16" s="394"/>
      <c r="K16" s="394"/>
      <c r="L16" s="394"/>
      <c r="M16" s="394"/>
      <c r="N16" s="394"/>
      <c r="O16" s="394"/>
      <c r="P16" s="394"/>
      <c r="Q16" s="394"/>
      <c r="R16" s="394"/>
      <c r="S16" s="394"/>
      <c r="T16" s="394"/>
      <c r="U16" s="394"/>
      <c r="V16" s="394"/>
      <c r="W16" s="394"/>
      <c r="X16" s="394"/>
      <c r="Y16" s="394"/>
      <c r="Z16" s="394"/>
      <c r="AA16" s="394"/>
      <c r="AB16" s="394"/>
      <c r="AC16" s="394"/>
      <c r="AD16" s="394"/>
      <c r="AE16" s="394"/>
      <c r="AF16" s="394"/>
      <c r="AG16" s="394"/>
      <c r="AH16" s="394"/>
      <c r="AI16" s="394"/>
      <c r="AJ16" s="394"/>
      <c r="AK16" s="394"/>
      <c r="AL16" s="394"/>
      <c r="AM16" s="394"/>
      <c r="AN16" s="394"/>
      <c r="AO16" s="394"/>
      <c r="AP16" s="394"/>
      <c r="AQ16" s="394"/>
      <c r="AR16" s="394"/>
      <c r="AS16" s="394"/>
      <c r="AT16" s="394"/>
      <c r="AU16" s="394"/>
      <c r="AV16" s="394"/>
      <c r="AW16" s="394"/>
      <c r="AX16" s="394"/>
      <c r="AY16" s="394"/>
      <c r="AZ16" s="394"/>
      <c r="BA16" s="394"/>
      <c r="BB16" s="394"/>
      <c r="BC16" s="394"/>
      <c r="BD16" s="394"/>
      <c r="BE16" s="394"/>
      <c r="BF16" s="394"/>
      <c r="BG16" s="394"/>
      <c r="BH16" s="394"/>
      <c r="BI16" s="394"/>
      <c r="BJ16" s="394"/>
      <c r="BK16" s="394"/>
      <c r="BL16" s="394"/>
      <c r="BM16" s="394"/>
      <c r="BN16" s="394"/>
      <c r="BO16" s="394"/>
      <c r="BP16" s="394"/>
      <c r="BQ16" s="394"/>
      <c r="BR16" s="394"/>
      <c r="BS16" s="394"/>
      <c r="BT16" s="394"/>
      <c r="BU16" s="394"/>
      <c r="BV16" s="394"/>
      <c r="BW16" s="394"/>
      <c r="BX16" s="394"/>
      <c r="BY16" s="394"/>
      <c r="BZ16" s="394"/>
      <c r="CA16" s="394"/>
      <c r="CB16" s="394"/>
      <c r="CC16" s="394"/>
      <c r="CD16" s="394"/>
      <c r="CE16" s="394"/>
      <c r="CF16" s="394"/>
      <c r="CG16" s="394"/>
      <c r="CH16" s="394"/>
      <c r="CI16" s="394"/>
      <c r="CJ16" s="394"/>
      <c r="CK16" s="394"/>
      <c r="CL16" s="394"/>
      <c r="CM16" s="394"/>
      <c r="CN16" s="394"/>
      <c r="CO16" s="394"/>
      <c r="CP16" s="394"/>
      <c r="CQ16" s="394"/>
      <c r="CR16" s="394"/>
      <c r="CS16" s="394"/>
      <c r="CT16" s="394"/>
      <c r="CU16" s="394"/>
      <c r="CV16" s="394"/>
      <c r="CW16" s="394"/>
      <c r="CX16" s="394"/>
      <c r="CY16" s="394"/>
      <c r="CZ16" s="394"/>
      <c r="DA16" s="394"/>
      <c r="DB16" s="394"/>
      <c r="DC16" s="394"/>
      <c r="DD16" s="394"/>
      <c r="DE16" s="394"/>
      <c r="DF16" s="394"/>
      <c r="DG16" s="394"/>
      <c r="DH16" s="394"/>
      <c r="DI16" s="394"/>
      <c r="DJ16" s="394"/>
      <c r="DK16" s="394"/>
      <c r="DL16" s="394"/>
      <c r="DM16" s="394"/>
      <c r="DN16" s="394"/>
      <c r="DO16" s="394"/>
      <c r="DP16" s="394"/>
      <c r="DQ16" s="394"/>
      <c r="DR16" s="394"/>
      <c r="DS16" s="394"/>
      <c r="DT16" s="394"/>
      <c r="DU16" s="394"/>
      <c r="DV16" s="394"/>
      <c r="DW16" s="394"/>
      <c r="DX16" s="394"/>
      <c r="DY16" s="394"/>
      <c r="DZ16" s="394"/>
      <c r="EA16" s="394"/>
      <c r="EB16" s="394"/>
      <c r="EC16" s="394"/>
      <c r="ED16" s="394"/>
      <c r="EE16" s="394"/>
      <c r="EF16" s="394"/>
      <c r="EG16" s="394"/>
      <c r="EH16" s="394"/>
      <c r="EI16" s="394"/>
      <c r="EJ16" s="394"/>
      <c r="EK16" s="394"/>
      <c r="EL16" s="394"/>
      <c r="EM16" s="394"/>
      <c r="EN16" s="394"/>
      <c r="EO16" s="394"/>
      <c r="EP16" s="394"/>
      <c r="EQ16" s="394"/>
      <c r="ER16" s="394"/>
      <c r="ES16" s="394"/>
      <c r="ET16" s="394"/>
      <c r="EU16" s="394"/>
      <c r="EV16" s="394"/>
      <c r="EW16" s="394"/>
      <c r="EX16" s="394"/>
      <c r="EY16" s="394"/>
      <c r="EZ16" s="394"/>
      <c r="FA16" s="394"/>
      <c r="FB16" s="394"/>
      <c r="FC16" s="394"/>
      <c r="FD16" s="394"/>
      <c r="FE16" s="394"/>
      <c r="FF16" s="394"/>
      <c r="FG16" s="394"/>
      <c r="FH16" s="394"/>
      <c r="FI16" s="394"/>
      <c r="FJ16" s="394"/>
      <c r="FK16" s="394"/>
      <c r="FL16" s="394"/>
      <c r="FM16" s="394"/>
      <c r="FN16" s="394"/>
      <c r="FO16" s="394"/>
      <c r="FP16" s="394"/>
      <c r="FQ16" s="394"/>
      <c r="FR16" s="394"/>
      <c r="FS16" s="394"/>
      <c r="FT16" s="394"/>
      <c r="FU16" s="394"/>
      <c r="FV16" s="394"/>
      <c r="FW16" s="394"/>
      <c r="FX16" s="394"/>
      <c r="FY16" s="394"/>
      <c r="FZ16" s="394"/>
      <c r="GA16" s="394"/>
      <c r="GB16" s="394"/>
      <c r="GC16" s="394"/>
      <c r="GD16" s="394"/>
      <c r="GE16" s="394"/>
      <c r="GF16" s="394"/>
      <c r="GG16" s="394"/>
      <c r="GH16" s="394"/>
      <c r="GI16" s="394"/>
      <c r="GJ16" s="394"/>
      <c r="GK16" s="394"/>
      <c r="GL16" s="394"/>
      <c r="GM16" s="394"/>
      <c r="GN16" s="394"/>
      <c r="GO16" s="394"/>
      <c r="GP16" s="394"/>
      <c r="GQ16" s="394"/>
      <c r="GR16" s="394"/>
      <c r="GS16" s="394"/>
      <c r="GT16" s="394"/>
      <c r="GU16" s="394"/>
      <c r="GV16" s="394"/>
      <c r="GW16" s="394"/>
      <c r="GX16" s="394"/>
      <c r="GY16" s="394"/>
      <c r="GZ16" s="394"/>
      <c r="HA16" s="394"/>
      <c r="HB16" s="394"/>
      <c r="HC16" s="394"/>
      <c r="HD16" s="394"/>
      <c r="HE16" s="394"/>
      <c r="HF16" s="394"/>
      <c r="HG16" s="394"/>
      <c r="HH16" s="394"/>
      <c r="HI16" s="394"/>
      <c r="HJ16" s="394"/>
      <c r="HK16" s="394"/>
      <c r="HL16" s="394"/>
      <c r="HM16" s="394"/>
      <c r="HN16" s="394"/>
      <c r="HO16" s="394"/>
      <c r="HP16" s="394"/>
      <c r="HQ16" s="394"/>
      <c r="HR16" s="394"/>
      <c r="HS16" s="394"/>
      <c r="HT16" s="394"/>
      <c r="HU16" s="394"/>
      <c r="HV16" s="394"/>
      <c r="HW16" s="394"/>
      <c r="HX16" s="394"/>
      <c r="HY16" s="394"/>
      <c r="HZ16" s="394"/>
      <c r="IA16" s="394"/>
      <c r="IB16" s="394"/>
      <c r="IC16" s="394"/>
      <c r="ID16" s="394"/>
      <c r="IE16" s="394"/>
      <c r="IF16" s="394"/>
      <c r="IG16" s="394"/>
      <c r="IH16" s="394"/>
      <c r="II16" s="394"/>
      <c r="IJ16" s="394"/>
      <c r="IK16" s="394"/>
      <c r="IL16" s="394"/>
      <c r="IM16" s="394"/>
      <c r="IN16" s="394"/>
      <c r="IO16" s="394"/>
      <c r="IP16" s="394"/>
      <c r="IQ16" s="394"/>
      <c r="IR16" s="394"/>
      <c r="IS16" s="394"/>
      <c r="IT16" s="394"/>
      <c r="IU16" s="394"/>
      <c r="IV16" s="399"/>
    </row>
    <row r="17" spans="1:8" ht="21" customHeight="1" x14ac:dyDescent="0.2">
      <c r="A17" s="835" t="s">
        <v>2076</v>
      </c>
      <c r="B17" s="836"/>
      <c r="C17" s="836"/>
      <c r="D17" s="836"/>
      <c r="E17" s="837"/>
    </row>
    <row r="18" spans="1:8" ht="25.5" x14ac:dyDescent="0.2">
      <c r="A18" s="796">
        <v>1</v>
      </c>
      <c r="B18" s="799" t="s">
        <v>2077</v>
      </c>
      <c r="C18" s="420" t="s">
        <v>2078</v>
      </c>
      <c r="D18" s="796" t="s">
        <v>2079</v>
      </c>
      <c r="E18" s="802">
        <f>2300*55.26*1.3*1.3*1.15*1.14*0.75*0.7</f>
        <v>147838.45535549999</v>
      </c>
      <c r="H18" s="417"/>
    </row>
    <row r="19" spans="1:8" x14ac:dyDescent="0.2">
      <c r="A19" s="797"/>
      <c r="B19" s="800"/>
      <c r="C19" s="420" t="s">
        <v>2080</v>
      </c>
      <c r="D19" s="797"/>
      <c r="E19" s="803"/>
      <c r="H19" s="417"/>
    </row>
    <row r="20" spans="1:8" x14ac:dyDescent="0.2">
      <c r="A20" s="797"/>
      <c r="B20" s="800"/>
      <c r="C20" s="420" t="s">
        <v>2081</v>
      </c>
      <c r="D20" s="797"/>
      <c r="E20" s="803"/>
      <c r="H20" s="417"/>
    </row>
    <row r="21" spans="1:8" x14ac:dyDescent="0.2">
      <c r="A21" s="797"/>
      <c r="B21" s="800"/>
      <c r="C21" s="420" t="s">
        <v>2082</v>
      </c>
      <c r="D21" s="797"/>
      <c r="E21" s="803"/>
      <c r="H21" s="417"/>
    </row>
    <row r="22" spans="1:8" x14ac:dyDescent="0.2">
      <c r="A22" s="797"/>
      <c r="B22" s="800"/>
      <c r="C22" s="420" t="s">
        <v>2083</v>
      </c>
      <c r="D22" s="797"/>
      <c r="E22" s="803"/>
      <c r="H22" s="417"/>
    </row>
    <row r="23" spans="1:8" x14ac:dyDescent="0.2">
      <c r="A23" s="797"/>
      <c r="B23" s="800"/>
      <c r="C23" s="420" t="s">
        <v>2084</v>
      </c>
      <c r="D23" s="797"/>
      <c r="E23" s="803"/>
      <c r="H23" s="417"/>
    </row>
    <row r="24" spans="1:8" x14ac:dyDescent="0.2">
      <c r="A24" s="797"/>
      <c r="B24" s="800"/>
      <c r="C24" s="420" t="s">
        <v>2085</v>
      </c>
      <c r="D24" s="797"/>
      <c r="E24" s="803"/>
      <c r="H24" s="417"/>
    </row>
    <row r="25" spans="1:8" x14ac:dyDescent="0.2">
      <c r="A25" s="798"/>
      <c r="B25" s="801"/>
      <c r="C25" s="422" t="s">
        <v>2086</v>
      </c>
      <c r="D25" s="798"/>
      <c r="E25" s="804"/>
      <c r="H25" s="417"/>
    </row>
    <row r="26" spans="1:8" ht="38.25" x14ac:dyDescent="0.2">
      <c r="A26" s="796">
        <v>2</v>
      </c>
      <c r="B26" s="799" t="s">
        <v>2087</v>
      </c>
      <c r="C26" s="420" t="s">
        <v>2088</v>
      </c>
      <c r="D26" s="796" t="s">
        <v>2089</v>
      </c>
      <c r="E26" s="802">
        <f>696000*7.22*0.6*0.7</f>
        <v>2110550.4</v>
      </c>
      <c r="H26" s="417"/>
    </row>
    <row r="27" spans="1:8" x14ac:dyDescent="0.2">
      <c r="A27" s="797"/>
      <c r="B27" s="800"/>
      <c r="C27" s="420" t="s">
        <v>2090</v>
      </c>
      <c r="D27" s="797"/>
      <c r="E27" s="803"/>
      <c r="H27" s="417"/>
    </row>
    <row r="28" spans="1:8" x14ac:dyDescent="0.2">
      <c r="A28" s="797"/>
      <c r="B28" s="800"/>
      <c r="C28" s="420" t="s">
        <v>2091</v>
      </c>
      <c r="D28" s="797"/>
      <c r="E28" s="803"/>
      <c r="H28" s="417"/>
    </row>
    <row r="29" spans="1:8" x14ac:dyDescent="0.2">
      <c r="A29" s="798"/>
      <c r="B29" s="801"/>
      <c r="C29" s="422" t="s">
        <v>2086</v>
      </c>
      <c r="D29" s="798"/>
      <c r="E29" s="804"/>
      <c r="H29" s="417"/>
    </row>
    <row r="30" spans="1:8" ht="25.5" x14ac:dyDescent="0.2">
      <c r="A30" s="796">
        <v>3</v>
      </c>
      <c r="B30" s="799" t="s">
        <v>2092</v>
      </c>
      <c r="C30" s="420" t="s">
        <v>2093</v>
      </c>
      <c r="D30" s="796" t="s">
        <v>2094</v>
      </c>
      <c r="E30" s="802">
        <f>2560*55.26*1.3*0.9</f>
        <v>165514.75200000004</v>
      </c>
      <c r="H30" s="417"/>
    </row>
    <row r="31" spans="1:8" x14ac:dyDescent="0.2">
      <c r="A31" s="797"/>
      <c r="B31" s="800"/>
      <c r="C31" s="420" t="s">
        <v>2080</v>
      </c>
      <c r="D31" s="797"/>
      <c r="E31" s="803"/>
      <c r="H31" s="417"/>
    </row>
    <row r="32" spans="1:8" x14ac:dyDescent="0.2">
      <c r="A32" s="797"/>
      <c r="B32" s="800"/>
      <c r="C32" s="420" t="s">
        <v>2095</v>
      </c>
      <c r="D32" s="797"/>
      <c r="E32" s="803"/>
      <c r="H32" s="417"/>
    </row>
    <row r="33" spans="1:8" x14ac:dyDescent="0.2">
      <c r="A33" s="798"/>
      <c r="B33" s="801"/>
      <c r="C33" s="422" t="s">
        <v>2096</v>
      </c>
      <c r="D33" s="798"/>
      <c r="E33" s="804"/>
      <c r="H33" s="417"/>
    </row>
    <row r="34" spans="1:8" x14ac:dyDescent="0.2">
      <c r="A34" s="796">
        <v>4</v>
      </c>
      <c r="B34" s="799" t="s">
        <v>2097</v>
      </c>
      <c r="C34" s="420" t="s">
        <v>2098</v>
      </c>
      <c r="D34" s="796" t="s">
        <v>2099</v>
      </c>
      <c r="E34" s="802">
        <f>(21960+79880*0.188)*7.22*0.4*0.7</f>
        <v>74753.59270400001</v>
      </c>
      <c r="H34" s="417"/>
    </row>
    <row r="35" spans="1:8" x14ac:dyDescent="0.2">
      <c r="A35" s="797"/>
      <c r="B35" s="800"/>
      <c r="C35" s="420" t="s">
        <v>2090</v>
      </c>
      <c r="D35" s="797"/>
      <c r="E35" s="803"/>
      <c r="H35" s="417"/>
    </row>
    <row r="36" spans="1:8" x14ac:dyDescent="0.2">
      <c r="A36" s="797"/>
      <c r="B36" s="800"/>
      <c r="C36" s="420" t="s">
        <v>2100</v>
      </c>
      <c r="D36" s="797"/>
      <c r="E36" s="803"/>
      <c r="H36" s="417"/>
    </row>
    <row r="37" spans="1:8" x14ac:dyDescent="0.2">
      <c r="A37" s="798"/>
      <c r="B37" s="801"/>
      <c r="C37" s="422" t="s">
        <v>2086</v>
      </c>
      <c r="D37" s="798"/>
      <c r="E37" s="804"/>
      <c r="H37" s="417"/>
    </row>
    <row r="38" spans="1:8" ht="38.25" x14ac:dyDescent="0.2">
      <c r="A38" s="796">
        <v>5</v>
      </c>
      <c r="B38" s="799" t="s">
        <v>2101</v>
      </c>
      <c r="C38" s="420" t="s">
        <v>2102</v>
      </c>
      <c r="D38" s="796" t="s">
        <v>2103</v>
      </c>
      <c r="E38" s="802">
        <f>146600*1*7.22*0.6*0.7</f>
        <v>444549.83999999997</v>
      </c>
    </row>
    <row r="39" spans="1:8" x14ac:dyDescent="0.2">
      <c r="A39" s="797"/>
      <c r="B39" s="800"/>
      <c r="C39" s="420" t="s">
        <v>2090</v>
      </c>
      <c r="D39" s="797"/>
      <c r="E39" s="803"/>
    </row>
    <row r="40" spans="1:8" x14ac:dyDescent="0.2">
      <c r="A40" s="797"/>
      <c r="B40" s="800"/>
      <c r="C40" s="420" t="s">
        <v>2091</v>
      </c>
      <c r="D40" s="797"/>
      <c r="E40" s="803"/>
    </row>
    <row r="41" spans="1:8" x14ac:dyDescent="0.2">
      <c r="A41" s="798"/>
      <c r="B41" s="801"/>
      <c r="C41" s="422" t="s">
        <v>2086</v>
      </c>
      <c r="D41" s="798"/>
      <c r="E41" s="804"/>
    </row>
    <row r="42" spans="1:8" ht="25.5" x14ac:dyDescent="0.2">
      <c r="A42" s="796">
        <v>6</v>
      </c>
      <c r="B42" s="799" t="s">
        <v>2104</v>
      </c>
      <c r="C42" s="420" t="s">
        <v>2105</v>
      </c>
      <c r="D42" s="796" t="s">
        <v>2106</v>
      </c>
      <c r="E42" s="802">
        <f>(64940+34770*0.9)*7.22*1.5*1.15*0.4*0.7</f>
        <v>335589.49157999997</v>
      </c>
    </row>
    <row r="43" spans="1:8" x14ac:dyDescent="0.2">
      <c r="A43" s="797"/>
      <c r="B43" s="800"/>
      <c r="C43" s="420" t="s">
        <v>2090</v>
      </c>
      <c r="D43" s="797"/>
      <c r="E43" s="803"/>
    </row>
    <row r="44" spans="1:8" x14ac:dyDescent="0.2">
      <c r="A44" s="797"/>
      <c r="B44" s="800"/>
      <c r="C44" s="420" t="s">
        <v>2107</v>
      </c>
      <c r="D44" s="797"/>
      <c r="E44" s="803"/>
    </row>
    <row r="45" spans="1:8" x14ac:dyDescent="0.2">
      <c r="A45" s="797"/>
      <c r="B45" s="800"/>
      <c r="C45" s="420" t="s">
        <v>2108</v>
      </c>
      <c r="D45" s="797"/>
      <c r="E45" s="803"/>
    </row>
    <row r="46" spans="1:8" x14ac:dyDescent="0.2">
      <c r="A46" s="797"/>
      <c r="B46" s="800"/>
      <c r="C46" s="420" t="s">
        <v>2100</v>
      </c>
      <c r="D46" s="797"/>
      <c r="E46" s="803"/>
    </row>
    <row r="47" spans="1:8" x14ac:dyDescent="0.2">
      <c r="A47" s="798"/>
      <c r="B47" s="801"/>
      <c r="C47" s="422" t="s">
        <v>2086</v>
      </c>
      <c r="D47" s="798"/>
      <c r="E47" s="804"/>
    </row>
    <row r="48" spans="1:8" ht="25.5" x14ac:dyDescent="0.2">
      <c r="A48" s="796">
        <v>7</v>
      </c>
      <c r="B48" s="799" t="s">
        <v>2109</v>
      </c>
      <c r="C48" s="420" t="s">
        <v>2105</v>
      </c>
      <c r="D48" s="796" t="s">
        <v>2110</v>
      </c>
      <c r="E48" s="802">
        <f>(64940+34770*0.4)*7.22*1.5*1.15*0.4*0.7</f>
        <v>274963.47647999995</v>
      </c>
    </row>
    <row r="49" spans="1:5" x14ac:dyDescent="0.2">
      <c r="A49" s="797"/>
      <c r="B49" s="800"/>
      <c r="C49" s="420" t="s">
        <v>2090</v>
      </c>
      <c r="D49" s="797"/>
      <c r="E49" s="803"/>
    </row>
    <row r="50" spans="1:5" x14ac:dyDescent="0.2">
      <c r="A50" s="797"/>
      <c r="B50" s="800"/>
      <c r="C50" s="420" t="s">
        <v>2107</v>
      </c>
      <c r="D50" s="797"/>
      <c r="E50" s="803"/>
    </row>
    <row r="51" spans="1:5" x14ac:dyDescent="0.2">
      <c r="A51" s="797"/>
      <c r="B51" s="800"/>
      <c r="C51" s="420" t="s">
        <v>2108</v>
      </c>
      <c r="D51" s="797"/>
      <c r="E51" s="803"/>
    </row>
    <row r="52" spans="1:5" x14ac:dyDescent="0.2">
      <c r="A52" s="797"/>
      <c r="B52" s="800"/>
      <c r="C52" s="420" t="s">
        <v>2100</v>
      </c>
      <c r="D52" s="797"/>
      <c r="E52" s="803"/>
    </row>
    <row r="53" spans="1:5" x14ac:dyDescent="0.2">
      <c r="A53" s="798"/>
      <c r="B53" s="801"/>
      <c r="C53" s="422" t="s">
        <v>2086</v>
      </c>
      <c r="D53" s="798"/>
      <c r="E53" s="804"/>
    </row>
    <row r="54" spans="1:5" x14ac:dyDescent="0.2">
      <c r="A54" s="796">
        <v>8</v>
      </c>
      <c r="B54" s="799" t="s">
        <v>2111</v>
      </c>
      <c r="C54" s="420" t="s">
        <v>2112</v>
      </c>
      <c r="D54" s="796" t="s">
        <v>2113</v>
      </c>
      <c r="E54" s="802">
        <f>(114690+16850*0.035)*7.22*1.15*0.4*0.7</f>
        <v>268006.97398999997</v>
      </c>
    </row>
    <row r="55" spans="1:5" x14ac:dyDescent="0.2">
      <c r="A55" s="797"/>
      <c r="B55" s="800"/>
      <c r="C55" s="420" t="s">
        <v>2090</v>
      </c>
      <c r="D55" s="797"/>
      <c r="E55" s="803"/>
    </row>
    <row r="56" spans="1:5" x14ac:dyDescent="0.2">
      <c r="A56" s="797"/>
      <c r="B56" s="800"/>
      <c r="C56" s="420" t="s">
        <v>2108</v>
      </c>
      <c r="D56" s="797"/>
      <c r="E56" s="803"/>
    </row>
    <row r="57" spans="1:5" x14ac:dyDescent="0.2">
      <c r="A57" s="797"/>
      <c r="B57" s="800"/>
      <c r="C57" s="420" t="s">
        <v>2100</v>
      </c>
      <c r="D57" s="797"/>
      <c r="E57" s="803"/>
    </row>
    <row r="58" spans="1:5" x14ac:dyDescent="0.2">
      <c r="A58" s="798"/>
      <c r="B58" s="801"/>
      <c r="C58" s="422" t="s">
        <v>2086</v>
      </c>
      <c r="D58" s="798"/>
      <c r="E58" s="804"/>
    </row>
    <row r="59" spans="1:5" x14ac:dyDescent="0.2">
      <c r="A59" s="796">
        <v>12</v>
      </c>
      <c r="B59" s="799" t="s">
        <v>2114</v>
      </c>
      <c r="C59" s="420" t="s">
        <v>2112</v>
      </c>
      <c r="D59" s="796" t="s">
        <v>2115</v>
      </c>
      <c r="E59" s="802">
        <f>ROUND(((114690+16850*0.37)*7.22*0.4*0.7),2)</f>
        <v>244460.97</v>
      </c>
    </row>
    <row r="60" spans="1:5" x14ac:dyDescent="0.2">
      <c r="A60" s="797"/>
      <c r="B60" s="800"/>
      <c r="C60" s="420" t="s">
        <v>2090</v>
      </c>
      <c r="D60" s="797"/>
      <c r="E60" s="803"/>
    </row>
    <row r="61" spans="1:5" x14ac:dyDescent="0.2">
      <c r="A61" s="797"/>
      <c r="B61" s="800"/>
      <c r="C61" s="420" t="s">
        <v>2100</v>
      </c>
      <c r="D61" s="797"/>
      <c r="E61" s="803"/>
    </row>
    <row r="62" spans="1:5" x14ac:dyDescent="0.2">
      <c r="A62" s="798"/>
      <c r="B62" s="801"/>
      <c r="C62" s="422" t="s">
        <v>2086</v>
      </c>
      <c r="D62" s="798"/>
      <c r="E62" s="804"/>
    </row>
    <row r="63" spans="1:5" ht="25.5" x14ac:dyDescent="0.2">
      <c r="A63" s="796">
        <v>13</v>
      </c>
      <c r="B63" s="799" t="s">
        <v>2116</v>
      </c>
      <c r="C63" s="420" t="s">
        <v>2117</v>
      </c>
      <c r="D63" s="796" t="s">
        <v>2118</v>
      </c>
      <c r="E63" s="802">
        <f>6398*55.26*1.2*1.3*0.7*0.75*0.7</f>
        <v>202692.21008399996</v>
      </c>
    </row>
    <row r="64" spans="1:5" x14ac:dyDescent="0.2">
      <c r="A64" s="797"/>
      <c r="B64" s="800"/>
      <c r="C64" s="420" t="s">
        <v>2119</v>
      </c>
      <c r="D64" s="797"/>
      <c r="E64" s="803"/>
    </row>
    <row r="65" spans="1:8" x14ac:dyDescent="0.2">
      <c r="A65" s="797"/>
      <c r="B65" s="800"/>
      <c r="C65" s="420" t="s">
        <v>2120</v>
      </c>
      <c r="D65" s="797"/>
      <c r="E65" s="803"/>
    </row>
    <row r="66" spans="1:8" x14ac:dyDescent="0.2">
      <c r="A66" s="797"/>
      <c r="B66" s="800"/>
      <c r="C66" s="420" t="s">
        <v>2081</v>
      </c>
      <c r="D66" s="797"/>
      <c r="E66" s="803"/>
    </row>
    <row r="67" spans="1:8" x14ac:dyDescent="0.2">
      <c r="A67" s="797"/>
      <c r="B67" s="800"/>
      <c r="C67" s="420" t="s">
        <v>2121</v>
      </c>
      <c r="D67" s="797"/>
      <c r="E67" s="803"/>
    </row>
    <row r="68" spans="1:8" x14ac:dyDescent="0.2">
      <c r="A68" s="797"/>
      <c r="B68" s="800"/>
      <c r="C68" s="420" t="s">
        <v>2085</v>
      </c>
      <c r="D68" s="797"/>
      <c r="E68" s="803"/>
    </row>
    <row r="69" spans="1:8" x14ac:dyDescent="0.2">
      <c r="A69" s="798"/>
      <c r="B69" s="801"/>
      <c r="C69" s="422" t="s">
        <v>2086</v>
      </c>
      <c r="D69" s="798"/>
      <c r="E69" s="804"/>
    </row>
    <row r="70" spans="1:8" s="520" customFormat="1" ht="30.75" customHeight="1" x14ac:dyDescent="0.2">
      <c r="A70" s="526">
        <v>14</v>
      </c>
      <c r="B70" s="527" t="s">
        <v>2327</v>
      </c>
      <c r="C70" s="524" t="s">
        <v>2325</v>
      </c>
      <c r="D70" s="525" t="s">
        <v>2318</v>
      </c>
      <c r="E70" s="528">
        <f>SUM(E18:E69)</f>
        <v>4268920.1621934995</v>
      </c>
    </row>
    <row r="71" spans="1:8" s="520" customFormat="1" ht="13.5" customHeight="1" x14ac:dyDescent="0.2">
      <c r="A71" s="835" t="s">
        <v>2122</v>
      </c>
      <c r="B71" s="836"/>
      <c r="C71" s="836"/>
      <c r="D71" s="836"/>
      <c r="E71" s="837"/>
    </row>
    <row r="72" spans="1:8" x14ac:dyDescent="0.2">
      <c r="A72" s="796">
        <v>2</v>
      </c>
      <c r="B72" s="799" t="s">
        <v>2123</v>
      </c>
      <c r="C72" s="420" t="s">
        <v>2124</v>
      </c>
      <c r="D72" s="796" t="s">
        <v>2125</v>
      </c>
      <c r="E72" s="802">
        <f>(147380+242530*0.01)*7.22*1.15*0.4*0.7</f>
        <v>348273.3536519999</v>
      </c>
    </row>
    <row r="73" spans="1:8" x14ac:dyDescent="0.2">
      <c r="A73" s="797"/>
      <c r="B73" s="800"/>
      <c r="C73" s="420" t="s">
        <v>2090</v>
      </c>
      <c r="D73" s="797"/>
      <c r="E73" s="803"/>
    </row>
    <row r="74" spans="1:8" ht="14.25" x14ac:dyDescent="0.2">
      <c r="A74" s="797"/>
      <c r="B74" s="800"/>
      <c r="C74" s="420" t="s">
        <v>2126</v>
      </c>
      <c r="D74" s="797"/>
      <c r="E74" s="803"/>
      <c r="H74" s="464"/>
    </row>
    <row r="75" spans="1:8" x14ac:dyDescent="0.2">
      <c r="A75" s="797"/>
      <c r="B75" s="800"/>
      <c r="C75" s="420" t="s">
        <v>2100</v>
      </c>
      <c r="D75" s="797"/>
      <c r="E75" s="803"/>
    </row>
    <row r="76" spans="1:8" ht="14.25" customHeight="1" x14ac:dyDescent="0.2">
      <c r="A76" s="798"/>
      <c r="B76" s="801"/>
      <c r="C76" s="422" t="s">
        <v>2086</v>
      </c>
      <c r="D76" s="798"/>
      <c r="E76" s="804"/>
    </row>
    <row r="77" spans="1:8" ht="27.75" customHeight="1" x14ac:dyDescent="0.2">
      <c r="A77" s="529">
        <v>2</v>
      </c>
      <c r="B77" s="527" t="s">
        <v>2328</v>
      </c>
      <c r="C77" s="524" t="s">
        <v>2325</v>
      </c>
      <c r="D77" s="525" t="s">
        <v>2318</v>
      </c>
      <c r="E77" s="530">
        <f>E72*0.7</f>
        <v>243791.34755639991</v>
      </c>
    </row>
    <row r="78" spans="1:8" ht="18" customHeight="1" x14ac:dyDescent="0.2">
      <c r="A78" s="835" t="s">
        <v>2127</v>
      </c>
      <c r="B78" s="836"/>
      <c r="C78" s="836"/>
      <c r="D78" s="836"/>
      <c r="E78" s="837"/>
    </row>
    <row r="79" spans="1:8" ht="25.5" x14ac:dyDescent="0.2">
      <c r="A79" s="796">
        <v>1</v>
      </c>
      <c r="B79" s="799" t="s">
        <v>2128</v>
      </c>
      <c r="C79" s="420" t="s">
        <v>2105</v>
      </c>
      <c r="D79" s="796" t="s">
        <v>2129</v>
      </c>
      <c r="E79" s="802">
        <f>(64940+34770*0.48)*7.22*1.5*1.15*0.4*0.7</f>
        <v>284663.63889599999</v>
      </c>
    </row>
    <row r="80" spans="1:8" x14ac:dyDescent="0.2">
      <c r="A80" s="797"/>
      <c r="B80" s="800"/>
      <c r="C80" s="420" t="s">
        <v>2090</v>
      </c>
      <c r="D80" s="797"/>
      <c r="E80" s="803"/>
    </row>
    <row r="81" spans="1:5" x14ac:dyDescent="0.2">
      <c r="A81" s="797"/>
      <c r="B81" s="800"/>
      <c r="C81" s="420" t="s">
        <v>2107</v>
      </c>
      <c r="D81" s="797"/>
      <c r="E81" s="803"/>
    </row>
    <row r="82" spans="1:5" x14ac:dyDescent="0.2">
      <c r="A82" s="797"/>
      <c r="B82" s="800"/>
      <c r="C82" s="420" t="s">
        <v>2108</v>
      </c>
      <c r="D82" s="797"/>
      <c r="E82" s="803"/>
    </row>
    <row r="83" spans="1:5" x14ac:dyDescent="0.2">
      <c r="A83" s="797"/>
      <c r="B83" s="800"/>
      <c r="C83" s="420" t="s">
        <v>2100</v>
      </c>
      <c r="D83" s="797"/>
      <c r="E83" s="803"/>
    </row>
    <row r="84" spans="1:5" x14ac:dyDescent="0.2">
      <c r="A84" s="798"/>
      <c r="B84" s="801"/>
      <c r="C84" s="422" t="s">
        <v>2086</v>
      </c>
      <c r="D84" s="798"/>
      <c r="E84" s="804"/>
    </row>
    <row r="85" spans="1:5" x14ac:dyDescent="0.2">
      <c r="A85" s="796">
        <v>2</v>
      </c>
      <c r="B85" s="799" t="s">
        <v>2130</v>
      </c>
      <c r="C85" s="420" t="s">
        <v>2112</v>
      </c>
      <c r="D85" s="796" t="s">
        <v>2131</v>
      </c>
      <c r="E85" s="802">
        <f>(114690+16850*0.04)*7.22*0.4*0.7</f>
        <v>233219.86239999998</v>
      </c>
    </row>
    <row r="86" spans="1:5" x14ac:dyDescent="0.2">
      <c r="A86" s="797"/>
      <c r="B86" s="800"/>
      <c r="C86" s="420" t="s">
        <v>2090</v>
      </c>
      <c r="D86" s="797"/>
      <c r="E86" s="803"/>
    </row>
    <row r="87" spans="1:5" x14ac:dyDescent="0.2">
      <c r="A87" s="797"/>
      <c r="B87" s="800"/>
      <c r="C87" s="420" t="s">
        <v>2100</v>
      </c>
      <c r="D87" s="797"/>
      <c r="E87" s="803"/>
    </row>
    <row r="88" spans="1:5" x14ac:dyDescent="0.2">
      <c r="A88" s="798"/>
      <c r="B88" s="801"/>
      <c r="C88" s="422" t="s">
        <v>2086</v>
      </c>
      <c r="D88" s="798"/>
      <c r="E88" s="804"/>
    </row>
    <row r="89" spans="1:5" ht="38.25" x14ac:dyDescent="0.2">
      <c r="A89" s="796">
        <v>3</v>
      </c>
      <c r="B89" s="799" t="s">
        <v>2132</v>
      </c>
      <c r="C89" s="420" t="s">
        <v>2133</v>
      </c>
      <c r="D89" s="796" t="s">
        <v>2134</v>
      </c>
      <c r="E89" s="802">
        <f>(64940+34770*0.07)*7.22*1.15*0.4*0.7</f>
        <v>156633.53767599998</v>
      </c>
    </row>
    <row r="90" spans="1:5" x14ac:dyDescent="0.2">
      <c r="A90" s="797"/>
      <c r="B90" s="800"/>
      <c r="C90" s="420" t="s">
        <v>2090</v>
      </c>
      <c r="D90" s="797"/>
      <c r="E90" s="803"/>
    </row>
    <row r="91" spans="1:5" x14ac:dyDescent="0.2">
      <c r="A91" s="797"/>
      <c r="B91" s="800"/>
      <c r="C91" s="420" t="s">
        <v>2108</v>
      </c>
      <c r="D91" s="797"/>
      <c r="E91" s="803"/>
    </row>
    <row r="92" spans="1:5" x14ac:dyDescent="0.2">
      <c r="A92" s="797"/>
      <c r="B92" s="800"/>
      <c r="C92" s="420" t="s">
        <v>2100</v>
      </c>
      <c r="D92" s="797"/>
      <c r="E92" s="803"/>
    </row>
    <row r="93" spans="1:5" x14ac:dyDescent="0.2">
      <c r="A93" s="798"/>
      <c r="B93" s="801"/>
      <c r="C93" s="422" t="s">
        <v>2086</v>
      </c>
      <c r="D93" s="798"/>
      <c r="E93" s="804"/>
    </row>
    <row r="94" spans="1:5" ht="25.5" x14ac:dyDescent="0.2">
      <c r="A94" s="796">
        <v>4</v>
      </c>
      <c r="B94" s="799" t="s">
        <v>2135</v>
      </c>
      <c r="C94" s="420" t="s">
        <v>2105</v>
      </c>
      <c r="D94" s="796" t="s">
        <v>2136</v>
      </c>
      <c r="E94" s="802">
        <f>(64940+34770*0.214)*7.22*1.15*0.4*0.7</f>
        <v>168273.73257519997</v>
      </c>
    </row>
    <row r="95" spans="1:5" x14ac:dyDescent="0.2">
      <c r="A95" s="797"/>
      <c r="B95" s="800"/>
      <c r="C95" s="420" t="s">
        <v>2090</v>
      </c>
      <c r="D95" s="797"/>
      <c r="E95" s="803"/>
    </row>
    <row r="96" spans="1:5" x14ac:dyDescent="0.2">
      <c r="A96" s="797"/>
      <c r="B96" s="800"/>
      <c r="C96" s="420" t="s">
        <v>2108</v>
      </c>
      <c r="D96" s="797"/>
      <c r="E96" s="803"/>
    </row>
    <row r="97" spans="1:5" x14ac:dyDescent="0.2">
      <c r="A97" s="797"/>
      <c r="B97" s="800"/>
      <c r="C97" s="420" t="s">
        <v>2100</v>
      </c>
      <c r="D97" s="797"/>
      <c r="E97" s="803"/>
    </row>
    <row r="98" spans="1:5" x14ac:dyDescent="0.2">
      <c r="A98" s="798"/>
      <c r="B98" s="801"/>
      <c r="C98" s="422" t="s">
        <v>2086</v>
      </c>
      <c r="D98" s="798"/>
      <c r="E98" s="804"/>
    </row>
    <row r="99" spans="1:5" ht="25.5" x14ac:dyDescent="0.2">
      <c r="A99" s="796">
        <v>5</v>
      </c>
      <c r="B99" s="799" t="s">
        <v>2137</v>
      </c>
      <c r="C99" s="420" t="s">
        <v>2105</v>
      </c>
      <c r="D99" s="796" t="s">
        <v>2138</v>
      </c>
      <c r="E99" s="802">
        <f>(64940+34770*0.257)*7.22*1.15*0.4*0.7</f>
        <v>171749.62410759999</v>
      </c>
    </row>
    <row r="100" spans="1:5" x14ac:dyDescent="0.2">
      <c r="A100" s="797"/>
      <c r="B100" s="800"/>
      <c r="C100" s="420" t="s">
        <v>2090</v>
      </c>
      <c r="D100" s="797"/>
      <c r="E100" s="803"/>
    </row>
    <row r="101" spans="1:5" x14ac:dyDescent="0.2">
      <c r="A101" s="797"/>
      <c r="B101" s="800"/>
      <c r="C101" s="420" t="s">
        <v>2108</v>
      </c>
      <c r="D101" s="797"/>
      <c r="E101" s="803"/>
    </row>
    <row r="102" spans="1:5" x14ac:dyDescent="0.2">
      <c r="A102" s="797"/>
      <c r="B102" s="800"/>
      <c r="C102" s="420" t="s">
        <v>2100</v>
      </c>
      <c r="D102" s="797"/>
      <c r="E102" s="803"/>
    </row>
    <row r="103" spans="1:5" x14ac:dyDescent="0.2">
      <c r="A103" s="798"/>
      <c r="B103" s="801"/>
      <c r="C103" s="422" t="s">
        <v>2086</v>
      </c>
      <c r="D103" s="798"/>
      <c r="E103" s="804"/>
    </row>
    <row r="104" spans="1:5" ht="25.5" x14ac:dyDescent="0.2">
      <c r="A104" s="529"/>
      <c r="B104" s="524" t="s">
        <v>2329</v>
      </c>
      <c r="C104" s="524" t="s">
        <v>2325</v>
      </c>
      <c r="D104" s="525" t="s">
        <v>2318</v>
      </c>
      <c r="E104" s="530">
        <f>SUM(E79:E103)*0.7</f>
        <v>710178.27695835987</v>
      </c>
    </row>
    <row r="105" spans="1:5" ht="19.5" customHeight="1" x14ac:dyDescent="0.2">
      <c r="A105" s="835" t="s">
        <v>2139</v>
      </c>
      <c r="B105" s="836"/>
      <c r="C105" s="836"/>
      <c r="D105" s="836"/>
      <c r="E105" s="837"/>
    </row>
    <row r="106" spans="1:5" x14ac:dyDescent="0.2">
      <c r="A106" s="796">
        <v>11</v>
      </c>
      <c r="B106" s="799" t="s">
        <v>2140</v>
      </c>
      <c r="C106" s="420" t="s">
        <v>2141</v>
      </c>
      <c r="D106" s="796" t="s">
        <v>2142</v>
      </c>
      <c r="E106" s="802">
        <f>(179590+353530*0.36)*7.22*1.1*0.4</f>
        <v>974835.38944000006</v>
      </c>
    </row>
    <row r="107" spans="1:5" x14ac:dyDescent="0.2">
      <c r="A107" s="797"/>
      <c r="B107" s="800"/>
      <c r="C107" s="420" t="s">
        <v>2090</v>
      </c>
      <c r="D107" s="797"/>
      <c r="E107" s="803"/>
    </row>
    <row r="108" spans="1:5" x14ac:dyDescent="0.2">
      <c r="A108" s="797"/>
      <c r="B108" s="800"/>
      <c r="C108" s="420" t="s">
        <v>2143</v>
      </c>
      <c r="D108" s="797"/>
      <c r="E108" s="803"/>
    </row>
    <row r="109" spans="1:5" x14ac:dyDescent="0.2">
      <c r="A109" s="798"/>
      <c r="B109" s="801"/>
      <c r="C109" s="422" t="s">
        <v>2100</v>
      </c>
      <c r="D109" s="798"/>
      <c r="E109" s="804"/>
    </row>
    <row r="110" spans="1:5" x14ac:dyDescent="0.2">
      <c r="A110" s="796">
        <v>2</v>
      </c>
      <c r="B110" s="799" t="s">
        <v>2144</v>
      </c>
      <c r="C110" s="420" t="s">
        <v>2098</v>
      </c>
      <c r="D110" s="796" t="s">
        <v>2145</v>
      </c>
      <c r="E110" s="802">
        <f>(21960+79880*0.25)*7.22*2*0.4</f>
        <v>242187.68</v>
      </c>
    </row>
    <row r="111" spans="1:5" x14ac:dyDescent="0.2">
      <c r="A111" s="797"/>
      <c r="B111" s="800"/>
      <c r="C111" s="420" t="s">
        <v>2090</v>
      </c>
      <c r="D111" s="797"/>
      <c r="E111" s="803"/>
    </row>
    <row r="112" spans="1:5" x14ac:dyDescent="0.2">
      <c r="A112" s="797"/>
      <c r="B112" s="800"/>
      <c r="C112" s="420" t="s">
        <v>2146</v>
      </c>
      <c r="D112" s="797"/>
      <c r="E112" s="803"/>
    </row>
    <row r="113" spans="1:5" x14ac:dyDescent="0.2">
      <c r="A113" s="798"/>
      <c r="B113" s="801"/>
      <c r="C113" s="422" t="s">
        <v>2100</v>
      </c>
      <c r="D113" s="798"/>
      <c r="E113" s="804"/>
    </row>
    <row r="114" spans="1:5" x14ac:dyDescent="0.2">
      <c r="A114" s="796">
        <v>3</v>
      </c>
      <c r="B114" s="799" t="s">
        <v>2147</v>
      </c>
      <c r="C114" s="420" t="s">
        <v>2098</v>
      </c>
      <c r="D114" s="796" t="s">
        <v>2099</v>
      </c>
      <c r="E114" s="802">
        <f>(21960+79880*0.188)*7.22*0.4*0.7</f>
        <v>74753.59270400001</v>
      </c>
    </row>
    <row r="115" spans="1:5" x14ac:dyDescent="0.2">
      <c r="A115" s="797"/>
      <c r="B115" s="800"/>
      <c r="C115" s="420" t="s">
        <v>2090</v>
      </c>
      <c r="D115" s="797"/>
      <c r="E115" s="803"/>
    </row>
    <row r="116" spans="1:5" x14ac:dyDescent="0.2">
      <c r="A116" s="797"/>
      <c r="B116" s="800"/>
      <c r="C116" s="420" t="s">
        <v>2100</v>
      </c>
      <c r="D116" s="797"/>
      <c r="E116" s="803"/>
    </row>
    <row r="117" spans="1:5" x14ac:dyDescent="0.2">
      <c r="A117" s="798"/>
      <c r="B117" s="801"/>
      <c r="C117" s="422" t="s">
        <v>2086</v>
      </c>
      <c r="D117" s="798"/>
      <c r="E117" s="804"/>
    </row>
    <row r="118" spans="1:5" ht="25.5" x14ac:dyDescent="0.2">
      <c r="A118" s="796">
        <v>4</v>
      </c>
      <c r="B118" s="799" t="s">
        <v>2148</v>
      </c>
      <c r="C118" s="420" t="s">
        <v>2105</v>
      </c>
      <c r="D118" s="796" t="s">
        <v>2149</v>
      </c>
      <c r="E118" s="802">
        <f>(64940+34770*0.665)*7.22*1.15*0.4*0.7</f>
        <v>204730.17632199998</v>
      </c>
    </row>
    <row r="119" spans="1:5" x14ac:dyDescent="0.2">
      <c r="A119" s="797"/>
      <c r="B119" s="800"/>
      <c r="C119" s="420" t="s">
        <v>2090</v>
      </c>
      <c r="D119" s="797"/>
      <c r="E119" s="803"/>
    </row>
    <row r="120" spans="1:5" x14ac:dyDescent="0.2">
      <c r="A120" s="797"/>
      <c r="B120" s="800"/>
      <c r="C120" s="420" t="s">
        <v>2108</v>
      </c>
      <c r="D120" s="797"/>
      <c r="E120" s="803"/>
    </row>
    <row r="121" spans="1:5" x14ac:dyDescent="0.2">
      <c r="A121" s="797"/>
      <c r="B121" s="800"/>
      <c r="C121" s="420" t="s">
        <v>2100</v>
      </c>
      <c r="D121" s="797"/>
      <c r="E121" s="803"/>
    </row>
    <row r="122" spans="1:5" x14ac:dyDescent="0.2">
      <c r="A122" s="798"/>
      <c r="B122" s="801"/>
      <c r="C122" s="422" t="s">
        <v>2086</v>
      </c>
      <c r="D122" s="798"/>
      <c r="E122" s="804"/>
    </row>
    <row r="123" spans="1:5" ht="25.5" x14ac:dyDescent="0.2">
      <c r="A123" s="796">
        <v>5</v>
      </c>
      <c r="B123" s="799" t="s">
        <v>2150</v>
      </c>
      <c r="C123" s="420" t="s">
        <v>2105</v>
      </c>
      <c r="D123" s="796" t="s">
        <v>2151</v>
      </c>
      <c r="E123" s="802">
        <f>(64940+34770*1.37)*7.22*1.15*0.4*0.7</f>
        <v>261718.63051599995</v>
      </c>
    </row>
    <row r="124" spans="1:5" x14ac:dyDescent="0.2">
      <c r="A124" s="797"/>
      <c r="B124" s="800"/>
      <c r="C124" s="420" t="s">
        <v>2090</v>
      </c>
      <c r="D124" s="797"/>
      <c r="E124" s="803"/>
    </row>
    <row r="125" spans="1:5" x14ac:dyDescent="0.2">
      <c r="A125" s="797"/>
      <c r="B125" s="800"/>
      <c r="C125" s="420" t="s">
        <v>2108</v>
      </c>
      <c r="D125" s="797"/>
      <c r="E125" s="803"/>
    </row>
    <row r="126" spans="1:5" x14ac:dyDescent="0.2">
      <c r="A126" s="797"/>
      <c r="B126" s="800"/>
      <c r="C126" s="420" t="s">
        <v>2100</v>
      </c>
      <c r="D126" s="797"/>
      <c r="E126" s="803"/>
    </row>
    <row r="127" spans="1:5" x14ac:dyDescent="0.2">
      <c r="A127" s="798"/>
      <c r="B127" s="801"/>
      <c r="C127" s="422" t="s">
        <v>2086</v>
      </c>
      <c r="D127" s="798"/>
      <c r="E127" s="804"/>
    </row>
    <row r="128" spans="1:5" ht="25.5" x14ac:dyDescent="0.2">
      <c r="A128" s="796">
        <v>6</v>
      </c>
      <c r="B128" s="799" t="s">
        <v>2152</v>
      </c>
      <c r="C128" s="420" t="s">
        <v>2105</v>
      </c>
      <c r="D128" s="796" t="s">
        <v>2153</v>
      </c>
      <c r="E128" s="802">
        <f>(64940+34770*0.21)*7.22*1.15*0.4*0.7</f>
        <v>167950.39382799997</v>
      </c>
    </row>
    <row r="129" spans="1:10" x14ac:dyDescent="0.2">
      <c r="A129" s="797"/>
      <c r="B129" s="800"/>
      <c r="C129" s="420" t="s">
        <v>2090</v>
      </c>
      <c r="D129" s="797"/>
      <c r="E129" s="803"/>
    </row>
    <row r="130" spans="1:10" x14ac:dyDescent="0.2">
      <c r="A130" s="797"/>
      <c r="B130" s="800"/>
      <c r="C130" s="420" t="s">
        <v>2108</v>
      </c>
      <c r="D130" s="797"/>
      <c r="E130" s="803"/>
    </row>
    <row r="131" spans="1:10" x14ac:dyDescent="0.2">
      <c r="A131" s="797"/>
      <c r="B131" s="800"/>
      <c r="C131" s="420" t="s">
        <v>2100</v>
      </c>
      <c r="D131" s="797"/>
      <c r="E131" s="803"/>
    </row>
    <row r="132" spans="1:10" x14ac:dyDescent="0.2">
      <c r="A132" s="798"/>
      <c r="B132" s="801"/>
      <c r="C132" s="422" t="s">
        <v>2086</v>
      </c>
      <c r="D132" s="798"/>
      <c r="E132" s="804"/>
    </row>
    <row r="133" spans="1:10" ht="25.5" x14ac:dyDescent="0.2">
      <c r="A133" s="421">
        <v>7</v>
      </c>
      <c r="B133" s="523" t="s">
        <v>2330</v>
      </c>
      <c r="C133" s="524" t="s">
        <v>2325</v>
      </c>
      <c r="D133" s="525" t="s">
        <v>2318</v>
      </c>
      <c r="E133" s="425">
        <f>SUM(E106:E132)*0.7</f>
        <v>1348323.1039669996</v>
      </c>
    </row>
    <row r="134" spans="1:10" s="431" customFormat="1" x14ac:dyDescent="0.2">
      <c r="A134" s="838" t="s">
        <v>2331</v>
      </c>
      <c r="B134" s="839"/>
      <c r="C134" s="839"/>
      <c r="D134" s="839"/>
      <c r="E134" s="840"/>
      <c r="F134" s="452"/>
      <c r="G134" s="453"/>
      <c r="H134" s="452"/>
      <c r="I134" s="452"/>
      <c r="J134" s="452"/>
    </row>
    <row r="135" spans="1:10" s="431" customFormat="1" ht="25.5" x14ac:dyDescent="0.2">
      <c r="A135" s="778">
        <v>1</v>
      </c>
      <c r="B135" s="781" t="s">
        <v>2154</v>
      </c>
      <c r="C135" s="401" t="s">
        <v>2155</v>
      </c>
      <c r="D135" s="778" t="s">
        <v>2156</v>
      </c>
      <c r="E135" s="784">
        <f>3814*55.26*1.3*1.3*0.9*1</f>
        <v>320568.45444</v>
      </c>
      <c r="F135" s="452"/>
      <c r="G135" s="452"/>
      <c r="H135" s="452"/>
      <c r="I135" s="452"/>
      <c r="J135" s="452"/>
    </row>
    <row r="136" spans="1:10" s="431" customFormat="1" x14ac:dyDescent="0.2">
      <c r="A136" s="779"/>
      <c r="B136" s="782"/>
      <c r="C136" s="401" t="s">
        <v>2080</v>
      </c>
      <c r="D136" s="779"/>
      <c r="E136" s="785"/>
      <c r="F136" s="452"/>
      <c r="G136" s="452"/>
      <c r="H136" s="452"/>
      <c r="I136" s="452"/>
      <c r="J136" s="452"/>
    </row>
    <row r="137" spans="1:10" s="431" customFormat="1" x14ac:dyDescent="0.2">
      <c r="A137" s="779"/>
      <c r="B137" s="782"/>
      <c r="C137" s="401" t="s">
        <v>2157</v>
      </c>
      <c r="D137" s="779"/>
      <c r="E137" s="785"/>
      <c r="F137" s="452"/>
      <c r="G137" s="452"/>
      <c r="H137" s="452"/>
      <c r="I137" s="452"/>
      <c r="J137" s="452"/>
    </row>
    <row r="138" spans="1:10" s="431" customFormat="1" x14ac:dyDescent="0.2">
      <c r="A138" s="779"/>
      <c r="B138" s="782"/>
      <c r="C138" s="401" t="s">
        <v>2095</v>
      </c>
      <c r="D138" s="779"/>
      <c r="E138" s="785"/>
      <c r="F138" s="452"/>
      <c r="G138" s="452"/>
      <c r="H138" s="452"/>
      <c r="I138" s="452"/>
      <c r="J138" s="452"/>
    </row>
    <row r="139" spans="1:10" s="431" customFormat="1" x14ac:dyDescent="0.2">
      <c r="A139" s="779"/>
      <c r="B139" s="782"/>
      <c r="C139" s="401" t="s">
        <v>2158</v>
      </c>
      <c r="D139" s="779"/>
      <c r="E139" s="785"/>
      <c r="F139" s="452"/>
      <c r="G139" s="452"/>
      <c r="H139" s="452"/>
      <c r="I139" s="452"/>
      <c r="J139" s="452"/>
    </row>
    <row r="140" spans="1:10" s="431" customFormat="1" x14ac:dyDescent="0.2">
      <c r="A140" s="780"/>
      <c r="B140" s="783"/>
      <c r="C140" s="405" t="s">
        <v>2159</v>
      </c>
      <c r="D140" s="780"/>
      <c r="E140" s="786"/>
      <c r="F140" s="452"/>
      <c r="G140" s="452"/>
      <c r="H140" s="452"/>
      <c r="I140" s="452"/>
      <c r="J140" s="452"/>
    </row>
    <row r="141" spans="1:10" s="431" customFormat="1" ht="25.5" x14ac:dyDescent="0.2">
      <c r="A141" s="778">
        <v>2</v>
      </c>
      <c r="B141" s="781" t="s">
        <v>2160</v>
      </c>
      <c r="C141" s="401" t="s">
        <v>2155</v>
      </c>
      <c r="D141" s="778" t="s">
        <v>2156</v>
      </c>
      <c r="E141" s="784">
        <f>3814*55.26*1.3*1.3*0.9*1</f>
        <v>320568.45444</v>
      </c>
      <c r="F141" s="452"/>
      <c r="G141" s="452"/>
      <c r="H141" s="452"/>
      <c r="I141" s="452"/>
      <c r="J141" s="452"/>
    </row>
    <row r="142" spans="1:10" s="431" customFormat="1" x14ac:dyDescent="0.2">
      <c r="A142" s="779"/>
      <c r="B142" s="782"/>
      <c r="C142" s="401" t="s">
        <v>2080</v>
      </c>
      <c r="D142" s="779"/>
      <c r="E142" s="785"/>
      <c r="F142" s="452"/>
      <c r="G142" s="452"/>
      <c r="H142" s="452"/>
      <c r="I142" s="452"/>
      <c r="J142" s="452"/>
    </row>
    <row r="143" spans="1:10" s="431" customFormat="1" x14ac:dyDescent="0.2">
      <c r="A143" s="779"/>
      <c r="B143" s="782"/>
      <c r="C143" s="401" t="s">
        <v>2157</v>
      </c>
      <c r="D143" s="779"/>
      <c r="E143" s="785"/>
      <c r="F143" s="452"/>
      <c r="G143" s="452"/>
      <c r="H143" s="452"/>
      <c r="I143" s="452"/>
      <c r="J143" s="452"/>
    </row>
    <row r="144" spans="1:10" s="431" customFormat="1" x14ac:dyDescent="0.2">
      <c r="A144" s="779"/>
      <c r="B144" s="782"/>
      <c r="C144" s="401" t="s">
        <v>2095</v>
      </c>
      <c r="D144" s="779"/>
      <c r="E144" s="785"/>
      <c r="F144" s="452"/>
      <c r="G144" s="452"/>
      <c r="H144" s="452"/>
      <c r="I144" s="452"/>
      <c r="J144" s="452"/>
    </row>
    <row r="145" spans="1:10" s="431" customFormat="1" x14ac:dyDescent="0.2">
      <c r="A145" s="779"/>
      <c r="B145" s="782"/>
      <c r="C145" s="401" t="s">
        <v>2158</v>
      </c>
      <c r="D145" s="779"/>
      <c r="E145" s="785"/>
      <c r="F145" s="452"/>
      <c r="G145" s="452"/>
      <c r="H145" s="452"/>
      <c r="I145" s="452"/>
      <c r="J145" s="452"/>
    </row>
    <row r="146" spans="1:10" s="431" customFormat="1" x14ac:dyDescent="0.2">
      <c r="A146" s="780"/>
      <c r="B146" s="783"/>
      <c r="C146" s="405" t="s">
        <v>2159</v>
      </c>
      <c r="D146" s="780"/>
      <c r="E146" s="786"/>
      <c r="F146" s="452"/>
      <c r="G146" s="452"/>
      <c r="H146" s="452"/>
      <c r="I146" s="452"/>
      <c r="J146" s="452"/>
    </row>
    <row r="147" spans="1:10" s="431" customFormat="1" ht="25.5" x14ac:dyDescent="0.2">
      <c r="A147" s="778">
        <v>3</v>
      </c>
      <c r="B147" s="781" t="s">
        <v>2161</v>
      </c>
      <c r="C147" s="401" t="s">
        <v>2093</v>
      </c>
      <c r="D147" s="778" t="s">
        <v>2162</v>
      </c>
      <c r="E147" s="784">
        <f>2560*55.26*1.3*1.3*0.9*1</f>
        <v>215169.17760000002</v>
      </c>
      <c r="F147" s="452"/>
      <c r="G147" s="452"/>
      <c r="H147" s="452"/>
      <c r="I147" s="452"/>
      <c r="J147" s="452"/>
    </row>
    <row r="148" spans="1:10" s="431" customFormat="1" x14ac:dyDescent="0.2">
      <c r="A148" s="779"/>
      <c r="B148" s="782"/>
      <c r="C148" s="401" t="s">
        <v>2080</v>
      </c>
      <c r="D148" s="779"/>
      <c r="E148" s="785"/>
      <c r="F148" s="452"/>
      <c r="G148" s="452"/>
      <c r="H148" s="452"/>
      <c r="I148" s="452"/>
      <c r="J148" s="452"/>
    </row>
    <row r="149" spans="1:10" s="431" customFormat="1" x14ac:dyDescent="0.2">
      <c r="A149" s="779"/>
      <c r="B149" s="782"/>
      <c r="C149" s="401" t="s">
        <v>2157</v>
      </c>
      <c r="D149" s="779"/>
      <c r="E149" s="785"/>
      <c r="F149" s="452"/>
      <c r="G149" s="452"/>
      <c r="H149" s="452"/>
      <c r="I149" s="452"/>
      <c r="J149" s="452"/>
    </row>
    <row r="150" spans="1:10" s="431" customFormat="1" x14ac:dyDescent="0.2">
      <c r="A150" s="779"/>
      <c r="B150" s="782"/>
      <c r="C150" s="401" t="s">
        <v>2095</v>
      </c>
      <c r="D150" s="779"/>
      <c r="E150" s="785"/>
    </row>
    <row r="151" spans="1:10" s="431" customFormat="1" x14ac:dyDescent="0.2">
      <c r="A151" s="779"/>
      <c r="B151" s="782"/>
      <c r="C151" s="401" t="s">
        <v>2158</v>
      </c>
      <c r="D151" s="779"/>
      <c r="E151" s="785"/>
    </row>
    <row r="152" spans="1:10" s="431" customFormat="1" x14ac:dyDescent="0.2">
      <c r="A152" s="780"/>
      <c r="B152" s="783"/>
      <c r="C152" s="405" t="s">
        <v>2159</v>
      </c>
      <c r="D152" s="780"/>
      <c r="E152" s="786"/>
    </row>
    <row r="153" spans="1:10" s="431" customFormat="1" ht="25.5" x14ac:dyDescent="0.2">
      <c r="A153" s="778">
        <v>4</v>
      </c>
      <c r="B153" s="781" t="s">
        <v>2163</v>
      </c>
      <c r="C153" s="401" t="s">
        <v>2093</v>
      </c>
      <c r="D153" s="778" t="s">
        <v>2164</v>
      </c>
      <c r="E153" s="784">
        <f>2560*55.26*1.3*0.75*0.7</f>
        <v>96550.272000000012</v>
      </c>
    </row>
    <row r="154" spans="1:10" s="431" customFormat="1" x14ac:dyDescent="0.2">
      <c r="A154" s="779"/>
      <c r="B154" s="782"/>
      <c r="C154" s="401" t="s">
        <v>2080</v>
      </c>
      <c r="D154" s="779"/>
      <c r="E154" s="785"/>
    </row>
    <row r="155" spans="1:10" s="431" customFormat="1" x14ac:dyDescent="0.2">
      <c r="A155" s="779"/>
      <c r="B155" s="782"/>
      <c r="C155" s="401" t="s">
        <v>2095</v>
      </c>
      <c r="D155" s="779"/>
      <c r="E155" s="785"/>
    </row>
    <row r="156" spans="1:10" s="431" customFormat="1" x14ac:dyDescent="0.2">
      <c r="A156" s="779"/>
      <c r="B156" s="782"/>
      <c r="C156" s="401" t="s">
        <v>2085</v>
      </c>
      <c r="D156" s="779"/>
      <c r="E156" s="785"/>
    </row>
    <row r="157" spans="1:10" s="431" customFormat="1" x14ac:dyDescent="0.2">
      <c r="A157" s="780"/>
      <c r="B157" s="783"/>
      <c r="C157" s="405" t="s">
        <v>2086</v>
      </c>
      <c r="D157" s="780"/>
      <c r="E157" s="786"/>
    </row>
    <row r="158" spans="1:10" s="431" customFormat="1" x14ac:dyDescent="0.2">
      <c r="A158" s="778">
        <v>5</v>
      </c>
      <c r="B158" s="781" t="s">
        <v>2165</v>
      </c>
      <c r="C158" s="401" t="s">
        <v>2141</v>
      </c>
      <c r="D158" s="778" t="s">
        <v>2166</v>
      </c>
      <c r="E158" s="784">
        <f>(179590+353530*0.2)*7.22*1.1*0.4*0.7</f>
        <v>556598.23295999994</v>
      </c>
    </row>
    <row r="159" spans="1:10" s="431" customFormat="1" x14ac:dyDescent="0.2">
      <c r="A159" s="779"/>
      <c r="B159" s="782"/>
      <c r="C159" s="401" t="s">
        <v>2090</v>
      </c>
      <c r="D159" s="779"/>
      <c r="E159" s="785"/>
    </row>
    <row r="160" spans="1:10" s="431" customFormat="1" x14ac:dyDescent="0.2">
      <c r="A160" s="779"/>
      <c r="B160" s="782"/>
      <c r="C160" s="401" t="s">
        <v>2143</v>
      </c>
      <c r="D160" s="779"/>
      <c r="E160" s="785"/>
    </row>
    <row r="161" spans="1:5" s="431" customFormat="1" x14ac:dyDescent="0.2">
      <c r="A161" s="779"/>
      <c r="B161" s="782"/>
      <c r="C161" s="401" t="s">
        <v>2100</v>
      </c>
      <c r="D161" s="779"/>
      <c r="E161" s="785"/>
    </row>
    <row r="162" spans="1:5" s="431" customFormat="1" x14ac:dyDescent="0.2">
      <c r="A162" s="780"/>
      <c r="B162" s="783"/>
      <c r="C162" s="405" t="s">
        <v>2086</v>
      </c>
      <c r="D162" s="780"/>
      <c r="E162" s="786"/>
    </row>
    <row r="163" spans="1:5" s="431" customFormat="1" x14ac:dyDescent="0.2">
      <c r="A163" s="778">
        <v>6</v>
      </c>
      <c r="B163" s="781" t="s">
        <v>2167</v>
      </c>
      <c r="C163" s="401" t="s">
        <v>2098</v>
      </c>
      <c r="D163" s="778" t="s">
        <v>2168</v>
      </c>
      <c r="E163" s="784">
        <f>(21960+79880*0.2)*7.22*2*0.4*0.7</f>
        <v>153382.8352</v>
      </c>
    </row>
    <row r="164" spans="1:5" s="431" customFormat="1" x14ac:dyDescent="0.2">
      <c r="A164" s="779"/>
      <c r="B164" s="782"/>
      <c r="C164" s="401" t="s">
        <v>2090</v>
      </c>
      <c r="D164" s="779"/>
      <c r="E164" s="785"/>
    </row>
    <row r="165" spans="1:5" s="431" customFormat="1" x14ac:dyDescent="0.2">
      <c r="A165" s="779"/>
      <c r="B165" s="782"/>
      <c r="C165" s="401" t="s">
        <v>2146</v>
      </c>
      <c r="D165" s="779"/>
      <c r="E165" s="785"/>
    </row>
    <row r="166" spans="1:5" s="431" customFormat="1" x14ac:dyDescent="0.2">
      <c r="A166" s="779"/>
      <c r="B166" s="782"/>
      <c r="C166" s="401" t="s">
        <v>2100</v>
      </c>
      <c r="D166" s="779"/>
      <c r="E166" s="785"/>
    </row>
    <row r="167" spans="1:5" s="431" customFormat="1" x14ac:dyDescent="0.2">
      <c r="A167" s="780"/>
      <c r="B167" s="783"/>
      <c r="C167" s="405" t="s">
        <v>2086</v>
      </c>
      <c r="D167" s="780"/>
      <c r="E167" s="786"/>
    </row>
    <row r="168" spans="1:5" s="431" customFormat="1" ht="38.25" x14ac:dyDescent="0.2">
      <c r="A168" s="778">
        <v>7</v>
      </c>
      <c r="B168" s="781" t="s">
        <v>2169</v>
      </c>
      <c r="C168" s="401" t="s">
        <v>2102</v>
      </c>
      <c r="D168" s="778" t="s">
        <v>2170</v>
      </c>
      <c r="E168" s="784">
        <f>146600*1*7.22*2*0.6*0.7</f>
        <v>889099.67999999993</v>
      </c>
    </row>
    <row r="169" spans="1:5" s="431" customFormat="1" x14ac:dyDescent="0.2">
      <c r="A169" s="779"/>
      <c r="B169" s="782"/>
      <c r="C169" s="401" t="s">
        <v>2090</v>
      </c>
      <c r="D169" s="779"/>
      <c r="E169" s="785"/>
    </row>
    <row r="170" spans="1:5" s="431" customFormat="1" x14ac:dyDescent="0.2">
      <c r="A170" s="779"/>
      <c r="B170" s="782"/>
      <c r="C170" s="401" t="s">
        <v>2146</v>
      </c>
      <c r="D170" s="779"/>
      <c r="E170" s="785"/>
    </row>
    <row r="171" spans="1:5" s="431" customFormat="1" x14ac:dyDescent="0.2">
      <c r="A171" s="779"/>
      <c r="B171" s="782"/>
      <c r="C171" s="401" t="s">
        <v>2091</v>
      </c>
      <c r="D171" s="779"/>
      <c r="E171" s="785"/>
    </row>
    <row r="172" spans="1:5" s="431" customFormat="1" x14ac:dyDescent="0.2">
      <c r="A172" s="780"/>
      <c r="B172" s="783"/>
      <c r="C172" s="405" t="s">
        <v>2086</v>
      </c>
      <c r="D172" s="780"/>
      <c r="E172" s="786"/>
    </row>
    <row r="173" spans="1:5" s="431" customFormat="1" x14ac:dyDescent="0.2">
      <c r="A173" s="778">
        <v>8</v>
      </c>
      <c r="B173" s="781" t="s">
        <v>2171</v>
      </c>
      <c r="C173" s="401" t="s">
        <v>2098</v>
      </c>
      <c r="D173" s="778" t="s">
        <v>2172</v>
      </c>
      <c r="E173" s="784">
        <f>(21960+79880*0.188)*7.22*0.4*0.7</f>
        <v>74753.59270400001</v>
      </c>
    </row>
    <row r="174" spans="1:5" s="431" customFormat="1" x14ac:dyDescent="0.2">
      <c r="A174" s="779"/>
      <c r="B174" s="782"/>
      <c r="C174" s="401" t="s">
        <v>2090</v>
      </c>
      <c r="D174" s="779"/>
      <c r="E174" s="785"/>
    </row>
    <row r="175" spans="1:5" s="431" customFormat="1" x14ac:dyDescent="0.2">
      <c r="A175" s="779"/>
      <c r="B175" s="782"/>
      <c r="C175" s="401" t="s">
        <v>2100</v>
      </c>
      <c r="D175" s="779"/>
      <c r="E175" s="785"/>
    </row>
    <row r="176" spans="1:5" s="431" customFormat="1" x14ac:dyDescent="0.2">
      <c r="A176" s="780"/>
      <c r="B176" s="783"/>
      <c r="C176" s="405" t="s">
        <v>2086</v>
      </c>
      <c r="D176" s="780"/>
      <c r="E176" s="786"/>
    </row>
    <row r="177" spans="1:5" s="431" customFormat="1" ht="25.5" x14ac:dyDescent="0.2">
      <c r="A177" s="778">
        <v>9</v>
      </c>
      <c r="B177" s="781" t="s">
        <v>2173</v>
      </c>
      <c r="C177" s="401" t="s">
        <v>2105</v>
      </c>
      <c r="D177" s="778" t="s">
        <v>2174</v>
      </c>
      <c r="E177" s="784">
        <f>(64940+34770*0.8)*7.22*1.5*1.15*0.4*0.7</f>
        <v>323464.28855999996</v>
      </c>
    </row>
    <row r="178" spans="1:5" s="431" customFormat="1" x14ac:dyDescent="0.2">
      <c r="A178" s="779"/>
      <c r="B178" s="782"/>
      <c r="C178" s="401" t="s">
        <v>2090</v>
      </c>
      <c r="D178" s="779"/>
      <c r="E178" s="785"/>
    </row>
    <row r="179" spans="1:5" s="431" customFormat="1" x14ac:dyDescent="0.2">
      <c r="A179" s="779"/>
      <c r="B179" s="782"/>
      <c r="C179" s="401" t="s">
        <v>2107</v>
      </c>
      <c r="D179" s="779"/>
      <c r="E179" s="785"/>
    </row>
    <row r="180" spans="1:5" s="431" customFormat="1" x14ac:dyDescent="0.2">
      <c r="A180" s="779"/>
      <c r="B180" s="782"/>
      <c r="C180" s="401" t="s">
        <v>2108</v>
      </c>
      <c r="D180" s="779"/>
      <c r="E180" s="785"/>
    </row>
    <row r="181" spans="1:5" s="431" customFormat="1" x14ac:dyDescent="0.2">
      <c r="A181" s="779"/>
      <c r="B181" s="782"/>
      <c r="C181" s="401" t="s">
        <v>2100</v>
      </c>
      <c r="D181" s="779"/>
      <c r="E181" s="785"/>
    </row>
    <row r="182" spans="1:5" s="431" customFormat="1" x14ac:dyDescent="0.2">
      <c r="A182" s="780"/>
      <c r="B182" s="783"/>
      <c r="C182" s="405" t="s">
        <v>2086</v>
      </c>
      <c r="D182" s="780"/>
      <c r="E182" s="786"/>
    </row>
    <row r="183" spans="1:5" s="431" customFormat="1" ht="25.5" x14ac:dyDescent="0.2">
      <c r="A183" s="778">
        <v>10</v>
      </c>
      <c r="B183" s="781" t="s">
        <v>2175</v>
      </c>
      <c r="C183" s="401" t="s">
        <v>2105</v>
      </c>
      <c r="D183" s="778" t="s">
        <v>2176</v>
      </c>
      <c r="E183" s="784">
        <f>(64940+34770*0.24)*7.22*1.5*1.15*0.4*0.7</f>
        <v>255563.15164799997</v>
      </c>
    </row>
    <row r="184" spans="1:5" s="431" customFormat="1" x14ac:dyDescent="0.2">
      <c r="A184" s="779"/>
      <c r="B184" s="782"/>
      <c r="C184" s="401" t="s">
        <v>2090</v>
      </c>
      <c r="D184" s="779"/>
      <c r="E184" s="785"/>
    </row>
    <row r="185" spans="1:5" s="431" customFormat="1" x14ac:dyDescent="0.2">
      <c r="A185" s="779"/>
      <c r="B185" s="782"/>
      <c r="C185" s="401" t="s">
        <v>2107</v>
      </c>
      <c r="D185" s="779"/>
      <c r="E185" s="785"/>
    </row>
    <row r="186" spans="1:5" s="431" customFormat="1" x14ac:dyDescent="0.2">
      <c r="A186" s="779"/>
      <c r="B186" s="782"/>
      <c r="C186" s="401" t="s">
        <v>2108</v>
      </c>
      <c r="D186" s="779"/>
      <c r="E186" s="785"/>
    </row>
    <row r="187" spans="1:5" s="431" customFormat="1" x14ac:dyDescent="0.2">
      <c r="A187" s="779"/>
      <c r="B187" s="782"/>
      <c r="C187" s="401" t="s">
        <v>2100</v>
      </c>
      <c r="D187" s="779"/>
      <c r="E187" s="785"/>
    </row>
    <row r="188" spans="1:5" s="431" customFormat="1" x14ac:dyDescent="0.2">
      <c r="A188" s="780"/>
      <c r="B188" s="783"/>
      <c r="C188" s="405" t="s">
        <v>2086</v>
      </c>
      <c r="D188" s="780"/>
      <c r="E188" s="786"/>
    </row>
    <row r="189" spans="1:5" s="431" customFormat="1" x14ac:dyDescent="0.2">
      <c r="A189" s="778">
        <v>11</v>
      </c>
      <c r="B189" s="781" t="s">
        <v>2177</v>
      </c>
      <c r="C189" s="401" t="s">
        <v>2112</v>
      </c>
      <c r="D189" s="778" t="s">
        <v>2178</v>
      </c>
      <c r="E189" s="784">
        <f>(114690+16850*0.08)*7.22*1.15*0.4*0.7</f>
        <v>269769.78391999996</v>
      </c>
    </row>
    <row r="190" spans="1:5" s="431" customFormat="1" x14ac:dyDescent="0.2">
      <c r="A190" s="779"/>
      <c r="B190" s="782"/>
      <c r="C190" s="401" t="s">
        <v>2090</v>
      </c>
      <c r="D190" s="779"/>
      <c r="E190" s="785"/>
    </row>
    <row r="191" spans="1:5" s="431" customFormat="1" x14ac:dyDescent="0.2">
      <c r="A191" s="779"/>
      <c r="B191" s="782"/>
      <c r="C191" s="401" t="s">
        <v>2108</v>
      </c>
      <c r="D191" s="779"/>
      <c r="E191" s="785"/>
    </row>
    <row r="192" spans="1:5" s="431" customFormat="1" x14ac:dyDescent="0.2">
      <c r="A192" s="779"/>
      <c r="B192" s="782"/>
      <c r="C192" s="401" t="s">
        <v>2100</v>
      </c>
      <c r="D192" s="779"/>
      <c r="E192" s="785"/>
    </row>
    <row r="193" spans="1:5" s="431" customFormat="1" x14ac:dyDescent="0.2">
      <c r="A193" s="780"/>
      <c r="B193" s="783"/>
      <c r="C193" s="405" t="s">
        <v>2086</v>
      </c>
      <c r="D193" s="780"/>
      <c r="E193" s="786"/>
    </row>
    <row r="194" spans="1:5" s="431" customFormat="1" x14ac:dyDescent="0.2">
      <c r="A194" s="778">
        <v>12</v>
      </c>
      <c r="B194" s="781" t="s">
        <v>2179</v>
      </c>
      <c r="C194" s="401" t="s">
        <v>2112</v>
      </c>
      <c r="D194" s="778" t="s">
        <v>2180</v>
      </c>
      <c r="E194" s="784">
        <f>(114690+16850*0.11)*7.22*0.4*0.7</f>
        <v>235604.33960000001</v>
      </c>
    </row>
    <row r="195" spans="1:5" s="431" customFormat="1" x14ac:dyDescent="0.2">
      <c r="A195" s="779"/>
      <c r="B195" s="782"/>
      <c r="C195" s="401" t="s">
        <v>2090</v>
      </c>
      <c r="D195" s="779"/>
      <c r="E195" s="785"/>
    </row>
    <row r="196" spans="1:5" s="431" customFormat="1" x14ac:dyDescent="0.2">
      <c r="A196" s="779"/>
      <c r="B196" s="782"/>
      <c r="C196" s="401" t="s">
        <v>2100</v>
      </c>
      <c r="D196" s="779"/>
      <c r="E196" s="785"/>
    </row>
    <row r="197" spans="1:5" s="431" customFormat="1" x14ac:dyDescent="0.2">
      <c r="A197" s="780"/>
      <c r="B197" s="783"/>
      <c r="C197" s="405" t="s">
        <v>2086</v>
      </c>
      <c r="D197" s="780"/>
      <c r="E197" s="786"/>
    </row>
    <row r="198" spans="1:5" s="431" customFormat="1" ht="38.25" x14ac:dyDescent="0.2">
      <c r="A198" s="778">
        <v>13</v>
      </c>
      <c r="B198" s="781" t="s">
        <v>2181</v>
      </c>
      <c r="C198" s="401" t="s">
        <v>2133</v>
      </c>
      <c r="D198" s="778" t="s">
        <v>2182</v>
      </c>
      <c r="E198" s="784">
        <f>(64940+34770*1.1)*7.22*1.15*0.4*0.7</f>
        <v>239893.26507999998</v>
      </c>
    </row>
    <row r="199" spans="1:5" s="431" customFormat="1" x14ac:dyDescent="0.2">
      <c r="A199" s="779"/>
      <c r="B199" s="782"/>
      <c r="C199" s="401" t="s">
        <v>2090</v>
      </c>
      <c r="D199" s="779"/>
      <c r="E199" s="785"/>
    </row>
    <row r="200" spans="1:5" s="431" customFormat="1" x14ac:dyDescent="0.2">
      <c r="A200" s="779"/>
      <c r="B200" s="782"/>
      <c r="C200" s="401" t="s">
        <v>2108</v>
      </c>
      <c r="D200" s="779"/>
      <c r="E200" s="785"/>
    </row>
    <row r="201" spans="1:5" s="431" customFormat="1" x14ac:dyDescent="0.2">
      <c r="A201" s="779"/>
      <c r="B201" s="782"/>
      <c r="C201" s="401" t="s">
        <v>2100</v>
      </c>
      <c r="D201" s="779"/>
      <c r="E201" s="785"/>
    </row>
    <row r="202" spans="1:5" s="431" customFormat="1" x14ac:dyDescent="0.2">
      <c r="A202" s="780"/>
      <c r="B202" s="783"/>
      <c r="C202" s="405" t="s">
        <v>2086</v>
      </c>
      <c r="D202" s="780"/>
      <c r="E202" s="786"/>
    </row>
    <row r="203" spans="1:5" s="431" customFormat="1" ht="25.5" x14ac:dyDescent="0.2">
      <c r="A203" s="778">
        <v>14</v>
      </c>
      <c r="B203" s="781" t="s">
        <v>2183</v>
      </c>
      <c r="C203" s="401" t="s">
        <v>2105</v>
      </c>
      <c r="D203" s="778" t="s">
        <v>2184</v>
      </c>
      <c r="E203" s="784">
        <f>(64940+34770*1.9)*7.22*1.5*1.15*1.15*0.4*0.7</f>
        <v>525367.75004699978</v>
      </c>
    </row>
    <row r="204" spans="1:5" s="431" customFormat="1" x14ac:dyDescent="0.2">
      <c r="A204" s="779"/>
      <c r="B204" s="782"/>
      <c r="C204" s="401" t="s">
        <v>2090</v>
      </c>
      <c r="D204" s="779"/>
      <c r="E204" s="785"/>
    </row>
    <row r="205" spans="1:5" s="431" customFormat="1" x14ac:dyDescent="0.2">
      <c r="A205" s="779"/>
      <c r="B205" s="782"/>
      <c r="C205" s="401" t="s">
        <v>2107</v>
      </c>
      <c r="D205" s="779"/>
      <c r="E205" s="785"/>
    </row>
    <row r="206" spans="1:5" s="431" customFormat="1" x14ac:dyDescent="0.2">
      <c r="A206" s="779"/>
      <c r="B206" s="782"/>
      <c r="C206" s="401" t="s">
        <v>2185</v>
      </c>
      <c r="D206" s="779"/>
      <c r="E206" s="785"/>
    </row>
    <row r="207" spans="1:5" s="431" customFormat="1" x14ac:dyDescent="0.2">
      <c r="A207" s="779"/>
      <c r="B207" s="782"/>
      <c r="C207" s="401" t="s">
        <v>2108</v>
      </c>
      <c r="D207" s="779"/>
      <c r="E207" s="785"/>
    </row>
    <row r="208" spans="1:5" s="431" customFormat="1" x14ac:dyDescent="0.2">
      <c r="A208" s="779"/>
      <c r="B208" s="782"/>
      <c r="C208" s="401" t="s">
        <v>2100</v>
      </c>
      <c r="D208" s="779"/>
      <c r="E208" s="785"/>
    </row>
    <row r="209" spans="1:7" s="431" customFormat="1" x14ac:dyDescent="0.2">
      <c r="A209" s="780"/>
      <c r="B209" s="783"/>
      <c r="C209" s="405" t="s">
        <v>2086</v>
      </c>
      <c r="D209" s="780"/>
      <c r="E209" s="786"/>
    </row>
    <row r="210" spans="1:7" s="431" customFormat="1" ht="25.5" x14ac:dyDescent="0.2">
      <c r="A210" s="531">
        <v>15</v>
      </c>
      <c r="B210" s="533" t="s">
        <v>2186</v>
      </c>
      <c r="C210" s="524" t="s">
        <v>2325</v>
      </c>
      <c r="D210" s="525" t="s">
        <v>2318</v>
      </c>
      <c r="E210" s="532">
        <f>SUM(E135:E209)*0.7</f>
        <v>3133447.2947392995</v>
      </c>
    </row>
    <row r="211" spans="1:7" x14ac:dyDescent="0.2">
      <c r="A211" s="421">
        <v>1</v>
      </c>
      <c r="B211" s="422" t="s">
        <v>604</v>
      </c>
      <c r="C211" s="422"/>
      <c r="D211" s="423"/>
      <c r="E211" s="425">
        <f>E210+E133+E104+E77+E70</f>
        <v>9704660.1854145601</v>
      </c>
      <c r="G211" s="458"/>
    </row>
    <row r="212" spans="1:7" ht="51.75" thickBot="1" x14ac:dyDescent="0.25">
      <c r="A212" s="403">
        <v>2</v>
      </c>
      <c r="B212" s="408" t="s">
        <v>1401</v>
      </c>
      <c r="C212" s="408" t="s">
        <v>1402</v>
      </c>
      <c r="D212" s="408" t="s">
        <v>1403</v>
      </c>
      <c r="E212" s="409">
        <f>E211*0.8</f>
        <v>7763728.1483316487</v>
      </c>
    </row>
    <row r="213" spans="1:7" ht="13.5" thickBot="1" x14ac:dyDescent="0.25">
      <c r="A213" s="787" t="s">
        <v>252</v>
      </c>
      <c r="B213" s="788"/>
      <c r="C213" s="788"/>
      <c r="D213" s="789"/>
      <c r="E213" s="410">
        <f>E212</f>
        <v>7763728.1483316487</v>
      </c>
    </row>
    <row r="214" spans="1:7" x14ac:dyDescent="0.2">
      <c r="A214" s="411"/>
      <c r="B214" s="411"/>
      <c r="C214" s="411"/>
      <c r="D214" s="411"/>
      <c r="E214" s="412"/>
    </row>
  </sheetData>
  <mergeCells count="153">
    <mergeCell ref="A3:E3"/>
    <mergeCell ref="A4:E4"/>
    <mergeCell ref="C6:E6"/>
    <mergeCell ref="A17:E17"/>
    <mergeCell ref="A18:A25"/>
    <mergeCell ref="B18:B25"/>
    <mergeCell ref="D18:D25"/>
    <mergeCell ref="E18:E25"/>
    <mergeCell ref="A26:A29"/>
    <mergeCell ref="B26:B29"/>
    <mergeCell ref="D26:D29"/>
    <mergeCell ref="E26:E29"/>
    <mergeCell ref="A30:A33"/>
    <mergeCell ref="B30:B33"/>
    <mergeCell ref="D30:D33"/>
    <mergeCell ref="E30:E33"/>
    <mergeCell ref="A34:A37"/>
    <mergeCell ref="B34:B37"/>
    <mergeCell ref="D34:D37"/>
    <mergeCell ref="E34:E37"/>
    <mergeCell ref="A38:A41"/>
    <mergeCell ref="B38:B41"/>
    <mergeCell ref="D38:D41"/>
    <mergeCell ref="E38:E41"/>
    <mergeCell ref="A42:A47"/>
    <mergeCell ref="B42:B47"/>
    <mergeCell ref="D42:D47"/>
    <mergeCell ref="E42:E47"/>
    <mergeCell ref="A48:A53"/>
    <mergeCell ref="B48:B53"/>
    <mergeCell ref="D48:D53"/>
    <mergeCell ref="E48:E53"/>
    <mergeCell ref="A54:A58"/>
    <mergeCell ref="B54:B58"/>
    <mergeCell ref="D54:D58"/>
    <mergeCell ref="E54:E58"/>
    <mergeCell ref="A59:A62"/>
    <mergeCell ref="B59:B62"/>
    <mergeCell ref="D59:D62"/>
    <mergeCell ref="E59:E62"/>
    <mergeCell ref="A63:A69"/>
    <mergeCell ref="B63:B69"/>
    <mergeCell ref="D63:D69"/>
    <mergeCell ref="E63:E69"/>
    <mergeCell ref="A71:E71"/>
    <mergeCell ref="A72:A76"/>
    <mergeCell ref="B72:B76"/>
    <mergeCell ref="D72:D76"/>
    <mergeCell ref="E72:E76"/>
    <mergeCell ref="A78:E78"/>
    <mergeCell ref="A79:A84"/>
    <mergeCell ref="B79:B84"/>
    <mergeCell ref="D79:D84"/>
    <mergeCell ref="E79:E84"/>
    <mergeCell ref="A85:A88"/>
    <mergeCell ref="B85:B88"/>
    <mergeCell ref="D85:D88"/>
    <mergeCell ref="E85:E88"/>
    <mergeCell ref="A89:A93"/>
    <mergeCell ref="B89:B93"/>
    <mergeCell ref="D89:D93"/>
    <mergeCell ref="E89:E93"/>
    <mergeCell ref="A94:A98"/>
    <mergeCell ref="B94:B98"/>
    <mergeCell ref="D94:D98"/>
    <mergeCell ref="E94:E98"/>
    <mergeCell ref="A99:A103"/>
    <mergeCell ref="B99:B103"/>
    <mergeCell ref="D99:D103"/>
    <mergeCell ref="E99:E103"/>
    <mergeCell ref="A105:E105"/>
    <mergeCell ref="A106:A109"/>
    <mergeCell ref="B106:B109"/>
    <mergeCell ref="D106:D109"/>
    <mergeCell ref="E106:E109"/>
    <mergeCell ref="A110:A113"/>
    <mergeCell ref="B110:B113"/>
    <mergeCell ref="D110:D113"/>
    <mergeCell ref="E110:E113"/>
    <mergeCell ref="A114:A117"/>
    <mergeCell ref="B114:B117"/>
    <mergeCell ref="D114:D117"/>
    <mergeCell ref="E114:E117"/>
    <mergeCell ref="A118:A122"/>
    <mergeCell ref="B118:B122"/>
    <mergeCell ref="D118:D122"/>
    <mergeCell ref="E118:E122"/>
    <mergeCell ref="A123:A127"/>
    <mergeCell ref="B123:B127"/>
    <mergeCell ref="D123:D127"/>
    <mergeCell ref="E123:E127"/>
    <mergeCell ref="A128:A132"/>
    <mergeCell ref="B128:B132"/>
    <mergeCell ref="D128:D132"/>
    <mergeCell ref="E128:E132"/>
    <mergeCell ref="A134:E134"/>
    <mergeCell ref="A135:A140"/>
    <mergeCell ref="B135:B140"/>
    <mergeCell ref="D135:D140"/>
    <mergeCell ref="E135:E140"/>
    <mergeCell ref="A141:A146"/>
    <mergeCell ref="B141:B146"/>
    <mergeCell ref="D141:D146"/>
    <mergeCell ref="E141:E146"/>
    <mergeCell ref="A147:A152"/>
    <mergeCell ref="B147:B152"/>
    <mergeCell ref="D147:D152"/>
    <mergeCell ref="E147:E152"/>
    <mergeCell ref="A153:A157"/>
    <mergeCell ref="B153:B157"/>
    <mergeCell ref="D153:D157"/>
    <mergeCell ref="E153:E157"/>
    <mergeCell ref="A158:A162"/>
    <mergeCell ref="B158:B162"/>
    <mergeCell ref="D158:D162"/>
    <mergeCell ref="E158:E162"/>
    <mergeCell ref="A163:A167"/>
    <mergeCell ref="B163:B167"/>
    <mergeCell ref="D163:D167"/>
    <mergeCell ref="E163:E167"/>
    <mergeCell ref="A168:A172"/>
    <mergeCell ref="B168:B172"/>
    <mergeCell ref="D168:D172"/>
    <mergeCell ref="E168:E172"/>
    <mergeCell ref="A173:A176"/>
    <mergeCell ref="B173:B176"/>
    <mergeCell ref="D173:D176"/>
    <mergeCell ref="E173:E176"/>
    <mergeCell ref="A177:A182"/>
    <mergeCell ref="B177:B182"/>
    <mergeCell ref="D177:D182"/>
    <mergeCell ref="E177:E182"/>
    <mergeCell ref="A183:A188"/>
    <mergeCell ref="B183:B188"/>
    <mergeCell ref="D183:D188"/>
    <mergeCell ref="E183:E188"/>
    <mergeCell ref="A189:A193"/>
    <mergeCell ref="B189:B193"/>
    <mergeCell ref="D189:D193"/>
    <mergeCell ref="E189:E193"/>
    <mergeCell ref="A194:A197"/>
    <mergeCell ref="B194:B197"/>
    <mergeCell ref="D194:D197"/>
    <mergeCell ref="E194:E197"/>
    <mergeCell ref="A198:A202"/>
    <mergeCell ref="B198:B202"/>
    <mergeCell ref="D198:D202"/>
    <mergeCell ref="E198:E202"/>
    <mergeCell ref="A203:A209"/>
    <mergeCell ref="B203:B209"/>
    <mergeCell ref="D203:D209"/>
    <mergeCell ref="E203:E209"/>
    <mergeCell ref="A213:D213"/>
  </mergeCells>
  <conditionalFormatting sqref="A1:D69 A71:D76 A70:B70 A78:D103 A77 A105:D132 A104:B104 A134:D209 A133:B133 A210:B210 A211:D1048576">
    <cfRule type="containsText" dxfId="11" priority="10" operator="containsText" text="Итого по этапу">
      <formula>NOT(ISERROR(SEARCH("Итого по этапу",A1)))</formula>
    </cfRule>
  </conditionalFormatting>
  <conditionalFormatting sqref="A71:L76 A70:B70 E70:L70 A1:L69 A78:L103 A77 E77:L77 A105:L132 A104:B104 E104:L104 A134:L209 A133:B133 E133:L133 A210:B210 E210:L210 A211:L1048576">
    <cfRule type="containsText" dxfId="10" priority="9" operator="containsText" text="Этап ">
      <formula>NOT(ISERROR(SEARCH("Этап ",A1)))</formula>
    </cfRule>
  </conditionalFormatting>
  <conditionalFormatting sqref="C70:D70">
    <cfRule type="containsText" dxfId="9" priority="8" operator="containsText" text="Этап ">
      <formula>NOT(ISERROR(SEARCH("Этап ",C70)))</formula>
    </cfRule>
  </conditionalFormatting>
  <conditionalFormatting sqref="E15">
    <cfRule type="containsText" dxfId="8" priority="7" operator="containsText" text="Итого по этапу">
      <formula>NOT(ISERROR(SEARCH("Итого по этапу",E15)))</formula>
    </cfRule>
  </conditionalFormatting>
  <conditionalFormatting sqref="B77">
    <cfRule type="containsText" dxfId="7" priority="6" operator="containsText" text="Итого по этапу">
      <formula>NOT(ISERROR(SEARCH("Итого по этапу",B77)))</formula>
    </cfRule>
  </conditionalFormatting>
  <conditionalFormatting sqref="B77">
    <cfRule type="containsText" dxfId="6" priority="5" operator="containsText" text="Этап ">
      <formula>NOT(ISERROR(SEARCH("Этап ",B77)))</formula>
    </cfRule>
  </conditionalFormatting>
  <conditionalFormatting sqref="C77:D77">
    <cfRule type="containsText" dxfId="5" priority="4" operator="containsText" text="Этап ">
      <formula>NOT(ISERROR(SEARCH("Этап ",C77)))</formula>
    </cfRule>
  </conditionalFormatting>
  <conditionalFormatting sqref="C104:D104">
    <cfRule type="containsText" dxfId="4" priority="3" operator="containsText" text="Этап ">
      <formula>NOT(ISERROR(SEARCH("Этап ",C104)))</formula>
    </cfRule>
  </conditionalFormatting>
  <conditionalFormatting sqref="C133:D133">
    <cfRule type="containsText" dxfId="3" priority="2" operator="containsText" text="Этап ">
      <formula>NOT(ISERROR(SEARCH("Этап ",C133)))</formula>
    </cfRule>
  </conditionalFormatting>
  <conditionalFormatting sqref="C210:D210">
    <cfRule type="containsText" dxfId="2" priority="1" operator="containsText" text="Этап ">
      <formula>NOT(ISERROR(SEARCH("Этап ",C210)))</formula>
    </cfRule>
  </conditionalFormatting>
  <pageMargins left="0.23622047244094491" right="0.23622047244094491" top="0.74803149606299213" bottom="0.74803149606299213" header="0.31496062992125984" footer="0.31496062992125984"/>
  <pageSetup paperSize="9" scale="69" fitToHeight="0"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AX29"/>
  <sheetViews>
    <sheetView topLeftCell="A13" zoomScale="70" zoomScaleNormal="70" workbookViewId="0">
      <selection activeCell="A28" sqref="A28:XFD28"/>
    </sheetView>
  </sheetViews>
  <sheetFormatPr defaultRowHeight="15" x14ac:dyDescent="0.25"/>
  <cols>
    <col min="1" max="1" width="6.42578125" style="228" customWidth="1"/>
    <col min="2" max="17" width="8" style="228" customWidth="1"/>
    <col min="18" max="18" width="10.7109375" style="228" bestFit="1" customWidth="1"/>
    <col min="19" max="50" width="8" style="228" customWidth="1"/>
    <col min="51" max="16384" width="9.140625" style="227"/>
  </cols>
  <sheetData>
    <row r="1" spans="1:16" x14ac:dyDescent="0.25">
      <c r="A1" s="652"/>
      <c r="B1" s="652"/>
      <c r="C1" s="652"/>
      <c r="D1" s="652"/>
      <c r="E1" s="653" t="s">
        <v>676</v>
      </c>
      <c r="F1" s="653"/>
      <c r="G1" s="653"/>
      <c r="H1" s="653"/>
      <c r="I1" s="653"/>
      <c r="J1" s="653"/>
      <c r="K1" s="653"/>
      <c r="L1" s="653"/>
      <c r="M1" s="653"/>
      <c r="N1" s="653"/>
      <c r="O1" s="653"/>
      <c r="P1" s="653"/>
    </row>
    <row r="2" spans="1:16" ht="15" customHeight="1" x14ac:dyDescent="0.25"/>
    <row r="3" spans="1:16" ht="15" customHeight="1" x14ac:dyDescent="0.25">
      <c r="A3" s="646" t="str">
        <f>СВОД!E46</f>
        <v>Смета №3.13</v>
      </c>
      <c r="B3" s="646"/>
      <c r="C3" s="646"/>
      <c r="D3" s="646"/>
      <c r="E3" s="646"/>
      <c r="F3" s="646"/>
      <c r="G3" s="646"/>
      <c r="H3" s="646"/>
      <c r="I3" s="646"/>
      <c r="J3" s="646"/>
      <c r="K3" s="646"/>
      <c r="L3" s="646"/>
      <c r="M3" s="646"/>
      <c r="N3" s="646"/>
      <c r="O3" s="646"/>
      <c r="P3" s="646"/>
    </row>
    <row r="4" spans="1:16" ht="15" customHeight="1" x14ac:dyDescent="0.25">
      <c r="A4" s="647" t="s">
        <v>559</v>
      </c>
      <c r="B4" s="647"/>
      <c r="C4" s="647"/>
      <c r="D4" s="647"/>
      <c r="E4" s="647"/>
      <c r="F4" s="647"/>
      <c r="G4" s="647"/>
      <c r="H4" s="647"/>
      <c r="I4" s="647"/>
      <c r="J4" s="647"/>
      <c r="K4" s="647"/>
      <c r="L4" s="647"/>
      <c r="M4" s="647"/>
      <c r="N4" s="647"/>
      <c r="O4" s="647"/>
      <c r="P4" s="647"/>
    </row>
    <row r="5" spans="1:16" ht="15" customHeight="1" x14ac:dyDescent="0.25"/>
    <row r="6" spans="1:16" ht="54.4" customHeight="1" x14ac:dyDescent="0.25">
      <c r="A6" s="648" t="s">
        <v>3</v>
      </c>
      <c r="B6" s="648"/>
      <c r="C6" s="648"/>
      <c r="D6" s="648"/>
      <c r="E6" s="648"/>
      <c r="F6" s="649" t="str">
        <f>СВОД!B46</f>
        <v>Архитектурно-строительные решения</v>
      </c>
      <c r="G6" s="649"/>
      <c r="H6" s="649"/>
      <c r="I6" s="649"/>
      <c r="J6" s="649"/>
      <c r="K6" s="649"/>
      <c r="L6" s="649"/>
      <c r="M6" s="649"/>
      <c r="N6" s="649"/>
      <c r="O6" s="649"/>
      <c r="P6" s="649"/>
    </row>
    <row r="7" spans="1:16" ht="15" customHeight="1" x14ac:dyDescent="0.25"/>
    <row r="8" spans="1:16" ht="27.2" customHeight="1" x14ac:dyDescent="0.25">
      <c r="A8" s="648" t="s">
        <v>6</v>
      </c>
      <c r="B8" s="648"/>
      <c r="C8" s="648"/>
      <c r="D8" s="648"/>
      <c r="E8" s="648"/>
      <c r="F8" s="649" t="str">
        <f>СВОД!D14</f>
        <v>Определяется по итогам конкурентных процедур</v>
      </c>
      <c r="G8" s="649"/>
      <c r="H8" s="649"/>
      <c r="I8" s="649"/>
      <c r="J8" s="649"/>
      <c r="K8" s="649"/>
      <c r="L8" s="649"/>
      <c r="M8" s="649"/>
      <c r="N8" s="649"/>
      <c r="O8" s="649"/>
      <c r="P8" s="649"/>
    </row>
    <row r="9" spans="1:16" ht="15" customHeight="1" x14ac:dyDescent="0.25">
      <c r="F9" s="649"/>
      <c r="G9" s="649"/>
      <c r="H9" s="649"/>
      <c r="I9" s="649"/>
      <c r="J9" s="649"/>
      <c r="K9" s="649"/>
      <c r="L9" s="649"/>
      <c r="M9" s="649"/>
      <c r="N9" s="649"/>
      <c r="O9" s="649"/>
      <c r="P9" s="649"/>
    </row>
    <row r="10" spans="1:16" ht="15" customHeight="1" x14ac:dyDescent="0.25">
      <c r="A10" s="648" t="s">
        <v>8</v>
      </c>
      <c r="B10" s="648"/>
      <c r="C10" s="648"/>
      <c r="D10" s="648"/>
      <c r="E10" s="648"/>
      <c r="F10" s="649" t="str">
        <f>СВОД!D16</f>
        <v>ООО «Газпром проектирование»</v>
      </c>
      <c r="G10" s="649"/>
      <c r="H10" s="649"/>
      <c r="I10" s="649"/>
      <c r="J10" s="649"/>
      <c r="K10" s="649"/>
      <c r="L10" s="649"/>
      <c r="M10" s="649"/>
      <c r="N10" s="649"/>
      <c r="O10" s="649"/>
      <c r="P10" s="649"/>
    </row>
    <row r="11" spans="1:16" ht="15" customHeight="1" x14ac:dyDescent="0.25"/>
    <row r="12" spans="1:16" ht="40.9" customHeight="1" x14ac:dyDescent="0.25">
      <c r="A12" s="229" t="s">
        <v>90</v>
      </c>
      <c r="B12" s="645" t="s">
        <v>560</v>
      </c>
      <c r="C12" s="645"/>
      <c r="D12" s="645"/>
      <c r="E12" s="645"/>
      <c r="F12" s="645"/>
      <c r="G12" s="645" t="s">
        <v>561</v>
      </c>
      <c r="H12" s="645"/>
      <c r="I12" s="645"/>
      <c r="J12" s="645"/>
      <c r="K12" s="645" t="s">
        <v>225</v>
      </c>
      <c r="L12" s="645"/>
      <c r="M12" s="645"/>
      <c r="N12" s="645"/>
      <c r="O12" s="645" t="s">
        <v>13</v>
      </c>
      <c r="P12" s="645"/>
    </row>
    <row r="13" spans="1:16" ht="15" customHeight="1" x14ac:dyDescent="0.25">
      <c r="A13" s="229">
        <v>1</v>
      </c>
      <c r="B13" s="645">
        <v>2</v>
      </c>
      <c r="C13" s="645"/>
      <c r="D13" s="645"/>
      <c r="E13" s="645"/>
      <c r="F13" s="645"/>
      <c r="G13" s="645">
        <v>3</v>
      </c>
      <c r="H13" s="645"/>
      <c r="I13" s="645"/>
      <c r="J13" s="645"/>
      <c r="K13" s="645">
        <v>4</v>
      </c>
      <c r="L13" s="645"/>
      <c r="M13" s="645"/>
      <c r="N13" s="645"/>
      <c r="O13" s="645">
        <v>5</v>
      </c>
      <c r="P13" s="645"/>
    </row>
    <row r="14" spans="1:16" ht="15" customHeight="1" x14ac:dyDescent="0.25">
      <c r="A14" s="638" t="s">
        <v>761</v>
      </c>
      <c r="B14" s="638"/>
      <c r="C14" s="638"/>
      <c r="D14" s="638"/>
      <c r="E14" s="638"/>
      <c r="F14" s="638"/>
      <c r="G14" s="638"/>
      <c r="H14" s="638"/>
      <c r="I14" s="638"/>
      <c r="J14" s="638"/>
      <c r="K14" s="638"/>
      <c r="L14" s="638"/>
      <c r="M14" s="638"/>
      <c r="N14" s="638"/>
      <c r="O14" s="638"/>
      <c r="P14" s="638"/>
    </row>
    <row r="15" spans="1:16" ht="15" customHeight="1" x14ac:dyDescent="0.25">
      <c r="A15" s="638" t="s">
        <v>1359</v>
      </c>
      <c r="B15" s="638"/>
      <c r="C15" s="638"/>
      <c r="D15" s="638"/>
      <c r="E15" s="638"/>
      <c r="F15" s="638"/>
      <c r="G15" s="638"/>
      <c r="H15" s="638"/>
      <c r="I15" s="638"/>
      <c r="J15" s="638"/>
      <c r="K15" s="638"/>
      <c r="L15" s="638"/>
      <c r="M15" s="638"/>
      <c r="N15" s="638"/>
      <c r="O15" s="638"/>
      <c r="P15" s="638"/>
    </row>
    <row r="16" spans="1:16" ht="176.85" customHeight="1" x14ac:dyDescent="0.25">
      <c r="A16" s="231" t="s">
        <v>98</v>
      </c>
      <c r="B16" s="642" t="s">
        <v>2187</v>
      </c>
      <c r="C16" s="643"/>
      <c r="D16" s="643"/>
      <c r="E16" s="643"/>
      <c r="F16" s="643"/>
      <c r="G16" s="643" t="s">
        <v>2188</v>
      </c>
      <c r="H16" s="643"/>
      <c r="I16" s="643"/>
      <c r="J16" s="643"/>
      <c r="K16" s="643" t="s">
        <v>2189</v>
      </c>
      <c r="L16" s="643"/>
      <c r="M16" s="643"/>
      <c r="N16" s="643"/>
      <c r="O16" s="644">
        <f>ROUND(125000 * 1 * 7.22 * 0.6, 2)</f>
        <v>541500</v>
      </c>
      <c r="P16" s="643"/>
    </row>
    <row r="17" spans="1:18" ht="15" customHeight="1" x14ac:dyDescent="0.25">
      <c r="A17" s="232"/>
      <c r="B17" s="641" t="s">
        <v>564</v>
      </c>
      <c r="C17" s="641"/>
      <c r="D17" s="641"/>
      <c r="E17" s="641"/>
      <c r="F17" s="641"/>
      <c r="G17" s="641" t="s">
        <v>15</v>
      </c>
      <c r="H17" s="641"/>
      <c r="I17" s="641"/>
      <c r="J17" s="641"/>
      <c r="K17" s="641" t="s">
        <v>15</v>
      </c>
      <c r="L17" s="641"/>
      <c r="M17" s="641"/>
      <c r="N17" s="641"/>
      <c r="O17" s="641"/>
      <c r="P17" s="641"/>
    </row>
    <row r="18" spans="1:18" ht="15" customHeight="1" x14ac:dyDescent="0.25">
      <c r="A18" s="233"/>
      <c r="B18" s="640" t="s">
        <v>681</v>
      </c>
      <c r="C18" s="640"/>
      <c r="D18" s="640"/>
      <c r="E18" s="640"/>
      <c r="F18" s="640"/>
      <c r="G18" s="640" t="s">
        <v>682</v>
      </c>
      <c r="H18" s="640"/>
      <c r="I18" s="640"/>
      <c r="J18" s="640"/>
      <c r="K18" s="640" t="s">
        <v>15</v>
      </c>
      <c r="L18" s="640"/>
      <c r="M18" s="640"/>
      <c r="N18" s="640"/>
      <c r="O18" s="640"/>
      <c r="P18" s="640"/>
    </row>
    <row r="19" spans="1:18" ht="40.9" customHeight="1" x14ac:dyDescent="0.25">
      <c r="A19" s="233"/>
      <c r="B19" s="640" t="s">
        <v>565</v>
      </c>
      <c r="C19" s="640"/>
      <c r="D19" s="640"/>
      <c r="E19" s="640"/>
      <c r="F19" s="640"/>
      <c r="G19" s="640" t="s">
        <v>566</v>
      </c>
      <c r="H19" s="640"/>
      <c r="I19" s="640"/>
      <c r="J19" s="640"/>
      <c r="K19" s="640" t="s">
        <v>15</v>
      </c>
      <c r="L19" s="640"/>
      <c r="M19" s="640"/>
      <c r="N19" s="640"/>
      <c r="O19" s="640"/>
      <c r="P19" s="640"/>
    </row>
    <row r="20" spans="1:18" ht="15" customHeight="1" x14ac:dyDescent="0.25">
      <c r="A20" s="638" t="s">
        <v>1012</v>
      </c>
      <c r="B20" s="638"/>
      <c r="C20" s="638"/>
      <c r="D20" s="638"/>
      <c r="E20" s="638"/>
      <c r="F20" s="638"/>
      <c r="G20" s="638"/>
      <c r="H20" s="638"/>
      <c r="I20" s="638"/>
      <c r="J20" s="638"/>
      <c r="K20" s="638"/>
      <c r="L20" s="638"/>
      <c r="M20" s="638"/>
      <c r="N20" s="638"/>
      <c r="O20" s="638"/>
      <c r="P20" s="638"/>
    </row>
    <row r="21" spans="1:18" ht="15" customHeight="1" x14ac:dyDescent="0.25">
      <c r="A21" s="638" t="s">
        <v>1495</v>
      </c>
      <c r="B21" s="638"/>
      <c r="C21" s="638"/>
      <c r="D21" s="638"/>
      <c r="E21" s="638"/>
      <c r="F21" s="638"/>
      <c r="G21" s="638"/>
      <c r="H21" s="638"/>
      <c r="I21" s="638"/>
      <c r="J21" s="638"/>
      <c r="K21" s="638"/>
      <c r="L21" s="638"/>
      <c r="M21" s="638"/>
      <c r="N21" s="638"/>
      <c r="O21" s="638"/>
      <c r="P21" s="638"/>
    </row>
    <row r="22" spans="1:18" ht="176.85" customHeight="1" x14ac:dyDescent="0.25">
      <c r="A22" s="231" t="s">
        <v>104</v>
      </c>
      <c r="B22" s="642" t="s">
        <v>2187</v>
      </c>
      <c r="C22" s="643"/>
      <c r="D22" s="643"/>
      <c r="E22" s="643"/>
      <c r="F22" s="643"/>
      <c r="G22" s="643" t="s">
        <v>2188</v>
      </c>
      <c r="H22" s="643"/>
      <c r="I22" s="643"/>
      <c r="J22" s="643"/>
      <c r="K22" s="643" t="s">
        <v>2189</v>
      </c>
      <c r="L22" s="643"/>
      <c r="M22" s="643"/>
      <c r="N22" s="643"/>
      <c r="O22" s="644">
        <f>ROUND(125000 * 1 * 7.22 * 0.6, 2)</f>
        <v>541500</v>
      </c>
      <c r="P22" s="643"/>
    </row>
    <row r="23" spans="1:18" ht="15" customHeight="1" x14ac:dyDescent="0.25">
      <c r="A23" s="232"/>
      <c r="B23" s="641" t="s">
        <v>564</v>
      </c>
      <c r="C23" s="641"/>
      <c r="D23" s="641"/>
      <c r="E23" s="641"/>
      <c r="F23" s="641"/>
      <c r="G23" s="641" t="s">
        <v>15</v>
      </c>
      <c r="H23" s="641"/>
      <c r="I23" s="641"/>
      <c r="J23" s="641"/>
      <c r="K23" s="641" t="s">
        <v>15</v>
      </c>
      <c r="L23" s="641"/>
      <c r="M23" s="641"/>
      <c r="N23" s="641"/>
      <c r="O23" s="641"/>
      <c r="P23" s="641"/>
    </row>
    <row r="24" spans="1:18" ht="15" customHeight="1" x14ac:dyDescent="0.25">
      <c r="A24" s="233"/>
      <c r="B24" s="640" t="s">
        <v>681</v>
      </c>
      <c r="C24" s="640"/>
      <c r="D24" s="640"/>
      <c r="E24" s="640"/>
      <c r="F24" s="640"/>
      <c r="G24" s="640" t="s">
        <v>682</v>
      </c>
      <c r="H24" s="640"/>
      <c r="I24" s="640"/>
      <c r="J24" s="640"/>
      <c r="K24" s="640" t="s">
        <v>15</v>
      </c>
      <c r="L24" s="640"/>
      <c r="M24" s="640"/>
      <c r="N24" s="640"/>
      <c r="O24" s="640"/>
      <c r="P24" s="640"/>
    </row>
    <row r="25" spans="1:18" ht="40.9" customHeight="1" x14ac:dyDescent="0.25">
      <c r="A25" s="233"/>
      <c r="B25" s="640" t="s">
        <v>565</v>
      </c>
      <c r="C25" s="640"/>
      <c r="D25" s="640"/>
      <c r="E25" s="640"/>
      <c r="F25" s="640"/>
      <c r="G25" s="640" t="s">
        <v>566</v>
      </c>
      <c r="H25" s="640"/>
      <c r="I25" s="640"/>
      <c r="J25" s="640"/>
      <c r="K25" s="640" t="s">
        <v>15</v>
      </c>
      <c r="L25" s="640"/>
      <c r="M25" s="640"/>
      <c r="N25" s="640"/>
      <c r="O25" s="640"/>
      <c r="P25" s="640"/>
    </row>
    <row r="26" spans="1:18" ht="15" customHeight="1" x14ac:dyDescent="0.25">
      <c r="A26" s="234" t="s">
        <v>110</v>
      </c>
      <c r="B26" s="636" t="s">
        <v>604</v>
      </c>
      <c r="C26" s="636"/>
      <c r="D26" s="636"/>
      <c r="E26" s="636"/>
      <c r="F26" s="636"/>
      <c r="G26" s="636"/>
      <c r="H26" s="636"/>
      <c r="I26" s="636"/>
      <c r="J26" s="636"/>
      <c r="K26" s="636" t="s">
        <v>15</v>
      </c>
      <c r="L26" s="636"/>
      <c r="M26" s="636"/>
      <c r="N26" s="636"/>
      <c r="O26" s="637">
        <f>ROUND(SUM($O$16:$O$22),2)</f>
        <v>1083000</v>
      </c>
      <c r="P26" s="636"/>
    </row>
    <row r="27" spans="1:18" ht="108.75" customHeight="1" x14ac:dyDescent="0.25">
      <c r="A27" s="234" t="s">
        <v>116</v>
      </c>
      <c r="B27" s="638" t="s">
        <v>606</v>
      </c>
      <c r="C27" s="638"/>
      <c r="D27" s="638"/>
      <c r="E27" s="638"/>
      <c r="F27" s="638"/>
      <c r="G27" s="638" t="s">
        <v>607</v>
      </c>
      <c r="H27" s="638"/>
      <c r="I27" s="638"/>
      <c r="J27" s="638"/>
      <c r="K27" s="638" t="s">
        <v>2190</v>
      </c>
      <c r="L27" s="638"/>
      <c r="M27" s="638"/>
      <c r="N27" s="638"/>
      <c r="O27" s="639">
        <f>ROUND(($O$26) * 1  * 0.8,2)</f>
        <v>866400</v>
      </c>
      <c r="P27" s="638"/>
    </row>
    <row r="28" spans="1:18" ht="35.25" customHeight="1" x14ac:dyDescent="0.25">
      <c r="A28" s="234" t="s">
        <v>122</v>
      </c>
      <c r="B28" s="677" t="s">
        <v>606</v>
      </c>
      <c r="C28" s="677"/>
      <c r="D28" s="677"/>
      <c r="E28" s="677"/>
      <c r="F28" s="677"/>
      <c r="G28" s="677" t="s">
        <v>2314</v>
      </c>
      <c r="H28" s="677"/>
      <c r="I28" s="677"/>
      <c r="J28" s="677"/>
      <c r="K28" s="677" t="s">
        <v>2315</v>
      </c>
      <c r="L28" s="677"/>
      <c r="M28" s="677"/>
      <c r="N28" s="677"/>
      <c r="O28" s="678">
        <f>O27*0.7</f>
        <v>606480</v>
      </c>
      <c r="P28" s="677"/>
    </row>
    <row r="29" spans="1:18" ht="15" customHeight="1" x14ac:dyDescent="0.25">
      <c r="A29" s="234" t="s">
        <v>129</v>
      </c>
      <c r="B29" s="675" t="s">
        <v>613</v>
      </c>
      <c r="C29" s="675"/>
      <c r="D29" s="675"/>
      <c r="E29" s="675"/>
      <c r="F29" s="675"/>
      <c r="G29" s="675"/>
      <c r="H29" s="675"/>
      <c r="I29" s="675"/>
      <c r="J29" s="675"/>
      <c r="K29" s="675" t="s">
        <v>15</v>
      </c>
      <c r="L29" s="675"/>
      <c r="M29" s="675"/>
      <c r="N29" s="675"/>
      <c r="O29" s="676">
        <f>O28</f>
        <v>606480</v>
      </c>
      <c r="P29" s="675"/>
      <c r="R29" s="236">
        <f>O29</f>
        <v>606480</v>
      </c>
    </row>
  </sheetData>
  <mergeCells count="71">
    <mergeCell ref="A1:D1"/>
    <mergeCell ref="E1:P1"/>
    <mergeCell ref="A3:P3"/>
    <mergeCell ref="A4:P4"/>
    <mergeCell ref="A6:E6"/>
    <mergeCell ref="F6:P6"/>
    <mergeCell ref="A8:E8"/>
    <mergeCell ref="F8:P8"/>
    <mergeCell ref="F9:P9"/>
    <mergeCell ref="A10:E10"/>
    <mergeCell ref="F10:P10"/>
    <mergeCell ref="B12:F12"/>
    <mergeCell ref="G12:J12"/>
    <mergeCell ref="K12:N12"/>
    <mergeCell ref="O12:P12"/>
    <mergeCell ref="B13:F13"/>
    <mergeCell ref="G13:J13"/>
    <mergeCell ref="K13:N13"/>
    <mergeCell ref="O13:P13"/>
    <mergeCell ref="A14:P14"/>
    <mergeCell ref="A15:P15"/>
    <mergeCell ref="B16:F16"/>
    <mergeCell ref="G16:J16"/>
    <mergeCell ref="K16:N16"/>
    <mergeCell ref="O16:P16"/>
    <mergeCell ref="B17:F17"/>
    <mergeCell ref="G17:J17"/>
    <mergeCell ref="K17:N17"/>
    <mergeCell ref="O17:P17"/>
    <mergeCell ref="B18:F18"/>
    <mergeCell ref="G18:J18"/>
    <mergeCell ref="K18:N18"/>
    <mergeCell ref="O18:P18"/>
    <mergeCell ref="B19:F19"/>
    <mergeCell ref="G19:J19"/>
    <mergeCell ref="K19:N19"/>
    <mergeCell ref="O19:P19"/>
    <mergeCell ref="A20:P20"/>
    <mergeCell ref="A21:P21"/>
    <mergeCell ref="B22:F22"/>
    <mergeCell ref="G22:J22"/>
    <mergeCell ref="K22:N22"/>
    <mergeCell ref="O22:P22"/>
    <mergeCell ref="B23:F23"/>
    <mergeCell ref="G23:J23"/>
    <mergeCell ref="K23:N23"/>
    <mergeCell ref="O23:P23"/>
    <mergeCell ref="B24:F24"/>
    <mergeCell ref="G24:J24"/>
    <mergeCell ref="K24:N24"/>
    <mergeCell ref="O24:P24"/>
    <mergeCell ref="B25:F25"/>
    <mergeCell ref="G25:J25"/>
    <mergeCell ref="K25:N25"/>
    <mergeCell ref="O25:P25"/>
    <mergeCell ref="B26:F26"/>
    <mergeCell ref="G26:J26"/>
    <mergeCell ref="K26:N26"/>
    <mergeCell ref="O26:P26"/>
    <mergeCell ref="B29:F29"/>
    <mergeCell ref="G29:J29"/>
    <mergeCell ref="K29:N29"/>
    <mergeCell ref="O29:P29"/>
    <mergeCell ref="B27:F27"/>
    <mergeCell ref="G27:J27"/>
    <mergeCell ref="K27:N27"/>
    <mergeCell ref="O27:P27"/>
    <mergeCell ref="B28:F28"/>
    <mergeCell ref="G28:J28"/>
    <mergeCell ref="K28:N28"/>
    <mergeCell ref="O28:P28"/>
  </mergeCells>
  <conditionalFormatting sqref="B28:L28">
    <cfRule type="containsText" dxfId="1" priority="1" operator="containsText" text="Этап ">
      <formula>NOT(ISERROR(SEARCH("Этап ",B28)))</formula>
    </cfRule>
  </conditionalFormatting>
  <pageMargins left="0.40000000000000008" right="0.40000000000000008" top="0.75" bottom="0.75" header="0.3" footer="0.3"/>
  <pageSetup paperSize="9"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AX94"/>
  <sheetViews>
    <sheetView topLeftCell="A81" zoomScale="70" zoomScaleNormal="70" workbookViewId="0">
      <selection activeCell="D99" sqref="D99"/>
    </sheetView>
  </sheetViews>
  <sheetFormatPr defaultRowHeight="15" x14ac:dyDescent="0.25"/>
  <cols>
    <col min="1" max="1" width="6.42578125" style="228" customWidth="1"/>
    <col min="2" max="6" width="8" style="228" customWidth="1"/>
    <col min="7" max="10" width="9.42578125" style="228" customWidth="1"/>
    <col min="11" max="17" width="8" style="228" customWidth="1"/>
    <col min="18" max="18" width="11.7109375" style="228" bestFit="1" customWidth="1"/>
    <col min="19" max="50" width="8" style="228" customWidth="1"/>
    <col min="51" max="16384" width="9.140625" style="227"/>
  </cols>
  <sheetData>
    <row r="1" spans="1:16" x14ac:dyDescent="0.25">
      <c r="A1" s="652"/>
      <c r="B1" s="652"/>
      <c r="C1" s="652"/>
      <c r="D1" s="652"/>
      <c r="E1" s="653" t="s">
        <v>676</v>
      </c>
      <c r="F1" s="653"/>
      <c r="G1" s="653"/>
      <c r="H1" s="653"/>
      <c r="I1" s="653"/>
      <c r="J1" s="653"/>
      <c r="K1" s="653"/>
      <c r="L1" s="653"/>
      <c r="M1" s="653"/>
      <c r="N1" s="653"/>
      <c r="O1" s="653"/>
      <c r="P1" s="653"/>
    </row>
    <row r="2" spans="1:16" ht="15" customHeight="1" x14ac:dyDescent="0.25"/>
    <row r="3" spans="1:16" ht="15" customHeight="1" x14ac:dyDescent="0.25">
      <c r="A3" s="646" t="str">
        <f>СВОД!B47</f>
        <v>Линейная часть</v>
      </c>
      <c r="B3" s="646"/>
      <c r="C3" s="646"/>
      <c r="D3" s="646"/>
      <c r="E3" s="646"/>
      <c r="F3" s="646"/>
      <c r="G3" s="646"/>
      <c r="H3" s="646"/>
      <c r="I3" s="646"/>
      <c r="J3" s="646"/>
      <c r="K3" s="646"/>
      <c r="L3" s="646"/>
      <c r="M3" s="646"/>
      <c r="N3" s="646"/>
      <c r="O3" s="646"/>
      <c r="P3" s="646"/>
    </row>
    <row r="4" spans="1:16" ht="15" customHeight="1" x14ac:dyDescent="0.25">
      <c r="A4" s="647" t="s">
        <v>559</v>
      </c>
      <c r="B4" s="647"/>
      <c r="C4" s="647"/>
      <c r="D4" s="647"/>
      <c r="E4" s="647"/>
      <c r="F4" s="647"/>
      <c r="G4" s="647"/>
      <c r="H4" s="647"/>
      <c r="I4" s="647"/>
      <c r="J4" s="647"/>
      <c r="K4" s="647"/>
      <c r="L4" s="647"/>
      <c r="M4" s="647"/>
      <c r="N4" s="647"/>
      <c r="O4" s="647"/>
      <c r="P4" s="647"/>
    </row>
    <row r="5" spans="1:16" ht="15" customHeight="1" x14ac:dyDescent="0.25"/>
    <row r="6" spans="1:16" ht="54.4" customHeight="1" x14ac:dyDescent="0.25">
      <c r="A6" s="648" t="s">
        <v>3</v>
      </c>
      <c r="B6" s="648"/>
      <c r="C6" s="648"/>
      <c r="D6" s="648"/>
      <c r="E6" s="648"/>
      <c r="F6" s="649" t="s">
        <v>82</v>
      </c>
      <c r="G6" s="649"/>
      <c r="H6" s="649"/>
      <c r="I6" s="649"/>
      <c r="J6" s="649"/>
      <c r="K6" s="649"/>
      <c r="L6" s="649"/>
      <c r="M6" s="649"/>
      <c r="N6" s="649"/>
      <c r="O6" s="649"/>
      <c r="P6" s="649"/>
    </row>
    <row r="7" spans="1:16" ht="15" customHeight="1" x14ac:dyDescent="0.25"/>
    <row r="8" spans="1:16" ht="27.2" customHeight="1" x14ac:dyDescent="0.25">
      <c r="A8" s="648" t="s">
        <v>6</v>
      </c>
      <c r="B8" s="648"/>
      <c r="C8" s="648"/>
      <c r="D8" s="648"/>
      <c r="E8" s="648"/>
      <c r="F8" s="649" t="s">
        <v>7</v>
      </c>
      <c r="G8" s="649"/>
      <c r="H8" s="649"/>
      <c r="I8" s="649"/>
      <c r="J8" s="649"/>
      <c r="K8" s="649"/>
      <c r="L8" s="649"/>
      <c r="M8" s="649"/>
      <c r="N8" s="649"/>
      <c r="O8" s="649"/>
      <c r="P8" s="649"/>
    </row>
    <row r="9" spans="1:16" ht="15" customHeight="1" x14ac:dyDescent="0.25"/>
    <row r="10" spans="1:16" ht="15" customHeight="1" x14ac:dyDescent="0.25">
      <c r="A10" s="648" t="s">
        <v>8</v>
      </c>
      <c r="B10" s="648"/>
      <c r="C10" s="648"/>
      <c r="D10" s="648"/>
      <c r="E10" s="648"/>
      <c r="F10" s="649" t="str">
        <f>СВОД!D16</f>
        <v>ООО «Газпром проектирование»</v>
      </c>
      <c r="G10" s="649"/>
      <c r="H10" s="649"/>
      <c r="I10" s="649"/>
      <c r="J10" s="649"/>
      <c r="K10" s="649"/>
      <c r="L10" s="649"/>
      <c r="M10" s="649"/>
      <c r="N10" s="649"/>
      <c r="O10" s="649"/>
      <c r="P10" s="649"/>
    </row>
    <row r="11" spans="1:16" ht="15" customHeight="1" x14ac:dyDescent="0.25"/>
    <row r="12" spans="1:16" ht="40.9" customHeight="1" x14ac:dyDescent="0.25">
      <c r="A12" s="229" t="s">
        <v>90</v>
      </c>
      <c r="B12" s="645" t="s">
        <v>560</v>
      </c>
      <c r="C12" s="645"/>
      <c r="D12" s="645"/>
      <c r="E12" s="645"/>
      <c r="F12" s="645"/>
      <c r="G12" s="645" t="s">
        <v>561</v>
      </c>
      <c r="H12" s="645"/>
      <c r="I12" s="645"/>
      <c r="J12" s="645"/>
      <c r="K12" s="645" t="s">
        <v>225</v>
      </c>
      <c r="L12" s="645"/>
      <c r="M12" s="645"/>
      <c r="N12" s="645"/>
      <c r="O12" s="645" t="s">
        <v>13</v>
      </c>
      <c r="P12" s="645"/>
    </row>
    <row r="13" spans="1:16" ht="15" customHeight="1" x14ac:dyDescent="0.25">
      <c r="A13" s="229">
        <v>1</v>
      </c>
      <c r="B13" s="645">
        <v>2</v>
      </c>
      <c r="C13" s="645"/>
      <c r="D13" s="645"/>
      <c r="E13" s="645"/>
      <c r="F13" s="645"/>
      <c r="G13" s="645">
        <v>3</v>
      </c>
      <c r="H13" s="645"/>
      <c r="I13" s="645"/>
      <c r="J13" s="645"/>
      <c r="K13" s="645">
        <v>4</v>
      </c>
      <c r="L13" s="645"/>
      <c r="M13" s="645"/>
      <c r="N13" s="645"/>
      <c r="O13" s="645">
        <v>5</v>
      </c>
      <c r="P13" s="645"/>
    </row>
    <row r="14" spans="1:16" ht="15" customHeight="1" x14ac:dyDescent="0.25">
      <c r="A14" s="638" t="s">
        <v>2005</v>
      </c>
      <c r="B14" s="638"/>
      <c r="C14" s="638"/>
      <c r="D14" s="638"/>
      <c r="E14" s="638"/>
      <c r="F14" s="638"/>
      <c r="G14" s="638"/>
      <c r="H14" s="638"/>
      <c r="I14" s="638"/>
      <c r="J14" s="638"/>
      <c r="K14" s="638"/>
      <c r="L14" s="638"/>
      <c r="M14" s="638"/>
      <c r="N14" s="638"/>
      <c r="O14" s="638"/>
      <c r="P14" s="638"/>
    </row>
    <row r="15" spans="1:16" ht="15" customHeight="1" x14ac:dyDescent="0.25">
      <c r="A15" s="638" t="s">
        <v>2191</v>
      </c>
      <c r="B15" s="638"/>
      <c r="C15" s="638"/>
      <c r="D15" s="638"/>
      <c r="E15" s="638"/>
      <c r="F15" s="638"/>
      <c r="G15" s="638"/>
      <c r="H15" s="638"/>
      <c r="I15" s="638"/>
      <c r="J15" s="638"/>
      <c r="K15" s="638"/>
      <c r="L15" s="638"/>
      <c r="M15" s="638"/>
      <c r="N15" s="638"/>
      <c r="O15" s="638"/>
      <c r="P15" s="638"/>
    </row>
    <row r="16" spans="1:16" ht="122.45" customHeight="1" x14ac:dyDescent="0.25">
      <c r="A16" s="231" t="s">
        <v>98</v>
      </c>
      <c r="B16" s="642" t="s">
        <v>826</v>
      </c>
      <c r="C16" s="643"/>
      <c r="D16" s="643"/>
      <c r="E16" s="643"/>
      <c r="F16" s="643"/>
      <c r="G16" s="643" t="s">
        <v>2192</v>
      </c>
      <c r="H16" s="643"/>
      <c r="I16" s="643"/>
      <c r="J16" s="643"/>
      <c r="K16" s="643" t="s">
        <v>2193</v>
      </c>
      <c r="L16" s="643"/>
      <c r="M16" s="643"/>
      <c r="N16" s="643"/>
      <c r="O16" s="644">
        <f>ROUND((61900 + 15484 * 1.0125) * 1 * 1.56 * 0.6, 2)</f>
        <v>72612.59</v>
      </c>
      <c r="P16" s="643"/>
    </row>
    <row r="17" spans="1:16" ht="15" customHeight="1" x14ac:dyDescent="0.25">
      <c r="A17" s="232"/>
      <c r="B17" s="641" t="s">
        <v>564</v>
      </c>
      <c r="C17" s="641"/>
      <c r="D17" s="641"/>
      <c r="E17" s="641"/>
      <c r="F17" s="641"/>
      <c r="G17" s="641" t="s">
        <v>15</v>
      </c>
      <c r="H17" s="641"/>
      <c r="I17" s="641"/>
      <c r="J17" s="641"/>
      <c r="K17" s="641" t="s">
        <v>15</v>
      </c>
      <c r="L17" s="641"/>
      <c r="M17" s="641"/>
      <c r="N17" s="641"/>
      <c r="O17" s="641"/>
      <c r="P17" s="641"/>
    </row>
    <row r="18" spans="1:16" ht="15" customHeight="1" x14ac:dyDescent="0.25">
      <c r="A18" s="233"/>
      <c r="B18" s="640" t="s">
        <v>681</v>
      </c>
      <c r="C18" s="640"/>
      <c r="D18" s="640"/>
      <c r="E18" s="640"/>
      <c r="F18" s="640"/>
      <c r="G18" s="640" t="s">
        <v>682</v>
      </c>
      <c r="H18" s="640"/>
      <c r="I18" s="640"/>
      <c r="J18" s="640"/>
      <c r="K18" s="640" t="s">
        <v>15</v>
      </c>
      <c r="L18" s="640"/>
      <c r="M18" s="640"/>
      <c r="N18" s="640"/>
      <c r="O18" s="640"/>
      <c r="P18" s="640"/>
    </row>
    <row r="19" spans="1:16" ht="40.9" customHeight="1" x14ac:dyDescent="0.25">
      <c r="A19" s="233"/>
      <c r="B19" s="640" t="s">
        <v>683</v>
      </c>
      <c r="C19" s="640"/>
      <c r="D19" s="640"/>
      <c r="E19" s="640"/>
      <c r="F19" s="640"/>
      <c r="G19" s="640" t="s">
        <v>2194</v>
      </c>
      <c r="H19" s="640"/>
      <c r="I19" s="640"/>
      <c r="J19" s="640"/>
      <c r="K19" s="640" t="s">
        <v>15</v>
      </c>
      <c r="L19" s="640"/>
      <c r="M19" s="640"/>
      <c r="N19" s="640"/>
      <c r="O19" s="640"/>
      <c r="P19" s="640"/>
    </row>
    <row r="20" spans="1:16" ht="122.45" customHeight="1" x14ac:dyDescent="0.25">
      <c r="A20" s="231" t="s">
        <v>104</v>
      </c>
      <c r="B20" s="642" t="s">
        <v>826</v>
      </c>
      <c r="C20" s="643"/>
      <c r="D20" s="643"/>
      <c r="E20" s="643"/>
      <c r="F20" s="643"/>
      <c r="G20" s="643" t="s">
        <v>2195</v>
      </c>
      <c r="H20" s="643"/>
      <c r="I20" s="643"/>
      <c r="J20" s="643"/>
      <c r="K20" s="643" t="s">
        <v>2196</v>
      </c>
      <c r="L20" s="643"/>
      <c r="M20" s="643"/>
      <c r="N20" s="643"/>
      <c r="O20" s="644">
        <f>ROUND((61900 + 15484 * 2.33152) * 1 * 1.56 * 0.6, 2)</f>
        <v>91729.18</v>
      </c>
      <c r="P20" s="643"/>
    </row>
    <row r="21" spans="1:16" ht="15" customHeight="1" x14ac:dyDescent="0.25">
      <c r="A21" s="232"/>
      <c r="B21" s="641" t="s">
        <v>564</v>
      </c>
      <c r="C21" s="641"/>
      <c r="D21" s="641"/>
      <c r="E21" s="641"/>
      <c r="F21" s="641"/>
      <c r="G21" s="641" t="s">
        <v>15</v>
      </c>
      <c r="H21" s="641"/>
      <c r="I21" s="641"/>
      <c r="J21" s="641"/>
      <c r="K21" s="641" t="s">
        <v>15</v>
      </c>
      <c r="L21" s="641"/>
      <c r="M21" s="641"/>
      <c r="N21" s="641"/>
      <c r="O21" s="641"/>
      <c r="P21" s="641"/>
    </row>
    <row r="22" spans="1:16" ht="15" customHeight="1" x14ac:dyDescent="0.25">
      <c r="A22" s="233"/>
      <c r="B22" s="640" t="s">
        <v>681</v>
      </c>
      <c r="C22" s="640"/>
      <c r="D22" s="640"/>
      <c r="E22" s="640"/>
      <c r="F22" s="640"/>
      <c r="G22" s="640" t="s">
        <v>682</v>
      </c>
      <c r="H22" s="640"/>
      <c r="I22" s="640"/>
      <c r="J22" s="640"/>
      <c r="K22" s="640" t="s">
        <v>15</v>
      </c>
      <c r="L22" s="640"/>
      <c r="M22" s="640"/>
      <c r="N22" s="640"/>
      <c r="O22" s="640"/>
      <c r="P22" s="640"/>
    </row>
    <row r="23" spans="1:16" ht="40.9" customHeight="1" x14ac:dyDescent="0.25">
      <c r="A23" s="233"/>
      <c r="B23" s="640" t="s">
        <v>683</v>
      </c>
      <c r="C23" s="640"/>
      <c r="D23" s="640"/>
      <c r="E23" s="640"/>
      <c r="F23" s="640"/>
      <c r="G23" s="640" t="s">
        <v>2194</v>
      </c>
      <c r="H23" s="640"/>
      <c r="I23" s="640"/>
      <c r="J23" s="640"/>
      <c r="K23" s="640" t="s">
        <v>15</v>
      </c>
      <c r="L23" s="640"/>
      <c r="M23" s="640"/>
      <c r="N23" s="640"/>
      <c r="O23" s="640"/>
      <c r="P23" s="640"/>
    </row>
    <row r="24" spans="1:16" ht="15" customHeight="1" x14ac:dyDescent="0.25">
      <c r="A24" s="638" t="s">
        <v>2197</v>
      </c>
      <c r="B24" s="638"/>
      <c r="C24" s="638"/>
      <c r="D24" s="638"/>
      <c r="E24" s="638"/>
      <c r="F24" s="638"/>
      <c r="G24" s="638"/>
      <c r="H24" s="638"/>
      <c r="I24" s="638"/>
      <c r="J24" s="638"/>
      <c r="K24" s="638"/>
      <c r="L24" s="638"/>
      <c r="M24" s="638"/>
      <c r="N24" s="638"/>
      <c r="O24" s="638"/>
      <c r="P24" s="638"/>
    </row>
    <row r="25" spans="1:16" ht="122.45" customHeight="1" x14ac:dyDescent="0.25">
      <c r="A25" s="231" t="s">
        <v>110</v>
      </c>
      <c r="B25" s="642" t="s">
        <v>826</v>
      </c>
      <c r="C25" s="643"/>
      <c r="D25" s="643"/>
      <c r="E25" s="643"/>
      <c r="F25" s="643"/>
      <c r="G25" s="643" t="s">
        <v>2198</v>
      </c>
      <c r="H25" s="643"/>
      <c r="I25" s="643"/>
      <c r="J25" s="643"/>
      <c r="K25" s="643" t="s">
        <v>2199</v>
      </c>
      <c r="L25" s="643"/>
      <c r="M25" s="643"/>
      <c r="N25" s="643"/>
      <c r="O25" s="644">
        <f>ROUND((61900 + 15484 * 2.73962) * 1 * 1.56 * 0.6, 2)</f>
        <v>97643.78</v>
      </c>
      <c r="P25" s="643"/>
    </row>
    <row r="26" spans="1:16" ht="15" customHeight="1" x14ac:dyDescent="0.25">
      <c r="A26" s="232"/>
      <c r="B26" s="641" t="s">
        <v>564</v>
      </c>
      <c r="C26" s="641"/>
      <c r="D26" s="641"/>
      <c r="E26" s="641"/>
      <c r="F26" s="641"/>
      <c r="G26" s="641" t="s">
        <v>15</v>
      </c>
      <c r="H26" s="641"/>
      <c r="I26" s="641"/>
      <c r="J26" s="641"/>
      <c r="K26" s="641" t="s">
        <v>15</v>
      </c>
      <c r="L26" s="641"/>
      <c r="M26" s="641"/>
      <c r="N26" s="641"/>
      <c r="O26" s="641"/>
      <c r="P26" s="641"/>
    </row>
    <row r="27" spans="1:16" ht="15" customHeight="1" x14ac:dyDescent="0.25">
      <c r="A27" s="233"/>
      <c r="B27" s="640" t="s">
        <v>681</v>
      </c>
      <c r="C27" s="640"/>
      <c r="D27" s="640"/>
      <c r="E27" s="640"/>
      <c r="F27" s="640"/>
      <c r="G27" s="640" t="s">
        <v>682</v>
      </c>
      <c r="H27" s="640"/>
      <c r="I27" s="640"/>
      <c r="J27" s="640"/>
      <c r="K27" s="640" t="s">
        <v>15</v>
      </c>
      <c r="L27" s="640"/>
      <c r="M27" s="640"/>
      <c r="N27" s="640"/>
      <c r="O27" s="640"/>
      <c r="P27" s="640"/>
    </row>
    <row r="28" spans="1:16" ht="40.9" customHeight="1" x14ac:dyDescent="0.25">
      <c r="A28" s="233"/>
      <c r="B28" s="640" t="s">
        <v>683</v>
      </c>
      <c r="C28" s="640"/>
      <c r="D28" s="640"/>
      <c r="E28" s="640"/>
      <c r="F28" s="640"/>
      <c r="G28" s="640" t="s">
        <v>2194</v>
      </c>
      <c r="H28" s="640"/>
      <c r="I28" s="640"/>
      <c r="J28" s="640"/>
      <c r="K28" s="640" t="s">
        <v>15</v>
      </c>
      <c r="L28" s="640"/>
      <c r="M28" s="640"/>
      <c r="N28" s="640"/>
      <c r="O28" s="640"/>
      <c r="P28" s="640"/>
    </row>
    <row r="29" spans="1:16" ht="135.94999999999999" customHeight="1" x14ac:dyDescent="0.25">
      <c r="A29" s="231" t="s">
        <v>116</v>
      </c>
      <c r="B29" s="642" t="s">
        <v>826</v>
      </c>
      <c r="C29" s="643"/>
      <c r="D29" s="643"/>
      <c r="E29" s="643"/>
      <c r="F29" s="643"/>
      <c r="G29" s="643" t="s">
        <v>2200</v>
      </c>
      <c r="H29" s="643"/>
      <c r="I29" s="643"/>
      <c r="J29" s="643"/>
      <c r="K29" s="643" t="s">
        <v>2201</v>
      </c>
      <c r="L29" s="643"/>
      <c r="M29" s="643"/>
      <c r="N29" s="643"/>
      <c r="O29" s="644">
        <f>ROUND((61900 + 15484 * (0.4 * 1 + 0.6 * 0.5418)) * 1 * 1.56 * 0.6, 2)</f>
        <v>68447</v>
      </c>
      <c r="P29" s="643"/>
    </row>
    <row r="30" spans="1:16" ht="15" customHeight="1" x14ac:dyDescent="0.25">
      <c r="A30" s="232"/>
      <c r="B30" s="641" t="s">
        <v>564</v>
      </c>
      <c r="C30" s="641"/>
      <c r="D30" s="641"/>
      <c r="E30" s="641"/>
      <c r="F30" s="641"/>
      <c r="G30" s="641" t="s">
        <v>15</v>
      </c>
      <c r="H30" s="641"/>
      <c r="I30" s="641"/>
      <c r="J30" s="641"/>
      <c r="K30" s="641" t="s">
        <v>15</v>
      </c>
      <c r="L30" s="641"/>
      <c r="M30" s="641"/>
      <c r="N30" s="641"/>
      <c r="O30" s="641"/>
      <c r="P30" s="641"/>
    </row>
    <row r="31" spans="1:16" ht="15" customHeight="1" x14ac:dyDescent="0.25">
      <c r="A31" s="233"/>
      <c r="B31" s="640" t="s">
        <v>681</v>
      </c>
      <c r="C31" s="640"/>
      <c r="D31" s="640"/>
      <c r="E31" s="640"/>
      <c r="F31" s="640"/>
      <c r="G31" s="640" t="s">
        <v>682</v>
      </c>
      <c r="H31" s="640"/>
      <c r="I31" s="640"/>
      <c r="J31" s="640"/>
      <c r="K31" s="640" t="s">
        <v>15</v>
      </c>
      <c r="L31" s="640"/>
      <c r="M31" s="640"/>
      <c r="N31" s="640"/>
      <c r="O31" s="640"/>
      <c r="P31" s="640"/>
    </row>
    <row r="32" spans="1:16" ht="40.9" customHeight="1" x14ac:dyDescent="0.25">
      <c r="A32" s="233"/>
      <c r="B32" s="640" t="s">
        <v>683</v>
      </c>
      <c r="C32" s="640"/>
      <c r="D32" s="640"/>
      <c r="E32" s="640"/>
      <c r="F32" s="640"/>
      <c r="G32" s="640" t="s">
        <v>2194</v>
      </c>
      <c r="H32" s="640"/>
      <c r="I32" s="640"/>
      <c r="J32" s="640"/>
      <c r="K32" s="640" t="s">
        <v>15</v>
      </c>
      <c r="L32" s="640"/>
      <c r="M32" s="640"/>
      <c r="N32" s="640"/>
      <c r="O32" s="640"/>
      <c r="P32" s="640"/>
    </row>
    <row r="33" spans="1:16" ht="15" customHeight="1" x14ac:dyDescent="0.25">
      <c r="A33" s="638" t="s">
        <v>2202</v>
      </c>
      <c r="B33" s="638"/>
      <c r="C33" s="638"/>
      <c r="D33" s="638"/>
      <c r="E33" s="638"/>
      <c r="F33" s="638"/>
      <c r="G33" s="638"/>
      <c r="H33" s="638"/>
      <c r="I33" s="638"/>
      <c r="J33" s="638"/>
      <c r="K33" s="638"/>
      <c r="L33" s="638"/>
      <c r="M33" s="638"/>
      <c r="N33" s="638"/>
      <c r="O33" s="638"/>
      <c r="P33" s="638"/>
    </row>
    <row r="34" spans="1:16" ht="122.45" customHeight="1" x14ac:dyDescent="0.25">
      <c r="A34" s="231" t="s">
        <v>122</v>
      </c>
      <c r="B34" s="642" t="s">
        <v>826</v>
      </c>
      <c r="C34" s="643"/>
      <c r="D34" s="643"/>
      <c r="E34" s="643"/>
      <c r="F34" s="643"/>
      <c r="G34" s="643" t="s">
        <v>2203</v>
      </c>
      <c r="H34" s="643"/>
      <c r="I34" s="643"/>
      <c r="J34" s="643"/>
      <c r="K34" s="643" t="s">
        <v>2204</v>
      </c>
      <c r="L34" s="643"/>
      <c r="M34" s="643"/>
      <c r="N34" s="643"/>
      <c r="O34" s="644">
        <f>ROUND((61900 + 15484 * 3.16977) * 1 * 1.56 * 0.6, 2)</f>
        <v>103877.95</v>
      </c>
      <c r="P34" s="643"/>
    </row>
    <row r="35" spans="1:16" ht="15" customHeight="1" x14ac:dyDescent="0.25">
      <c r="A35" s="232"/>
      <c r="B35" s="641" t="s">
        <v>564</v>
      </c>
      <c r="C35" s="641"/>
      <c r="D35" s="641"/>
      <c r="E35" s="641"/>
      <c r="F35" s="641"/>
      <c r="G35" s="641" t="s">
        <v>15</v>
      </c>
      <c r="H35" s="641"/>
      <c r="I35" s="641"/>
      <c r="J35" s="641"/>
      <c r="K35" s="641" t="s">
        <v>15</v>
      </c>
      <c r="L35" s="641"/>
      <c r="M35" s="641"/>
      <c r="N35" s="641"/>
      <c r="O35" s="641"/>
      <c r="P35" s="641"/>
    </row>
    <row r="36" spans="1:16" ht="15" customHeight="1" x14ac:dyDescent="0.25">
      <c r="A36" s="233"/>
      <c r="B36" s="640" t="s">
        <v>681</v>
      </c>
      <c r="C36" s="640"/>
      <c r="D36" s="640"/>
      <c r="E36" s="640"/>
      <c r="F36" s="640"/>
      <c r="G36" s="640" t="s">
        <v>682</v>
      </c>
      <c r="H36" s="640"/>
      <c r="I36" s="640"/>
      <c r="J36" s="640"/>
      <c r="K36" s="640" t="s">
        <v>15</v>
      </c>
      <c r="L36" s="640"/>
      <c r="M36" s="640"/>
      <c r="N36" s="640"/>
      <c r="O36" s="640"/>
      <c r="P36" s="640"/>
    </row>
    <row r="37" spans="1:16" ht="40.9" customHeight="1" x14ac:dyDescent="0.25">
      <c r="A37" s="233"/>
      <c r="B37" s="640" t="s">
        <v>683</v>
      </c>
      <c r="C37" s="640"/>
      <c r="D37" s="640"/>
      <c r="E37" s="640"/>
      <c r="F37" s="640"/>
      <c r="G37" s="640" t="s">
        <v>2194</v>
      </c>
      <c r="H37" s="640"/>
      <c r="I37" s="640"/>
      <c r="J37" s="640"/>
      <c r="K37" s="640" t="s">
        <v>15</v>
      </c>
      <c r="L37" s="640"/>
      <c r="M37" s="640"/>
      <c r="N37" s="640"/>
      <c r="O37" s="640"/>
      <c r="P37" s="640"/>
    </row>
    <row r="38" spans="1:16" ht="135.94999999999999" customHeight="1" x14ac:dyDescent="0.25">
      <c r="A38" s="231" t="s">
        <v>129</v>
      </c>
      <c r="B38" s="642" t="s">
        <v>826</v>
      </c>
      <c r="C38" s="643"/>
      <c r="D38" s="643"/>
      <c r="E38" s="643"/>
      <c r="F38" s="643"/>
      <c r="G38" s="643" t="s">
        <v>2205</v>
      </c>
      <c r="H38" s="643"/>
      <c r="I38" s="643"/>
      <c r="J38" s="643"/>
      <c r="K38" s="643" t="s">
        <v>2206</v>
      </c>
      <c r="L38" s="643"/>
      <c r="M38" s="643"/>
      <c r="N38" s="643"/>
      <c r="O38" s="644">
        <f>ROUND((61900 + 15484 * (0.4 * 1 + 0.6 * (1 / 2))) * 1 * 0.79 * 1.56 * 0.6, 2)</f>
        <v>53785.98</v>
      </c>
      <c r="P38" s="643"/>
    </row>
    <row r="39" spans="1:16" ht="15" customHeight="1" x14ac:dyDescent="0.25">
      <c r="A39" s="232"/>
      <c r="B39" s="641" t="s">
        <v>564</v>
      </c>
      <c r="C39" s="641"/>
      <c r="D39" s="641"/>
      <c r="E39" s="641"/>
      <c r="F39" s="641"/>
      <c r="G39" s="641" t="s">
        <v>15</v>
      </c>
      <c r="H39" s="641"/>
      <c r="I39" s="641"/>
      <c r="J39" s="641"/>
      <c r="K39" s="641" t="s">
        <v>15</v>
      </c>
      <c r="L39" s="641"/>
      <c r="M39" s="641"/>
      <c r="N39" s="641"/>
      <c r="O39" s="641"/>
      <c r="P39" s="641"/>
    </row>
    <row r="40" spans="1:16" ht="15" customHeight="1" x14ac:dyDescent="0.25">
      <c r="A40" s="233"/>
      <c r="B40" s="640" t="s">
        <v>681</v>
      </c>
      <c r="C40" s="640"/>
      <c r="D40" s="640"/>
      <c r="E40" s="640"/>
      <c r="F40" s="640"/>
      <c r="G40" s="640" t="s">
        <v>682</v>
      </c>
      <c r="H40" s="640"/>
      <c r="I40" s="640"/>
      <c r="J40" s="640"/>
      <c r="K40" s="640" t="s">
        <v>15</v>
      </c>
      <c r="L40" s="640"/>
      <c r="M40" s="640"/>
      <c r="N40" s="640"/>
      <c r="O40" s="640"/>
      <c r="P40" s="640"/>
    </row>
    <row r="41" spans="1:16" ht="40.9" customHeight="1" x14ac:dyDescent="0.25">
      <c r="A41" s="233"/>
      <c r="B41" s="640" t="s">
        <v>683</v>
      </c>
      <c r="C41" s="640"/>
      <c r="D41" s="640"/>
      <c r="E41" s="640"/>
      <c r="F41" s="640"/>
      <c r="G41" s="640" t="s">
        <v>2194</v>
      </c>
      <c r="H41" s="640"/>
      <c r="I41" s="640"/>
      <c r="J41" s="640"/>
      <c r="K41" s="640" t="s">
        <v>15</v>
      </c>
      <c r="L41" s="640"/>
      <c r="M41" s="640"/>
      <c r="N41" s="640"/>
      <c r="O41" s="640"/>
      <c r="P41" s="640"/>
    </row>
    <row r="42" spans="1:16" ht="95.25" customHeight="1" x14ac:dyDescent="0.25">
      <c r="A42" s="233"/>
      <c r="B42" s="640" t="s">
        <v>778</v>
      </c>
      <c r="C42" s="640"/>
      <c r="D42" s="640"/>
      <c r="E42" s="640"/>
      <c r="F42" s="640"/>
      <c r="G42" s="640" t="s">
        <v>2207</v>
      </c>
      <c r="H42" s="640"/>
      <c r="I42" s="640"/>
      <c r="J42" s="640"/>
      <c r="K42" s="640" t="s">
        <v>15</v>
      </c>
      <c r="L42" s="640"/>
      <c r="M42" s="640"/>
      <c r="N42" s="640"/>
      <c r="O42" s="640"/>
      <c r="P42" s="640"/>
    </row>
    <row r="43" spans="1:16" ht="15" customHeight="1" x14ac:dyDescent="0.25">
      <c r="A43" s="638" t="s">
        <v>2208</v>
      </c>
      <c r="B43" s="638"/>
      <c r="C43" s="638"/>
      <c r="D43" s="638"/>
      <c r="E43" s="638"/>
      <c r="F43" s="638"/>
      <c r="G43" s="638"/>
      <c r="H43" s="638"/>
      <c r="I43" s="638"/>
      <c r="J43" s="638"/>
      <c r="K43" s="638"/>
      <c r="L43" s="638"/>
      <c r="M43" s="638"/>
      <c r="N43" s="638"/>
      <c r="O43" s="638"/>
      <c r="P43" s="638"/>
    </row>
    <row r="44" spans="1:16" ht="122.45" customHeight="1" x14ac:dyDescent="0.25">
      <c r="A44" s="231" t="s">
        <v>138</v>
      </c>
      <c r="B44" s="642" t="s">
        <v>2209</v>
      </c>
      <c r="C44" s="643"/>
      <c r="D44" s="643"/>
      <c r="E44" s="643"/>
      <c r="F44" s="643"/>
      <c r="G44" s="643" t="s">
        <v>2210</v>
      </c>
      <c r="H44" s="643"/>
      <c r="I44" s="643"/>
      <c r="J44" s="643"/>
      <c r="K44" s="643" t="s">
        <v>2211</v>
      </c>
      <c r="L44" s="643"/>
      <c r="M44" s="643"/>
      <c r="N44" s="643"/>
      <c r="O44" s="644">
        <f>ROUND((88500 + 10167 * 5.1931) * 1 * 1.56 * 0.6, 2)</f>
        <v>132255.16</v>
      </c>
      <c r="P44" s="643"/>
    </row>
    <row r="45" spans="1:16" ht="15" customHeight="1" x14ac:dyDescent="0.25">
      <c r="A45" s="232"/>
      <c r="B45" s="641" t="s">
        <v>564</v>
      </c>
      <c r="C45" s="641"/>
      <c r="D45" s="641"/>
      <c r="E45" s="641"/>
      <c r="F45" s="641"/>
      <c r="G45" s="641" t="s">
        <v>15</v>
      </c>
      <c r="H45" s="641"/>
      <c r="I45" s="641"/>
      <c r="J45" s="641"/>
      <c r="K45" s="641" t="s">
        <v>15</v>
      </c>
      <c r="L45" s="641"/>
      <c r="M45" s="641"/>
      <c r="N45" s="641"/>
      <c r="O45" s="641"/>
      <c r="P45" s="641"/>
    </row>
    <row r="46" spans="1:16" ht="15" customHeight="1" x14ac:dyDescent="0.25">
      <c r="A46" s="233"/>
      <c r="B46" s="640" t="s">
        <v>681</v>
      </c>
      <c r="C46" s="640"/>
      <c r="D46" s="640"/>
      <c r="E46" s="640"/>
      <c r="F46" s="640"/>
      <c r="G46" s="640" t="s">
        <v>682</v>
      </c>
      <c r="H46" s="640"/>
      <c r="I46" s="640"/>
      <c r="J46" s="640"/>
      <c r="K46" s="640" t="s">
        <v>15</v>
      </c>
      <c r="L46" s="640"/>
      <c r="M46" s="640"/>
      <c r="N46" s="640"/>
      <c r="O46" s="640"/>
      <c r="P46" s="640"/>
    </row>
    <row r="47" spans="1:16" ht="40.9" customHeight="1" x14ac:dyDescent="0.25">
      <c r="A47" s="233"/>
      <c r="B47" s="640" t="s">
        <v>683</v>
      </c>
      <c r="C47" s="640"/>
      <c r="D47" s="640"/>
      <c r="E47" s="640"/>
      <c r="F47" s="640"/>
      <c r="G47" s="640" t="s">
        <v>2194</v>
      </c>
      <c r="H47" s="640"/>
      <c r="I47" s="640"/>
      <c r="J47" s="640"/>
      <c r="K47" s="640" t="s">
        <v>15</v>
      </c>
      <c r="L47" s="640"/>
      <c r="M47" s="640"/>
      <c r="N47" s="640"/>
      <c r="O47" s="640"/>
      <c r="P47" s="640"/>
    </row>
    <row r="48" spans="1:16" ht="135.94999999999999" customHeight="1" x14ac:dyDescent="0.25">
      <c r="A48" s="231" t="s">
        <v>143</v>
      </c>
      <c r="B48" s="642" t="s">
        <v>826</v>
      </c>
      <c r="C48" s="643"/>
      <c r="D48" s="643"/>
      <c r="E48" s="643"/>
      <c r="F48" s="643"/>
      <c r="G48" s="643" t="s">
        <v>2212</v>
      </c>
      <c r="H48" s="643"/>
      <c r="I48" s="643"/>
      <c r="J48" s="643"/>
      <c r="K48" s="643" t="s">
        <v>2213</v>
      </c>
      <c r="L48" s="643"/>
      <c r="M48" s="643"/>
      <c r="N48" s="643"/>
      <c r="O48" s="644">
        <f>ROUND((61900 + 15484 * (0.4 * 1 + 0.6 * (1 / 2))) * 1 * 0.1 * 1.56 * 0.6, 2)</f>
        <v>6808.35</v>
      </c>
      <c r="P48" s="643"/>
    </row>
    <row r="49" spans="1:16" ht="15" customHeight="1" x14ac:dyDescent="0.25">
      <c r="A49" s="232"/>
      <c r="B49" s="641" t="s">
        <v>564</v>
      </c>
      <c r="C49" s="641"/>
      <c r="D49" s="641"/>
      <c r="E49" s="641"/>
      <c r="F49" s="641"/>
      <c r="G49" s="641" t="s">
        <v>15</v>
      </c>
      <c r="H49" s="641"/>
      <c r="I49" s="641"/>
      <c r="J49" s="641"/>
      <c r="K49" s="641" t="s">
        <v>15</v>
      </c>
      <c r="L49" s="641"/>
      <c r="M49" s="641"/>
      <c r="N49" s="641"/>
      <c r="O49" s="641"/>
      <c r="P49" s="641"/>
    </row>
    <row r="50" spans="1:16" ht="15" customHeight="1" x14ac:dyDescent="0.25">
      <c r="A50" s="233"/>
      <c r="B50" s="640" t="s">
        <v>681</v>
      </c>
      <c r="C50" s="640"/>
      <c r="D50" s="640"/>
      <c r="E50" s="640"/>
      <c r="F50" s="640"/>
      <c r="G50" s="640" t="s">
        <v>682</v>
      </c>
      <c r="H50" s="640"/>
      <c r="I50" s="640"/>
      <c r="J50" s="640"/>
      <c r="K50" s="640" t="s">
        <v>15</v>
      </c>
      <c r="L50" s="640"/>
      <c r="M50" s="640"/>
      <c r="N50" s="640"/>
      <c r="O50" s="640"/>
      <c r="P50" s="640"/>
    </row>
    <row r="51" spans="1:16" ht="40.9" customHeight="1" x14ac:dyDescent="0.25">
      <c r="A51" s="233"/>
      <c r="B51" s="640" t="s">
        <v>683</v>
      </c>
      <c r="C51" s="640"/>
      <c r="D51" s="640"/>
      <c r="E51" s="640"/>
      <c r="F51" s="640"/>
      <c r="G51" s="640" t="s">
        <v>2194</v>
      </c>
      <c r="H51" s="640"/>
      <c r="I51" s="640"/>
      <c r="J51" s="640"/>
      <c r="K51" s="640" t="s">
        <v>15</v>
      </c>
      <c r="L51" s="640"/>
      <c r="M51" s="640"/>
      <c r="N51" s="640"/>
      <c r="O51" s="640"/>
      <c r="P51" s="640"/>
    </row>
    <row r="52" spans="1:16" ht="95.25" customHeight="1" x14ac:dyDescent="0.25">
      <c r="A52" s="233"/>
      <c r="B52" s="640" t="s">
        <v>778</v>
      </c>
      <c r="C52" s="640"/>
      <c r="D52" s="640"/>
      <c r="E52" s="640"/>
      <c r="F52" s="640"/>
      <c r="G52" s="640" t="s">
        <v>779</v>
      </c>
      <c r="H52" s="640"/>
      <c r="I52" s="640"/>
      <c r="J52" s="640"/>
      <c r="K52" s="640" t="s">
        <v>15</v>
      </c>
      <c r="L52" s="640"/>
      <c r="M52" s="640"/>
      <c r="N52" s="640"/>
      <c r="O52" s="640"/>
      <c r="P52" s="640"/>
    </row>
    <row r="53" spans="1:16" ht="122.45" customHeight="1" x14ac:dyDescent="0.25">
      <c r="A53" s="231" t="s">
        <v>147</v>
      </c>
      <c r="B53" s="642" t="s">
        <v>826</v>
      </c>
      <c r="C53" s="643"/>
      <c r="D53" s="643"/>
      <c r="E53" s="643"/>
      <c r="F53" s="643"/>
      <c r="G53" s="643" t="s">
        <v>2214</v>
      </c>
      <c r="H53" s="643"/>
      <c r="I53" s="643"/>
      <c r="J53" s="643"/>
      <c r="K53" s="643" t="s">
        <v>2215</v>
      </c>
      <c r="L53" s="643"/>
      <c r="M53" s="643"/>
      <c r="N53" s="643"/>
      <c r="O53" s="644">
        <f>ROUND((61900 + 15484 * 3.61309) * 1 * 1.56 * 0.6, 2)</f>
        <v>110303</v>
      </c>
      <c r="P53" s="643"/>
    </row>
    <row r="54" spans="1:16" x14ac:dyDescent="0.25">
      <c r="A54" s="232"/>
      <c r="B54" s="641" t="s">
        <v>564</v>
      </c>
      <c r="C54" s="641"/>
      <c r="D54" s="641"/>
      <c r="E54" s="641"/>
      <c r="F54" s="641"/>
      <c r="G54" s="641" t="s">
        <v>15</v>
      </c>
      <c r="H54" s="641"/>
      <c r="I54" s="641"/>
      <c r="J54" s="641"/>
      <c r="K54" s="641" t="s">
        <v>15</v>
      </c>
      <c r="L54" s="641"/>
      <c r="M54" s="641"/>
      <c r="N54" s="641"/>
      <c r="O54" s="641"/>
      <c r="P54" s="641"/>
    </row>
    <row r="55" spans="1:16" x14ac:dyDescent="0.25">
      <c r="A55" s="233"/>
      <c r="B55" s="640" t="s">
        <v>681</v>
      </c>
      <c r="C55" s="640"/>
      <c r="D55" s="640"/>
      <c r="E55" s="640"/>
      <c r="F55" s="640"/>
      <c r="G55" s="640" t="s">
        <v>682</v>
      </c>
      <c r="H55" s="640"/>
      <c r="I55" s="640"/>
      <c r="J55" s="640"/>
      <c r="K55" s="640" t="s">
        <v>15</v>
      </c>
      <c r="L55" s="640"/>
      <c r="M55" s="640"/>
      <c r="N55" s="640"/>
      <c r="O55" s="640"/>
      <c r="P55" s="640"/>
    </row>
    <row r="56" spans="1:16" ht="40.9" customHeight="1" x14ac:dyDescent="0.25">
      <c r="A56" s="233"/>
      <c r="B56" s="640" t="s">
        <v>683</v>
      </c>
      <c r="C56" s="640"/>
      <c r="D56" s="640"/>
      <c r="E56" s="640"/>
      <c r="F56" s="640"/>
      <c r="G56" s="640" t="s">
        <v>2194</v>
      </c>
      <c r="H56" s="640"/>
      <c r="I56" s="640"/>
      <c r="J56" s="640"/>
      <c r="K56" s="640" t="s">
        <v>15</v>
      </c>
      <c r="L56" s="640"/>
      <c r="M56" s="640"/>
      <c r="N56" s="640"/>
      <c r="O56" s="640"/>
      <c r="P56" s="640"/>
    </row>
    <row r="57" spans="1:16" ht="135.94999999999999" customHeight="1" x14ac:dyDescent="0.25">
      <c r="A57" s="231" t="s">
        <v>157</v>
      </c>
      <c r="B57" s="642" t="s">
        <v>826</v>
      </c>
      <c r="C57" s="643"/>
      <c r="D57" s="643"/>
      <c r="E57" s="643"/>
      <c r="F57" s="643"/>
      <c r="G57" s="643" t="s">
        <v>2216</v>
      </c>
      <c r="H57" s="643"/>
      <c r="I57" s="643"/>
      <c r="J57" s="643"/>
      <c r="K57" s="643" t="s">
        <v>2217</v>
      </c>
      <c r="L57" s="643"/>
      <c r="M57" s="643"/>
      <c r="N57" s="643"/>
      <c r="O57" s="644">
        <f>ROUND((61900 + 15484 * (0.4 * 1 + 0.6 * (1 / 2))) * 1 * 0.52 * 1.56 * 0.6, 2)</f>
        <v>35403.43</v>
      </c>
      <c r="P57" s="643"/>
    </row>
    <row r="58" spans="1:16" x14ac:dyDescent="0.25">
      <c r="A58" s="232"/>
      <c r="B58" s="641" t="s">
        <v>564</v>
      </c>
      <c r="C58" s="641"/>
      <c r="D58" s="641"/>
      <c r="E58" s="641"/>
      <c r="F58" s="641"/>
      <c r="G58" s="641" t="s">
        <v>15</v>
      </c>
      <c r="H58" s="641"/>
      <c r="I58" s="641"/>
      <c r="J58" s="641"/>
      <c r="K58" s="641" t="s">
        <v>15</v>
      </c>
      <c r="L58" s="641"/>
      <c r="M58" s="641"/>
      <c r="N58" s="641"/>
      <c r="O58" s="641"/>
      <c r="P58" s="641"/>
    </row>
    <row r="59" spans="1:16" x14ac:dyDescent="0.25">
      <c r="A59" s="233"/>
      <c r="B59" s="640" t="s">
        <v>681</v>
      </c>
      <c r="C59" s="640"/>
      <c r="D59" s="640"/>
      <c r="E59" s="640"/>
      <c r="F59" s="640"/>
      <c r="G59" s="640" t="s">
        <v>682</v>
      </c>
      <c r="H59" s="640"/>
      <c r="I59" s="640"/>
      <c r="J59" s="640"/>
      <c r="K59" s="640" t="s">
        <v>15</v>
      </c>
      <c r="L59" s="640"/>
      <c r="M59" s="640"/>
      <c r="N59" s="640"/>
      <c r="O59" s="640"/>
      <c r="P59" s="640"/>
    </row>
    <row r="60" spans="1:16" ht="40.9" customHeight="1" x14ac:dyDescent="0.25">
      <c r="A60" s="233"/>
      <c r="B60" s="640" t="s">
        <v>683</v>
      </c>
      <c r="C60" s="640"/>
      <c r="D60" s="640"/>
      <c r="E60" s="640"/>
      <c r="F60" s="640"/>
      <c r="G60" s="640" t="s">
        <v>2194</v>
      </c>
      <c r="H60" s="640"/>
      <c r="I60" s="640"/>
      <c r="J60" s="640"/>
      <c r="K60" s="640" t="s">
        <v>15</v>
      </c>
      <c r="L60" s="640"/>
      <c r="M60" s="640"/>
      <c r="N60" s="640"/>
      <c r="O60" s="640"/>
      <c r="P60" s="640"/>
    </row>
    <row r="61" spans="1:16" ht="95.25" customHeight="1" x14ac:dyDescent="0.25">
      <c r="A61" s="233"/>
      <c r="B61" s="640" t="s">
        <v>778</v>
      </c>
      <c r="C61" s="640"/>
      <c r="D61" s="640"/>
      <c r="E61" s="640"/>
      <c r="F61" s="640"/>
      <c r="G61" s="640" t="s">
        <v>2218</v>
      </c>
      <c r="H61" s="640"/>
      <c r="I61" s="640"/>
      <c r="J61" s="640"/>
      <c r="K61" s="640" t="s">
        <v>15</v>
      </c>
      <c r="L61" s="640"/>
      <c r="M61" s="640"/>
      <c r="N61" s="640"/>
      <c r="O61" s="640"/>
      <c r="P61" s="640"/>
    </row>
    <row r="62" spans="1:16" x14ac:dyDescent="0.25">
      <c r="A62" s="638" t="s">
        <v>2219</v>
      </c>
      <c r="B62" s="638"/>
      <c r="C62" s="638"/>
      <c r="D62" s="638"/>
      <c r="E62" s="638"/>
      <c r="F62" s="638"/>
      <c r="G62" s="638"/>
      <c r="H62" s="638"/>
      <c r="I62" s="638"/>
      <c r="J62" s="638"/>
      <c r="K62" s="638"/>
      <c r="L62" s="638"/>
      <c r="M62" s="638"/>
      <c r="N62" s="638"/>
      <c r="O62" s="638"/>
      <c r="P62" s="638"/>
    </row>
    <row r="63" spans="1:16" ht="122.45" customHeight="1" x14ac:dyDescent="0.25">
      <c r="A63" s="231" t="s">
        <v>161</v>
      </c>
      <c r="B63" s="642" t="s">
        <v>826</v>
      </c>
      <c r="C63" s="643"/>
      <c r="D63" s="643"/>
      <c r="E63" s="643"/>
      <c r="F63" s="643"/>
      <c r="G63" s="643" t="s">
        <v>2220</v>
      </c>
      <c r="H63" s="643"/>
      <c r="I63" s="643"/>
      <c r="J63" s="643"/>
      <c r="K63" s="643" t="s">
        <v>2221</v>
      </c>
      <c r="L63" s="643"/>
      <c r="M63" s="643"/>
      <c r="N63" s="643"/>
      <c r="O63" s="644">
        <f>ROUND((61900 + 15484 * 2.005) * 1 * 1.56 * 0.6, 2)</f>
        <v>86996.91</v>
      </c>
      <c r="P63" s="643"/>
    </row>
    <row r="64" spans="1:16" x14ac:dyDescent="0.25">
      <c r="A64" s="232"/>
      <c r="B64" s="641" t="s">
        <v>564</v>
      </c>
      <c r="C64" s="641"/>
      <c r="D64" s="641"/>
      <c r="E64" s="641"/>
      <c r="F64" s="641"/>
      <c r="G64" s="641" t="s">
        <v>15</v>
      </c>
      <c r="H64" s="641"/>
      <c r="I64" s="641"/>
      <c r="J64" s="641"/>
      <c r="K64" s="641" t="s">
        <v>15</v>
      </c>
      <c r="L64" s="641"/>
      <c r="M64" s="641"/>
      <c r="N64" s="641"/>
      <c r="O64" s="641"/>
      <c r="P64" s="641"/>
    </row>
    <row r="65" spans="1:16" x14ac:dyDescent="0.25">
      <c r="A65" s="233"/>
      <c r="B65" s="640" t="s">
        <v>681</v>
      </c>
      <c r="C65" s="640"/>
      <c r="D65" s="640"/>
      <c r="E65" s="640"/>
      <c r="F65" s="640"/>
      <c r="G65" s="640" t="s">
        <v>682</v>
      </c>
      <c r="H65" s="640"/>
      <c r="I65" s="640"/>
      <c r="J65" s="640"/>
      <c r="K65" s="640" t="s">
        <v>15</v>
      </c>
      <c r="L65" s="640"/>
      <c r="M65" s="640"/>
      <c r="N65" s="640"/>
      <c r="O65" s="640"/>
      <c r="P65" s="640"/>
    </row>
    <row r="66" spans="1:16" ht="40.9" customHeight="1" x14ac:dyDescent="0.25">
      <c r="A66" s="233"/>
      <c r="B66" s="640" t="s">
        <v>683</v>
      </c>
      <c r="C66" s="640"/>
      <c r="D66" s="640"/>
      <c r="E66" s="640"/>
      <c r="F66" s="640"/>
      <c r="G66" s="640" t="s">
        <v>2194</v>
      </c>
      <c r="H66" s="640"/>
      <c r="I66" s="640"/>
      <c r="J66" s="640"/>
      <c r="K66" s="640" t="s">
        <v>15</v>
      </c>
      <c r="L66" s="640"/>
      <c r="M66" s="640"/>
      <c r="N66" s="640"/>
      <c r="O66" s="640"/>
      <c r="P66" s="640"/>
    </row>
    <row r="67" spans="1:16" ht="122.45" customHeight="1" x14ac:dyDescent="0.25">
      <c r="A67" s="231" t="s">
        <v>166</v>
      </c>
      <c r="B67" s="642" t="s">
        <v>826</v>
      </c>
      <c r="C67" s="643"/>
      <c r="D67" s="643"/>
      <c r="E67" s="643"/>
      <c r="F67" s="643"/>
      <c r="G67" s="643" t="s">
        <v>2222</v>
      </c>
      <c r="H67" s="643"/>
      <c r="I67" s="643"/>
      <c r="J67" s="643"/>
      <c r="K67" s="643" t="s">
        <v>2223</v>
      </c>
      <c r="L67" s="643"/>
      <c r="M67" s="643"/>
      <c r="N67" s="643"/>
      <c r="O67" s="644">
        <f>ROUND((61900 + 15484 * 2.129) * 1 * 1.56 * 0.6, 2)</f>
        <v>88794.05</v>
      </c>
      <c r="P67" s="643"/>
    </row>
    <row r="68" spans="1:16" x14ac:dyDescent="0.25">
      <c r="A68" s="232"/>
      <c r="B68" s="641" t="s">
        <v>564</v>
      </c>
      <c r="C68" s="641"/>
      <c r="D68" s="641"/>
      <c r="E68" s="641"/>
      <c r="F68" s="641"/>
      <c r="G68" s="641" t="s">
        <v>15</v>
      </c>
      <c r="H68" s="641"/>
      <c r="I68" s="641"/>
      <c r="J68" s="641"/>
      <c r="K68" s="641" t="s">
        <v>15</v>
      </c>
      <c r="L68" s="641"/>
      <c r="M68" s="641"/>
      <c r="N68" s="641"/>
      <c r="O68" s="641"/>
      <c r="P68" s="641"/>
    </row>
    <row r="69" spans="1:16" x14ac:dyDescent="0.25">
      <c r="A69" s="233"/>
      <c r="B69" s="640" t="s">
        <v>681</v>
      </c>
      <c r="C69" s="640"/>
      <c r="D69" s="640"/>
      <c r="E69" s="640"/>
      <c r="F69" s="640"/>
      <c r="G69" s="640" t="s">
        <v>682</v>
      </c>
      <c r="H69" s="640"/>
      <c r="I69" s="640"/>
      <c r="J69" s="640"/>
      <c r="K69" s="640" t="s">
        <v>15</v>
      </c>
      <c r="L69" s="640"/>
      <c r="M69" s="640"/>
      <c r="N69" s="640"/>
      <c r="O69" s="640"/>
      <c r="P69" s="640"/>
    </row>
    <row r="70" spans="1:16" ht="40.9" customHeight="1" x14ac:dyDescent="0.25">
      <c r="A70" s="233"/>
      <c r="B70" s="640" t="s">
        <v>683</v>
      </c>
      <c r="C70" s="640"/>
      <c r="D70" s="640"/>
      <c r="E70" s="640"/>
      <c r="F70" s="640"/>
      <c r="G70" s="640" t="s">
        <v>2194</v>
      </c>
      <c r="H70" s="640"/>
      <c r="I70" s="640"/>
      <c r="J70" s="640"/>
      <c r="K70" s="640" t="s">
        <v>15</v>
      </c>
      <c r="L70" s="640"/>
      <c r="M70" s="640"/>
      <c r="N70" s="640"/>
      <c r="O70" s="640"/>
      <c r="P70" s="640"/>
    </row>
    <row r="71" spans="1:16" x14ac:dyDescent="0.25">
      <c r="A71" s="638" t="s">
        <v>2224</v>
      </c>
      <c r="B71" s="638"/>
      <c r="C71" s="638"/>
      <c r="D71" s="638"/>
      <c r="E71" s="638"/>
      <c r="F71" s="638"/>
      <c r="G71" s="638"/>
      <c r="H71" s="638"/>
      <c r="I71" s="638"/>
      <c r="J71" s="638"/>
      <c r="K71" s="638"/>
      <c r="L71" s="638"/>
      <c r="M71" s="638"/>
      <c r="N71" s="638"/>
      <c r="O71" s="638"/>
      <c r="P71" s="638"/>
    </row>
    <row r="72" spans="1:16" ht="122.45" customHeight="1" x14ac:dyDescent="0.25">
      <c r="A72" s="231" t="s">
        <v>171</v>
      </c>
      <c r="B72" s="642" t="s">
        <v>2209</v>
      </c>
      <c r="C72" s="643"/>
      <c r="D72" s="643"/>
      <c r="E72" s="643"/>
      <c r="F72" s="643"/>
      <c r="G72" s="643" t="s">
        <v>2225</v>
      </c>
      <c r="H72" s="643"/>
      <c r="I72" s="643"/>
      <c r="J72" s="643"/>
      <c r="K72" s="643" t="s">
        <v>2226</v>
      </c>
      <c r="L72" s="643"/>
      <c r="M72" s="643"/>
      <c r="N72" s="643"/>
      <c r="O72" s="644">
        <f>ROUND((88500 + 10167 * 6.116) * 1 * 1.56 * 0.6, 2)</f>
        <v>141037.76000000001</v>
      </c>
      <c r="P72" s="643"/>
    </row>
    <row r="73" spans="1:16" x14ac:dyDescent="0.25">
      <c r="A73" s="232"/>
      <c r="B73" s="641" t="s">
        <v>564</v>
      </c>
      <c r="C73" s="641"/>
      <c r="D73" s="641"/>
      <c r="E73" s="641"/>
      <c r="F73" s="641"/>
      <c r="G73" s="641" t="s">
        <v>15</v>
      </c>
      <c r="H73" s="641"/>
      <c r="I73" s="641"/>
      <c r="J73" s="641"/>
      <c r="K73" s="641" t="s">
        <v>15</v>
      </c>
      <c r="L73" s="641"/>
      <c r="M73" s="641"/>
      <c r="N73" s="641"/>
      <c r="O73" s="641"/>
      <c r="P73" s="641"/>
    </row>
    <row r="74" spans="1:16" x14ac:dyDescent="0.25">
      <c r="A74" s="233"/>
      <c r="B74" s="640" t="s">
        <v>681</v>
      </c>
      <c r="C74" s="640"/>
      <c r="D74" s="640"/>
      <c r="E74" s="640"/>
      <c r="F74" s="640"/>
      <c r="G74" s="640" t="s">
        <v>682</v>
      </c>
      <c r="H74" s="640"/>
      <c r="I74" s="640"/>
      <c r="J74" s="640"/>
      <c r="K74" s="640" t="s">
        <v>15</v>
      </c>
      <c r="L74" s="640"/>
      <c r="M74" s="640"/>
      <c r="N74" s="640"/>
      <c r="O74" s="640"/>
      <c r="P74" s="640"/>
    </row>
    <row r="75" spans="1:16" ht="40.9" customHeight="1" x14ac:dyDescent="0.25">
      <c r="A75" s="233"/>
      <c r="B75" s="640" t="s">
        <v>683</v>
      </c>
      <c r="C75" s="640"/>
      <c r="D75" s="640"/>
      <c r="E75" s="640"/>
      <c r="F75" s="640"/>
      <c r="G75" s="640" t="s">
        <v>2194</v>
      </c>
      <c r="H75" s="640"/>
      <c r="I75" s="640"/>
      <c r="J75" s="640"/>
      <c r="K75" s="640" t="s">
        <v>15</v>
      </c>
      <c r="L75" s="640"/>
      <c r="M75" s="640"/>
      <c r="N75" s="640"/>
      <c r="O75" s="640"/>
      <c r="P75" s="640"/>
    </row>
    <row r="76" spans="1:16" ht="135.94999999999999" customHeight="1" x14ac:dyDescent="0.25">
      <c r="A76" s="231" t="s">
        <v>183</v>
      </c>
      <c r="B76" s="642" t="s">
        <v>826</v>
      </c>
      <c r="C76" s="643"/>
      <c r="D76" s="643"/>
      <c r="E76" s="643"/>
      <c r="F76" s="643"/>
      <c r="G76" s="643" t="s">
        <v>2227</v>
      </c>
      <c r="H76" s="643"/>
      <c r="I76" s="643"/>
      <c r="J76" s="643"/>
      <c r="K76" s="643" t="s">
        <v>2228</v>
      </c>
      <c r="L76" s="643"/>
      <c r="M76" s="643"/>
      <c r="N76" s="643"/>
      <c r="O76" s="644">
        <f>ROUND((61900 + 15484 * (0.4 * 1 + 0.6 * (1 / 2))) * 1 * 0.87 * 1.56 * 0.6, 2)</f>
        <v>59232.66</v>
      </c>
      <c r="P76" s="643"/>
    </row>
    <row r="77" spans="1:16" x14ac:dyDescent="0.25">
      <c r="A77" s="232"/>
      <c r="B77" s="641" t="s">
        <v>564</v>
      </c>
      <c r="C77" s="641"/>
      <c r="D77" s="641"/>
      <c r="E77" s="641"/>
      <c r="F77" s="641"/>
      <c r="G77" s="641" t="s">
        <v>15</v>
      </c>
      <c r="H77" s="641"/>
      <c r="I77" s="641"/>
      <c r="J77" s="641"/>
      <c r="K77" s="641" t="s">
        <v>15</v>
      </c>
      <c r="L77" s="641"/>
      <c r="M77" s="641"/>
      <c r="N77" s="641"/>
      <c r="O77" s="641"/>
      <c r="P77" s="641"/>
    </row>
    <row r="78" spans="1:16" x14ac:dyDescent="0.25">
      <c r="A78" s="233"/>
      <c r="B78" s="640" t="s">
        <v>681</v>
      </c>
      <c r="C78" s="640"/>
      <c r="D78" s="640"/>
      <c r="E78" s="640"/>
      <c r="F78" s="640"/>
      <c r="G78" s="640" t="s">
        <v>682</v>
      </c>
      <c r="H78" s="640"/>
      <c r="I78" s="640"/>
      <c r="J78" s="640"/>
      <c r="K78" s="640" t="s">
        <v>15</v>
      </c>
      <c r="L78" s="640"/>
      <c r="M78" s="640"/>
      <c r="N78" s="640"/>
      <c r="O78" s="640"/>
      <c r="P78" s="640"/>
    </row>
    <row r="79" spans="1:16" ht="40.9" customHeight="1" x14ac:dyDescent="0.25">
      <c r="A79" s="233"/>
      <c r="B79" s="640" t="s">
        <v>683</v>
      </c>
      <c r="C79" s="640"/>
      <c r="D79" s="640"/>
      <c r="E79" s="640"/>
      <c r="F79" s="640"/>
      <c r="G79" s="640" t="s">
        <v>2194</v>
      </c>
      <c r="H79" s="640"/>
      <c r="I79" s="640"/>
      <c r="J79" s="640"/>
      <c r="K79" s="640" t="s">
        <v>15</v>
      </c>
      <c r="L79" s="640"/>
      <c r="M79" s="640"/>
      <c r="N79" s="640"/>
      <c r="O79" s="640"/>
      <c r="P79" s="640"/>
    </row>
    <row r="80" spans="1:16" ht="95.25" customHeight="1" x14ac:dyDescent="0.25">
      <c r="A80" s="233"/>
      <c r="B80" s="640" t="s">
        <v>778</v>
      </c>
      <c r="C80" s="640"/>
      <c r="D80" s="640"/>
      <c r="E80" s="640"/>
      <c r="F80" s="640"/>
      <c r="G80" s="640" t="s">
        <v>2229</v>
      </c>
      <c r="H80" s="640"/>
      <c r="I80" s="640"/>
      <c r="J80" s="640"/>
      <c r="K80" s="640" t="s">
        <v>15</v>
      </c>
      <c r="L80" s="640"/>
      <c r="M80" s="640"/>
      <c r="N80" s="640"/>
      <c r="O80" s="640"/>
      <c r="P80" s="640"/>
    </row>
    <row r="81" spans="1:18" x14ac:dyDescent="0.25">
      <c r="A81" s="638" t="s">
        <v>2230</v>
      </c>
      <c r="B81" s="638"/>
      <c r="C81" s="638"/>
      <c r="D81" s="638"/>
      <c r="E81" s="638"/>
      <c r="F81" s="638"/>
      <c r="G81" s="638"/>
      <c r="H81" s="638"/>
      <c r="I81" s="638"/>
      <c r="J81" s="638"/>
      <c r="K81" s="638"/>
      <c r="L81" s="638"/>
      <c r="M81" s="638"/>
      <c r="N81" s="638"/>
      <c r="O81" s="638"/>
      <c r="P81" s="638"/>
    </row>
    <row r="82" spans="1:18" ht="122.45" customHeight="1" x14ac:dyDescent="0.25">
      <c r="A82" s="231" t="s">
        <v>193</v>
      </c>
      <c r="B82" s="642" t="s">
        <v>826</v>
      </c>
      <c r="C82" s="643"/>
      <c r="D82" s="643"/>
      <c r="E82" s="643"/>
      <c r="F82" s="643"/>
      <c r="G82" s="643" t="s">
        <v>2231</v>
      </c>
      <c r="H82" s="643"/>
      <c r="I82" s="643"/>
      <c r="J82" s="643"/>
      <c r="K82" s="643" t="s">
        <v>2232</v>
      </c>
      <c r="L82" s="643"/>
      <c r="M82" s="643"/>
      <c r="N82" s="643"/>
      <c r="O82" s="644">
        <f>ROUND((61900 + 15484 * 3.754) * 1 * 1.56 * 0.6, 2)</f>
        <v>112345.21</v>
      </c>
      <c r="P82" s="643"/>
    </row>
    <row r="83" spans="1:18" x14ac:dyDescent="0.25">
      <c r="A83" s="232"/>
      <c r="B83" s="641" t="s">
        <v>564</v>
      </c>
      <c r="C83" s="641"/>
      <c r="D83" s="641"/>
      <c r="E83" s="641"/>
      <c r="F83" s="641"/>
      <c r="G83" s="641" t="s">
        <v>15</v>
      </c>
      <c r="H83" s="641"/>
      <c r="I83" s="641"/>
      <c r="J83" s="641"/>
      <c r="K83" s="641" t="s">
        <v>15</v>
      </c>
      <c r="L83" s="641"/>
      <c r="M83" s="641"/>
      <c r="N83" s="641"/>
      <c r="O83" s="641"/>
      <c r="P83" s="641"/>
    </row>
    <row r="84" spans="1:18" x14ac:dyDescent="0.25">
      <c r="A84" s="233"/>
      <c r="B84" s="640" t="s">
        <v>681</v>
      </c>
      <c r="C84" s="640"/>
      <c r="D84" s="640"/>
      <c r="E84" s="640"/>
      <c r="F84" s="640"/>
      <c r="G84" s="640" t="s">
        <v>682</v>
      </c>
      <c r="H84" s="640"/>
      <c r="I84" s="640"/>
      <c r="J84" s="640"/>
      <c r="K84" s="640" t="s">
        <v>15</v>
      </c>
      <c r="L84" s="640"/>
      <c r="M84" s="640"/>
      <c r="N84" s="640"/>
      <c r="O84" s="640"/>
      <c r="P84" s="640"/>
    </row>
    <row r="85" spans="1:18" ht="40.9" customHeight="1" x14ac:dyDescent="0.25">
      <c r="A85" s="233"/>
      <c r="B85" s="640" t="s">
        <v>683</v>
      </c>
      <c r="C85" s="640"/>
      <c r="D85" s="640"/>
      <c r="E85" s="640"/>
      <c r="F85" s="640"/>
      <c r="G85" s="640" t="s">
        <v>2194</v>
      </c>
      <c r="H85" s="640"/>
      <c r="I85" s="640"/>
      <c r="J85" s="640"/>
      <c r="K85" s="640" t="s">
        <v>15</v>
      </c>
      <c r="L85" s="640"/>
      <c r="M85" s="640"/>
      <c r="N85" s="640"/>
      <c r="O85" s="640"/>
      <c r="P85" s="640"/>
    </row>
    <row r="86" spans="1:18" ht="135.94999999999999" customHeight="1" x14ac:dyDescent="0.25">
      <c r="A86" s="231" t="s">
        <v>198</v>
      </c>
      <c r="B86" s="642" t="s">
        <v>826</v>
      </c>
      <c r="C86" s="643"/>
      <c r="D86" s="643"/>
      <c r="E86" s="643"/>
      <c r="F86" s="643"/>
      <c r="G86" s="643" t="s">
        <v>2233</v>
      </c>
      <c r="H86" s="643"/>
      <c r="I86" s="643"/>
      <c r="J86" s="643"/>
      <c r="K86" s="643" t="s">
        <v>2234</v>
      </c>
      <c r="L86" s="643"/>
      <c r="M86" s="643"/>
      <c r="N86" s="643"/>
      <c r="O86" s="644">
        <f>ROUND((61900 + 15484 * (0.4 * 1 + 0.6 * (1 / 2))) * 1 * 0.27 * 1.56 * 0.6, 2)</f>
        <v>18382.55</v>
      </c>
      <c r="P86" s="643"/>
    </row>
    <row r="87" spans="1:18" x14ac:dyDescent="0.25">
      <c r="A87" s="232"/>
      <c r="B87" s="641" t="s">
        <v>564</v>
      </c>
      <c r="C87" s="641"/>
      <c r="D87" s="641"/>
      <c r="E87" s="641"/>
      <c r="F87" s="641"/>
      <c r="G87" s="641" t="s">
        <v>15</v>
      </c>
      <c r="H87" s="641"/>
      <c r="I87" s="641"/>
      <c r="J87" s="641"/>
      <c r="K87" s="641" t="s">
        <v>15</v>
      </c>
      <c r="L87" s="641"/>
      <c r="M87" s="641"/>
      <c r="N87" s="641"/>
      <c r="O87" s="641"/>
      <c r="P87" s="641"/>
    </row>
    <row r="88" spans="1:18" x14ac:dyDescent="0.25">
      <c r="A88" s="233"/>
      <c r="B88" s="640" t="s">
        <v>681</v>
      </c>
      <c r="C88" s="640"/>
      <c r="D88" s="640"/>
      <c r="E88" s="640"/>
      <c r="F88" s="640"/>
      <c r="G88" s="640" t="s">
        <v>682</v>
      </c>
      <c r="H88" s="640"/>
      <c r="I88" s="640"/>
      <c r="J88" s="640"/>
      <c r="K88" s="640" t="s">
        <v>15</v>
      </c>
      <c r="L88" s="640"/>
      <c r="M88" s="640"/>
      <c r="N88" s="640"/>
      <c r="O88" s="640"/>
      <c r="P88" s="640"/>
    </row>
    <row r="89" spans="1:18" ht="40.9" customHeight="1" x14ac:dyDescent="0.25">
      <c r="A89" s="233"/>
      <c r="B89" s="640" t="s">
        <v>683</v>
      </c>
      <c r="C89" s="640"/>
      <c r="D89" s="640"/>
      <c r="E89" s="640"/>
      <c r="F89" s="640"/>
      <c r="G89" s="640" t="s">
        <v>2194</v>
      </c>
      <c r="H89" s="640"/>
      <c r="I89" s="640"/>
      <c r="J89" s="640"/>
      <c r="K89" s="640" t="s">
        <v>15</v>
      </c>
      <c r="L89" s="640"/>
      <c r="M89" s="640"/>
      <c r="N89" s="640"/>
      <c r="O89" s="640"/>
      <c r="P89" s="640"/>
    </row>
    <row r="90" spans="1:18" ht="83.25" customHeight="1" x14ac:dyDescent="0.25">
      <c r="A90" s="233"/>
      <c r="B90" s="640" t="s">
        <v>778</v>
      </c>
      <c r="C90" s="640"/>
      <c r="D90" s="640"/>
      <c r="E90" s="640"/>
      <c r="F90" s="640"/>
      <c r="G90" s="640" t="s">
        <v>2235</v>
      </c>
      <c r="H90" s="640"/>
      <c r="I90" s="640"/>
      <c r="J90" s="640"/>
      <c r="K90" s="640" t="s">
        <v>15</v>
      </c>
      <c r="L90" s="640"/>
      <c r="M90" s="640"/>
      <c r="N90" s="640"/>
      <c r="O90" s="640"/>
      <c r="P90" s="640"/>
    </row>
    <row r="91" spans="1:18" x14ac:dyDescent="0.25">
      <c r="A91" s="234" t="s">
        <v>356</v>
      </c>
      <c r="B91" s="636" t="s">
        <v>604</v>
      </c>
      <c r="C91" s="636"/>
      <c r="D91" s="636"/>
      <c r="E91" s="636"/>
      <c r="F91" s="636"/>
      <c r="G91" s="636"/>
      <c r="H91" s="636"/>
      <c r="I91" s="636"/>
      <c r="J91" s="636"/>
      <c r="K91" s="636" t="s">
        <v>15</v>
      </c>
      <c r="L91" s="636"/>
      <c r="M91" s="636"/>
      <c r="N91" s="636"/>
      <c r="O91" s="637">
        <f>ROUND(SUM($O$16:$O$86),2)</f>
        <v>1279655.56</v>
      </c>
      <c r="P91" s="636"/>
    </row>
    <row r="92" spans="1:18" ht="94.5" customHeight="1" x14ac:dyDescent="0.25">
      <c r="A92" s="234" t="s">
        <v>363</v>
      </c>
      <c r="B92" s="638" t="s">
        <v>606</v>
      </c>
      <c r="C92" s="638"/>
      <c r="D92" s="638"/>
      <c r="E92" s="638"/>
      <c r="F92" s="638"/>
      <c r="G92" s="638" t="s">
        <v>607</v>
      </c>
      <c r="H92" s="638"/>
      <c r="I92" s="638"/>
      <c r="J92" s="638"/>
      <c r="K92" s="638" t="s">
        <v>2236</v>
      </c>
      <c r="L92" s="638"/>
      <c r="M92" s="638"/>
      <c r="N92" s="638"/>
      <c r="O92" s="639">
        <f>ROUND(($O$91) * 1  * 0.8,2)</f>
        <v>1023724.45</v>
      </c>
      <c r="P92" s="638"/>
    </row>
    <row r="93" spans="1:18" ht="35.25" customHeight="1" x14ac:dyDescent="0.25">
      <c r="A93" s="234" t="s">
        <v>367</v>
      </c>
      <c r="B93" s="677" t="s">
        <v>606</v>
      </c>
      <c r="C93" s="677"/>
      <c r="D93" s="677"/>
      <c r="E93" s="677"/>
      <c r="F93" s="677"/>
      <c r="G93" s="677" t="s">
        <v>2314</v>
      </c>
      <c r="H93" s="677"/>
      <c r="I93" s="677"/>
      <c r="J93" s="677"/>
      <c r="K93" s="677" t="s">
        <v>2315</v>
      </c>
      <c r="L93" s="677"/>
      <c r="M93" s="677"/>
      <c r="N93" s="677"/>
      <c r="O93" s="678">
        <f>O92*0.7</f>
        <v>716607.11499999987</v>
      </c>
      <c r="P93" s="677"/>
    </row>
    <row r="94" spans="1:18" x14ac:dyDescent="0.25">
      <c r="A94" s="234" t="s">
        <v>371</v>
      </c>
      <c r="B94" s="636" t="s">
        <v>613</v>
      </c>
      <c r="C94" s="636"/>
      <c r="D94" s="636"/>
      <c r="E94" s="636"/>
      <c r="F94" s="636"/>
      <c r="G94" s="636"/>
      <c r="H94" s="636"/>
      <c r="I94" s="636"/>
      <c r="J94" s="636"/>
      <c r="K94" s="636" t="s">
        <v>15</v>
      </c>
      <c r="L94" s="636"/>
      <c r="M94" s="636"/>
      <c r="N94" s="636"/>
      <c r="O94" s="637">
        <f>ROUND(($O$93),2)</f>
        <v>716607.12</v>
      </c>
      <c r="P94" s="636"/>
      <c r="R94" s="236">
        <f>O94</f>
        <v>716607.12</v>
      </c>
    </row>
  </sheetData>
  <mergeCells count="318">
    <mergeCell ref="A1:D1"/>
    <mergeCell ref="E1:P1"/>
    <mergeCell ref="A3:P3"/>
    <mergeCell ref="A4:P4"/>
    <mergeCell ref="A6:E6"/>
    <mergeCell ref="F6:P6"/>
    <mergeCell ref="A8:E8"/>
    <mergeCell ref="F8:P8"/>
    <mergeCell ref="A10:E10"/>
    <mergeCell ref="F10:P10"/>
    <mergeCell ref="B12:F12"/>
    <mergeCell ref="G12:J12"/>
    <mergeCell ref="K12:N12"/>
    <mergeCell ref="O12:P12"/>
    <mergeCell ref="B13:F13"/>
    <mergeCell ref="G13:J13"/>
    <mergeCell ref="K13:N13"/>
    <mergeCell ref="O13:P13"/>
    <mergeCell ref="A14:P14"/>
    <mergeCell ref="A15:P15"/>
    <mergeCell ref="B16:F16"/>
    <mergeCell ref="G16:J16"/>
    <mergeCell ref="K16:N16"/>
    <mergeCell ref="O16:P16"/>
    <mergeCell ref="B17:F17"/>
    <mergeCell ref="G17:J17"/>
    <mergeCell ref="K17:N17"/>
    <mergeCell ref="O17:P17"/>
    <mergeCell ref="B18:F18"/>
    <mergeCell ref="G18:J18"/>
    <mergeCell ref="K18:N18"/>
    <mergeCell ref="O18:P18"/>
    <mergeCell ref="B19:F19"/>
    <mergeCell ref="G19:J19"/>
    <mergeCell ref="K19:N19"/>
    <mergeCell ref="O19:P19"/>
    <mergeCell ref="B20:F20"/>
    <mergeCell ref="G20:J20"/>
    <mergeCell ref="K20:N20"/>
    <mergeCell ref="O20:P20"/>
    <mergeCell ref="B21:F21"/>
    <mergeCell ref="G21:J21"/>
    <mergeCell ref="K21:N21"/>
    <mergeCell ref="O21:P21"/>
    <mergeCell ref="B22:F22"/>
    <mergeCell ref="G22:J22"/>
    <mergeCell ref="K22:N22"/>
    <mergeCell ref="O22:P22"/>
    <mergeCell ref="B23:F23"/>
    <mergeCell ref="G23:J23"/>
    <mergeCell ref="K23:N23"/>
    <mergeCell ref="O23:P23"/>
    <mergeCell ref="A24:P24"/>
    <mergeCell ref="B25:F25"/>
    <mergeCell ref="G25:J25"/>
    <mergeCell ref="K25:N25"/>
    <mergeCell ref="O25:P25"/>
    <mergeCell ref="B26:F26"/>
    <mergeCell ref="G26:J26"/>
    <mergeCell ref="K26:N26"/>
    <mergeCell ref="O26:P26"/>
    <mergeCell ref="B27:F27"/>
    <mergeCell ref="G27:J27"/>
    <mergeCell ref="K27:N27"/>
    <mergeCell ref="O27:P27"/>
    <mergeCell ref="B28:F28"/>
    <mergeCell ref="G28:J28"/>
    <mergeCell ref="K28:N28"/>
    <mergeCell ref="O28:P28"/>
    <mergeCell ref="B29:F29"/>
    <mergeCell ref="G29:J29"/>
    <mergeCell ref="K29:N29"/>
    <mergeCell ref="O29:P29"/>
    <mergeCell ref="B30:F30"/>
    <mergeCell ref="G30:J30"/>
    <mergeCell ref="K30:N30"/>
    <mergeCell ref="O30:P30"/>
    <mergeCell ref="B31:F31"/>
    <mergeCell ref="G31:J31"/>
    <mergeCell ref="K31:N31"/>
    <mergeCell ref="O31:P31"/>
    <mergeCell ref="B32:F32"/>
    <mergeCell ref="G32:J32"/>
    <mergeCell ref="K32:N32"/>
    <mergeCell ref="O32:P32"/>
    <mergeCell ref="A33:P33"/>
    <mergeCell ref="B34:F34"/>
    <mergeCell ref="G34:J34"/>
    <mergeCell ref="K34:N34"/>
    <mergeCell ref="O34:P34"/>
    <mergeCell ref="B35:F35"/>
    <mergeCell ref="G35:J35"/>
    <mergeCell ref="K35:N35"/>
    <mergeCell ref="O35:P35"/>
    <mergeCell ref="B36:F36"/>
    <mergeCell ref="G36:J36"/>
    <mergeCell ref="K36:N36"/>
    <mergeCell ref="O36:P36"/>
    <mergeCell ref="B37:F37"/>
    <mergeCell ref="G37:J37"/>
    <mergeCell ref="K37:N37"/>
    <mergeCell ref="O37:P37"/>
    <mergeCell ref="B38:F38"/>
    <mergeCell ref="G38:J38"/>
    <mergeCell ref="K38:N38"/>
    <mergeCell ref="O38:P38"/>
    <mergeCell ref="B39:F39"/>
    <mergeCell ref="G39:J39"/>
    <mergeCell ref="K39:N39"/>
    <mergeCell ref="O39:P39"/>
    <mergeCell ref="B40:F40"/>
    <mergeCell ref="G40:J40"/>
    <mergeCell ref="K40:N40"/>
    <mergeCell ref="O40:P40"/>
    <mergeCell ref="B41:F41"/>
    <mergeCell ref="G41:J41"/>
    <mergeCell ref="K41:N41"/>
    <mergeCell ref="O41:P41"/>
    <mergeCell ref="B42:F42"/>
    <mergeCell ref="G42:J42"/>
    <mergeCell ref="K42:N42"/>
    <mergeCell ref="O42:P42"/>
    <mergeCell ref="A43:P43"/>
    <mergeCell ref="B44:F44"/>
    <mergeCell ref="G44:J44"/>
    <mergeCell ref="K44:N44"/>
    <mergeCell ref="O44:P44"/>
    <mergeCell ref="B45:F45"/>
    <mergeCell ref="G45:J45"/>
    <mergeCell ref="K45:N45"/>
    <mergeCell ref="O45:P45"/>
    <mergeCell ref="B46:F46"/>
    <mergeCell ref="G46:J46"/>
    <mergeCell ref="K46:N46"/>
    <mergeCell ref="O46:P46"/>
    <mergeCell ref="B47:F47"/>
    <mergeCell ref="G47:J47"/>
    <mergeCell ref="K47:N47"/>
    <mergeCell ref="O47:P47"/>
    <mergeCell ref="B48:F48"/>
    <mergeCell ref="G48:J48"/>
    <mergeCell ref="K48:N48"/>
    <mergeCell ref="O48:P48"/>
    <mergeCell ref="B49:F49"/>
    <mergeCell ref="G49:J49"/>
    <mergeCell ref="K49:N49"/>
    <mergeCell ref="O49:P49"/>
    <mergeCell ref="B50:F50"/>
    <mergeCell ref="G50:J50"/>
    <mergeCell ref="K50:N50"/>
    <mergeCell ref="O50:P50"/>
    <mergeCell ref="B51:F51"/>
    <mergeCell ref="G51:J51"/>
    <mergeCell ref="K51:N51"/>
    <mergeCell ref="O51:P51"/>
    <mergeCell ref="B52:F52"/>
    <mergeCell ref="G52:J52"/>
    <mergeCell ref="K52:N52"/>
    <mergeCell ref="O52:P52"/>
    <mergeCell ref="B53:F53"/>
    <mergeCell ref="G53:J53"/>
    <mergeCell ref="K53:N53"/>
    <mergeCell ref="O53:P53"/>
    <mergeCell ref="B54:F54"/>
    <mergeCell ref="G54:J54"/>
    <mergeCell ref="K54:N54"/>
    <mergeCell ref="O54:P54"/>
    <mergeCell ref="B55:F55"/>
    <mergeCell ref="G55:J55"/>
    <mergeCell ref="K55:N55"/>
    <mergeCell ref="O55:P55"/>
    <mergeCell ref="B56:F56"/>
    <mergeCell ref="G56:J56"/>
    <mergeCell ref="K56:N56"/>
    <mergeCell ref="O56:P56"/>
    <mergeCell ref="B57:F57"/>
    <mergeCell ref="G57:J57"/>
    <mergeCell ref="K57:N57"/>
    <mergeCell ref="O57:P57"/>
    <mergeCell ref="B58:F58"/>
    <mergeCell ref="G58:J58"/>
    <mergeCell ref="K58:N58"/>
    <mergeCell ref="O58:P58"/>
    <mergeCell ref="B59:F59"/>
    <mergeCell ref="G59:J59"/>
    <mergeCell ref="K59:N59"/>
    <mergeCell ref="O59:P59"/>
    <mergeCell ref="B60:F60"/>
    <mergeCell ref="G60:J60"/>
    <mergeCell ref="K60:N60"/>
    <mergeCell ref="O60:P60"/>
    <mergeCell ref="B61:F61"/>
    <mergeCell ref="G61:J61"/>
    <mergeCell ref="K61:N61"/>
    <mergeCell ref="O61:P61"/>
    <mergeCell ref="A62:P62"/>
    <mergeCell ref="B63:F63"/>
    <mergeCell ref="G63:J63"/>
    <mergeCell ref="K63:N63"/>
    <mergeCell ref="O63:P63"/>
    <mergeCell ref="B64:F64"/>
    <mergeCell ref="G64:J64"/>
    <mergeCell ref="K64:N64"/>
    <mergeCell ref="O64:P64"/>
    <mergeCell ref="B65:F65"/>
    <mergeCell ref="G65:J65"/>
    <mergeCell ref="K65:N65"/>
    <mergeCell ref="O65:P65"/>
    <mergeCell ref="B66:F66"/>
    <mergeCell ref="G66:J66"/>
    <mergeCell ref="K66:N66"/>
    <mergeCell ref="O66:P66"/>
    <mergeCell ref="B67:F67"/>
    <mergeCell ref="G67:J67"/>
    <mergeCell ref="K67:N67"/>
    <mergeCell ref="O67:P67"/>
    <mergeCell ref="B68:F68"/>
    <mergeCell ref="G68:J68"/>
    <mergeCell ref="K68:N68"/>
    <mergeCell ref="O68:P68"/>
    <mergeCell ref="B69:F69"/>
    <mergeCell ref="G69:J69"/>
    <mergeCell ref="K69:N69"/>
    <mergeCell ref="O69:P69"/>
    <mergeCell ref="B70:F70"/>
    <mergeCell ref="G70:J70"/>
    <mergeCell ref="K70:N70"/>
    <mergeCell ref="O70:P70"/>
    <mergeCell ref="A71:P71"/>
    <mergeCell ref="B72:F72"/>
    <mergeCell ref="G72:J72"/>
    <mergeCell ref="K72:N72"/>
    <mergeCell ref="O72:P72"/>
    <mergeCell ref="B73:F73"/>
    <mergeCell ref="G73:J73"/>
    <mergeCell ref="K73:N73"/>
    <mergeCell ref="O73:P73"/>
    <mergeCell ref="B74:F74"/>
    <mergeCell ref="G74:J74"/>
    <mergeCell ref="K74:N74"/>
    <mergeCell ref="O74:P74"/>
    <mergeCell ref="B75:F75"/>
    <mergeCell ref="G75:J75"/>
    <mergeCell ref="K75:N75"/>
    <mergeCell ref="O75:P75"/>
    <mergeCell ref="B76:F76"/>
    <mergeCell ref="G76:J76"/>
    <mergeCell ref="K76:N76"/>
    <mergeCell ref="O76:P76"/>
    <mergeCell ref="B77:F77"/>
    <mergeCell ref="G77:J77"/>
    <mergeCell ref="K77:N77"/>
    <mergeCell ref="O77:P77"/>
    <mergeCell ref="B78:F78"/>
    <mergeCell ref="G78:J78"/>
    <mergeCell ref="K78:N78"/>
    <mergeCell ref="O78:P78"/>
    <mergeCell ref="B79:F79"/>
    <mergeCell ref="G79:J79"/>
    <mergeCell ref="K79:N79"/>
    <mergeCell ref="O79:P79"/>
    <mergeCell ref="B80:F80"/>
    <mergeCell ref="G80:J80"/>
    <mergeCell ref="K80:N80"/>
    <mergeCell ref="O80:P80"/>
    <mergeCell ref="A81:P81"/>
    <mergeCell ref="B82:F82"/>
    <mergeCell ref="G82:J82"/>
    <mergeCell ref="K82:N82"/>
    <mergeCell ref="O82:P82"/>
    <mergeCell ref="B83:F83"/>
    <mergeCell ref="G83:J83"/>
    <mergeCell ref="K83:N83"/>
    <mergeCell ref="O83:P83"/>
    <mergeCell ref="B84:F84"/>
    <mergeCell ref="G84:J84"/>
    <mergeCell ref="K84:N84"/>
    <mergeCell ref="O84:P84"/>
    <mergeCell ref="B85:F85"/>
    <mergeCell ref="G85:J85"/>
    <mergeCell ref="K85:N85"/>
    <mergeCell ref="O85:P85"/>
    <mergeCell ref="B86:F86"/>
    <mergeCell ref="G86:J86"/>
    <mergeCell ref="K86:N86"/>
    <mergeCell ref="O86:P86"/>
    <mergeCell ref="B87:F87"/>
    <mergeCell ref="G87:J87"/>
    <mergeCell ref="K87:N87"/>
    <mergeCell ref="O87:P87"/>
    <mergeCell ref="B88:F88"/>
    <mergeCell ref="G88:J88"/>
    <mergeCell ref="K88:N88"/>
    <mergeCell ref="O88:P88"/>
    <mergeCell ref="B89:F89"/>
    <mergeCell ref="G89:J89"/>
    <mergeCell ref="K89:N89"/>
    <mergeCell ref="O89:P89"/>
    <mergeCell ref="B93:F93"/>
    <mergeCell ref="G93:J93"/>
    <mergeCell ref="K93:N93"/>
    <mergeCell ref="O93:P93"/>
    <mergeCell ref="B94:F94"/>
    <mergeCell ref="G94:J94"/>
    <mergeCell ref="K94:N94"/>
    <mergeCell ref="O94:P94"/>
    <mergeCell ref="B90:F90"/>
    <mergeCell ref="G90:J90"/>
    <mergeCell ref="K90:N90"/>
    <mergeCell ref="O90:P90"/>
    <mergeCell ref="B91:F91"/>
    <mergeCell ref="G91:J91"/>
    <mergeCell ref="K91:N91"/>
    <mergeCell ref="O91:P91"/>
    <mergeCell ref="B92:F92"/>
    <mergeCell ref="G92:J92"/>
    <mergeCell ref="K92:N92"/>
    <mergeCell ref="O92:P92"/>
  </mergeCells>
  <conditionalFormatting sqref="B93:L93">
    <cfRule type="containsText" dxfId="0" priority="1" operator="containsText" text="Этап ">
      <formula>NOT(ISERROR(SEARCH("Этап ",B93)))</formula>
    </cfRule>
  </conditionalFormatting>
  <pageMargins left="0.40000000000000008" right="0.40000000000000008" top="0.75" bottom="0.75" header="0.3" footer="0.3"/>
  <pageSetup paperSize="9"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M40"/>
  <sheetViews>
    <sheetView zoomScale="85" workbookViewId="0">
      <selection activeCell="E9" sqref="E9:G9"/>
    </sheetView>
  </sheetViews>
  <sheetFormatPr defaultColWidth="11.5703125" defaultRowHeight="12.75" x14ac:dyDescent="0.2"/>
  <cols>
    <col min="1" max="1" width="4.7109375" style="246" customWidth="1"/>
    <col min="2" max="2" width="27.7109375" style="246" customWidth="1"/>
    <col min="3" max="3" width="13.140625" style="246" customWidth="1"/>
    <col min="4" max="4" width="12.85546875" style="246" customWidth="1"/>
    <col min="5" max="5" width="14.28515625" style="246" customWidth="1"/>
    <col min="6" max="6" width="15.28515625" style="244" customWidth="1"/>
    <col min="7" max="7" width="16.28515625" style="244" customWidth="1"/>
    <col min="8" max="8" width="17.140625" style="244" customWidth="1"/>
    <col min="9" max="256" width="11.5703125" style="244"/>
    <col min="257" max="257" width="4.7109375" style="244" customWidth="1"/>
    <col min="258" max="258" width="20.42578125" style="244" customWidth="1"/>
    <col min="259" max="259" width="13.140625" style="244" customWidth="1"/>
    <col min="260" max="260" width="12.85546875" style="244" customWidth="1"/>
    <col min="261" max="261" width="14.28515625" style="244" customWidth="1"/>
    <col min="262" max="262" width="15.28515625" style="244" customWidth="1"/>
    <col min="263" max="263" width="16.28515625" style="244" customWidth="1"/>
    <col min="264" max="512" width="11.5703125" style="244"/>
    <col min="513" max="513" width="4.7109375" style="244" customWidth="1"/>
    <col min="514" max="514" width="20.42578125" style="244" customWidth="1"/>
    <col min="515" max="515" width="13.140625" style="244" customWidth="1"/>
    <col min="516" max="516" width="12.85546875" style="244" customWidth="1"/>
    <col min="517" max="517" width="14.28515625" style="244" customWidth="1"/>
    <col min="518" max="518" width="15.28515625" style="244" customWidth="1"/>
    <col min="519" max="519" width="16.28515625" style="244" customWidth="1"/>
    <col min="520" max="768" width="11.5703125" style="244"/>
    <col min="769" max="769" width="4.7109375" style="244" customWidth="1"/>
    <col min="770" max="770" width="20.42578125" style="244" customWidth="1"/>
    <col min="771" max="771" width="13.140625" style="244" customWidth="1"/>
    <col min="772" max="772" width="12.85546875" style="244" customWidth="1"/>
    <col min="773" max="773" width="14.28515625" style="244" customWidth="1"/>
    <col min="774" max="774" width="15.28515625" style="244" customWidth="1"/>
    <col min="775" max="775" width="16.28515625" style="244" customWidth="1"/>
    <col min="776" max="1024" width="11.5703125" style="244"/>
    <col min="1025" max="1025" width="4.7109375" style="244" customWidth="1"/>
    <col min="1026" max="1026" width="20.42578125" style="244" customWidth="1"/>
    <col min="1027" max="1027" width="13.140625" style="244" customWidth="1"/>
    <col min="1028" max="1028" width="12.85546875" style="244" customWidth="1"/>
    <col min="1029" max="1029" width="14.28515625" style="244" customWidth="1"/>
    <col min="1030" max="1030" width="15.28515625" style="244" customWidth="1"/>
    <col min="1031" max="1031" width="16.28515625" style="244" customWidth="1"/>
    <col min="1032" max="1280" width="11.5703125" style="244"/>
    <col min="1281" max="1281" width="4.7109375" style="244" customWidth="1"/>
    <col min="1282" max="1282" width="20.42578125" style="244" customWidth="1"/>
    <col min="1283" max="1283" width="13.140625" style="244" customWidth="1"/>
    <col min="1284" max="1284" width="12.85546875" style="244" customWidth="1"/>
    <col min="1285" max="1285" width="14.28515625" style="244" customWidth="1"/>
    <col min="1286" max="1286" width="15.28515625" style="244" customWidth="1"/>
    <col min="1287" max="1287" width="16.28515625" style="244" customWidth="1"/>
    <col min="1288" max="1536" width="11.5703125" style="244"/>
    <col min="1537" max="1537" width="4.7109375" style="244" customWidth="1"/>
    <col min="1538" max="1538" width="20.42578125" style="244" customWidth="1"/>
    <col min="1539" max="1539" width="13.140625" style="244" customWidth="1"/>
    <col min="1540" max="1540" width="12.85546875" style="244" customWidth="1"/>
    <col min="1541" max="1541" width="14.28515625" style="244" customWidth="1"/>
    <col min="1542" max="1542" width="15.28515625" style="244" customWidth="1"/>
    <col min="1543" max="1543" width="16.28515625" style="244" customWidth="1"/>
    <col min="1544" max="1792" width="11.5703125" style="244"/>
    <col min="1793" max="1793" width="4.7109375" style="244" customWidth="1"/>
    <col min="1794" max="1794" width="20.42578125" style="244" customWidth="1"/>
    <col min="1795" max="1795" width="13.140625" style="244" customWidth="1"/>
    <col min="1796" max="1796" width="12.85546875" style="244" customWidth="1"/>
    <col min="1797" max="1797" width="14.28515625" style="244" customWidth="1"/>
    <col min="1798" max="1798" width="15.28515625" style="244" customWidth="1"/>
    <col min="1799" max="1799" width="16.28515625" style="244" customWidth="1"/>
    <col min="1800" max="2048" width="11.5703125" style="244"/>
    <col min="2049" max="2049" width="4.7109375" style="244" customWidth="1"/>
    <col min="2050" max="2050" width="20.42578125" style="244" customWidth="1"/>
    <col min="2051" max="2051" width="13.140625" style="244" customWidth="1"/>
    <col min="2052" max="2052" width="12.85546875" style="244" customWidth="1"/>
    <col min="2053" max="2053" width="14.28515625" style="244" customWidth="1"/>
    <col min="2054" max="2054" width="15.28515625" style="244" customWidth="1"/>
    <col min="2055" max="2055" width="16.28515625" style="244" customWidth="1"/>
    <col min="2056" max="2304" width="11.5703125" style="244"/>
    <col min="2305" max="2305" width="4.7109375" style="244" customWidth="1"/>
    <col min="2306" max="2306" width="20.42578125" style="244" customWidth="1"/>
    <col min="2307" max="2307" width="13.140625" style="244" customWidth="1"/>
    <col min="2308" max="2308" width="12.85546875" style="244" customWidth="1"/>
    <col min="2309" max="2309" width="14.28515625" style="244" customWidth="1"/>
    <col min="2310" max="2310" width="15.28515625" style="244" customWidth="1"/>
    <col min="2311" max="2311" width="16.28515625" style="244" customWidth="1"/>
    <col min="2312" max="2560" width="11.5703125" style="244"/>
    <col min="2561" max="2561" width="4.7109375" style="244" customWidth="1"/>
    <col min="2562" max="2562" width="20.42578125" style="244" customWidth="1"/>
    <col min="2563" max="2563" width="13.140625" style="244" customWidth="1"/>
    <col min="2564" max="2564" width="12.85546875" style="244" customWidth="1"/>
    <col min="2565" max="2565" width="14.28515625" style="244" customWidth="1"/>
    <col min="2566" max="2566" width="15.28515625" style="244" customWidth="1"/>
    <col min="2567" max="2567" width="16.28515625" style="244" customWidth="1"/>
    <col min="2568" max="2816" width="11.5703125" style="244"/>
    <col min="2817" max="2817" width="4.7109375" style="244" customWidth="1"/>
    <col min="2818" max="2818" width="20.42578125" style="244" customWidth="1"/>
    <col min="2819" max="2819" width="13.140625" style="244" customWidth="1"/>
    <col min="2820" max="2820" width="12.85546875" style="244" customWidth="1"/>
    <col min="2821" max="2821" width="14.28515625" style="244" customWidth="1"/>
    <col min="2822" max="2822" width="15.28515625" style="244" customWidth="1"/>
    <col min="2823" max="2823" width="16.28515625" style="244" customWidth="1"/>
    <col min="2824" max="3072" width="11.5703125" style="244"/>
    <col min="3073" max="3073" width="4.7109375" style="244" customWidth="1"/>
    <col min="3074" max="3074" width="20.42578125" style="244" customWidth="1"/>
    <col min="3075" max="3075" width="13.140625" style="244" customWidth="1"/>
    <col min="3076" max="3076" width="12.85546875" style="244" customWidth="1"/>
    <col min="3077" max="3077" width="14.28515625" style="244" customWidth="1"/>
    <col min="3078" max="3078" width="15.28515625" style="244" customWidth="1"/>
    <col min="3079" max="3079" width="16.28515625" style="244" customWidth="1"/>
    <col min="3080" max="3328" width="11.5703125" style="244"/>
    <col min="3329" max="3329" width="4.7109375" style="244" customWidth="1"/>
    <col min="3330" max="3330" width="20.42578125" style="244" customWidth="1"/>
    <col min="3331" max="3331" width="13.140625" style="244" customWidth="1"/>
    <col min="3332" max="3332" width="12.85546875" style="244" customWidth="1"/>
    <col min="3333" max="3333" width="14.28515625" style="244" customWidth="1"/>
    <col min="3334" max="3334" width="15.28515625" style="244" customWidth="1"/>
    <col min="3335" max="3335" width="16.28515625" style="244" customWidth="1"/>
    <col min="3336" max="3584" width="11.5703125" style="244"/>
    <col min="3585" max="3585" width="4.7109375" style="244" customWidth="1"/>
    <col min="3586" max="3586" width="20.42578125" style="244" customWidth="1"/>
    <col min="3587" max="3587" width="13.140625" style="244" customWidth="1"/>
    <col min="3588" max="3588" width="12.85546875" style="244" customWidth="1"/>
    <col min="3589" max="3589" width="14.28515625" style="244" customWidth="1"/>
    <col min="3590" max="3590" width="15.28515625" style="244" customWidth="1"/>
    <col min="3591" max="3591" width="16.28515625" style="244" customWidth="1"/>
    <col min="3592" max="3840" width="11.5703125" style="244"/>
    <col min="3841" max="3841" width="4.7109375" style="244" customWidth="1"/>
    <col min="3842" max="3842" width="20.42578125" style="244" customWidth="1"/>
    <col min="3843" max="3843" width="13.140625" style="244" customWidth="1"/>
    <col min="3844" max="3844" width="12.85546875" style="244" customWidth="1"/>
    <col min="3845" max="3845" width="14.28515625" style="244" customWidth="1"/>
    <col min="3846" max="3846" width="15.28515625" style="244" customWidth="1"/>
    <col min="3847" max="3847" width="16.28515625" style="244" customWidth="1"/>
    <col min="3848" max="4096" width="11.5703125" style="244"/>
    <col min="4097" max="4097" width="4.7109375" style="244" customWidth="1"/>
    <col min="4098" max="4098" width="20.42578125" style="244" customWidth="1"/>
    <col min="4099" max="4099" width="13.140625" style="244" customWidth="1"/>
    <col min="4100" max="4100" width="12.85546875" style="244" customWidth="1"/>
    <col min="4101" max="4101" width="14.28515625" style="244" customWidth="1"/>
    <col min="4102" max="4102" width="15.28515625" style="244" customWidth="1"/>
    <col min="4103" max="4103" width="16.28515625" style="244" customWidth="1"/>
    <col min="4104" max="4352" width="11.5703125" style="244"/>
    <col min="4353" max="4353" width="4.7109375" style="244" customWidth="1"/>
    <col min="4354" max="4354" width="20.42578125" style="244" customWidth="1"/>
    <col min="4355" max="4355" width="13.140625" style="244" customWidth="1"/>
    <col min="4356" max="4356" width="12.85546875" style="244" customWidth="1"/>
    <col min="4357" max="4357" width="14.28515625" style="244" customWidth="1"/>
    <col min="4358" max="4358" width="15.28515625" style="244" customWidth="1"/>
    <col min="4359" max="4359" width="16.28515625" style="244" customWidth="1"/>
    <col min="4360" max="4608" width="11.5703125" style="244"/>
    <col min="4609" max="4609" width="4.7109375" style="244" customWidth="1"/>
    <col min="4610" max="4610" width="20.42578125" style="244" customWidth="1"/>
    <col min="4611" max="4611" width="13.140625" style="244" customWidth="1"/>
    <col min="4612" max="4612" width="12.85546875" style="244" customWidth="1"/>
    <col min="4613" max="4613" width="14.28515625" style="244" customWidth="1"/>
    <col min="4614" max="4614" width="15.28515625" style="244" customWidth="1"/>
    <col min="4615" max="4615" width="16.28515625" style="244" customWidth="1"/>
    <col min="4616" max="4864" width="11.5703125" style="244"/>
    <col min="4865" max="4865" width="4.7109375" style="244" customWidth="1"/>
    <col min="4866" max="4866" width="20.42578125" style="244" customWidth="1"/>
    <col min="4867" max="4867" width="13.140625" style="244" customWidth="1"/>
    <col min="4868" max="4868" width="12.85546875" style="244" customWidth="1"/>
    <col min="4869" max="4869" width="14.28515625" style="244" customWidth="1"/>
    <col min="4870" max="4870" width="15.28515625" style="244" customWidth="1"/>
    <col min="4871" max="4871" width="16.28515625" style="244" customWidth="1"/>
    <col min="4872" max="5120" width="11.5703125" style="244"/>
    <col min="5121" max="5121" width="4.7109375" style="244" customWidth="1"/>
    <col min="5122" max="5122" width="20.42578125" style="244" customWidth="1"/>
    <col min="5123" max="5123" width="13.140625" style="244" customWidth="1"/>
    <col min="5124" max="5124" width="12.85546875" style="244" customWidth="1"/>
    <col min="5125" max="5125" width="14.28515625" style="244" customWidth="1"/>
    <col min="5126" max="5126" width="15.28515625" style="244" customWidth="1"/>
    <col min="5127" max="5127" width="16.28515625" style="244" customWidth="1"/>
    <col min="5128" max="5376" width="11.5703125" style="244"/>
    <col min="5377" max="5377" width="4.7109375" style="244" customWidth="1"/>
    <col min="5378" max="5378" width="20.42578125" style="244" customWidth="1"/>
    <col min="5379" max="5379" width="13.140625" style="244" customWidth="1"/>
    <col min="5380" max="5380" width="12.85546875" style="244" customWidth="1"/>
    <col min="5381" max="5381" width="14.28515625" style="244" customWidth="1"/>
    <col min="5382" max="5382" width="15.28515625" style="244" customWidth="1"/>
    <col min="5383" max="5383" width="16.28515625" style="244" customWidth="1"/>
    <col min="5384" max="5632" width="11.5703125" style="244"/>
    <col min="5633" max="5633" width="4.7109375" style="244" customWidth="1"/>
    <col min="5634" max="5634" width="20.42578125" style="244" customWidth="1"/>
    <col min="5635" max="5635" width="13.140625" style="244" customWidth="1"/>
    <col min="5636" max="5636" width="12.85546875" style="244" customWidth="1"/>
    <col min="5637" max="5637" width="14.28515625" style="244" customWidth="1"/>
    <col min="5638" max="5638" width="15.28515625" style="244" customWidth="1"/>
    <col min="5639" max="5639" width="16.28515625" style="244" customWidth="1"/>
    <col min="5640" max="5888" width="11.5703125" style="244"/>
    <col min="5889" max="5889" width="4.7109375" style="244" customWidth="1"/>
    <col min="5890" max="5890" width="20.42578125" style="244" customWidth="1"/>
    <col min="5891" max="5891" width="13.140625" style="244" customWidth="1"/>
    <col min="5892" max="5892" width="12.85546875" style="244" customWidth="1"/>
    <col min="5893" max="5893" width="14.28515625" style="244" customWidth="1"/>
    <col min="5894" max="5894" width="15.28515625" style="244" customWidth="1"/>
    <col min="5895" max="5895" width="16.28515625" style="244" customWidth="1"/>
    <col min="5896" max="6144" width="11.5703125" style="244"/>
    <col min="6145" max="6145" width="4.7109375" style="244" customWidth="1"/>
    <col min="6146" max="6146" width="20.42578125" style="244" customWidth="1"/>
    <col min="6147" max="6147" width="13.140625" style="244" customWidth="1"/>
    <col min="6148" max="6148" width="12.85546875" style="244" customWidth="1"/>
    <col min="6149" max="6149" width="14.28515625" style="244" customWidth="1"/>
    <col min="6150" max="6150" width="15.28515625" style="244" customWidth="1"/>
    <col min="6151" max="6151" width="16.28515625" style="244" customWidth="1"/>
    <col min="6152" max="6400" width="11.5703125" style="244"/>
    <col min="6401" max="6401" width="4.7109375" style="244" customWidth="1"/>
    <col min="6402" max="6402" width="20.42578125" style="244" customWidth="1"/>
    <col min="6403" max="6403" width="13.140625" style="244" customWidth="1"/>
    <col min="6404" max="6404" width="12.85546875" style="244" customWidth="1"/>
    <col min="6405" max="6405" width="14.28515625" style="244" customWidth="1"/>
    <col min="6406" max="6406" width="15.28515625" style="244" customWidth="1"/>
    <col min="6407" max="6407" width="16.28515625" style="244" customWidth="1"/>
    <col min="6408" max="6656" width="11.5703125" style="244"/>
    <col min="6657" max="6657" width="4.7109375" style="244" customWidth="1"/>
    <col min="6658" max="6658" width="20.42578125" style="244" customWidth="1"/>
    <col min="6659" max="6659" width="13.140625" style="244" customWidth="1"/>
    <col min="6660" max="6660" width="12.85546875" style="244" customWidth="1"/>
    <col min="6661" max="6661" width="14.28515625" style="244" customWidth="1"/>
    <col min="6662" max="6662" width="15.28515625" style="244" customWidth="1"/>
    <col min="6663" max="6663" width="16.28515625" style="244" customWidth="1"/>
    <col min="6664" max="6912" width="11.5703125" style="244"/>
    <col min="6913" max="6913" width="4.7109375" style="244" customWidth="1"/>
    <col min="6914" max="6914" width="20.42578125" style="244" customWidth="1"/>
    <col min="6915" max="6915" width="13.140625" style="244" customWidth="1"/>
    <col min="6916" max="6916" width="12.85546875" style="244" customWidth="1"/>
    <col min="6917" max="6917" width="14.28515625" style="244" customWidth="1"/>
    <col min="6918" max="6918" width="15.28515625" style="244" customWidth="1"/>
    <col min="6919" max="6919" width="16.28515625" style="244" customWidth="1"/>
    <col min="6920" max="7168" width="11.5703125" style="244"/>
    <col min="7169" max="7169" width="4.7109375" style="244" customWidth="1"/>
    <col min="7170" max="7170" width="20.42578125" style="244" customWidth="1"/>
    <col min="7171" max="7171" width="13.140625" style="244" customWidth="1"/>
    <col min="7172" max="7172" width="12.85546875" style="244" customWidth="1"/>
    <col min="7173" max="7173" width="14.28515625" style="244" customWidth="1"/>
    <col min="7174" max="7174" width="15.28515625" style="244" customWidth="1"/>
    <col min="7175" max="7175" width="16.28515625" style="244" customWidth="1"/>
    <col min="7176" max="7424" width="11.5703125" style="244"/>
    <col min="7425" max="7425" width="4.7109375" style="244" customWidth="1"/>
    <col min="7426" max="7426" width="20.42578125" style="244" customWidth="1"/>
    <col min="7427" max="7427" width="13.140625" style="244" customWidth="1"/>
    <col min="7428" max="7428" width="12.85546875" style="244" customWidth="1"/>
    <col min="7429" max="7429" width="14.28515625" style="244" customWidth="1"/>
    <col min="7430" max="7430" width="15.28515625" style="244" customWidth="1"/>
    <col min="7431" max="7431" width="16.28515625" style="244" customWidth="1"/>
    <col min="7432" max="7680" width="11.5703125" style="244"/>
    <col min="7681" max="7681" width="4.7109375" style="244" customWidth="1"/>
    <col min="7682" max="7682" width="20.42578125" style="244" customWidth="1"/>
    <col min="7683" max="7683" width="13.140625" style="244" customWidth="1"/>
    <col min="7684" max="7684" width="12.85546875" style="244" customWidth="1"/>
    <col min="7685" max="7685" width="14.28515625" style="244" customWidth="1"/>
    <col min="7686" max="7686" width="15.28515625" style="244" customWidth="1"/>
    <col min="7687" max="7687" width="16.28515625" style="244" customWidth="1"/>
    <col min="7688" max="7936" width="11.5703125" style="244"/>
    <col min="7937" max="7937" width="4.7109375" style="244" customWidth="1"/>
    <col min="7938" max="7938" width="20.42578125" style="244" customWidth="1"/>
    <col min="7939" max="7939" width="13.140625" style="244" customWidth="1"/>
    <col min="7940" max="7940" width="12.85546875" style="244" customWidth="1"/>
    <col min="7941" max="7941" width="14.28515625" style="244" customWidth="1"/>
    <col min="7942" max="7942" width="15.28515625" style="244" customWidth="1"/>
    <col min="7943" max="7943" width="16.28515625" style="244" customWidth="1"/>
    <col min="7944" max="8192" width="11.5703125" style="244"/>
    <col min="8193" max="8193" width="4.7109375" style="244" customWidth="1"/>
    <col min="8194" max="8194" width="20.42578125" style="244" customWidth="1"/>
    <col min="8195" max="8195" width="13.140625" style="244" customWidth="1"/>
    <col min="8196" max="8196" width="12.85546875" style="244" customWidth="1"/>
    <col min="8197" max="8197" width="14.28515625" style="244" customWidth="1"/>
    <col min="8198" max="8198" width="15.28515625" style="244" customWidth="1"/>
    <col min="8199" max="8199" width="16.28515625" style="244" customWidth="1"/>
    <col min="8200" max="8448" width="11.5703125" style="244"/>
    <col min="8449" max="8449" width="4.7109375" style="244" customWidth="1"/>
    <col min="8450" max="8450" width="20.42578125" style="244" customWidth="1"/>
    <col min="8451" max="8451" width="13.140625" style="244" customWidth="1"/>
    <col min="8452" max="8452" width="12.85546875" style="244" customWidth="1"/>
    <col min="8453" max="8453" width="14.28515625" style="244" customWidth="1"/>
    <col min="8454" max="8454" width="15.28515625" style="244" customWidth="1"/>
    <col min="8455" max="8455" width="16.28515625" style="244" customWidth="1"/>
    <col min="8456" max="8704" width="11.5703125" style="244"/>
    <col min="8705" max="8705" width="4.7109375" style="244" customWidth="1"/>
    <col min="8706" max="8706" width="20.42578125" style="244" customWidth="1"/>
    <col min="8707" max="8707" width="13.140625" style="244" customWidth="1"/>
    <col min="8708" max="8708" width="12.85546875" style="244" customWidth="1"/>
    <col min="8709" max="8709" width="14.28515625" style="244" customWidth="1"/>
    <col min="8710" max="8710" width="15.28515625" style="244" customWidth="1"/>
    <col min="8711" max="8711" width="16.28515625" style="244" customWidth="1"/>
    <col min="8712" max="8960" width="11.5703125" style="244"/>
    <col min="8961" max="8961" width="4.7109375" style="244" customWidth="1"/>
    <col min="8962" max="8962" width="20.42578125" style="244" customWidth="1"/>
    <col min="8963" max="8963" width="13.140625" style="244" customWidth="1"/>
    <col min="8964" max="8964" width="12.85546875" style="244" customWidth="1"/>
    <col min="8965" max="8965" width="14.28515625" style="244" customWidth="1"/>
    <col min="8966" max="8966" width="15.28515625" style="244" customWidth="1"/>
    <col min="8967" max="8967" width="16.28515625" style="244" customWidth="1"/>
    <col min="8968" max="9216" width="11.5703125" style="244"/>
    <col min="9217" max="9217" width="4.7109375" style="244" customWidth="1"/>
    <col min="9218" max="9218" width="20.42578125" style="244" customWidth="1"/>
    <col min="9219" max="9219" width="13.140625" style="244" customWidth="1"/>
    <col min="9220" max="9220" width="12.85546875" style="244" customWidth="1"/>
    <col min="9221" max="9221" width="14.28515625" style="244" customWidth="1"/>
    <col min="9222" max="9222" width="15.28515625" style="244" customWidth="1"/>
    <col min="9223" max="9223" width="16.28515625" style="244" customWidth="1"/>
    <col min="9224" max="9472" width="11.5703125" style="244"/>
    <col min="9473" max="9473" width="4.7109375" style="244" customWidth="1"/>
    <col min="9474" max="9474" width="20.42578125" style="244" customWidth="1"/>
    <col min="9475" max="9475" width="13.140625" style="244" customWidth="1"/>
    <col min="9476" max="9476" width="12.85546875" style="244" customWidth="1"/>
    <col min="9477" max="9477" width="14.28515625" style="244" customWidth="1"/>
    <col min="9478" max="9478" width="15.28515625" style="244" customWidth="1"/>
    <col min="9479" max="9479" width="16.28515625" style="244" customWidth="1"/>
    <col min="9480" max="9728" width="11.5703125" style="244"/>
    <col min="9729" max="9729" width="4.7109375" style="244" customWidth="1"/>
    <col min="9730" max="9730" width="20.42578125" style="244" customWidth="1"/>
    <col min="9731" max="9731" width="13.140625" style="244" customWidth="1"/>
    <col min="9732" max="9732" width="12.85546875" style="244" customWidth="1"/>
    <col min="9733" max="9733" width="14.28515625" style="244" customWidth="1"/>
    <col min="9734" max="9734" width="15.28515625" style="244" customWidth="1"/>
    <col min="9735" max="9735" width="16.28515625" style="244" customWidth="1"/>
    <col min="9736" max="9984" width="11.5703125" style="244"/>
    <col min="9985" max="9985" width="4.7109375" style="244" customWidth="1"/>
    <col min="9986" max="9986" width="20.42578125" style="244" customWidth="1"/>
    <col min="9987" max="9987" width="13.140625" style="244" customWidth="1"/>
    <col min="9988" max="9988" width="12.85546875" style="244" customWidth="1"/>
    <col min="9989" max="9989" width="14.28515625" style="244" customWidth="1"/>
    <col min="9990" max="9990" width="15.28515625" style="244" customWidth="1"/>
    <col min="9991" max="9991" width="16.28515625" style="244" customWidth="1"/>
    <col min="9992" max="10240" width="11.5703125" style="244"/>
    <col min="10241" max="10241" width="4.7109375" style="244" customWidth="1"/>
    <col min="10242" max="10242" width="20.42578125" style="244" customWidth="1"/>
    <col min="10243" max="10243" width="13.140625" style="244" customWidth="1"/>
    <col min="10244" max="10244" width="12.85546875" style="244" customWidth="1"/>
    <col min="10245" max="10245" width="14.28515625" style="244" customWidth="1"/>
    <col min="10246" max="10246" width="15.28515625" style="244" customWidth="1"/>
    <col min="10247" max="10247" width="16.28515625" style="244" customWidth="1"/>
    <col min="10248" max="10496" width="11.5703125" style="244"/>
    <col min="10497" max="10497" width="4.7109375" style="244" customWidth="1"/>
    <col min="10498" max="10498" width="20.42578125" style="244" customWidth="1"/>
    <col min="10499" max="10499" width="13.140625" style="244" customWidth="1"/>
    <col min="10500" max="10500" width="12.85546875" style="244" customWidth="1"/>
    <col min="10501" max="10501" width="14.28515625" style="244" customWidth="1"/>
    <col min="10502" max="10502" width="15.28515625" style="244" customWidth="1"/>
    <col min="10503" max="10503" width="16.28515625" style="244" customWidth="1"/>
    <col min="10504" max="10752" width="11.5703125" style="244"/>
    <col min="10753" max="10753" width="4.7109375" style="244" customWidth="1"/>
    <col min="10754" max="10754" width="20.42578125" style="244" customWidth="1"/>
    <col min="10755" max="10755" width="13.140625" style="244" customWidth="1"/>
    <col min="10756" max="10756" width="12.85546875" style="244" customWidth="1"/>
    <col min="10757" max="10757" width="14.28515625" style="244" customWidth="1"/>
    <col min="10758" max="10758" width="15.28515625" style="244" customWidth="1"/>
    <col min="10759" max="10759" width="16.28515625" style="244" customWidth="1"/>
    <col min="10760" max="11008" width="11.5703125" style="244"/>
    <col min="11009" max="11009" width="4.7109375" style="244" customWidth="1"/>
    <col min="11010" max="11010" width="20.42578125" style="244" customWidth="1"/>
    <col min="11011" max="11011" width="13.140625" style="244" customWidth="1"/>
    <col min="11012" max="11012" width="12.85546875" style="244" customWidth="1"/>
    <col min="11013" max="11013" width="14.28515625" style="244" customWidth="1"/>
    <col min="11014" max="11014" width="15.28515625" style="244" customWidth="1"/>
    <col min="11015" max="11015" width="16.28515625" style="244" customWidth="1"/>
    <col min="11016" max="11264" width="11.5703125" style="244"/>
    <col min="11265" max="11265" width="4.7109375" style="244" customWidth="1"/>
    <col min="11266" max="11266" width="20.42578125" style="244" customWidth="1"/>
    <col min="11267" max="11267" width="13.140625" style="244" customWidth="1"/>
    <col min="11268" max="11268" width="12.85546875" style="244" customWidth="1"/>
    <col min="11269" max="11269" width="14.28515625" style="244" customWidth="1"/>
    <col min="11270" max="11270" width="15.28515625" style="244" customWidth="1"/>
    <col min="11271" max="11271" width="16.28515625" style="244" customWidth="1"/>
    <col min="11272" max="11520" width="11.5703125" style="244"/>
    <col min="11521" max="11521" width="4.7109375" style="244" customWidth="1"/>
    <col min="11522" max="11522" width="20.42578125" style="244" customWidth="1"/>
    <col min="11523" max="11523" width="13.140625" style="244" customWidth="1"/>
    <col min="11524" max="11524" width="12.85546875" style="244" customWidth="1"/>
    <col min="11525" max="11525" width="14.28515625" style="244" customWidth="1"/>
    <col min="11526" max="11526" width="15.28515625" style="244" customWidth="1"/>
    <col min="11527" max="11527" width="16.28515625" style="244" customWidth="1"/>
    <col min="11528" max="11776" width="11.5703125" style="244"/>
    <col min="11777" max="11777" width="4.7109375" style="244" customWidth="1"/>
    <col min="11778" max="11778" width="20.42578125" style="244" customWidth="1"/>
    <col min="11779" max="11779" width="13.140625" style="244" customWidth="1"/>
    <col min="11780" max="11780" width="12.85546875" style="244" customWidth="1"/>
    <col min="11781" max="11781" width="14.28515625" style="244" customWidth="1"/>
    <col min="11782" max="11782" width="15.28515625" style="244" customWidth="1"/>
    <col min="11783" max="11783" width="16.28515625" style="244" customWidth="1"/>
    <col min="11784" max="12032" width="11.5703125" style="244"/>
    <col min="12033" max="12033" width="4.7109375" style="244" customWidth="1"/>
    <col min="12034" max="12034" width="20.42578125" style="244" customWidth="1"/>
    <col min="12035" max="12035" width="13.140625" style="244" customWidth="1"/>
    <col min="12036" max="12036" width="12.85546875" style="244" customWidth="1"/>
    <col min="12037" max="12037" width="14.28515625" style="244" customWidth="1"/>
    <col min="12038" max="12038" width="15.28515625" style="244" customWidth="1"/>
    <col min="12039" max="12039" width="16.28515625" style="244" customWidth="1"/>
    <col min="12040" max="12288" width="11.5703125" style="244"/>
    <col min="12289" max="12289" width="4.7109375" style="244" customWidth="1"/>
    <col min="12290" max="12290" width="20.42578125" style="244" customWidth="1"/>
    <col min="12291" max="12291" width="13.140625" style="244" customWidth="1"/>
    <col min="12292" max="12292" width="12.85546875" style="244" customWidth="1"/>
    <col min="12293" max="12293" width="14.28515625" style="244" customWidth="1"/>
    <col min="12294" max="12294" width="15.28515625" style="244" customWidth="1"/>
    <col min="12295" max="12295" width="16.28515625" style="244" customWidth="1"/>
    <col min="12296" max="12544" width="11.5703125" style="244"/>
    <col min="12545" max="12545" width="4.7109375" style="244" customWidth="1"/>
    <col min="12546" max="12546" width="20.42578125" style="244" customWidth="1"/>
    <col min="12547" max="12547" width="13.140625" style="244" customWidth="1"/>
    <col min="12548" max="12548" width="12.85546875" style="244" customWidth="1"/>
    <col min="12549" max="12549" width="14.28515625" style="244" customWidth="1"/>
    <col min="12550" max="12550" width="15.28515625" style="244" customWidth="1"/>
    <col min="12551" max="12551" width="16.28515625" style="244" customWidth="1"/>
    <col min="12552" max="12800" width="11.5703125" style="244"/>
    <col min="12801" max="12801" width="4.7109375" style="244" customWidth="1"/>
    <col min="12802" max="12802" width="20.42578125" style="244" customWidth="1"/>
    <col min="12803" max="12803" width="13.140625" style="244" customWidth="1"/>
    <col min="12804" max="12804" width="12.85546875" style="244" customWidth="1"/>
    <col min="12805" max="12805" width="14.28515625" style="244" customWidth="1"/>
    <col min="12806" max="12806" width="15.28515625" style="244" customWidth="1"/>
    <col min="12807" max="12807" width="16.28515625" style="244" customWidth="1"/>
    <col min="12808" max="13056" width="11.5703125" style="244"/>
    <col min="13057" max="13057" width="4.7109375" style="244" customWidth="1"/>
    <col min="13058" max="13058" width="20.42578125" style="244" customWidth="1"/>
    <col min="13059" max="13059" width="13.140625" style="244" customWidth="1"/>
    <col min="13060" max="13060" width="12.85546875" style="244" customWidth="1"/>
    <col min="13061" max="13061" width="14.28515625" style="244" customWidth="1"/>
    <col min="13062" max="13062" width="15.28515625" style="244" customWidth="1"/>
    <col min="13063" max="13063" width="16.28515625" style="244" customWidth="1"/>
    <col min="13064" max="13312" width="11.5703125" style="244"/>
    <col min="13313" max="13313" width="4.7109375" style="244" customWidth="1"/>
    <col min="13314" max="13314" width="20.42578125" style="244" customWidth="1"/>
    <col min="13315" max="13315" width="13.140625" style="244" customWidth="1"/>
    <col min="13316" max="13316" width="12.85546875" style="244" customWidth="1"/>
    <col min="13317" max="13317" width="14.28515625" style="244" customWidth="1"/>
    <col min="13318" max="13318" width="15.28515625" style="244" customWidth="1"/>
    <col min="13319" max="13319" width="16.28515625" style="244" customWidth="1"/>
    <col min="13320" max="13568" width="11.5703125" style="244"/>
    <col min="13569" max="13569" width="4.7109375" style="244" customWidth="1"/>
    <col min="13570" max="13570" width="20.42578125" style="244" customWidth="1"/>
    <col min="13571" max="13571" width="13.140625" style="244" customWidth="1"/>
    <col min="13572" max="13572" width="12.85546875" style="244" customWidth="1"/>
    <col min="13573" max="13573" width="14.28515625" style="244" customWidth="1"/>
    <col min="13574" max="13574" width="15.28515625" style="244" customWidth="1"/>
    <col min="13575" max="13575" width="16.28515625" style="244" customWidth="1"/>
    <col min="13576" max="13824" width="11.5703125" style="244"/>
    <col min="13825" max="13825" width="4.7109375" style="244" customWidth="1"/>
    <col min="13826" max="13826" width="20.42578125" style="244" customWidth="1"/>
    <col min="13827" max="13827" width="13.140625" style="244" customWidth="1"/>
    <col min="13828" max="13828" width="12.85546875" style="244" customWidth="1"/>
    <col min="13829" max="13829" width="14.28515625" style="244" customWidth="1"/>
    <col min="13830" max="13830" width="15.28515625" style="244" customWidth="1"/>
    <col min="13831" max="13831" width="16.28515625" style="244" customWidth="1"/>
    <col min="13832" max="14080" width="11.5703125" style="244"/>
    <col min="14081" max="14081" width="4.7109375" style="244" customWidth="1"/>
    <col min="14082" max="14082" width="20.42578125" style="244" customWidth="1"/>
    <col min="14083" max="14083" width="13.140625" style="244" customWidth="1"/>
    <col min="14084" max="14084" width="12.85546875" style="244" customWidth="1"/>
    <col min="14085" max="14085" width="14.28515625" style="244" customWidth="1"/>
    <col min="14086" max="14086" width="15.28515625" style="244" customWidth="1"/>
    <col min="14087" max="14087" width="16.28515625" style="244" customWidth="1"/>
    <col min="14088" max="14336" width="11.5703125" style="244"/>
    <col min="14337" max="14337" width="4.7109375" style="244" customWidth="1"/>
    <col min="14338" max="14338" width="20.42578125" style="244" customWidth="1"/>
    <col min="14339" max="14339" width="13.140625" style="244" customWidth="1"/>
    <col min="14340" max="14340" width="12.85546875" style="244" customWidth="1"/>
    <col min="14341" max="14341" width="14.28515625" style="244" customWidth="1"/>
    <col min="14342" max="14342" width="15.28515625" style="244" customWidth="1"/>
    <col min="14343" max="14343" width="16.28515625" style="244" customWidth="1"/>
    <col min="14344" max="14592" width="11.5703125" style="244"/>
    <col min="14593" max="14593" width="4.7109375" style="244" customWidth="1"/>
    <col min="14594" max="14594" width="20.42578125" style="244" customWidth="1"/>
    <col min="14595" max="14595" width="13.140625" style="244" customWidth="1"/>
    <col min="14596" max="14596" width="12.85546875" style="244" customWidth="1"/>
    <col min="14597" max="14597" width="14.28515625" style="244" customWidth="1"/>
    <col min="14598" max="14598" width="15.28515625" style="244" customWidth="1"/>
    <col min="14599" max="14599" width="16.28515625" style="244" customWidth="1"/>
    <col min="14600" max="14848" width="11.5703125" style="244"/>
    <col min="14849" max="14849" width="4.7109375" style="244" customWidth="1"/>
    <col min="14850" max="14850" width="20.42578125" style="244" customWidth="1"/>
    <col min="14851" max="14851" width="13.140625" style="244" customWidth="1"/>
    <col min="14852" max="14852" width="12.85546875" style="244" customWidth="1"/>
    <col min="14853" max="14853" width="14.28515625" style="244" customWidth="1"/>
    <col min="14854" max="14854" width="15.28515625" style="244" customWidth="1"/>
    <col min="14855" max="14855" width="16.28515625" style="244" customWidth="1"/>
    <col min="14856" max="15104" width="11.5703125" style="244"/>
    <col min="15105" max="15105" width="4.7109375" style="244" customWidth="1"/>
    <col min="15106" max="15106" width="20.42578125" style="244" customWidth="1"/>
    <col min="15107" max="15107" width="13.140625" style="244" customWidth="1"/>
    <col min="15108" max="15108" width="12.85546875" style="244" customWidth="1"/>
    <col min="15109" max="15109" width="14.28515625" style="244" customWidth="1"/>
    <col min="15110" max="15110" width="15.28515625" style="244" customWidth="1"/>
    <col min="15111" max="15111" width="16.28515625" style="244" customWidth="1"/>
    <col min="15112" max="15360" width="11.5703125" style="244"/>
    <col min="15361" max="15361" width="4.7109375" style="244" customWidth="1"/>
    <col min="15362" max="15362" width="20.42578125" style="244" customWidth="1"/>
    <col min="15363" max="15363" width="13.140625" style="244" customWidth="1"/>
    <col min="15364" max="15364" width="12.85546875" style="244" customWidth="1"/>
    <col min="15365" max="15365" width="14.28515625" style="244" customWidth="1"/>
    <col min="15366" max="15366" width="15.28515625" style="244" customWidth="1"/>
    <col min="15367" max="15367" width="16.28515625" style="244" customWidth="1"/>
    <col min="15368" max="15616" width="11.5703125" style="244"/>
    <col min="15617" max="15617" width="4.7109375" style="244" customWidth="1"/>
    <col min="15618" max="15618" width="20.42578125" style="244" customWidth="1"/>
    <col min="15619" max="15619" width="13.140625" style="244" customWidth="1"/>
    <col min="15620" max="15620" width="12.85546875" style="244" customWidth="1"/>
    <col min="15621" max="15621" width="14.28515625" style="244" customWidth="1"/>
    <col min="15622" max="15622" width="15.28515625" style="244" customWidth="1"/>
    <col min="15623" max="15623" width="16.28515625" style="244" customWidth="1"/>
    <col min="15624" max="15872" width="11.5703125" style="244"/>
    <col min="15873" max="15873" width="4.7109375" style="244" customWidth="1"/>
    <col min="15874" max="15874" width="20.42578125" style="244" customWidth="1"/>
    <col min="15875" max="15875" width="13.140625" style="244" customWidth="1"/>
    <col min="15876" max="15876" width="12.85546875" style="244" customWidth="1"/>
    <col min="15877" max="15877" width="14.28515625" style="244" customWidth="1"/>
    <col min="15878" max="15878" width="15.28515625" style="244" customWidth="1"/>
    <col min="15879" max="15879" width="16.28515625" style="244" customWidth="1"/>
    <col min="15880" max="16128" width="11.5703125" style="244"/>
    <col min="16129" max="16129" width="4.7109375" style="244" customWidth="1"/>
    <col min="16130" max="16130" width="20.42578125" style="244" customWidth="1"/>
    <col min="16131" max="16131" width="13.140625" style="244" customWidth="1"/>
    <col min="16132" max="16132" width="12.85546875" style="244" customWidth="1"/>
    <col min="16133" max="16133" width="14.28515625" style="244" customWidth="1"/>
    <col min="16134" max="16134" width="15.28515625" style="244" customWidth="1"/>
    <col min="16135" max="16135" width="16.28515625" style="244" customWidth="1"/>
    <col min="16136" max="16384" width="11.5703125" style="244"/>
  </cols>
  <sheetData>
    <row r="1" spans="1:7" x14ac:dyDescent="0.2">
      <c r="B1" s="673" t="s">
        <v>2237</v>
      </c>
      <c r="C1" s="673"/>
      <c r="D1" s="673"/>
      <c r="E1" s="673"/>
      <c r="F1" s="673"/>
    </row>
    <row r="2" spans="1:7" s="465" customFormat="1" x14ac:dyDescent="0.2">
      <c r="A2" s="246"/>
      <c r="B2" s="674" t="s">
        <v>559</v>
      </c>
      <c r="C2" s="674" t="s">
        <v>653</v>
      </c>
      <c r="D2" s="674" t="s">
        <v>653</v>
      </c>
      <c r="E2" s="674"/>
      <c r="F2" s="674"/>
      <c r="G2" s="244"/>
    </row>
    <row r="3" spans="1:7" x14ac:dyDescent="0.2">
      <c r="C3" s="251"/>
      <c r="D3" s="251"/>
    </row>
    <row r="4" spans="1:7" ht="42" customHeight="1" x14ac:dyDescent="0.2">
      <c r="A4" s="667" t="s">
        <v>3</v>
      </c>
      <c r="B4" s="667"/>
      <c r="C4" s="667"/>
      <c r="D4" s="667"/>
      <c r="E4" s="853" t="str">
        <f>CONCATENATE(СВОД!B48," (16, 27 этапы)")</f>
        <v>Проект бурения скважин (16, 27 этапы)</v>
      </c>
      <c r="F4" s="853"/>
      <c r="G4" s="853"/>
    </row>
    <row r="5" spans="1:7" x14ac:dyDescent="0.2">
      <c r="A5" s="854"/>
      <c r="B5" s="854"/>
      <c r="C5" s="250"/>
      <c r="D5" s="250"/>
      <c r="E5" s="250"/>
      <c r="F5" s="250"/>
      <c r="G5" s="250"/>
    </row>
    <row r="7" spans="1:7" x14ac:dyDescent="0.2">
      <c r="A7" s="667" t="s">
        <v>6</v>
      </c>
      <c r="B7" s="667"/>
      <c r="C7" s="667"/>
      <c r="D7" s="667"/>
      <c r="E7" s="668" t="s">
        <v>7</v>
      </c>
      <c r="F7" s="668"/>
      <c r="G7" s="668"/>
    </row>
    <row r="9" spans="1:7" x14ac:dyDescent="0.2">
      <c r="A9" s="667" t="s">
        <v>8</v>
      </c>
      <c r="B9" s="667"/>
      <c r="C9" s="667"/>
      <c r="D9" s="667"/>
      <c r="E9" s="668" t="s">
        <v>9</v>
      </c>
      <c r="F9" s="668"/>
      <c r="G9" s="668"/>
    </row>
    <row r="10" spans="1:7" x14ac:dyDescent="0.2">
      <c r="A10" s="253"/>
      <c r="B10" s="253"/>
      <c r="C10" s="254"/>
      <c r="D10" s="253"/>
      <c r="E10" s="253"/>
    </row>
    <row r="11" spans="1:7" ht="27.75" customHeight="1" x14ac:dyDescent="0.2">
      <c r="A11" s="253"/>
      <c r="B11" s="847" t="s">
        <v>2238</v>
      </c>
      <c r="C11" s="852"/>
      <c r="D11" s="852"/>
      <c r="E11" s="852"/>
      <c r="F11" s="852"/>
    </row>
    <row r="12" spans="1:7" ht="12.75" customHeight="1" x14ac:dyDescent="0.2">
      <c r="A12" s="253"/>
      <c r="B12" s="847" t="s">
        <v>654</v>
      </c>
      <c r="C12" s="849"/>
      <c r="D12" s="849"/>
      <c r="E12" s="849"/>
      <c r="F12" s="849"/>
    </row>
    <row r="14" spans="1:7" x14ac:dyDescent="0.2">
      <c r="A14" s="843" t="s">
        <v>655</v>
      </c>
      <c r="B14" s="843" t="s">
        <v>33</v>
      </c>
      <c r="C14" s="850" t="s">
        <v>635</v>
      </c>
      <c r="D14" s="851"/>
      <c r="E14" s="843" t="s">
        <v>636</v>
      </c>
      <c r="F14" s="843" t="s">
        <v>637</v>
      </c>
      <c r="G14" s="843" t="s">
        <v>656</v>
      </c>
    </row>
    <row r="15" spans="1:7" x14ac:dyDescent="0.2">
      <c r="A15" s="844"/>
      <c r="B15" s="844"/>
      <c r="C15" s="258" t="s">
        <v>639</v>
      </c>
      <c r="D15" s="258" t="s">
        <v>640</v>
      </c>
      <c r="E15" s="844"/>
      <c r="F15" s="844"/>
      <c r="G15" s="844"/>
    </row>
    <row r="16" spans="1:7" x14ac:dyDescent="0.2">
      <c r="A16" s="259">
        <v>1</v>
      </c>
      <c r="B16" s="259">
        <v>2</v>
      </c>
      <c r="C16" s="259">
        <v>3</v>
      </c>
      <c r="D16" s="259">
        <v>4</v>
      </c>
      <c r="E16" s="259">
        <v>5</v>
      </c>
      <c r="F16" s="260">
        <v>6</v>
      </c>
      <c r="G16" s="260">
        <v>7</v>
      </c>
    </row>
    <row r="17" spans="1:13" ht="29.25" customHeight="1" x14ac:dyDescent="0.2">
      <c r="A17" s="845">
        <v>1</v>
      </c>
      <c r="B17" s="846" t="s">
        <v>2239</v>
      </c>
      <c r="C17" s="258">
        <v>1</v>
      </c>
      <c r="D17" s="261" t="s">
        <v>658</v>
      </c>
      <c r="E17" s="258">
        <v>1</v>
      </c>
      <c r="F17" s="467">
        <v>20337</v>
      </c>
      <c r="G17" s="666">
        <f>ROUND((C17*E17*F17+C18*E18*F18+C19*E19*F19+ C20*E20*F20+C21*E21*F21+C22*E22*F22+C23*E23*F23),2)</f>
        <v>329997.5</v>
      </c>
    </row>
    <row r="18" spans="1:13" ht="29.25" customHeight="1" x14ac:dyDescent="0.2">
      <c r="A18" s="845"/>
      <c r="B18" s="846"/>
      <c r="C18" s="258">
        <v>1</v>
      </c>
      <c r="D18" s="261" t="s">
        <v>2240</v>
      </c>
      <c r="E18" s="258">
        <v>0.5</v>
      </c>
      <c r="F18" s="467">
        <v>18191</v>
      </c>
      <c r="G18" s="666"/>
    </row>
    <row r="19" spans="1:13" ht="29.25" customHeight="1" x14ac:dyDescent="0.2">
      <c r="A19" s="845"/>
      <c r="B19" s="846"/>
      <c r="C19" s="258">
        <v>1</v>
      </c>
      <c r="D19" s="261" t="s">
        <v>642</v>
      </c>
      <c r="E19" s="258">
        <v>2</v>
      </c>
      <c r="F19" s="467">
        <v>20337</v>
      </c>
      <c r="G19" s="666"/>
      <c r="M19" s="468"/>
    </row>
    <row r="20" spans="1:13" ht="29.25" customHeight="1" x14ac:dyDescent="0.2">
      <c r="A20" s="845"/>
      <c r="B20" s="846"/>
      <c r="C20" s="258">
        <v>1</v>
      </c>
      <c r="D20" s="261" t="s">
        <v>641</v>
      </c>
      <c r="E20" s="258">
        <v>3</v>
      </c>
      <c r="F20" s="467">
        <v>16222</v>
      </c>
      <c r="G20" s="666"/>
    </row>
    <row r="21" spans="1:13" ht="43.5" customHeight="1" x14ac:dyDescent="0.2">
      <c r="A21" s="845"/>
      <c r="B21" s="846"/>
      <c r="C21" s="258">
        <v>1</v>
      </c>
      <c r="D21" s="261" t="s">
        <v>2241</v>
      </c>
      <c r="E21" s="258">
        <v>4</v>
      </c>
      <c r="F21" s="467">
        <v>14556</v>
      </c>
      <c r="G21" s="666"/>
    </row>
    <row r="22" spans="1:13" ht="29.25" customHeight="1" x14ac:dyDescent="0.2">
      <c r="A22" s="845"/>
      <c r="B22" s="846"/>
      <c r="C22" s="258">
        <v>1</v>
      </c>
      <c r="D22" s="261" t="s">
        <v>644</v>
      </c>
      <c r="E22" s="258">
        <v>6</v>
      </c>
      <c r="F22" s="467">
        <v>13116</v>
      </c>
      <c r="G22" s="666"/>
    </row>
    <row r="23" spans="1:13" ht="29.25" customHeight="1" x14ac:dyDescent="0.2">
      <c r="A23" s="845"/>
      <c r="B23" s="846"/>
      <c r="C23" s="258">
        <v>1</v>
      </c>
      <c r="D23" s="261" t="s">
        <v>2242</v>
      </c>
      <c r="E23" s="258">
        <v>7</v>
      </c>
      <c r="F23" s="467">
        <v>10615</v>
      </c>
      <c r="G23" s="666"/>
    </row>
    <row r="24" spans="1:13" ht="25.5" x14ac:dyDescent="0.2">
      <c r="A24" s="466">
        <v>2</v>
      </c>
      <c r="B24" s="261" t="s">
        <v>2243</v>
      </c>
      <c r="C24" s="258"/>
      <c r="D24" s="261"/>
      <c r="E24" s="258"/>
      <c r="F24" s="467"/>
      <c r="G24" s="263">
        <f>G17</f>
        <v>329997.5</v>
      </c>
    </row>
    <row r="26" spans="1:13" x14ac:dyDescent="0.2">
      <c r="B26" s="847" t="s">
        <v>664</v>
      </c>
      <c r="C26" s="848"/>
      <c r="D26" s="848"/>
      <c r="E26" s="848"/>
      <c r="F26" s="848"/>
    </row>
    <row r="28" spans="1:13" ht="25.5" x14ac:dyDescent="0.2">
      <c r="A28" s="469" t="s">
        <v>10</v>
      </c>
      <c r="B28" s="842" t="s">
        <v>665</v>
      </c>
      <c r="C28" s="842"/>
      <c r="D28" s="842"/>
      <c r="E28" s="842"/>
      <c r="F28" s="469" t="s">
        <v>92</v>
      </c>
      <c r="G28" s="469" t="s">
        <v>666</v>
      </c>
    </row>
    <row r="29" spans="1:13" ht="25.5" customHeight="1" x14ac:dyDescent="0.2">
      <c r="A29" s="470">
        <v>1</v>
      </c>
      <c r="B29" s="665" t="s">
        <v>2244</v>
      </c>
      <c r="C29" s="665"/>
      <c r="D29" s="665"/>
      <c r="E29" s="665"/>
      <c r="F29" s="470" t="s">
        <v>140</v>
      </c>
      <c r="G29" s="471">
        <f>ROUND(($G$24),2)</f>
        <v>329997.5</v>
      </c>
    </row>
    <row r="30" spans="1:13" ht="25.5" customHeight="1" x14ac:dyDescent="0.2">
      <c r="A30" s="470"/>
      <c r="B30" s="665" t="s">
        <v>668</v>
      </c>
      <c r="C30" s="665"/>
      <c r="D30" s="665"/>
      <c r="E30" s="665"/>
      <c r="F30" s="470"/>
      <c r="G30" s="470">
        <v>0.45</v>
      </c>
    </row>
    <row r="31" spans="1:13" ht="25.5" customHeight="1" x14ac:dyDescent="0.2">
      <c r="A31" s="470">
        <v>2</v>
      </c>
      <c r="B31" s="665" t="s">
        <v>669</v>
      </c>
      <c r="C31" s="665"/>
      <c r="D31" s="665"/>
      <c r="E31" s="665"/>
      <c r="F31" s="470" t="s">
        <v>140</v>
      </c>
      <c r="G31" s="471">
        <f>ROUND(($G$29) * 1/0.45 * 1,2)</f>
        <v>733327.78</v>
      </c>
    </row>
    <row r="32" spans="1:13" ht="12.75" customHeight="1" x14ac:dyDescent="0.2">
      <c r="A32" s="470"/>
      <c r="B32" s="665" t="s">
        <v>670</v>
      </c>
      <c r="C32" s="665"/>
      <c r="D32" s="665"/>
      <c r="E32" s="665"/>
      <c r="F32" s="470" t="s">
        <v>671</v>
      </c>
      <c r="G32" s="470">
        <v>8</v>
      </c>
    </row>
    <row r="33" spans="1:9" ht="25.5" customHeight="1" x14ac:dyDescent="0.2">
      <c r="A33" s="470">
        <v>3</v>
      </c>
      <c r="B33" s="665" t="s">
        <v>672</v>
      </c>
      <c r="C33" s="665"/>
      <c r="D33" s="665"/>
      <c r="E33" s="665"/>
      <c r="F33" s="470" t="s">
        <v>140</v>
      </c>
      <c r="G33" s="471">
        <f>ROUND(($G$31) * 8 / 100 * 1,2)</f>
        <v>58666.22</v>
      </c>
    </row>
    <row r="34" spans="1:9" ht="25.5" customHeight="1" x14ac:dyDescent="0.2">
      <c r="A34" s="470">
        <v>4</v>
      </c>
      <c r="B34" s="665" t="s">
        <v>673</v>
      </c>
      <c r="C34" s="665"/>
      <c r="D34" s="665"/>
      <c r="E34" s="665"/>
      <c r="F34" s="470" t="s">
        <v>140</v>
      </c>
      <c r="G34" s="471">
        <f>ROUND(($G$31 + $G$33),2)</f>
        <v>791994</v>
      </c>
    </row>
    <row r="35" spans="1:9" ht="63.75" customHeight="1" x14ac:dyDescent="0.2">
      <c r="A35" s="470"/>
      <c r="B35" s="665" t="s">
        <v>2245</v>
      </c>
      <c r="C35" s="665"/>
      <c r="D35" s="665"/>
      <c r="E35" s="665"/>
      <c r="F35" s="470"/>
      <c r="G35" s="470">
        <v>1</v>
      </c>
    </row>
    <row r="36" spans="1:9" ht="25.5" customHeight="1" x14ac:dyDescent="0.2">
      <c r="A36" s="470">
        <v>5</v>
      </c>
      <c r="B36" s="665" t="s">
        <v>2246</v>
      </c>
      <c r="C36" s="665"/>
      <c r="D36" s="665"/>
      <c r="E36" s="665"/>
      <c r="F36" s="470" t="s">
        <v>140</v>
      </c>
      <c r="G36" s="471">
        <f>ROUND(($G$34) * 1 * 1,2)</f>
        <v>791994</v>
      </c>
      <c r="H36" s="472"/>
      <c r="I36" s="473"/>
    </row>
    <row r="37" spans="1:9" ht="25.5" customHeight="1" x14ac:dyDescent="0.2">
      <c r="A37" s="470">
        <v>6</v>
      </c>
      <c r="B37" s="665" t="s">
        <v>2247</v>
      </c>
      <c r="C37" s="665"/>
      <c r="D37" s="665"/>
      <c r="E37" s="665"/>
      <c r="F37" s="470" t="s">
        <v>140</v>
      </c>
      <c r="G37" s="471">
        <f>ROUND(G36/1.02,2)</f>
        <v>776464.71</v>
      </c>
    </row>
    <row r="38" spans="1:9" ht="12.75" customHeight="1" x14ac:dyDescent="0.2">
      <c r="A38" s="474">
        <v>7</v>
      </c>
      <c r="B38" s="841" t="s">
        <v>613</v>
      </c>
      <c r="C38" s="841"/>
      <c r="D38" s="841"/>
      <c r="E38" s="841"/>
      <c r="F38" s="475" t="s">
        <v>140</v>
      </c>
      <c r="G38" s="476">
        <f>G37</f>
        <v>776464.71</v>
      </c>
      <c r="H38" s="244">
        <v>766635.6</v>
      </c>
      <c r="I38" s="473"/>
    </row>
    <row r="40" spans="1:9" s="465" customFormat="1" ht="25.15" customHeight="1" x14ac:dyDescent="0.25">
      <c r="A40" s="667" t="s">
        <v>2248</v>
      </c>
      <c r="B40" s="667"/>
      <c r="C40" s="667" t="e">
        <f ca="1">convertNumToStr(($G$36),1,2)</f>
        <v>#NAME?</v>
      </c>
      <c r="D40" s="667"/>
      <c r="E40" s="667"/>
      <c r="F40" s="667"/>
      <c r="G40" s="667"/>
    </row>
  </sheetData>
  <mergeCells count="34">
    <mergeCell ref="B1:F1"/>
    <mergeCell ref="B2:F2"/>
    <mergeCell ref="A4:D4"/>
    <mergeCell ref="E4:G4"/>
    <mergeCell ref="A5:B5"/>
    <mergeCell ref="A7:D7"/>
    <mergeCell ref="E7:G7"/>
    <mergeCell ref="A9:D9"/>
    <mergeCell ref="E9:G9"/>
    <mergeCell ref="B11:F11"/>
    <mergeCell ref="B12:F12"/>
    <mergeCell ref="A14:A15"/>
    <mergeCell ref="B14:B15"/>
    <mergeCell ref="C14:D14"/>
    <mergeCell ref="E14:E15"/>
    <mergeCell ref="F14:F15"/>
    <mergeCell ref="G14:G15"/>
    <mergeCell ref="A17:A23"/>
    <mergeCell ref="B17:B23"/>
    <mergeCell ref="G17:G23"/>
    <mergeCell ref="B26:F26"/>
    <mergeCell ref="B28:E28"/>
    <mergeCell ref="B29:E29"/>
    <mergeCell ref="B30:E30"/>
    <mergeCell ref="B31:E31"/>
    <mergeCell ref="B32:E32"/>
    <mergeCell ref="B38:E38"/>
    <mergeCell ref="A40:B40"/>
    <mergeCell ref="C40:G40"/>
    <mergeCell ref="B33:E33"/>
    <mergeCell ref="B34:E34"/>
    <mergeCell ref="B35:E35"/>
    <mergeCell ref="B36:E36"/>
    <mergeCell ref="B37:E37"/>
  </mergeCells>
  <pageMargins left="0.39375000000000004" right="0.39375000000000004" top="0.59027777777777779" bottom="0.82777777777777783" header="0.51180555555555562" footer="0.59027777777777779"/>
  <pageSetup paperSize="9" orientation="portrait" useFirstPageNumber="1" horizontalDpi="300" verticalDpi="300"/>
  <headerFooter>
    <oddFooter>&amp;CСтраница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I38"/>
  <sheetViews>
    <sheetView zoomScale="85" workbookViewId="0">
      <selection activeCell="I27" sqref="I27"/>
    </sheetView>
  </sheetViews>
  <sheetFormatPr defaultColWidth="11.5703125" defaultRowHeight="12.75" x14ac:dyDescent="0.2"/>
  <cols>
    <col min="1" max="1" width="4.7109375" style="246" customWidth="1"/>
    <col min="2" max="2" width="22.85546875" style="246" customWidth="1"/>
    <col min="3" max="3" width="13.140625" style="246" customWidth="1"/>
    <col min="4" max="4" width="12.85546875" style="246" customWidth="1"/>
    <col min="5" max="5" width="14.28515625" style="246" customWidth="1"/>
    <col min="6" max="6" width="15.28515625" style="244" customWidth="1"/>
    <col min="7" max="7" width="16.28515625" style="244" customWidth="1"/>
    <col min="8" max="8" width="13.5703125" style="244" customWidth="1"/>
    <col min="9" max="256" width="11.5703125" style="244"/>
    <col min="257" max="257" width="4.7109375" style="244" customWidth="1"/>
    <col min="258" max="258" width="20.42578125" style="244" customWidth="1"/>
    <col min="259" max="259" width="13.140625" style="244" customWidth="1"/>
    <col min="260" max="260" width="12.85546875" style="244" customWidth="1"/>
    <col min="261" max="261" width="14.28515625" style="244" customWidth="1"/>
    <col min="262" max="262" width="15.28515625" style="244" customWidth="1"/>
    <col min="263" max="263" width="16.28515625" style="244" customWidth="1"/>
    <col min="264" max="512" width="11.5703125" style="244"/>
    <col min="513" max="513" width="4.7109375" style="244" customWidth="1"/>
    <col min="514" max="514" width="20.42578125" style="244" customWidth="1"/>
    <col min="515" max="515" width="13.140625" style="244" customWidth="1"/>
    <col min="516" max="516" width="12.85546875" style="244" customWidth="1"/>
    <col min="517" max="517" width="14.28515625" style="244" customWidth="1"/>
    <col min="518" max="518" width="15.28515625" style="244" customWidth="1"/>
    <col min="519" max="519" width="16.28515625" style="244" customWidth="1"/>
    <col min="520" max="768" width="11.5703125" style="244"/>
    <col min="769" max="769" width="4.7109375" style="244" customWidth="1"/>
    <col min="770" max="770" width="20.42578125" style="244" customWidth="1"/>
    <col min="771" max="771" width="13.140625" style="244" customWidth="1"/>
    <col min="772" max="772" width="12.85546875" style="244" customWidth="1"/>
    <col min="773" max="773" width="14.28515625" style="244" customWidth="1"/>
    <col min="774" max="774" width="15.28515625" style="244" customWidth="1"/>
    <col min="775" max="775" width="16.28515625" style="244" customWidth="1"/>
    <col min="776" max="1024" width="11.5703125" style="244"/>
    <col min="1025" max="1025" width="4.7109375" style="244" customWidth="1"/>
    <col min="1026" max="1026" width="20.42578125" style="244" customWidth="1"/>
    <col min="1027" max="1027" width="13.140625" style="244" customWidth="1"/>
    <col min="1028" max="1028" width="12.85546875" style="244" customWidth="1"/>
    <col min="1029" max="1029" width="14.28515625" style="244" customWidth="1"/>
    <col min="1030" max="1030" width="15.28515625" style="244" customWidth="1"/>
    <col min="1031" max="1031" width="16.28515625" style="244" customWidth="1"/>
    <col min="1032" max="1280" width="11.5703125" style="244"/>
    <col min="1281" max="1281" width="4.7109375" style="244" customWidth="1"/>
    <col min="1282" max="1282" width="20.42578125" style="244" customWidth="1"/>
    <col min="1283" max="1283" width="13.140625" style="244" customWidth="1"/>
    <col min="1284" max="1284" width="12.85546875" style="244" customWidth="1"/>
    <col min="1285" max="1285" width="14.28515625" style="244" customWidth="1"/>
    <col min="1286" max="1286" width="15.28515625" style="244" customWidth="1"/>
    <col min="1287" max="1287" width="16.28515625" style="244" customWidth="1"/>
    <col min="1288" max="1536" width="11.5703125" style="244"/>
    <col min="1537" max="1537" width="4.7109375" style="244" customWidth="1"/>
    <col min="1538" max="1538" width="20.42578125" style="244" customWidth="1"/>
    <col min="1539" max="1539" width="13.140625" style="244" customWidth="1"/>
    <col min="1540" max="1540" width="12.85546875" style="244" customWidth="1"/>
    <col min="1541" max="1541" width="14.28515625" style="244" customWidth="1"/>
    <col min="1542" max="1542" width="15.28515625" style="244" customWidth="1"/>
    <col min="1543" max="1543" width="16.28515625" style="244" customWidth="1"/>
    <col min="1544" max="1792" width="11.5703125" style="244"/>
    <col min="1793" max="1793" width="4.7109375" style="244" customWidth="1"/>
    <col min="1794" max="1794" width="20.42578125" style="244" customWidth="1"/>
    <col min="1795" max="1795" width="13.140625" style="244" customWidth="1"/>
    <col min="1796" max="1796" width="12.85546875" style="244" customWidth="1"/>
    <col min="1797" max="1797" width="14.28515625" style="244" customWidth="1"/>
    <col min="1798" max="1798" width="15.28515625" style="244" customWidth="1"/>
    <col min="1799" max="1799" width="16.28515625" style="244" customWidth="1"/>
    <col min="1800" max="2048" width="11.5703125" style="244"/>
    <col min="2049" max="2049" width="4.7109375" style="244" customWidth="1"/>
    <col min="2050" max="2050" width="20.42578125" style="244" customWidth="1"/>
    <col min="2051" max="2051" width="13.140625" style="244" customWidth="1"/>
    <col min="2052" max="2052" width="12.85546875" style="244" customWidth="1"/>
    <col min="2053" max="2053" width="14.28515625" style="244" customWidth="1"/>
    <col min="2054" max="2054" width="15.28515625" style="244" customWidth="1"/>
    <col min="2055" max="2055" width="16.28515625" style="244" customWidth="1"/>
    <col min="2056" max="2304" width="11.5703125" style="244"/>
    <col min="2305" max="2305" width="4.7109375" style="244" customWidth="1"/>
    <col min="2306" max="2306" width="20.42578125" style="244" customWidth="1"/>
    <col min="2307" max="2307" width="13.140625" style="244" customWidth="1"/>
    <col min="2308" max="2308" width="12.85546875" style="244" customWidth="1"/>
    <col min="2309" max="2309" width="14.28515625" style="244" customWidth="1"/>
    <col min="2310" max="2310" width="15.28515625" style="244" customWidth="1"/>
    <col min="2311" max="2311" width="16.28515625" style="244" customWidth="1"/>
    <col min="2312" max="2560" width="11.5703125" style="244"/>
    <col min="2561" max="2561" width="4.7109375" style="244" customWidth="1"/>
    <col min="2562" max="2562" width="20.42578125" style="244" customWidth="1"/>
    <col min="2563" max="2563" width="13.140625" style="244" customWidth="1"/>
    <col min="2564" max="2564" width="12.85546875" style="244" customWidth="1"/>
    <col min="2565" max="2565" width="14.28515625" style="244" customWidth="1"/>
    <col min="2566" max="2566" width="15.28515625" style="244" customWidth="1"/>
    <col min="2567" max="2567" width="16.28515625" style="244" customWidth="1"/>
    <col min="2568" max="2816" width="11.5703125" style="244"/>
    <col min="2817" max="2817" width="4.7109375" style="244" customWidth="1"/>
    <col min="2818" max="2818" width="20.42578125" style="244" customWidth="1"/>
    <col min="2819" max="2819" width="13.140625" style="244" customWidth="1"/>
    <col min="2820" max="2820" width="12.85546875" style="244" customWidth="1"/>
    <col min="2821" max="2821" width="14.28515625" style="244" customWidth="1"/>
    <col min="2822" max="2822" width="15.28515625" style="244" customWidth="1"/>
    <col min="2823" max="2823" width="16.28515625" style="244" customWidth="1"/>
    <col min="2824" max="3072" width="11.5703125" style="244"/>
    <col min="3073" max="3073" width="4.7109375" style="244" customWidth="1"/>
    <col min="3074" max="3074" width="20.42578125" style="244" customWidth="1"/>
    <col min="3075" max="3075" width="13.140625" style="244" customWidth="1"/>
    <col min="3076" max="3076" width="12.85546875" style="244" customWidth="1"/>
    <col min="3077" max="3077" width="14.28515625" style="244" customWidth="1"/>
    <col min="3078" max="3078" width="15.28515625" style="244" customWidth="1"/>
    <col min="3079" max="3079" width="16.28515625" style="244" customWidth="1"/>
    <col min="3080" max="3328" width="11.5703125" style="244"/>
    <col min="3329" max="3329" width="4.7109375" style="244" customWidth="1"/>
    <col min="3330" max="3330" width="20.42578125" style="244" customWidth="1"/>
    <col min="3331" max="3331" width="13.140625" style="244" customWidth="1"/>
    <col min="3332" max="3332" width="12.85546875" style="244" customWidth="1"/>
    <col min="3333" max="3333" width="14.28515625" style="244" customWidth="1"/>
    <col min="3334" max="3334" width="15.28515625" style="244" customWidth="1"/>
    <col min="3335" max="3335" width="16.28515625" style="244" customWidth="1"/>
    <col min="3336" max="3584" width="11.5703125" style="244"/>
    <col min="3585" max="3585" width="4.7109375" style="244" customWidth="1"/>
    <col min="3586" max="3586" width="20.42578125" style="244" customWidth="1"/>
    <col min="3587" max="3587" width="13.140625" style="244" customWidth="1"/>
    <col min="3588" max="3588" width="12.85546875" style="244" customWidth="1"/>
    <col min="3589" max="3589" width="14.28515625" style="244" customWidth="1"/>
    <col min="3590" max="3590" width="15.28515625" style="244" customWidth="1"/>
    <col min="3591" max="3591" width="16.28515625" style="244" customWidth="1"/>
    <col min="3592" max="3840" width="11.5703125" style="244"/>
    <col min="3841" max="3841" width="4.7109375" style="244" customWidth="1"/>
    <col min="3842" max="3842" width="20.42578125" style="244" customWidth="1"/>
    <col min="3843" max="3843" width="13.140625" style="244" customWidth="1"/>
    <col min="3844" max="3844" width="12.85546875" style="244" customWidth="1"/>
    <col min="3845" max="3845" width="14.28515625" style="244" customWidth="1"/>
    <col min="3846" max="3846" width="15.28515625" style="244" customWidth="1"/>
    <col min="3847" max="3847" width="16.28515625" style="244" customWidth="1"/>
    <col min="3848" max="4096" width="11.5703125" style="244"/>
    <col min="4097" max="4097" width="4.7109375" style="244" customWidth="1"/>
    <col min="4098" max="4098" width="20.42578125" style="244" customWidth="1"/>
    <col min="4099" max="4099" width="13.140625" style="244" customWidth="1"/>
    <col min="4100" max="4100" width="12.85546875" style="244" customWidth="1"/>
    <col min="4101" max="4101" width="14.28515625" style="244" customWidth="1"/>
    <col min="4102" max="4102" width="15.28515625" style="244" customWidth="1"/>
    <col min="4103" max="4103" width="16.28515625" style="244" customWidth="1"/>
    <col min="4104" max="4352" width="11.5703125" style="244"/>
    <col min="4353" max="4353" width="4.7109375" style="244" customWidth="1"/>
    <col min="4354" max="4354" width="20.42578125" style="244" customWidth="1"/>
    <col min="4355" max="4355" width="13.140625" style="244" customWidth="1"/>
    <col min="4356" max="4356" width="12.85546875" style="244" customWidth="1"/>
    <col min="4357" max="4357" width="14.28515625" style="244" customWidth="1"/>
    <col min="4358" max="4358" width="15.28515625" style="244" customWidth="1"/>
    <col min="4359" max="4359" width="16.28515625" style="244" customWidth="1"/>
    <col min="4360" max="4608" width="11.5703125" style="244"/>
    <col min="4609" max="4609" width="4.7109375" style="244" customWidth="1"/>
    <col min="4610" max="4610" width="20.42578125" style="244" customWidth="1"/>
    <col min="4611" max="4611" width="13.140625" style="244" customWidth="1"/>
    <col min="4612" max="4612" width="12.85546875" style="244" customWidth="1"/>
    <col min="4613" max="4613" width="14.28515625" style="244" customWidth="1"/>
    <col min="4614" max="4614" width="15.28515625" style="244" customWidth="1"/>
    <col min="4615" max="4615" width="16.28515625" style="244" customWidth="1"/>
    <col min="4616" max="4864" width="11.5703125" style="244"/>
    <col min="4865" max="4865" width="4.7109375" style="244" customWidth="1"/>
    <col min="4866" max="4866" width="20.42578125" style="244" customWidth="1"/>
    <col min="4867" max="4867" width="13.140625" style="244" customWidth="1"/>
    <col min="4868" max="4868" width="12.85546875" style="244" customWidth="1"/>
    <col min="4869" max="4869" width="14.28515625" style="244" customWidth="1"/>
    <col min="4870" max="4870" width="15.28515625" style="244" customWidth="1"/>
    <col min="4871" max="4871" width="16.28515625" style="244" customWidth="1"/>
    <col min="4872" max="5120" width="11.5703125" style="244"/>
    <col min="5121" max="5121" width="4.7109375" style="244" customWidth="1"/>
    <col min="5122" max="5122" width="20.42578125" style="244" customWidth="1"/>
    <col min="5123" max="5123" width="13.140625" style="244" customWidth="1"/>
    <col min="5124" max="5124" width="12.85546875" style="244" customWidth="1"/>
    <col min="5125" max="5125" width="14.28515625" style="244" customWidth="1"/>
    <col min="5126" max="5126" width="15.28515625" style="244" customWidth="1"/>
    <col min="5127" max="5127" width="16.28515625" style="244" customWidth="1"/>
    <col min="5128" max="5376" width="11.5703125" style="244"/>
    <col min="5377" max="5377" width="4.7109375" style="244" customWidth="1"/>
    <col min="5378" max="5378" width="20.42578125" style="244" customWidth="1"/>
    <col min="5379" max="5379" width="13.140625" style="244" customWidth="1"/>
    <col min="5380" max="5380" width="12.85546875" style="244" customWidth="1"/>
    <col min="5381" max="5381" width="14.28515625" style="244" customWidth="1"/>
    <col min="5382" max="5382" width="15.28515625" style="244" customWidth="1"/>
    <col min="5383" max="5383" width="16.28515625" style="244" customWidth="1"/>
    <col min="5384" max="5632" width="11.5703125" style="244"/>
    <col min="5633" max="5633" width="4.7109375" style="244" customWidth="1"/>
    <col min="5634" max="5634" width="20.42578125" style="244" customWidth="1"/>
    <col min="5635" max="5635" width="13.140625" style="244" customWidth="1"/>
    <col min="5636" max="5636" width="12.85546875" style="244" customWidth="1"/>
    <col min="5637" max="5637" width="14.28515625" style="244" customWidth="1"/>
    <col min="5638" max="5638" width="15.28515625" style="244" customWidth="1"/>
    <col min="5639" max="5639" width="16.28515625" style="244" customWidth="1"/>
    <col min="5640" max="5888" width="11.5703125" style="244"/>
    <col min="5889" max="5889" width="4.7109375" style="244" customWidth="1"/>
    <col min="5890" max="5890" width="20.42578125" style="244" customWidth="1"/>
    <col min="5891" max="5891" width="13.140625" style="244" customWidth="1"/>
    <col min="5892" max="5892" width="12.85546875" style="244" customWidth="1"/>
    <col min="5893" max="5893" width="14.28515625" style="244" customWidth="1"/>
    <col min="5894" max="5894" width="15.28515625" style="244" customWidth="1"/>
    <col min="5895" max="5895" width="16.28515625" style="244" customWidth="1"/>
    <col min="5896" max="6144" width="11.5703125" style="244"/>
    <col min="6145" max="6145" width="4.7109375" style="244" customWidth="1"/>
    <col min="6146" max="6146" width="20.42578125" style="244" customWidth="1"/>
    <col min="6147" max="6147" width="13.140625" style="244" customWidth="1"/>
    <col min="6148" max="6148" width="12.85546875" style="244" customWidth="1"/>
    <col min="6149" max="6149" width="14.28515625" style="244" customWidth="1"/>
    <col min="6150" max="6150" width="15.28515625" style="244" customWidth="1"/>
    <col min="6151" max="6151" width="16.28515625" style="244" customWidth="1"/>
    <col min="6152" max="6400" width="11.5703125" style="244"/>
    <col min="6401" max="6401" width="4.7109375" style="244" customWidth="1"/>
    <col min="6402" max="6402" width="20.42578125" style="244" customWidth="1"/>
    <col min="6403" max="6403" width="13.140625" style="244" customWidth="1"/>
    <col min="6404" max="6404" width="12.85546875" style="244" customWidth="1"/>
    <col min="6405" max="6405" width="14.28515625" style="244" customWidth="1"/>
    <col min="6406" max="6406" width="15.28515625" style="244" customWidth="1"/>
    <col min="6407" max="6407" width="16.28515625" style="244" customWidth="1"/>
    <col min="6408" max="6656" width="11.5703125" style="244"/>
    <col min="6657" max="6657" width="4.7109375" style="244" customWidth="1"/>
    <col min="6658" max="6658" width="20.42578125" style="244" customWidth="1"/>
    <col min="6659" max="6659" width="13.140625" style="244" customWidth="1"/>
    <col min="6660" max="6660" width="12.85546875" style="244" customWidth="1"/>
    <col min="6661" max="6661" width="14.28515625" style="244" customWidth="1"/>
    <col min="6662" max="6662" width="15.28515625" style="244" customWidth="1"/>
    <col min="6663" max="6663" width="16.28515625" style="244" customWidth="1"/>
    <col min="6664" max="6912" width="11.5703125" style="244"/>
    <col min="6913" max="6913" width="4.7109375" style="244" customWidth="1"/>
    <col min="6914" max="6914" width="20.42578125" style="244" customWidth="1"/>
    <col min="6915" max="6915" width="13.140625" style="244" customWidth="1"/>
    <col min="6916" max="6916" width="12.85546875" style="244" customWidth="1"/>
    <col min="6917" max="6917" width="14.28515625" style="244" customWidth="1"/>
    <col min="6918" max="6918" width="15.28515625" style="244" customWidth="1"/>
    <col min="6919" max="6919" width="16.28515625" style="244" customWidth="1"/>
    <col min="6920" max="7168" width="11.5703125" style="244"/>
    <col min="7169" max="7169" width="4.7109375" style="244" customWidth="1"/>
    <col min="7170" max="7170" width="20.42578125" style="244" customWidth="1"/>
    <col min="7171" max="7171" width="13.140625" style="244" customWidth="1"/>
    <col min="7172" max="7172" width="12.85546875" style="244" customWidth="1"/>
    <col min="7173" max="7173" width="14.28515625" style="244" customWidth="1"/>
    <col min="7174" max="7174" width="15.28515625" style="244" customWidth="1"/>
    <col min="7175" max="7175" width="16.28515625" style="244" customWidth="1"/>
    <col min="7176" max="7424" width="11.5703125" style="244"/>
    <col min="7425" max="7425" width="4.7109375" style="244" customWidth="1"/>
    <col min="7426" max="7426" width="20.42578125" style="244" customWidth="1"/>
    <col min="7427" max="7427" width="13.140625" style="244" customWidth="1"/>
    <col min="7428" max="7428" width="12.85546875" style="244" customWidth="1"/>
    <col min="7429" max="7429" width="14.28515625" style="244" customWidth="1"/>
    <col min="7430" max="7430" width="15.28515625" style="244" customWidth="1"/>
    <col min="7431" max="7431" width="16.28515625" style="244" customWidth="1"/>
    <col min="7432" max="7680" width="11.5703125" style="244"/>
    <col min="7681" max="7681" width="4.7109375" style="244" customWidth="1"/>
    <col min="7682" max="7682" width="20.42578125" style="244" customWidth="1"/>
    <col min="7683" max="7683" width="13.140625" style="244" customWidth="1"/>
    <col min="7684" max="7684" width="12.85546875" style="244" customWidth="1"/>
    <col min="7685" max="7685" width="14.28515625" style="244" customWidth="1"/>
    <col min="7686" max="7686" width="15.28515625" style="244" customWidth="1"/>
    <col min="7687" max="7687" width="16.28515625" style="244" customWidth="1"/>
    <col min="7688" max="7936" width="11.5703125" style="244"/>
    <col min="7937" max="7937" width="4.7109375" style="244" customWidth="1"/>
    <col min="7938" max="7938" width="20.42578125" style="244" customWidth="1"/>
    <col min="7939" max="7939" width="13.140625" style="244" customWidth="1"/>
    <col min="7940" max="7940" width="12.85546875" style="244" customWidth="1"/>
    <col min="7941" max="7941" width="14.28515625" style="244" customWidth="1"/>
    <col min="7942" max="7942" width="15.28515625" style="244" customWidth="1"/>
    <col min="7943" max="7943" width="16.28515625" style="244" customWidth="1"/>
    <col min="7944" max="8192" width="11.5703125" style="244"/>
    <col min="8193" max="8193" width="4.7109375" style="244" customWidth="1"/>
    <col min="8194" max="8194" width="20.42578125" style="244" customWidth="1"/>
    <col min="8195" max="8195" width="13.140625" style="244" customWidth="1"/>
    <col min="8196" max="8196" width="12.85546875" style="244" customWidth="1"/>
    <col min="8197" max="8197" width="14.28515625" style="244" customWidth="1"/>
    <col min="8198" max="8198" width="15.28515625" style="244" customWidth="1"/>
    <col min="8199" max="8199" width="16.28515625" style="244" customWidth="1"/>
    <col min="8200" max="8448" width="11.5703125" style="244"/>
    <col min="8449" max="8449" width="4.7109375" style="244" customWidth="1"/>
    <col min="8450" max="8450" width="20.42578125" style="244" customWidth="1"/>
    <col min="8451" max="8451" width="13.140625" style="244" customWidth="1"/>
    <col min="8452" max="8452" width="12.85546875" style="244" customWidth="1"/>
    <col min="8453" max="8453" width="14.28515625" style="244" customWidth="1"/>
    <col min="8454" max="8454" width="15.28515625" style="244" customWidth="1"/>
    <col min="8455" max="8455" width="16.28515625" style="244" customWidth="1"/>
    <col min="8456" max="8704" width="11.5703125" style="244"/>
    <col min="8705" max="8705" width="4.7109375" style="244" customWidth="1"/>
    <col min="8706" max="8706" width="20.42578125" style="244" customWidth="1"/>
    <col min="8707" max="8707" width="13.140625" style="244" customWidth="1"/>
    <col min="8708" max="8708" width="12.85546875" style="244" customWidth="1"/>
    <col min="8709" max="8709" width="14.28515625" style="244" customWidth="1"/>
    <col min="8710" max="8710" width="15.28515625" style="244" customWidth="1"/>
    <col min="8711" max="8711" width="16.28515625" style="244" customWidth="1"/>
    <col min="8712" max="8960" width="11.5703125" style="244"/>
    <col min="8961" max="8961" width="4.7109375" style="244" customWidth="1"/>
    <col min="8962" max="8962" width="20.42578125" style="244" customWidth="1"/>
    <col min="8963" max="8963" width="13.140625" style="244" customWidth="1"/>
    <col min="8964" max="8964" width="12.85546875" style="244" customWidth="1"/>
    <col min="8965" max="8965" width="14.28515625" style="244" customWidth="1"/>
    <col min="8966" max="8966" width="15.28515625" style="244" customWidth="1"/>
    <col min="8967" max="8967" width="16.28515625" style="244" customWidth="1"/>
    <col min="8968" max="9216" width="11.5703125" style="244"/>
    <col min="9217" max="9217" width="4.7109375" style="244" customWidth="1"/>
    <col min="9218" max="9218" width="20.42578125" style="244" customWidth="1"/>
    <col min="9219" max="9219" width="13.140625" style="244" customWidth="1"/>
    <col min="9220" max="9220" width="12.85546875" style="244" customWidth="1"/>
    <col min="9221" max="9221" width="14.28515625" style="244" customWidth="1"/>
    <col min="9222" max="9222" width="15.28515625" style="244" customWidth="1"/>
    <col min="9223" max="9223" width="16.28515625" style="244" customWidth="1"/>
    <col min="9224" max="9472" width="11.5703125" style="244"/>
    <col min="9473" max="9473" width="4.7109375" style="244" customWidth="1"/>
    <col min="9474" max="9474" width="20.42578125" style="244" customWidth="1"/>
    <col min="9475" max="9475" width="13.140625" style="244" customWidth="1"/>
    <col min="9476" max="9476" width="12.85546875" style="244" customWidth="1"/>
    <col min="9477" max="9477" width="14.28515625" style="244" customWidth="1"/>
    <col min="9478" max="9478" width="15.28515625" style="244" customWidth="1"/>
    <col min="9479" max="9479" width="16.28515625" style="244" customWidth="1"/>
    <col min="9480" max="9728" width="11.5703125" style="244"/>
    <col min="9729" max="9729" width="4.7109375" style="244" customWidth="1"/>
    <col min="9730" max="9730" width="20.42578125" style="244" customWidth="1"/>
    <col min="9731" max="9731" width="13.140625" style="244" customWidth="1"/>
    <col min="9732" max="9732" width="12.85546875" style="244" customWidth="1"/>
    <col min="9733" max="9733" width="14.28515625" style="244" customWidth="1"/>
    <col min="9734" max="9734" width="15.28515625" style="244" customWidth="1"/>
    <col min="9735" max="9735" width="16.28515625" style="244" customWidth="1"/>
    <col min="9736" max="9984" width="11.5703125" style="244"/>
    <col min="9985" max="9985" width="4.7109375" style="244" customWidth="1"/>
    <col min="9986" max="9986" width="20.42578125" style="244" customWidth="1"/>
    <col min="9987" max="9987" width="13.140625" style="244" customWidth="1"/>
    <col min="9988" max="9988" width="12.85546875" style="244" customWidth="1"/>
    <col min="9989" max="9989" width="14.28515625" style="244" customWidth="1"/>
    <col min="9990" max="9990" width="15.28515625" style="244" customWidth="1"/>
    <col min="9991" max="9991" width="16.28515625" style="244" customWidth="1"/>
    <col min="9992" max="10240" width="11.5703125" style="244"/>
    <col min="10241" max="10241" width="4.7109375" style="244" customWidth="1"/>
    <col min="10242" max="10242" width="20.42578125" style="244" customWidth="1"/>
    <col min="10243" max="10243" width="13.140625" style="244" customWidth="1"/>
    <col min="10244" max="10244" width="12.85546875" style="244" customWidth="1"/>
    <col min="10245" max="10245" width="14.28515625" style="244" customWidth="1"/>
    <col min="10246" max="10246" width="15.28515625" style="244" customWidth="1"/>
    <col min="10247" max="10247" width="16.28515625" style="244" customWidth="1"/>
    <col min="10248" max="10496" width="11.5703125" style="244"/>
    <col min="10497" max="10497" width="4.7109375" style="244" customWidth="1"/>
    <col min="10498" max="10498" width="20.42578125" style="244" customWidth="1"/>
    <col min="10499" max="10499" width="13.140625" style="244" customWidth="1"/>
    <col min="10500" max="10500" width="12.85546875" style="244" customWidth="1"/>
    <col min="10501" max="10501" width="14.28515625" style="244" customWidth="1"/>
    <col min="10502" max="10502" width="15.28515625" style="244" customWidth="1"/>
    <col min="10503" max="10503" width="16.28515625" style="244" customWidth="1"/>
    <col min="10504" max="10752" width="11.5703125" style="244"/>
    <col min="10753" max="10753" width="4.7109375" style="244" customWidth="1"/>
    <col min="10754" max="10754" width="20.42578125" style="244" customWidth="1"/>
    <col min="10755" max="10755" width="13.140625" style="244" customWidth="1"/>
    <col min="10756" max="10756" width="12.85546875" style="244" customWidth="1"/>
    <col min="10757" max="10757" width="14.28515625" style="244" customWidth="1"/>
    <col min="10758" max="10758" width="15.28515625" style="244" customWidth="1"/>
    <col min="10759" max="10759" width="16.28515625" style="244" customWidth="1"/>
    <col min="10760" max="11008" width="11.5703125" style="244"/>
    <col min="11009" max="11009" width="4.7109375" style="244" customWidth="1"/>
    <col min="11010" max="11010" width="20.42578125" style="244" customWidth="1"/>
    <col min="11011" max="11011" width="13.140625" style="244" customWidth="1"/>
    <col min="11012" max="11012" width="12.85546875" style="244" customWidth="1"/>
    <col min="11013" max="11013" width="14.28515625" style="244" customWidth="1"/>
    <col min="11014" max="11014" width="15.28515625" style="244" customWidth="1"/>
    <col min="11015" max="11015" width="16.28515625" style="244" customWidth="1"/>
    <col min="11016" max="11264" width="11.5703125" style="244"/>
    <col min="11265" max="11265" width="4.7109375" style="244" customWidth="1"/>
    <col min="11266" max="11266" width="20.42578125" style="244" customWidth="1"/>
    <col min="11267" max="11267" width="13.140625" style="244" customWidth="1"/>
    <col min="11268" max="11268" width="12.85546875" style="244" customWidth="1"/>
    <col min="11269" max="11269" width="14.28515625" style="244" customWidth="1"/>
    <col min="11270" max="11270" width="15.28515625" style="244" customWidth="1"/>
    <col min="11271" max="11271" width="16.28515625" style="244" customWidth="1"/>
    <col min="11272" max="11520" width="11.5703125" style="244"/>
    <col min="11521" max="11521" width="4.7109375" style="244" customWidth="1"/>
    <col min="11522" max="11522" width="20.42578125" style="244" customWidth="1"/>
    <col min="11523" max="11523" width="13.140625" style="244" customWidth="1"/>
    <col min="11524" max="11524" width="12.85546875" style="244" customWidth="1"/>
    <col min="11525" max="11525" width="14.28515625" style="244" customWidth="1"/>
    <col min="11526" max="11526" width="15.28515625" style="244" customWidth="1"/>
    <col min="11527" max="11527" width="16.28515625" style="244" customWidth="1"/>
    <col min="11528" max="11776" width="11.5703125" style="244"/>
    <col min="11777" max="11777" width="4.7109375" style="244" customWidth="1"/>
    <col min="11778" max="11778" width="20.42578125" style="244" customWidth="1"/>
    <col min="11779" max="11779" width="13.140625" style="244" customWidth="1"/>
    <col min="11780" max="11780" width="12.85546875" style="244" customWidth="1"/>
    <col min="11781" max="11781" width="14.28515625" style="244" customWidth="1"/>
    <col min="11782" max="11782" width="15.28515625" style="244" customWidth="1"/>
    <col min="11783" max="11783" width="16.28515625" style="244" customWidth="1"/>
    <col min="11784" max="12032" width="11.5703125" style="244"/>
    <col min="12033" max="12033" width="4.7109375" style="244" customWidth="1"/>
    <col min="12034" max="12034" width="20.42578125" style="244" customWidth="1"/>
    <col min="12035" max="12035" width="13.140625" style="244" customWidth="1"/>
    <col min="12036" max="12036" width="12.85546875" style="244" customWidth="1"/>
    <col min="12037" max="12037" width="14.28515625" style="244" customWidth="1"/>
    <col min="12038" max="12038" width="15.28515625" style="244" customWidth="1"/>
    <col min="12039" max="12039" width="16.28515625" style="244" customWidth="1"/>
    <col min="12040" max="12288" width="11.5703125" style="244"/>
    <col min="12289" max="12289" width="4.7109375" style="244" customWidth="1"/>
    <col min="12290" max="12290" width="20.42578125" style="244" customWidth="1"/>
    <col min="12291" max="12291" width="13.140625" style="244" customWidth="1"/>
    <col min="12292" max="12292" width="12.85546875" style="244" customWidth="1"/>
    <col min="12293" max="12293" width="14.28515625" style="244" customWidth="1"/>
    <col min="12294" max="12294" width="15.28515625" style="244" customWidth="1"/>
    <col min="12295" max="12295" width="16.28515625" style="244" customWidth="1"/>
    <col min="12296" max="12544" width="11.5703125" style="244"/>
    <col min="12545" max="12545" width="4.7109375" style="244" customWidth="1"/>
    <col min="12546" max="12546" width="20.42578125" style="244" customWidth="1"/>
    <col min="12547" max="12547" width="13.140625" style="244" customWidth="1"/>
    <col min="12548" max="12548" width="12.85546875" style="244" customWidth="1"/>
    <col min="12549" max="12549" width="14.28515625" style="244" customWidth="1"/>
    <col min="12550" max="12550" width="15.28515625" style="244" customWidth="1"/>
    <col min="12551" max="12551" width="16.28515625" style="244" customWidth="1"/>
    <col min="12552" max="12800" width="11.5703125" style="244"/>
    <col min="12801" max="12801" width="4.7109375" style="244" customWidth="1"/>
    <col min="12802" max="12802" width="20.42578125" style="244" customWidth="1"/>
    <col min="12803" max="12803" width="13.140625" style="244" customWidth="1"/>
    <col min="12804" max="12804" width="12.85546875" style="244" customWidth="1"/>
    <col min="12805" max="12805" width="14.28515625" style="244" customWidth="1"/>
    <col min="12806" max="12806" width="15.28515625" style="244" customWidth="1"/>
    <col min="12807" max="12807" width="16.28515625" style="244" customWidth="1"/>
    <col min="12808" max="13056" width="11.5703125" style="244"/>
    <col min="13057" max="13057" width="4.7109375" style="244" customWidth="1"/>
    <col min="13058" max="13058" width="20.42578125" style="244" customWidth="1"/>
    <col min="13059" max="13059" width="13.140625" style="244" customWidth="1"/>
    <col min="13060" max="13060" width="12.85546875" style="244" customWidth="1"/>
    <col min="13061" max="13061" width="14.28515625" style="244" customWidth="1"/>
    <col min="13062" max="13062" width="15.28515625" style="244" customWidth="1"/>
    <col min="13063" max="13063" width="16.28515625" style="244" customWidth="1"/>
    <col min="13064" max="13312" width="11.5703125" style="244"/>
    <col min="13313" max="13313" width="4.7109375" style="244" customWidth="1"/>
    <col min="13314" max="13314" width="20.42578125" style="244" customWidth="1"/>
    <col min="13315" max="13315" width="13.140625" style="244" customWidth="1"/>
    <col min="13316" max="13316" width="12.85546875" style="244" customWidth="1"/>
    <col min="13317" max="13317" width="14.28515625" style="244" customWidth="1"/>
    <col min="13318" max="13318" width="15.28515625" style="244" customWidth="1"/>
    <col min="13319" max="13319" width="16.28515625" style="244" customWidth="1"/>
    <col min="13320" max="13568" width="11.5703125" style="244"/>
    <col min="13569" max="13569" width="4.7109375" style="244" customWidth="1"/>
    <col min="13570" max="13570" width="20.42578125" style="244" customWidth="1"/>
    <col min="13571" max="13571" width="13.140625" style="244" customWidth="1"/>
    <col min="13572" max="13572" width="12.85546875" style="244" customWidth="1"/>
    <col min="13573" max="13573" width="14.28515625" style="244" customWidth="1"/>
    <col min="13574" max="13574" width="15.28515625" style="244" customWidth="1"/>
    <col min="13575" max="13575" width="16.28515625" style="244" customWidth="1"/>
    <col min="13576" max="13824" width="11.5703125" style="244"/>
    <col min="13825" max="13825" width="4.7109375" style="244" customWidth="1"/>
    <col min="13826" max="13826" width="20.42578125" style="244" customWidth="1"/>
    <col min="13827" max="13827" width="13.140625" style="244" customWidth="1"/>
    <col min="13828" max="13828" width="12.85546875" style="244" customWidth="1"/>
    <col min="13829" max="13829" width="14.28515625" style="244" customWidth="1"/>
    <col min="13830" max="13830" width="15.28515625" style="244" customWidth="1"/>
    <col min="13831" max="13831" width="16.28515625" style="244" customWidth="1"/>
    <col min="13832" max="14080" width="11.5703125" style="244"/>
    <col min="14081" max="14081" width="4.7109375" style="244" customWidth="1"/>
    <col min="14082" max="14082" width="20.42578125" style="244" customWidth="1"/>
    <col min="14083" max="14083" width="13.140625" style="244" customWidth="1"/>
    <col min="14084" max="14084" width="12.85546875" style="244" customWidth="1"/>
    <col min="14085" max="14085" width="14.28515625" style="244" customWidth="1"/>
    <col min="14086" max="14086" width="15.28515625" style="244" customWidth="1"/>
    <col min="14087" max="14087" width="16.28515625" style="244" customWidth="1"/>
    <col min="14088" max="14336" width="11.5703125" style="244"/>
    <col min="14337" max="14337" width="4.7109375" style="244" customWidth="1"/>
    <col min="14338" max="14338" width="20.42578125" style="244" customWidth="1"/>
    <col min="14339" max="14339" width="13.140625" style="244" customWidth="1"/>
    <col min="14340" max="14340" width="12.85546875" style="244" customWidth="1"/>
    <col min="14341" max="14341" width="14.28515625" style="244" customWidth="1"/>
    <col min="14342" max="14342" width="15.28515625" style="244" customWidth="1"/>
    <col min="14343" max="14343" width="16.28515625" style="244" customWidth="1"/>
    <col min="14344" max="14592" width="11.5703125" style="244"/>
    <col min="14593" max="14593" width="4.7109375" style="244" customWidth="1"/>
    <col min="14594" max="14594" width="20.42578125" style="244" customWidth="1"/>
    <col min="14595" max="14595" width="13.140625" style="244" customWidth="1"/>
    <col min="14596" max="14596" width="12.85546875" style="244" customWidth="1"/>
    <col min="14597" max="14597" width="14.28515625" style="244" customWidth="1"/>
    <col min="14598" max="14598" width="15.28515625" style="244" customWidth="1"/>
    <col min="14599" max="14599" width="16.28515625" style="244" customWidth="1"/>
    <col min="14600" max="14848" width="11.5703125" style="244"/>
    <col min="14849" max="14849" width="4.7109375" style="244" customWidth="1"/>
    <col min="14850" max="14850" width="20.42578125" style="244" customWidth="1"/>
    <col min="14851" max="14851" width="13.140625" style="244" customWidth="1"/>
    <col min="14852" max="14852" width="12.85546875" style="244" customWidth="1"/>
    <col min="14853" max="14853" width="14.28515625" style="244" customWidth="1"/>
    <col min="14854" max="14854" width="15.28515625" style="244" customWidth="1"/>
    <col min="14855" max="14855" width="16.28515625" style="244" customWidth="1"/>
    <col min="14856" max="15104" width="11.5703125" style="244"/>
    <col min="15105" max="15105" width="4.7109375" style="244" customWidth="1"/>
    <col min="15106" max="15106" width="20.42578125" style="244" customWidth="1"/>
    <col min="15107" max="15107" width="13.140625" style="244" customWidth="1"/>
    <col min="15108" max="15108" width="12.85546875" style="244" customWidth="1"/>
    <col min="15109" max="15109" width="14.28515625" style="244" customWidth="1"/>
    <col min="15110" max="15110" width="15.28515625" style="244" customWidth="1"/>
    <col min="15111" max="15111" width="16.28515625" style="244" customWidth="1"/>
    <col min="15112" max="15360" width="11.5703125" style="244"/>
    <col min="15361" max="15361" width="4.7109375" style="244" customWidth="1"/>
    <col min="15362" max="15362" width="20.42578125" style="244" customWidth="1"/>
    <col min="15363" max="15363" width="13.140625" style="244" customWidth="1"/>
    <col min="15364" max="15364" width="12.85546875" style="244" customWidth="1"/>
    <col min="15365" max="15365" width="14.28515625" style="244" customWidth="1"/>
    <col min="15366" max="15366" width="15.28515625" style="244" customWidth="1"/>
    <col min="15367" max="15367" width="16.28515625" style="244" customWidth="1"/>
    <col min="15368" max="15616" width="11.5703125" style="244"/>
    <col min="15617" max="15617" width="4.7109375" style="244" customWidth="1"/>
    <col min="15618" max="15618" width="20.42578125" style="244" customWidth="1"/>
    <col min="15619" max="15619" width="13.140625" style="244" customWidth="1"/>
    <col min="15620" max="15620" width="12.85546875" style="244" customWidth="1"/>
    <col min="15621" max="15621" width="14.28515625" style="244" customWidth="1"/>
    <col min="15622" max="15622" width="15.28515625" style="244" customWidth="1"/>
    <col min="15623" max="15623" width="16.28515625" style="244" customWidth="1"/>
    <col min="15624" max="15872" width="11.5703125" style="244"/>
    <col min="15873" max="15873" width="4.7109375" style="244" customWidth="1"/>
    <col min="15874" max="15874" width="20.42578125" style="244" customWidth="1"/>
    <col min="15875" max="15875" width="13.140625" style="244" customWidth="1"/>
    <col min="15876" max="15876" width="12.85546875" style="244" customWidth="1"/>
    <col min="15877" max="15877" width="14.28515625" style="244" customWidth="1"/>
    <col min="15878" max="15878" width="15.28515625" style="244" customWidth="1"/>
    <col min="15879" max="15879" width="16.28515625" style="244" customWidth="1"/>
    <col min="15880" max="16128" width="11.5703125" style="244"/>
    <col min="16129" max="16129" width="4.7109375" style="244" customWidth="1"/>
    <col min="16130" max="16130" width="20.42578125" style="244" customWidth="1"/>
    <col min="16131" max="16131" width="13.140625" style="244" customWidth="1"/>
    <col min="16132" max="16132" width="12.85546875" style="244" customWidth="1"/>
    <col min="16133" max="16133" width="14.28515625" style="244" customWidth="1"/>
    <col min="16134" max="16134" width="15.28515625" style="244" customWidth="1"/>
    <col min="16135" max="16135" width="16.28515625" style="244" customWidth="1"/>
    <col min="16136" max="16384" width="11.5703125" style="244"/>
  </cols>
  <sheetData>
    <row r="1" spans="1:7" x14ac:dyDescent="0.2">
      <c r="B1" s="673" t="s">
        <v>2249</v>
      </c>
      <c r="C1" s="673"/>
      <c r="D1" s="673"/>
      <c r="E1" s="673"/>
      <c r="F1" s="673"/>
    </row>
    <row r="2" spans="1:7" s="465" customFormat="1" x14ac:dyDescent="0.2">
      <c r="A2" s="246"/>
      <c r="B2" s="674" t="s">
        <v>559</v>
      </c>
      <c r="C2" s="674" t="s">
        <v>653</v>
      </c>
      <c r="D2" s="674" t="s">
        <v>653</v>
      </c>
      <c r="E2" s="674"/>
      <c r="F2" s="674"/>
      <c r="G2" s="244"/>
    </row>
    <row r="3" spans="1:7" x14ac:dyDescent="0.2">
      <c r="C3" s="477"/>
      <c r="D3" s="477"/>
    </row>
    <row r="4" spans="1:7" ht="36.75" customHeight="1" x14ac:dyDescent="0.2">
      <c r="A4" s="667" t="s">
        <v>3</v>
      </c>
      <c r="B4" s="667"/>
      <c r="C4" s="667"/>
      <c r="D4" s="667"/>
      <c r="E4" s="853" t="str">
        <f>CONCATENATE(СВОД!B48," (3 этап)")</f>
        <v>Проект бурения скважин (3 этап)</v>
      </c>
      <c r="F4" s="853"/>
      <c r="G4" s="853"/>
    </row>
    <row r="5" spans="1:7" x14ac:dyDescent="0.2">
      <c r="A5" s="854"/>
      <c r="B5" s="854"/>
      <c r="C5" s="250"/>
      <c r="D5" s="250"/>
      <c r="E5" s="250"/>
      <c r="F5" s="250"/>
      <c r="G5" s="250"/>
    </row>
    <row r="7" spans="1:7" x14ac:dyDescent="0.2">
      <c r="A7" s="667" t="s">
        <v>6</v>
      </c>
      <c r="B7" s="667"/>
      <c r="C7" s="667"/>
      <c r="D7" s="667"/>
      <c r="E7" s="668" t="s">
        <v>7</v>
      </c>
      <c r="F7" s="668"/>
      <c r="G7" s="668"/>
    </row>
    <row r="9" spans="1:7" x14ac:dyDescent="0.2">
      <c r="A9" s="667" t="s">
        <v>8</v>
      </c>
      <c r="B9" s="667"/>
      <c r="C9" s="667"/>
      <c r="D9" s="667"/>
      <c r="E9" s="668" t="s">
        <v>21</v>
      </c>
      <c r="F9" s="668"/>
      <c r="G9" s="668"/>
    </row>
    <row r="10" spans="1:7" x14ac:dyDescent="0.2">
      <c r="A10" s="253"/>
      <c r="B10" s="253"/>
      <c r="C10" s="254"/>
      <c r="D10" s="253"/>
      <c r="E10" s="253"/>
    </row>
    <row r="11" spans="1:7" ht="27.75" customHeight="1" x14ac:dyDescent="0.2">
      <c r="A11" s="253"/>
      <c r="B11" s="847" t="s">
        <v>2238</v>
      </c>
      <c r="C11" s="852"/>
      <c r="D11" s="852"/>
      <c r="E11" s="852"/>
      <c r="F11" s="852"/>
    </row>
    <row r="12" spans="1:7" ht="12.75" customHeight="1" x14ac:dyDescent="0.2">
      <c r="A12" s="253"/>
      <c r="B12" s="847" t="s">
        <v>654</v>
      </c>
      <c r="C12" s="849"/>
      <c r="D12" s="849"/>
      <c r="E12" s="849"/>
      <c r="F12" s="849"/>
    </row>
    <row r="14" spans="1:7" x14ac:dyDescent="0.2">
      <c r="A14" s="843" t="s">
        <v>655</v>
      </c>
      <c r="B14" s="843" t="s">
        <v>33</v>
      </c>
      <c r="C14" s="850" t="s">
        <v>635</v>
      </c>
      <c r="D14" s="851"/>
      <c r="E14" s="843" t="s">
        <v>636</v>
      </c>
      <c r="F14" s="843" t="s">
        <v>637</v>
      </c>
      <c r="G14" s="843" t="s">
        <v>656</v>
      </c>
    </row>
    <row r="15" spans="1:7" x14ac:dyDescent="0.2">
      <c r="A15" s="844"/>
      <c r="B15" s="844"/>
      <c r="C15" s="258" t="s">
        <v>639</v>
      </c>
      <c r="D15" s="258" t="s">
        <v>640</v>
      </c>
      <c r="E15" s="844"/>
      <c r="F15" s="844"/>
      <c r="G15" s="844"/>
    </row>
    <row r="16" spans="1:7" x14ac:dyDescent="0.2">
      <c r="A16" s="259">
        <v>1</v>
      </c>
      <c r="B16" s="259">
        <v>2</v>
      </c>
      <c r="C16" s="259">
        <v>3</v>
      </c>
      <c r="D16" s="259">
        <v>4</v>
      </c>
      <c r="E16" s="259">
        <v>5</v>
      </c>
      <c r="F16" s="260">
        <v>6</v>
      </c>
      <c r="G16" s="260">
        <v>7</v>
      </c>
    </row>
    <row r="17" spans="1:7" ht="39.6" customHeight="1" x14ac:dyDescent="0.2">
      <c r="A17" s="845">
        <v>1</v>
      </c>
      <c r="B17" s="638" t="s">
        <v>2239</v>
      </c>
      <c r="C17" s="478">
        <v>1</v>
      </c>
      <c r="D17" s="230" t="s">
        <v>658</v>
      </c>
      <c r="E17" s="478">
        <v>1</v>
      </c>
      <c r="F17" s="479">
        <v>20337</v>
      </c>
      <c r="G17" s="856">
        <f>ROUND((C17*E17*F17+C18*E18*F18+C19*E19*F19+ C20*E20*F20+C21*E21*F21+C22*E22*F22+C23*E23*F23),2)</f>
        <v>226586.5</v>
      </c>
    </row>
    <row r="18" spans="1:7" ht="39.6" customHeight="1" x14ac:dyDescent="0.2">
      <c r="A18" s="845"/>
      <c r="B18" s="638"/>
      <c r="C18" s="478">
        <v>1</v>
      </c>
      <c r="D18" s="230" t="s">
        <v>2240</v>
      </c>
      <c r="E18" s="478">
        <v>0.5</v>
      </c>
      <c r="F18" s="479">
        <v>18191</v>
      </c>
      <c r="G18" s="856"/>
    </row>
    <row r="19" spans="1:7" ht="39.6" customHeight="1" x14ac:dyDescent="0.2">
      <c r="A19" s="845"/>
      <c r="B19" s="638"/>
      <c r="C19" s="478">
        <v>1</v>
      </c>
      <c r="D19" s="230" t="s">
        <v>642</v>
      </c>
      <c r="E19" s="478">
        <v>2</v>
      </c>
      <c r="F19" s="479">
        <v>20337</v>
      </c>
      <c r="G19" s="856"/>
    </row>
    <row r="20" spans="1:7" ht="25.5" x14ac:dyDescent="0.2">
      <c r="A20" s="845"/>
      <c r="B20" s="638"/>
      <c r="C20" s="478">
        <v>1</v>
      </c>
      <c r="D20" s="230" t="s">
        <v>641</v>
      </c>
      <c r="E20" s="478">
        <v>2</v>
      </c>
      <c r="F20" s="479">
        <v>16222</v>
      </c>
      <c r="G20" s="856"/>
    </row>
    <row r="21" spans="1:7" ht="38.25" x14ac:dyDescent="0.2">
      <c r="A21" s="845"/>
      <c r="B21" s="638"/>
      <c r="C21" s="478">
        <v>1</v>
      </c>
      <c r="D21" s="230" t="s">
        <v>2241</v>
      </c>
      <c r="E21" s="478">
        <v>2</v>
      </c>
      <c r="F21" s="479">
        <v>14556</v>
      </c>
      <c r="G21" s="856"/>
    </row>
    <row r="22" spans="1:7" ht="25.5" x14ac:dyDescent="0.2">
      <c r="A22" s="845"/>
      <c r="B22" s="638"/>
      <c r="C22" s="478">
        <v>1</v>
      </c>
      <c r="D22" s="230" t="s">
        <v>644</v>
      </c>
      <c r="E22" s="478">
        <v>4</v>
      </c>
      <c r="F22" s="479">
        <v>13116</v>
      </c>
      <c r="G22" s="856"/>
    </row>
    <row r="23" spans="1:7" ht="25.5" x14ac:dyDescent="0.2">
      <c r="A23" s="845"/>
      <c r="B23" s="638"/>
      <c r="C23" s="478">
        <v>1</v>
      </c>
      <c r="D23" s="230" t="s">
        <v>2242</v>
      </c>
      <c r="E23" s="478">
        <v>4</v>
      </c>
      <c r="F23" s="467">
        <v>10615</v>
      </c>
      <c r="G23" s="856"/>
    </row>
    <row r="24" spans="1:7" ht="38.25" x14ac:dyDescent="0.2">
      <c r="A24" s="466">
        <v>2</v>
      </c>
      <c r="B24" s="261" t="s">
        <v>2243</v>
      </c>
      <c r="C24" s="258"/>
      <c r="D24" s="261"/>
      <c r="E24" s="258"/>
      <c r="F24" s="467"/>
      <c r="G24" s="263">
        <f>G17</f>
        <v>226586.5</v>
      </c>
    </row>
    <row r="26" spans="1:7" x14ac:dyDescent="0.2">
      <c r="B26" s="847" t="s">
        <v>664</v>
      </c>
      <c r="C26" s="848"/>
      <c r="D26" s="848"/>
      <c r="E26" s="848"/>
      <c r="F26" s="848"/>
    </row>
    <row r="28" spans="1:7" ht="25.5" x14ac:dyDescent="0.2">
      <c r="A28" s="469" t="s">
        <v>10</v>
      </c>
      <c r="B28" s="842" t="s">
        <v>665</v>
      </c>
      <c r="C28" s="842"/>
      <c r="D28" s="842"/>
      <c r="E28" s="842"/>
      <c r="F28" s="469" t="s">
        <v>92</v>
      </c>
      <c r="G28" s="469" t="s">
        <v>666</v>
      </c>
    </row>
    <row r="29" spans="1:7" ht="25.5" customHeight="1" x14ac:dyDescent="0.2">
      <c r="A29" s="470">
        <v>1</v>
      </c>
      <c r="B29" s="665" t="s">
        <v>2244</v>
      </c>
      <c r="C29" s="665"/>
      <c r="D29" s="665"/>
      <c r="E29" s="665"/>
      <c r="F29" s="470" t="s">
        <v>140</v>
      </c>
      <c r="G29" s="471">
        <f>ROUND(($G$24),2)</f>
        <v>226586.5</v>
      </c>
    </row>
    <row r="30" spans="1:7" ht="25.5" customHeight="1" x14ac:dyDescent="0.2">
      <c r="A30" s="470"/>
      <c r="B30" s="665" t="s">
        <v>668</v>
      </c>
      <c r="C30" s="665"/>
      <c r="D30" s="665"/>
      <c r="E30" s="665"/>
      <c r="F30" s="470"/>
      <c r="G30" s="470">
        <v>0.45</v>
      </c>
    </row>
    <row r="31" spans="1:7" ht="25.5" customHeight="1" x14ac:dyDescent="0.2">
      <c r="A31" s="470">
        <v>2</v>
      </c>
      <c r="B31" s="665" t="s">
        <v>669</v>
      </c>
      <c r="C31" s="665"/>
      <c r="D31" s="665"/>
      <c r="E31" s="665"/>
      <c r="F31" s="470" t="s">
        <v>140</v>
      </c>
      <c r="G31" s="471">
        <f>ROUND(($G$29) * 1/0.45 * 1,2)</f>
        <v>503525.56</v>
      </c>
    </row>
    <row r="32" spans="1:7" ht="12.75" customHeight="1" x14ac:dyDescent="0.2">
      <c r="A32" s="470"/>
      <c r="B32" s="665" t="s">
        <v>670</v>
      </c>
      <c r="C32" s="665"/>
      <c r="D32" s="665"/>
      <c r="E32" s="665"/>
      <c r="F32" s="470" t="s">
        <v>671</v>
      </c>
      <c r="G32" s="470">
        <v>8</v>
      </c>
    </row>
    <row r="33" spans="1:9" ht="25.5" customHeight="1" x14ac:dyDescent="0.2">
      <c r="A33" s="470">
        <v>3</v>
      </c>
      <c r="B33" s="665" t="s">
        <v>672</v>
      </c>
      <c r="C33" s="665"/>
      <c r="D33" s="665"/>
      <c r="E33" s="665"/>
      <c r="F33" s="470" t="s">
        <v>140</v>
      </c>
      <c r="G33" s="471">
        <f>ROUND(($G$31) * 8 / 100 * 1,2)</f>
        <v>40282.04</v>
      </c>
    </row>
    <row r="34" spans="1:9" ht="25.5" customHeight="1" x14ac:dyDescent="0.2">
      <c r="A34" s="470">
        <v>4</v>
      </c>
      <c r="B34" s="665" t="s">
        <v>673</v>
      </c>
      <c r="C34" s="665"/>
      <c r="D34" s="665"/>
      <c r="E34" s="665"/>
      <c r="F34" s="470" t="s">
        <v>140</v>
      </c>
      <c r="G34" s="471">
        <f>ROUND(($G$31 + $G$33),2)</f>
        <v>543807.6</v>
      </c>
    </row>
    <row r="35" spans="1:9" ht="63.75" customHeight="1" x14ac:dyDescent="0.2">
      <c r="A35" s="470">
        <v>5</v>
      </c>
      <c r="B35" s="665" t="s">
        <v>2245</v>
      </c>
      <c r="C35" s="665"/>
      <c r="D35" s="665"/>
      <c r="E35" s="665"/>
      <c r="F35" s="470"/>
      <c r="G35" s="470">
        <v>1</v>
      </c>
    </row>
    <row r="36" spans="1:9" ht="25.5" customHeight="1" x14ac:dyDescent="0.2">
      <c r="A36" s="470">
        <v>6</v>
      </c>
      <c r="B36" s="665" t="s">
        <v>2246</v>
      </c>
      <c r="C36" s="665"/>
      <c r="D36" s="665"/>
      <c r="E36" s="665"/>
      <c r="F36" s="470" t="s">
        <v>140</v>
      </c>
      <c r="G36" s="471">
        <f>ROUND(($G$34) * 1 * 1,2)</f>
        <v>543807.6</v>
      </c>
    </row>
    <row r="37" spans="1:9" ht="25.5" customHeight="1" x14ac:dyDescent="0.2">
      <c r="A37" s="470">
        <v>7</v>
      </c>
      <c r="B37" s="665" t="s">
        <v>651</v>
      </c>
      <c r="C37" s="665"/>
      <c r="D37" s="665"/>
      <c r="E37" s="665"/>
      <c r="F37" s="470" t="s">
        <v>140</v>
      </c>
      <c r="G37" s="471">
        <f>ROUND(G36/1.02,2)</f>
        <v>533144.71</v>
      </c>
      <c r="H37" s="472">
        <v>526369.19999999995</v>
      </c>
      <c r="I37" s="473"/>
    </row>
    <row r="38" spans="1:9" ht="12.75" customHeight="1" x14ac:dyDescent="0.2">
      <c r="A38" s="480"/>
      <c r="B38" s="855" t="s">
        <v>613</v>
      </c>
      <c r="C38" s="855"/>
      <c r="D38" s="855"/>
      <c r="E38" s="855"/>
      <c r="F38" s="481" t="s">
        <v>140</v>
      </c>
      <c r="G38" s="482">
        <f>G37</f>
        <v>533144.71</v>
      </c>
    </row>
  </sheetData>
  <mergeCells count="32">
    <mergeCell ref="B1:F1"/>
    <mergeCell ref="B2:F2"/>
    <mergeCell ref="A4:D4"/>
    <mergeCell ref="E4:G4"/>
    <mergeCell ref="A5:B5"/>
    <mergeCell ref="A7:D7"/>
    <mergeCell ref="E7:G7"/>
    <mergeCell ref="A9:D9"/>
    <mergeCell ref="E9:G9"/>
    <mergeCell ref="B11:F11"/>
    <mergeCell ref="B12:F12"/>
    <mergeCell ref="A14:A15"/>
    <mergeCell ref="B14:B15"/>
    <mergeCell ref="C14:D14"/>
    <mergeCell ref="E14:E15"/>
    <mergeCell ref="F14:F15"/>
    <mergeCell ref="G14:G15"/>
    <mergeCell ref="A17:A23"/>
    <mergeCell ref="B17:B23"/>
    <mergeCell ref="G17:G23"/>
    <mergeCell ref="B26:F26"/>
    <mergeCell ref="B28:E28"/>
    <mergeCell ref="B29:E29"/>
    <mergeCell ref="B30:E30"/>
    <mergeCell ref="B31:E31"/>
    <mergeCell ref="B32:E32"/>
    <mergeCell ref="B38:E38"/>
    <mergeCell ref="B33:E33"/>
    <mergeCell ref="B34:E34"/>
    <mergeCell ref="B35:E35"/>
    <mergeCell ref="B36:E36"/>
    <mergeCell ref="B37:E37"/>
  </mergeCells>
  <pageMargins left="0.39375000000000004" right="0.39375000000000004" top="0.59027777777777779" bottom="0.82777777777777783" header="0.51180555555555562" footer="0.59027777777777779"/>
  <pageSetup paperSize="9" orientation="portrait" useFirstPageNumber="1" horizontalDpi="300" verticalDpi="300"/>
  <headerFooter>
    <oddFooter>&amp;CСтраница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51</vt:i4>
      </vt:variant>
      <vt:variant>
        <vt:lpstr>Именованные диапазоны</vt:lpstr>
      </vt:variant>
      <vt:variant>
        <vt:i4>29</vt:i4>
      </vt:variant>
    </vt:vector>
  </HeadingPairs>
  <TitlesOfParts>
    <vt:vector size="80" baseType="lpstr">
      <vt:lpstr>РНМЦ</vt:lpstr>
      <vt:lpstr>СВОД</vt:lpstr>
      <vt:lpstr>1.1.1 ИГДИ</vt:lpstr>
      <vt:lpstr>1.1.2 ИГДИ</vt:lpstr>
      <vt:lpstr>1.1.3 ИГДИ</vt:lpstr>
      <vt:lpstr>1.1.4 ИГДИ+</vt:lpstr>
      <vt:lpstr>1.2.1 ИГИ</vt:lpstr>
      <vt:lpstr>1.2.2 ИГИ+</vt:lpstr>
      <vt:lpstr>1.3 МЛС</vt:lpstr>
      <vt:lpstr>Смета_№2.1_Обслед</vt:lpstr>
      <vt:lpstr>Расчет КР</vt:lpstr>
      <vt:lpstr>2.2 ТехДок+ </vt:lpstr>
      <vt:lpstr>2.3 СИД </vt:lpstr>
      <vt:lpstr>РД 3.1 ГП++</vt:lpstr>
      <vt:lpstr>3.2 Автодороги++</vt:lpstr>
      <vt:lpstr>3.3 ТХ++</vt:lpstr>
      <vt:lpstr>3.4 ОВ++</vt:lpstr>
      <vt:lpstr>3.5.1 АСУТП этап12</vt:lpstr>
      <vt:lpstr>3.5.2 АСУТП этап15</vt:lpstr>
      <vt:lpstr>3.5.3 АСУТП этап16</vt:lpstr>
      <vt:lpstr>3.5.4 АСУТП этап27</vt:lpstr>
      <vt:lpstr>3.5.5 АСУТП этап2+</vt:lpstr>
      <vt:lpstr>3.5.6 АСУТП этап3++</vt:lpstr>
      <vt:lpstr>3.6.1 АСУЭ этап2</vt:lpstr>
      <vt:lpstr>3.6.2 АСУЭ этап15</vt:lpstr>
      <vt:lpstr>3.6.3 АСУЭ этап16</vt:lpstr>
      <vt:lpstr>3.6.4 АСУЭ этап27</vt:lpstr>
      <vt:lpstr>3.6.5 АСУЭ этап3++</vt:lpstr>
      <vt:lpstr>3.7.1 АЭО этап15</vt:lpstr>
      <vt:lpstr>3.7.2 АЭО этап16</vt:lpstr>
      <vt:lpstr>3.7.3 АЭО этап3++</vt:lpstr>
      <vt:lpstr>3.8.1 СПБА этап12</vt:lpstr>
      <vt:lpstr>3.8.2 СПБА этап15</vt:lpstr>
      <vt:lpstr>3.8.3 СПБА этап16</vt:lpstr>
      <vt:lpstr>3.8.4 СПБА этап27</vt:lpstr>
      <vt:lpstr>3.8.5 СПБА этап2+</vt:lpstr>
      <vt:lpstr>3.8.6 СПБА этап3++</vt:lpstr>
      <vt:lpstr>3.9.1 этап12 СС</vt:lpstr>
      <vt:lpstr>3.9.2 этап13 СС</vt:lpstr>
      <vt:lpstr>3.9.3 этап 15 СС</vt:lpstr>
      <vt:lpstr>3.9.4 этап16 СС</vt:lpstr>
      <vt:lpstr>3.9.5 этап17 СС</vt:lpstr>
      <vt:lpstr>3.9.6 этап27 СС</vt:lpstr>
      <vt:lpstr>3.9.7 СС ЭТАП3++</vt:lpstr>
      <vt:lpstr>3.10 ЭС++</vt:lpstr>
      <vt:lpstr>3.11 ЭХЗ+</vt:lpstr>
      <vt:lpstr>3.12 ВК++</vt:lpstr>
      <vt:lpstr>3.13 АС</vt:lpstr>
      <vt:lpstr>3.14 ЛЧ++</vt:lpstr>
      <vt:lpstr>3.15.1 Бурение+ </vt:lpstr>
      <vt:lpstr>3.15.2 ПроектБур+ </vt:lpstr>
      <vt:lpstr>'1.1.4 ИГДИ+'!Print_Titles</vt:lpstr>
      <vt:lpstr>'3.15.1 Бурение+ '!Print_Titles</vt:lpstr>
      <vt:lpstr>'3.15.2 ПроектБур+ '!Print_Titles</vt:lpstr>
      <vt:lpstr>'1.1.4 ИГДИ+'!Область_печати</vt:lpstr>
      <vt:lpstr>'1.2.1 ИГИ'!Область_печати</vt:lpstr>
      <vt:lpstr>'1.2.2 ИГИ+'!Область_печати</vt:lpstr>
      <vt:lpstr>'3.3 ТХ++'!Область_печати</vt:lpstr>
      <vt:lpstr>'3.5.1 АСУТП этап12'!Область_печати</vt:lpstr>
      <vt:lpstr>'3.5.2 АСУТП этап15'!Область_печати</vt:lpstr>
      <vt:lpstr>'3.5.3 АСУТП этап16'!Область_печати</vt:lpstr>
      <vt:lpstr>'3.5.4 АСУТП этап27'!Область_печати</vt:lpstr>
      <vt:lpstr>'3.5.5 АСУТП этап2+'!Область_печати</vt:lpstr>
      <vt:lpstr>'3.5.6 АСУТП этап3++'!Область_печати</vt:lpstr>
      <vt:lpstr>'3.6.1 АСУЭ этап2'!Область_печати</vt:lpstr>
      <vt:lpstr>'3.6.2 АСУЭ этап15'!Область_печати</vt:lpstr>
      <vt:lpstr>'3.6.3 АСУЭ этап16'!Область_печати</vt:lpstr>
      <vt:lpstr>'3.6.4 АСУЭ этап27'!Область_печати</vt:lpstr>
      <vt:lpstr>'3.6.5 АСУЭ этап3++'!Область_печати</vt:lpstr>
      <vt:lpstr>'3.7.1 АЭО этап15'!Область_печати</vt:lpstr>
      <vt:lpstr>'3.7.2 АЭО этап16'!Область_печати</vt:lpstr>
      <vt:lpstr>'3.7.3 АЭО этап3++'!Область_печати</vt:lpstr>
      <vt:lpstr>'3.8.1 СПБА этап12'!Область_печати</vt:lpstr>
      <vt:lpstr>'3.8.2 СПБА этап15'!Область_печати</vt:lpstr>
      <vt:lpstr>'3.8.3 СПБА этап16'!Область_печати</vt:lpstr>
      <vt:lpstr>'3.8.4 СПБА этап27'!Область_печати</vt:lpstr>
      <vt:lpstr>'3.8.5 СПБА этап2+'!Область_печати</vt:lpstr>
      <vt:lpstr>'3.8.6 СПБА этап3++'!Область_печати</vt:lpstr>
      <vt:lpstr>РНМЦ!Область_печати</vt:lpstr>
      <vt:lpstr>СВОД!Область_печати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Степаненко Марина Юрьевна</cp:lastModifiedBy>
  <cp:revision>4</cp:revision>
  <dcterms:created xsi:type="dcterms:W3CDTF">2026-07-21T14:01:19Z</dcterms:created>
  <dcterms:modified xsi:type="dcterms:W3CDTF">2026-08-26T10:00:14Z</dcterms:modified>
</cp:coreProperties>
</file>